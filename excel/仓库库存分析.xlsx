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DevEnv\home\atori\workspace\storage\excel\"/>
    </mc:Choice>
  </mc:AlternateContent>
  <xr:revisionPtr revIDLastSave="0" documentId="13_ncr:1_{C4452839-3B4D-4F27-A8E0-CB2312722FA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oducts" sheetId="4" r:id="rId1"/>
    <sheet name="batches" sheetId="7" r:id="rId2"/>
    <sheet name="movements" sheetId="8" r:id="rId3"/>
    <sheet name="stores" sheetId="16" r:id="rId4"/>
    <sheet name="order_lines" sheetId="15" r:id="rId5"/>
    <sheet name="stock_counts" sheetId="13" r:id="rId6"/>
    <sheet name="每日库存表" sheetId="14" r:id="rId7"/>
    <sheet name="库存汇总" sheetId="12" r:id="rId8"/>
    <sheet name="批次库存" sheetId="10" r:id="rId9"/>
  </sheets>
  <definedNames>
    <definedName name="ExternalData_1" localSheetId="0" hidden="1">products!$A$1:$K$31</definedName>
    <definedName name="ExternalData_1" localSheetId="5" hidden="1">stock_counts!$A$1:$I$197</definedName>
    <definedName name="ExternalData_2" localSheetId="1" hidden="1">batches!$A$1:$G$225</definedName>
    <definedName name="ExternalData_2" localSheetId="4" hidden="1">order_lines!$A$1:$H$4265</definedName>
    <definedName name="ExternalData_3" localSheetId="2" hidden="1">movements!$A$1:$J$4490</definedName>
    <definedName name="ExternalData_3" localSheetId="3" hidden="1">stores!$A$1:$C$6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O31" i="14" l="1"/>
  <c r="CP31" i="14" s="1"/>
  <c r="CO3" i="14"/>
  <c r="CO4" i="14"/>
  <c r="CO5" i="14"/>
  <c r="CO6" i="14"/>
  <c r="CO7" i="14"/>
  <c r="CO8" i="14"/>
  <c r="CO9" i="14"/>
  <c r="CO10" i="14"/>
  <c r="CO11" i="14"/>
  <c r="CO12" i="14"/>
  <c r="CO13" i="14"/>
  <c r="CO14" i="14"/>
  <c r="CO15" i="14"/>
  <c r="CO16" i="14"/>
  <c r="CO17" i="14"/>
  <c r="CO18" i="14"/>
  <c r="CO19" i="14"/>
  <c r="CO20" i="14"/>
  <c r="CO21" i="14"/>
  <c r="CO22" i="14"/>
  <c r="CO23" i="14"/>
  <c r="CO24" i="14"/>
  <c r="CO25" i="14"/>
  <c r="CO26" i="14"/>
  <c r="CP26" i="14" s="1"/>
  <c r="CO27" i="14"/>
  <c r="CO28" i="14"/>
  <c r="CO29" i="14"/>
  <c r="CO30" i="14"/>
  <c r="CO2" i="14"/>
  <c r="CP2" i="14" s="1"/>
  <c r="CP6" i="14"/>
  <c r="CQ6" i="14" s="1"/>
  <c r="CP5" i="14"/>
  <c r="CQ5" i="14" s="1"/>
  <c r="CP4" i="14"/>
  <c r="CQ4" i="14" s="1"/>
  <c r="CP3" i="14"/>
  <c r="CP22" i="14"/>
  <c r="CQ22" i="14" s="1"/>
  <c r="CP20" i="14"/>
  <c r="CQ11" i="14"/>
  <c r="CQ15" i="14"/>
  <c r="CQ23" i="14"/>
  <c r="CQ25" i="14"/>
  <c r="CP7" i="14"/>
  <c r="CQ7" i="14" s="1"/>
  <c r="CP8" i="14"/>
  <c r="CQ8" i="14" s="1"/>
  <c r="CP9" i="14"/>
  <c r="CQ9" i="14" s="1"/>
  <c r="CP10" i="14"/>
  <c r="CQ10" i="14" s="1"/>
  <c r="CP11" i="14"/>
  <c r="CP12" i="14"/>
  <c r="CQ12" i="14" s="1"/>
  <c r="CP13" i="14"/>
  <c r="CQ13" i="14" s="1"/>
  <c r="CP14" i="14"/>
  <c r="CQ14" i="14" s="1"/>
  <c r="CP15" i="14"/>
  <c r="CP16" i="14"/>
  <c r="CQ16" i="14" s="1"/>
  <c r="CP17" i="14"/>
  <c r="CQ17" i="14" s="1"/>
  <c r="CP18" i="14"/>
  <c r="CQ18" i="14" s="1"/>
  <c r="CP19" i="14"/>
  <c r="CQ19" i="14" s="1"/>
  <c r="CP21" i="14"/>
  <c r="CQ21" i="14" s="1"/>
  <c r="CP23" i="14"/>
  <c r="CP24" i="14"/>
  <c r="CQ24" i="14" s="1"/>
  <c r="CP25" i="14"/>
  <c r="B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G3" i="14"/>
  <c r="BH3" i="14"/>
  <c r="BI3" i="14"/>
  <c r="BJ3" i="14"/>
  <c r="BK3" i="14"/>
  <c r="BL3" i="14"/>
  <c r="BM3" i="14"/>
  <c r="BN3" i="14"/>
  <c r="BO3" i="14"/>
  <c r="BP3" i="14"/>
  <c r="BQ3" i="14"/>
  <c r="BR3" i="14"/>
  <c r="BS3" i="14"/>
  <c r="BT3" i="14"/>
  <c r="BU3" i="14"/>
  <c r="BV3" i="14"/>
  <c r="BW3" i="14"/>
  <c r="BX3" i="14"/>
  <c r="BY3" i="14"/>
  <c r="BZ3" i="14"/>
  <c r="CA3" i="14"/>
  <c r="CB3" i="14"/>
  <c r="CC3" i="14"/>
  <c r="CD3" i="14"/>
  <c r="CE3" i="14"/>
  <c r="CF3" i="14"/>
  <c r="CG3" i="14"/>
  <c r="CH3" i="14"/>
  <c r="CI3" i="14"/>
  <c r="CJ3" i="14"/>
  <c r="CK3" i="14"/>
  <c r="CL3" i="14"/>
  <c r="CM3" i="14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BN4" i="14"/>
  <c r="BO4" i="14"/>
  <c r="BP4" i="14"/>
  <c r="BQ4" i="14"/>
  <c r="BR4" i="14"/>
  <c r="BS4" i="14"/>
  <c r="BT4" i="14"/>
  <c r="BU4" i="14"/>
  <c r="BV4" i="14"/>
  <c r="BW4" i="14"/>
  <c r="BX4" i="14"/>
  <c r="BY4" i="14"/>
  <c r="BZ4" i="14"/>
  <c r="CA4" i="14"/>
  <c r="CB4" i="14"/>
  <c r="CC4" i="14"/>
  <c r="CD4" i="14"/>
  <c r="CE4" i="14"/>
  <c r="CF4" i="14"/>
  <c r="CG4" i="14"/>
  <c r="CH4" i="14"/>
  <c r="CI4" i="14"/>
  <c r="CJ4" i="14"/>
  <c r="CK4" i="14"/>
  <c r="CL4" i="14"/>
  <c r="CM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BL5" i="14"/>
  <c r="BM5" i="14"/>
  <c r="BN5" i="14"/>
  <c r="BO5" i="14"/>
  <c r="BP5" i="14"/>
  <c r="BQ5" i="14"/>
  <c r="BR5" i="14"/>
  <c r="BS5" i="14"/>
  <c r="BT5" i="14"/>
  <c r="BU5" i="14"/>
  <c r="BV5" i="14"/>
  <c r="BW5" i="14"/>
  <c r="BX5" i="14"/>
  <c r="BY5" i="14"/>
  <c r="BZ5" i="14"/>
  <c r="CA5" i="14"/>
  <c r="CB5" i="14"/>
  <c r="CC5" i="14"/>
  <c r="CD5" i="14"/>
  <c r="CE5" i="14"/>
  <c r="CF5" i="14"/>
  <c r="CG5" i="14"/>
  <c r="CH5" i="14"/>
  <c r="CI5" i="14"/>
  <c r="CJ5" i="14"/>
  <c r="CK5" i="14"/>
  <c r="CL5" i="14"/>
  <c r="CM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BN6" i="14"/>
  <c r="BO6" i="14"/>
  <c r="BP6" i="14"/>
  <c r="BQ6" i="14"/>
  <c r="BR6" i="14"/>
  <c r="BS6" i="14"/>
  <c r="BT6" i="14"/>
  <c r="BU6" i="14"/>
  <c r="BV6" i="14"/>
  <c r="BW6" i="14"/>
  <c r="BX6" i="14"/>
  <c r="BY6" i="14"/>
  <c r="BZ6" i="14"/>
  <c r="CA6" i="14"/>
  <c r="CB6" i="14"/>
  <c r="CC6" i="14"/>
  <c r="CD6" i="14"/>
  <c r="CE6" i="14"/>
  <c r="CF6" i="14"/>
  <c r="CG6" i="14"/>
  <c r="CH6" i="14"/>
  <c r="CI6" i="14"/>
  <c r="CJ6" i="14"/>
  <c r="CK6" i="14"/>
  <c r="CL6" i="14"/>
  <c r="CM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BQ7" i="14"/>
  <c r="BR7" i="14"/>
  <c r="BS7" i="14"/>
  <c r="BT7" i="14"/>
  <c r="BU7" i="14"/>
  <c r="BV7" i="14"/>
  <c r="BW7" i="14"/>
  <c r="BX7" i="14"/>
  <c r="BY7" i="14"/>
  <c r="BZ7" i="14"/>
  <c r="CA7" i="14"/>
  <c r="CB7" i="14"/>
  <c r="CC7" i="14"/>
  <c r="CD7" i="14"/>
  <c r="CE7" i="14"/>
  <c r="CF7" i="14"/>
  <c r="CG7" i="14"/>
  <c r="CH7" i="14"/>
  <c r="CI7" i="14"/>
  <c r="CJ7" i="14"/>
  <c r="CK7" i="14"/>
  <c r="CL7" i="14"/>
  <c r="CM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BN8" i="14"/>
  <c r="BO8" i="14"/>
  <c r="BP8" i="14"/>
  <c r="BQ8" i="14"/>
  <c r="BR8" i="14"/>
  <c r="BS8" i="14"/>
  <c r="BT8" i="14"/>
  <c r="BU8" i="14"/>
  <c r="BV8" i="14"/>
  <c r="BW8" i="14"/>
  <c r="BX8" i="14"/>
  <c r="BY8" i="14"/>
  <c r="BZ8" i="14"/>
  <c r="CA8" i="14"/>
  <c r="CB8" i="14"/>
  <c r="CC8" i="14"/>
  <c r="CD8" i="14"/>
  <c r="CE8" i="14"/>
  <c r="CF8" i="14"/>
  <c r="CG8" i="14"/>
  <c r="CH8" i="14"/>
  <c r="CI8" i="14"/>
  <c r="CJ8" i="14"/>
  <c r="CK8" i="14"/>
  <c r="CL8" i="14"/>
  <c r="CM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BN9" i="14"/>
  <c r="BO9" i="14"/>
  <c r="BP9" i="14"/>
  <c r="BQ9" i="14"/>
  <c r="BR9" i="14"/>
  <c r="BS9" i="14"/>
  <c r="BT9" i="14"/>
  <c r="BU9" i="14"/>
  <c r="BV9" i="14"/>
  <c r="BW9" i="14"/>
  <c r="BX9" i="14"/>
  <c r="BY9" i="14"/>
  <c r="BZ9" i="14"/>
  <c r="CA9" i="14"/>
  <c r="CB9" i="14"/>
  <c r="CC9" i="14"/>
  <c r="CD9" i="14"/>
  <c r="CE9" i="14"/>
  <c r="CF9" i="14"/>
  <c r="CG9" i="14"/>
  <c r="CH9" i="14"/>
  <c r="CI9" i="14"/>
  <c r="CJ9" i="14"/>
  <c r="CK9" i="14"/>
  <c r="CL9" i="14"/>
  <c r="CM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BQ10" i="14"/>
  <c r="BR10" i="14"/>
  <c r="BS10" i="14"/>
  <c r="BT10" i="14"/>
  <c r="BU10" i="14"/>
  <c r="BV10" i="14"/>
  <c r="BW10" i="14"/>
  <c r="BX10" i="14"/>
  <c r="BY10" i="14"/>
  <c r="BZ10" i="14"/>
  <c r="CA10" i="14"/>
  <c r="CB10" i="14"/>
  <c r="CC10" i="14"/>
  <c r="CD10" i="14"/>
  <c r="CE10" i="14"/>
  <c r="CF10" i="14"/>
  <c r="CG10" i="14"/>
  <c r="CH10" i="14"/>
  <c r="CI10" i="14"/>
  <c r="CJ10" i="14"/>
  <c r="CK10" i="14"/>
  <c r="CL10" i="14"/>
  <c r="CM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BN11" i="14"/>
  <c r="BO11" i="14"/>
  <c r="BP11" i="14"/>
  <c r="BQ11" i="14"/>
  <c r="BR11" i="14"/>
  <c r="BS11" i="14"/>
  <c r="BT11" i="14"/>
  <c r="BU11" i="14"/>
  <c r="BV11" i="14"/>
  <c r="BW11" i="14"/>
  <c r="BX11" i="14"/>
  <c r="BY11" i="14"/>
  <c r="BZ11" i="14"/>
  <c r="CA11" i="14"/>
  <c r="CB11" i="14"/>
  <c r="CC11" i="14"/>
  <c r="CD11" i="14"/>
  <c r="CE11" i="14"/>
  <c r="CF11" i="14"/>
  <c r="CG11" i="14"/>
  <c r="CH11" i="14"/>
  <c r="CI11" i="14"/>
  <c r="CJ11" i="14"/>
  <c r="CK11" i="14"/>
  <c r="CL11" i="14"/>
  <c r="CM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BN12" i="14"/>
  <c r="BO12" i="14"/>
  <c r="BP12" i="14"/>
  <c r="BQ12" i="14"/>
  <c r="BR12" i="14"/>
  <c r="BS12" i="14"/>
  <c r="BT12" i="14"/>
  <c r="BU12" i="14"/>
  <c r="BV12" i="14"/>
  <c r="BW12" i="14"/>
  <c r="BX12" i="14"/>
  <c r="BY12" i="14"/>
  <c r="BZ12" i="14"/>
  <c r="CA12" i="14"/>
  <c r="CB12" i="14"/>
  <c r="CC12" i="14"/>
  <c r="CD12" i="14"/>
  <c r="CE12" i="14"/>
  <c r="CF12" i="14"/>
  <c r="CG12" i="14"/>
  <c r="CH12" i="14"/>
  <c r="CI12" i="14"/>
  <c r="CJ12" i="14"/>
  <c r="CK12" i="14"/>
  <c r="CL12" i="14"/>
  <c r="CM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BN13" i="14"/>
  <c r="BO13" i="14"/>
  <c r="BP13" i="14"/>
  <c r="BQ13" i="14"/>
  <c r="BR13" i="14"/>
  <c r="BS13" i="14"/>
  <c r="BT13" i="14"/>
  <c r="BU13" i="14"/>
  <c r="BV13" i="14"/>
  <c r="BW13" i="14"/>
  <c r="BX13" i="14"/>
  <c r="BY13" i="14"/>
  <c r="BZ13" i="14"/>
  <c r="CA13" i="14"/>
  <c r="CB13" i="14"/>
  <c r="CC13" i="14"/>
  <c r="CD13" i="14"/>
  <c r="CE13" i="14"/>
  <c r="CF13" i="14"/>
  <c r="CG13" i="14"/>
  <c r="CH13" i="14"/>
  <c r="CI13" i="14"/>
  <c r="CJ13" i="14"/>
  <c r="CK13" i="14"/>
  <c r="CL13" i="14"/>
  <c r="CM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BN14" i="14"/>
  <c r="BO14" i="14"/>
  <c r="BP14" i="14"/>
  <c r="BQ14" i="14"/>
  <c r="BR14" i="14"/>
  <c r="BS14" i="14"/>
  <c r="BT14" i="14"/>
  <c r="BU14" i="14"/>
  <c r="BV14" i="14"/>
  <c r="BW14" i="14"/>
  <c r="BX14" i="14"/>
  <c r="BY14" i="14"/>
  <c r="BZ14" i="14"/>
  <c r="CA14" i="14"/>
  <c r="CB14" i="14"/>
  <c r="CC14" i="14"/>
  <c r="CD14" i="14"/>
  <c r="CE14" i="14"/>
  <c r="CF14" i="14"/>
  <c r="CG14" i="14"/>
  <c r="CH14" i="14"/>
  <c r="CI14" i="14"/>
  <c r="CJ14" i="14"/>
  <c r="CK14" i="14"/>
  <c r="CL14" i="14"/>
  <c r="CM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BN15" i="14"/>
  <c r="BO15" i="14"/>
  <c r="BP15" i="14"/>
  <c r="BQ15" i="14"/>
  <c r="BR15" i="14"/>
  <c r="BS15" i="14"/>
  <c r="BT15" i="14"/>
  <c r="BU15" i="14"/>
  <c r="BV15" i="14"/>
  <c r="BW15" i="14"/>
  <c r="BX15" i="14"/>
  <c r="BY15" i="14"/>
  <c r="BZ15" i="14"/>
  <c r="CA15" i="14"/>
  <c r="CB15" i="14"/>
  <c r="CC15" i="14"/>
  <c r="CD15" i="14"/>
  <c r="CE15" i="14"/>
  <c r="CF15" i="14"/>
  <c r="CG15" i="14"/>
  <c r="CH15" i="14"/>
  <c r="CI15" i="14"/>
  <c r="CJ15" i="14"/>
  <c r="CK15" i="14"/>
  <c r="CL15" i="14"/>
  <c r="CM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BN16" i="14"/>
  <c r="BO16" i="14"/>
  <c r="BP16" i="14"/>
  <c r="BQ16" i="14"/>
  <c r="BR16" i="14"/>
  <c r="BS16" i="14"/>
  <c r="BT16" i="14"/>
  <c r="BU16" i="14"/>
  <c r="BV16" i="14"/>
  <c r="BW16" i="14"/>
  <c r="BX16" i="14"/>
  <c r="BY16" i="14"/>
  <c r="BZ16" i="14"/>
  <c r="CA16" i="14"/>
  <c r="CB16" i="14"/>
  <c r="CC16" i="14"/>
  <c r="CD16" i="14"/>
  <c r="CE16" i="14"/>
  <c r="CF16" i="14"/>
  <c r="CG16" i="14"/>
  <c r="CH16" i="14"/>
  <c r="CI16" i="14"/>
  <c r="CJ16" i="14"/>
  <c r="CK16" i="14"/>
  <c r="CL16" i="14"/>
  <c r="CM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BN17" i="14"/>
  <c r="BO17" i="14"/>
  <c r="BP17" i="14"/>
  <c r="BQ17" i="14"/>
  <c r="BR17" i="14"/>
  <c r="BS17" i="14"/>
  <c r="BT17" i="14"/>
  <c r="BU17" i="14"/>
  <c r="BV17" i="14"/>
  <c r="BW17" i="14"/>
  <c r="BX17" i="14"/>
  <c r="BY17" i="14"/>
  <c r="BZ17" i="14"/>
  <c r="CA17" i="14"/>
  <c r="CB17" i="14"/>
  <c r="CC17" i="14"/>
  <c r="CD17" i="14"/>
  <c r="CE17" i="14"/>
  <c r="CF17" i="14"/>
  <c r="CG17" i="14"/>
  <c r="CH17" i="14"/>
  <c r="CI17" i="14"/>
  <c r="CJ17" i="14"/>
  <c r="CK17" i="14"/>
  <c r="CL17" i="14"/>
  <c r="CM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G18" i="14"/>
  <c r="BH18" i="14"/>
  <c r="BI18" i="14"/>
  <c r="BJ18" i="14"/>
  <c r="BK18" i="14"/>
  <c r="BL18" i="14"/>
  <c r="BM18" i="14"/>
  <c r="BN18" i="14"/>
  <c r="BO18" i="14"/>
  <c r="BP18" i="14"/>
  <c r="BQ18" i="14"/>
  <c r="BR18" i="14"/>
  <c r="BS18" i="14"/>
  <c r="BT18" i="14"/>
  <c r="BU18" i="14"/>
  <c r="BV18" i="14"/>
  <c r="BW18" i="14"/>
  <c r="BX18" i="14"/>
  <c r="BY18" i="14"/>
  <c r="BZ18" i="14"/>
  <c r="CA18" i="14"/>
  <c r="CB18" i="14"/>
  <c r="CC18" i="14"/>
  <c r="CD18" i="14"/>
  <c r="CE18" i="14"/>
  <c r="CF18" i="14"/>
  <c r="CG18" i="14"/>
  <c r="CH18" i="14"/>
  <c r="CI18" i="14"/>
  <c r="CJ18" i="14"/>
  <c r="CK18" i="14"/>
  <c r="CL18" i="14"/>
  <c r="CM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BH19" i="14"/>
  <c r="BI19" i="14"/>
  <c r="BJ19" i="14"/>
  <c r="BK19" i="14"/>
  <c r="BL19" i="14"/>
  <c r="BM19" i="14"/>
  <c r="BN19" i="14"/>
  <c r="BO19" i="14"/>
  <c r="BP19" i="14"/>
  <c r="BQ19" i="14"/>
  <c r="BR19" i="14"/>
  <c r="BS19" i="14"/>
  <c r="BT19" i="14"/>
  <c r="BU19" i="14"/>
  <c r="BV19" i="14"/>
  <c r="BW19" i="14"/>
  <c r="BX19" i="14"/>
  <c r="BY19" i="14"/>
  <c r="BZ19" i="14"/>
  <c r="CA19" i="14"/>
  <c r="CB19" i="14"/>
  <c r="CC19" i="14"/>
  <c r="CD19" i="14"/>
  <c r="CE19" i="14"/>
  <c r="CF19" i="14"/>
  <c r="CG19" i="14"/>
  <c r="CH19" i="14"/>
  <c r="CI19" i="14"/>
  <c r="CJ19" i="14"/>
  <c r="CK19" i="14"/>
  <c r="CL19" i="14"/>
  <c r="CM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G20" i="14"/>
  <c r="BH20" i="14"/>
  <c r="BI20" i="14"/>
  <c r="BJ20" i="14"/>
  <c r="BK20" i="14"/>
  <c r="BL20" i="14"/>
  <c r="BM20" i="14"/>
  <c r="BN20" i="14"/>
  <c r="BO20" i="14"/>
  <c r="BP20" i="14"/>
  <c r="BQ20" i="14"/>
  <c r="BR20" i="14"/>
  <c r="BS20" i="14"/>
  <c r="BT20" i="14"/>
  <c r="BU20" i="14"/>
  <c r="BV20" i="14"/>
  <c r="BW20" i="14"/>
  <c r="BX20" i="14"/>
  <c r="BY20" i="14"/>
  <c r="BZ20" i="14"/>
  <c r="CA20" i="14"/>
  <c r="CB20" i="14"/>
  <c r="CC20" i="14"/>
  <c r="CD20" i="14"/>
  <c r="CE20" i="14"/>
  <c r="CF20" i="14"/>
  <c r="CG20" i="14"/>
  <c r="CH20" i="14"/>
  <c r="CI20" i="14"/>
  <c r="CJ20" i="14"/>
  <c r="CK20" i="14"/>
  <c r="CL20" i="14"/>
  <c r="CM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BN21" i="14"/>
  <c r="BO21" i="14"/>
  <c r="BP21" i="14"/>
  <c r="BQ21" i="14"/>
  <c r="BR21" i="14"/>
  <c r="BS21" i="14"/>
  <c r="BT21" i="14"/>
  <c r="BU21" i="14"/>
  <c r="BV21" i="14"/>
  <c r="BW21" i="14"/>
  <c r="BX21" i="14"/>
  <c r="BY21" i="14"/>
  <c r="BZ21" i="14"/>
  <c r="CA21" i="14"/>
  <c r="CB21" i="14"/>
  <c r="CC21" i="14"/>
  <c r="CD21" i="14"/>
  <c r="CE21" i="14"/>
  <c r="CF21" i="14"/>
  <c r="CG21" i="14"/>
  <c r="CH21" i="14"/>
  <c r="CI21" i="14"/>
  <c r="CJ21" i="14"/>
  <c r="CK21" i="14"/>
  <c r="CL21" i="14"/>
  <c r="CM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L22" i="14"/>
  <c r="BM22" i="14"/>
  <c r="BN22" i="14"/>
  <c r="BO22" i="14"/>
  <c r="BP22" i="14"/>
  <c r="BQ22" i="14"/>
  <c r="BR22" i="14"/>
  <c r="BS22" i="14"/>
  <c r="BT22" i="14"/>
  <c r="BU22" i="14"/>
  <c r="BV22" i="14"/>
  <c r="BW22" i="14"/>
  <c r="BX22" i="14"/>
  <c r="BY22" i="14"/>
  <c r="BZ22" i="14"/>
  <c r="CA22" i="14"/>
  <c r="CB22" i="14"/>
  <c r="CC22" i="14"/>
  <c r="CD22" i="14"/>
  <c r="CE22" i="14"/>
  <c r="CF22" i="14"/>
  <c r="CG22" i="14"/>
  <c r="CH22" i="14"/>
  <c r="CI22" i="14"/>
  <c r="CJ22" i="14"/>
  <c r="CK22" i="14"/>
  <c r="CL22" i="14"/>
  <c r="CM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L23" i="14"/>
  <c r="BM23" i="14"/>
  <c r="BN23" i="14"/>
  <c r="BO23" i="14"/>
  <c r="BP23" i="14"/>
  <c r="BQ23" i="14"/>
  <c r="BR23" i="14"/>
  <c r="BS23" i="14"/>
  <c r="BT23" i="14"/>
  <c r="BU23" i="14"/>
  <c r="BV23" i="14"/>
  <c r="BW23" i="14"/>
  <c r="BX23" i="14"/>
  <c r="BY23" i="14"/>
  <c r="BZ23" i="14"/>
  <c r="CA23" i="14"/>
  <c r="CB23" i="14"/>
  <c r="CC23" i="14"/>
  <c r="CD23" i="14"/>
  <c r="CE23" i="14"/>
  <c r="CF23" i="14"/>
  <c r="CG23" i="14"/>
  <c r="CH23" i="14"/>
  <c r="CI23" i="14"/>
  <c r="CJ23" i="14"/>
  <c r="CK23" i="14"/>
  <c r="CL23" i="14"/>
  <c r="CM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BS24" i="14"/>
  <c r="BT24" i="14"/>
  <c r="BU24" i="14"/>
  <c r="BV24" i="14"/>
  <c r="BW24" i="14"/>
  <c r="BX24" i="14"/>
  <c r="BY24" i="14"/>
  <c r="BZ24" i="14"/>
  <c r="CA24" i="14"/>
  <c r="CB24" i="14"/>
  <c r="CC24" i="14"/>
  <c r="CD24" i="14"/>
  <c r="CE24" i="14"/>
  <c r="CF24" i="14"/>
  <c r="CG24" i="14"/>
  <c r="CH24" i="14"/>
  <c r="CI24" i="14"/>
  <c r="CJ24" i="14"/>
  <c r="CK24" i="14"/>
  <c r="CL24" i="14"/>
  <c r="CM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G25" i="14"/>
  <c r="BH25" i="14"/>
  <c r="BI25" i="14"/>
  <c r="BJ25" i="14"/>
  <c r="BK25" i="14"/>
  <c r="BL25" i="14"/>
  <c r="BM25" i="14"/>
  <c r="BN25" i="14"/>
  <c r="BO25" i="14"/>
  <c r="BP25" i="14"/>
  <c r="BQ25" i="14"/>
  <c r="BR25" i="14"/>
  <c r="BS25" i="14"/>
  <c r="BT25" i="14"/>
  <c r="BU25" i="14"/>
  <c r="BV25" i="14"/>
  <c r="BW25" i="14"/>
  <c r="BX25" i="14"/>
  <c r="BY25" i="14"/>
  <c r="BZ25" i="14"/>
  <c r="CA25" i="14"/>
  <c r="CB25" i="14"/>
  <c r="CC25" i="14"/>
  <c r="CD25" i="14"/>
  <c r="CE25" i="14"/>
  <c r="CF25" i="14"/>
  <c r="CG25" i="14"/>
  <c r="CH25" i="14"/>
  <c r="CI25" i="14"/>
  <c r="CJ25" i="14"/>
  <c r="CK25" i="14"/>
  <c r="CL25" i="14"/>
  <c r="CM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BJ26" i="14"/>
  <c r="BK26" i="14"/>
  <c r="BL26" i="14"/>
  <c r="BM26" i="14"/>
  <c r="BN26" i="14"/>
  <c r="BO26" i="14"/>
  <c r="BP26" i="14"/>
  <c r="BQ26" i="14"/>
  <c r="BR26" i="14"/>
  <c r="BS26" i="14"/>
  <c r="BT26" i="14"/>
  <c r="BU26" i="14"/>
  <c r="BV26" i="14"/>
  <c r="BW26" i="14"/>
  <c r="BX26" i="14"/>
  <c r="BY26" i="14"/>
  <c r="BZ26" i="14"/>
  <c r="CA26" i="14"/>
  <c r="CB26" i="14"/>
  <c r="CC26" i="14"/>
  <c r="CD26" i="14"/>
  <c r="CE26" i="14"/>
  <c r="CF26" i="14"/>
  <c r="CG26" i="14"/>
  <c r="CH26" i="14"/>
  <c r="CI26" i="14"/>
  <c r="CJ26" i="14"/>
  <c r="CK26" i="14"/>
  <c r="CL26" i="14"/>
  <c r="CM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BN27" i="14"/>
  <c r="BO27" i="14"/>
  <c r="BP27" i="14"/>
  <c r="BQ27" i="14"/>
  <c r="BR27" i="14"/>
  <c r="BS27" i="14"/>
  <c r="BT27" i="14"/>
  <c r="BU27" i="14"/>
  <c r="BV27" i="14"/>
  <c r="BW27" i="14"/>
  <c r="BX27" i="14"/>
  <c r="BY27" i="14"/>
  <c r="BZ27" i="14"/>
  <c r="CA27" i="14"/>
  <c r="CB27" i="14"/>
  <c r="CC27" i="14"/>
  <c r="CD27" i="14"/>
  <c r="CE27" i="14"/>
  <c r="CF27" i="14"/>
  <c r="CG27" i="14"/>
  <c r="CH27" i="14"/>
  <c r="CI27" i="14"/>
  <c r="CJ27" i="14"/>
  <c r="CK27" i="14"/>
  <c r="CL27" i="14"/>
  <c r="CM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BN28" i="14"/>
  <c r="BO28" i="14"/>
  <c r="BP28" i="14"/>
  <c r="BQ28" i="14"/>
  <c r="BR28" i="14"/>
  <c r="BS28" i="14"/>
  <c r="BT28" i="14"/>
  <c r="BU28" i="14"/>
  <c r="BV28" i="14"/>
  <c r="BW28" i="14"/>
  <c r="BX28" i="14"/>
  <c r="BY28" i="14"/>
  <c r="BZ28" i="14"/>
  <c r="CA28" i="14"/>
  <c r="CB28" i="14"/>
  <c r="CC28" i="14"/>
  <c r="CD28" i="14"/>
  <c r="CE28" i="14"/>
  <c r="CF28" i="14"/>
  <c r="CG28" i="14"/>
  <c r="CH28" i="14"/>
  <c r="CI28" i="14"/>
  <c r="CJ28" i="14"/>
  <c r="CK28" i="14"/>
  <c r="CL28" i="14"/>
  <c r="CM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BN29" i="14"/>
  <c r="BO29" i="14"/>
  <c r="BP29" i="14"/>
  <c r="BQ29" i="14"/>
  <c r="BR29" i="14"/>
  <c r="BS29" i="14"/>
  <c r="BT29" i="14"/>
  <c r="BU29" i="14"/>
  <c r="BV29" i="14"/>
  <c r="BW29" i="14"/>
  <c r="BX29" i="14"/>
  <c r="BY29" i="14"/>
  <c r="BZ29" i="14"/>
  <c r="CA29" i="14"/>
  <c r="CB29" i="14"/>
  <c r="CC29" i="14"/>
  <c r="CD29" i="14"/>
  <c r="CE29" i="14"/>
  <c r="CF29" i="14"/>
  <c r="CG29" i="14"/>
  <c r="CH29" i="14"/>
  <c r="CI29" i="14"/>
  <c r="CJ29" i="14"/>
  <c r="CK29" i="14"/>
  <c r="CL29" i="14"/>
  <c r="CM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L30" i="14"/>
  <c r="BM30" i="14"/>
  <c r="BN30" i="14"/>
  <c r="BO30" i="14"/>
  <c r="BP30" i="14"/>
  <c r="BQ30" i="14"/>
  <c r="BR30" i="14"/>
  <c r="BS30" i="14"/>
  <c r="BT30" i="14"/>
  <c r="BU30" i="14"/>
  <c r="BV30" i="14"/>
  <c r="BW30" i="14"/>
  <c r="BX30" i="14"/>
  <c r="BY30" i="14"/>
  <c r="BZ30" i="14"/>
  <c r="CA30" i="14"/>
  <c r="CB30" i="14"/>
  <c r="CC30" i="14"/>
  <c r="CD30" i="14"/>
  <c r="CE30" i="14"/>
  <c r="CF30" i="14"/>
  <c r="CG30" i="14"/>
  <c r="CH30" i="14"/>
  <c r="CI30" i="14"/>
  <c r="CJ30" i="14"/>
  <c r="CK30" i="14"/>
  <c r="CL30" i="14"/>
  <c r="CM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BN31" i="14"/>
  <c r="BO31" i="14"/>
  <c r="BP31" i="14"/>
  <c r="BQ31" i="14"/>
  <c r="BR31" i="14"/>
  <c r="BS31" i="14"/>
  <c r="BT31" i="14"/>
  <c r="BU31" i="14"/>
  <c r="BV31" i="14"/>
  <c r="BW31" i="14"/>
  <c r="BX31" i="14"/>
  <c r="BY31" i="14"/>
  <c r="BZ31" i="14"/>
  <c r="CA31" i="14"/>
  <c r="CB31" i="14"/>
  <c r="CC31" i="14"/>
  <c r="CD31" i="14"/>
  <c r="CE31" i="14"/>
  <c r="CF31" i="14"/>
  <c r="CG31" i="14"/>
  <c r="CH31" i="14"/>
  <c r="CI31" i="14"/>
  <c r="CJ31" i="14"/>
  <c r="CK31" i="14"/>
  <c r="CL31" i="14"/>
  <c r="CM31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AZ2" i="14"/>
  <c r="BA2" i="14"/>
  <c r="BB2" i="14"/>
  <c r="BC2" i="14"/>
  <c r="BD2" i="14"/>
  <c r="BE2" i="14"/>
  <c r="BF2" i="14"/>
  <c r="BG2" i="14"/>
  <c r="BH2" i="14"/>
  <c r="BI2" i="14"/>
  <c r="BJ2" i="14"/>
  <c r="BK2" i="14"/>
  <c r="BL2" i="14"/>
  <c r="BM2" i="14"/>
  <c r="BN2" i="14"/>
  <c r="BO2" i="14"/>
  <c r="BP2" i="14"/>
  <c r="BQ2" i="14"/>
  <c r="BR2" i="14"/>
  <c r="BS2" i="14"/>
  <c r="BT2" i="14"/>
  <c r="BU2" i="14"/>
  <c r="BV2" i="14"/>
  <c r="BW2" i="14"/>
  <c r="BX2" i="14"/>
  <c r="BY2" i="14"/>
  <c r="BZ2" i="14"/>
  <c r="CA2" i="14"/>
  <c r="CB2" i="14"/>
  <c r="CC2" i="14"/>
  <c r="CD2" i="14"/>
  <c r="CE2" i="14"/>
  <c r="CF2" i="14"/>
  <c r="CG2" i="14"/>
  <c r="CH2" i="14"/>
  <c r="CI2" i="14"/>
  <c r="CJ2" i="14"/>
  <c r="CK2" i="14"/>
  <c r="CL2" i="14"/>
  <c r="CM2" i="14"/>
  <c r="B2" i="14"/>
  <c r="D1" i="14"/>
  <c r="C1" i="14"/>
  <c r="E1" i="14"/>
  <c r="F1" i="14" s="1"/>
  <c r="G1" i="14" s="1"/>
  <c r="H1" i="14" s="1"/>
  <c r="I1" i="14" s="1"/>
  <c r="J1" i="14" s="1"/>
  <c r="K1" i="14" s="1"/>
  <c r="L1" i="14" s="1"/>
  <c r="M1" i="14" s="1"/>
  <c r="N1" i="14" s="1"/>
  <c r="O1" i="14" s="1"/>
  <c r="P1" i="14" s="1"/>
  <c r="Q1" i="14" s="1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AC1" i="14" s="1"/>
  <c r="AD1" i="14" s="1"/>
  <c r="AE1" i="14" s="1"/>
  <c r="AF1" i="14" s="1"/>
  <c r="AG1" i="14" s="1"/>
  <c r="AH1" i="14" s="1"/>
  <c r="AI1" i="14" s="1"/>
  <c r="AJ1" i="14" s="1"/>
  <c r="AK1" i="14" s="1"/>
  <c r="AL1" i="14" s="1"/>
  <c r="AM1" i="14" s="1"/>
  <c r="AN1" i="14" s="1"/>
  <c r="AO1" i="14" s="1"/>
  <c r="AP1" i="14" s="1"/>
  <c r="AQ1" i="14" s="1"/>
  <c r="AR1" i="14" s="1"/>
  <c r="AS1" i="14" s="1"/>
  <c r="AT1" i="14" s="1"/>
  <c r="AU1" i="14" s="1"/>
  <c r="AV1" i="14" s="1"/>
  <c r="AW1" i="14" s="1"/>
  <c r="AX1" i="14" s="1"/>
  <c r="AY1" i="14" s="1"/>
  <c r="AZ1" i="14" s="1"/>
  <c r="BA1" i="14" s="1"/>
  <c r="BB1" i="14" s="1"/>
  <c r="BC1" i="14" s="1"/>
  <c r="BD1" i="14" s="1"/>
  <c r="BE1" i="14" s="1"/>
  <c r="BF1" i="14" s="1"/>
  <c r="BG1" i="14" s="1"/>
  <c r="BH1" i="14" s="1"/>
  <c r="BI1" i="14" s="1"/>
  <c r="BJ1" i="14" s="1"/>
  <c r="BK1" i="14" s="1"/>
  <c r="BL1" i="14" s="1"/>
  <c r="BM1" i="14" s="1"/>
  <c r="BN1" i="14" s="1"/>
  <c r="BO1" i="14" s="1"/>
  <c r="BP1" i="14" s="1"/>
  <c r="BQ1" i="14" s="1"/>
  <c r="BR1" i="14" s="1"/>
  <c r="BS1" i="14" s="1"/>
  <c r="BT1" i="14" s="1"/>
  <c r="BU1" i="14" s="1"/>
  <c r="BV1" i="14" s="1"/>
  <c r="BW1" i="14" s="1"/>
  <c r="BX1" i="14" s="1"/>
  <c r="BY1" i="14" s="1"/>
  <c r="BZ1" i="14" s="1"/>
  <c r="CA1" i="14" s="1"/>
  <c r="CB1" i="14" s="1"/>
  <c r="CC1" i="14" s="1"/>
  <c r="CD1" i="14" s="1"/>
  <c r="CE1" i="14" s="1"/>
  <c r="CF1" i="14" s="1"/>
  <c r="CG1" i="14" s="1"/>
  <c r="CH1" i="14" s="1"/>
  <c r="CI1" i="14" s="1"/>
  <c r="CJ1" i="14" s="1"/>
  <c r="CK1" i="14" s="1"/>
  <c r="CL1" i="14" s="1"/>
  <c r="CM1" i="14" s="1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K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J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P11" i="10"/>
  <c r="P17" i="10"/>
  <c r="P35" i="10"/>
  <c r="P65" i="10"/>
  <c r="P89" i="10"/>
  <c r="P125" i="10"/>
  <c r="E2" i="10"/>
  <c r="M2" i="10" s="1"/>
  <c r="F3" i="10"/>
  <c r="P3" i="10" s="1"/>
  <c r="F4" i="10"/>
  <c r="P4" i="10" s="1"/>
  <c r="F5" i="10"/>
  <c r="F6" i="10"/>
  <c r="P6" i="10" s="1"/>
  <c r="F7" i="10"/>
  <c r="F8" i="10"/>
  <c r="F9" i="10"/>
  <c r="P9" i="10" s="1"/>
  <c r="F10" i="10"/>
  <c r="F11" i="10"/>
  <c r="F12" i="10"/>
  <c r="F13" i="10"/>
  <c r="P13" i="10" s="1"/>
  <c r="F14" i="10"/>
  <c r="P14" i="10" s="1"/>
  <c r="F15" i="10"/>
  <c r="P15" i="10" s="1"/>
  <c r="F16" i="10"/>
  <c r="F17" i="10"/>
  <c r="F18" i="10"/>
  <c r="F19" i="10"/>
  <c r="F20" i="10"/>
  <c r="P20" i="10" s="1"/>
  <c r="F21" i="10"/>
  <c r="F22" i="10"/>
  <c r="F23" i="10"/>
  <c r="F24" i="10"/>
  <c r="F25" i="10"/>
  <c r="F26" i="10"/>
  <c r="F27" i="10"/>
  <c r="F28" i="10"/>
  <c r="F29" i="10"/>
  <c r="F30" i="10"/>
  <c r="F31" i="10"/>
  <c r="F32" i="10"/>
  <c r="P32" i="10" s="1"/>
  <c r="F33" i="10"/>
  <c r="F34" i="10"/>
  <c r="P34" i="10" s="1"/>
  <c r="F35" i="10"/>
  <c r="F36" i="10"/>
  <c r="F37" i="10"/>
  <c r="F38" i="10"/>
  <c r="P38" i="10" s="1"/>
  <c r="F39" i="10"/>
  <c r="P39" i="10" s="1"/>
  <c r="F40" i="10"/>
  <c r="P40" i="10" s="1"/>
  <c r="F41" i="10"/>
  <c r="F42" i="10"/>
  <c r="P42" i="10" s="1"/>
  <c r="F43" i="10"/>
  <c r="F44" i="10"/>
  <c r="P44" i="10" s="1"/>
  <c r="F45" i="10"/>
  <c r="P45" i="10" s="1"/>
  <c r="F46" i="10"/>
  <c r="P46" i="10" s="1"/>
  <c r="F47" i="10"/>
  <c r="F48" i="10"/>
  <c r="F49" i="10"/>
  <c r="P49" i="10" s="1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P62" i="10" s="1"/>
  <c r="F63" i="10"/>
  <c r="F64" i="10"/>
  <c r="F65" i="10"/>
  <c r="F66" i="10"/>
  <c r="P66" i="10" s="1"/>
  <c r="F67" i="10"/>
  <c r="F68" i="10"/>
  <c r="P68" i="10" s="1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P84" i="10" s="1"/>
  <c r="F85" i="10"/>
  <c r="F86" i="10"/>
  <c r="F87" i="10"/>
  <c r="F88" i="10"/>
  <c r="P88" i="10" s="1"/>
  <c r="F89" i="10"/>
  <c r="F90" i="10"/>
  <c r="P90" i="10" s="1"/>
  <c r="F91" i="10"/>
  <c r="F92" i="10"/>
  <c r="F93" i="10"/>
  <c r="F94" i="10"/>
  <c r="F95" i="10"/>
  <c r="F96" i="10"/>
  <c r="P96" i="10" s="1"/>
  <c r="F97" i="10"/>
  <c r="P97" i="10" s="1"/>
  <c r="F98" i="10"/>
  <c r="F99" i="10"/>
  <c r="P99" i="10" s="1"/>
  <c r="F100" i="10"/>
  <c r="P100" i="10" s="1"/>
  <c r="F101" i="10"/>
  <c r="F102" i="10"/>
  <c r="F103" i="10"/>
  <c r="F104" i="10"/>
  <c r="F105" i="10"/>
  <c r="P105" i="10" s="1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P127" i="10" s="1"/>
  <c r="F128" i="10"/>
  <c r="F129" i="10"/>
  <c r="P129" i="10" s="1"/>
  <c r="F130" i="10"/>
  <c r="P130" i="10" s="1"/>
  <c r="F131" i="10"/>
  <c r="F132" i="10"/>
  <c r="F133" i="10"/>
  <c r="F134" i="10"/>
  <c r="P134" i="10" s="1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" i="10"/>
  <c r="E3" i="10"/>
  <c r="M3" i="10" s="1"/>
  <c r="E4" i="10"/>
  <c r="M4" i="10" s="1"/>
  <c r="E5" i="10"/>
  <c r="M5" i="10" s="1"/>
  <c r="E6" i="10"/>
  <c r="M6" i="10" s="1"/>
  <c r="E7" i="10"/>
  <c r="M7" i="10" s="1"/>
  <c r="E8" i="10"/>
  <c r="M8" i="10" s="1"/>
  <c r="E9" i="10"/>
  <c r="M9" i="10" s="1"/>
  <c r="E10" i="10"/>
  <c r="M10" i="10" s="1"/>
  <c r="E11" i="10"/>
  <c r="M11" i="10" s="1"/>
  <c r="E12" i="10"/>
  <c r="M12" i="10" s="1"/>
  <c r="E13" i="10"/>
  <c r="M13" i="10" s="1"/>
  <c r="E14" i="10"/>
  <c r="M14" i="10" s="1"/>
  <c r="E15" i="10"/>
  <c r="M15" i="10" s="1"/>
  <c r="E16" i="10"/>
  <c r="M16" i="10" s="1"/>
  <c r="E17" i="10"/>
  <c r="M17" i="10" s="1"/>
  <c r="E18" i="10"/>
  <c r="M18" i="10" s="1"/>
  <c r="E19" i="10"/>
  <c r="M19" i="10" s="1"/>
  <c r="E20" i="10"/>
  <c r="M20" i="10" s="1"/>
  <c r="E21" i="10"/>
  <c r="M21" i="10" s="1"/>
  <c r="E22" i="10"/>
  <c r="M22" i="10" s="1"/>
  <c r="E23" i="10"/>
  <c r="M23" i="10" s="1"/>
  <c r="E24" i="10"/>
  <c r="M24" i="10" s="1"/>
  <c r="E25" i="10"/>
  <c r="M25" i="10" s="1"/>
  <c r="E26" i="10"/>
  <c r="M26" i="10" s="1"/>
  <c r="E27" i="10"/>
  <c r="M27" i="10" s="1"/>
  <c r="E28" i="10"/>
  <c r="M28" i="10" s="1"/>
  <c r="E29" i="10"/>
  <c r="M29" i="10" s="1"/>
  <c r="E30" i="10"/>
  <c r="M30" i="10" s="1"/>
  <c r="E31" i="10"/>
  <c r="M31" i="10" s="1"/>
  <c r="E32" i="10"/>
  <c r="M32" i="10" s="1"/>
  <c r="E33" i="10"/>
  <c r="M33" i="10" s="1"/>
  <c r="E34" i="10"/>
  <c r="M34" i="10" s="1"/>
  <c r="E35" i="10"/>
  <c r="M35" i="10" s="1"/>
  <c r="E36" i="10"/>
  <c r="M36" i="10" s="1"/>
  <c r="E37" i="10"/>
  <c r="M37" i="10" s="1"/>
  <c r="E38" i="10"/>
  <c r="M38" i="10" s="1"/>
  <c r="E39" i="10"/>
  <c r="M39" i="10" s="1"/>
  <c r="E40" i="10"/>
  <c r="M40" i="10" s="1"/>
  <c r="E41" i="10"/>
  <c r="M41" i="10" s="1"/>
  <c r="E42" i="10"/>
  <c r="M42" i="10" s="1"/>
  <c r="E43" i="10"/>
  <c r="M43" i="10" s="1"/>
  <c r="E44" i="10"/>
  <c r="M44" i="10" s="1"/>
  <c r="E45" i="10"/>
  <c r="M45" i="10" s="1"/>
  <c r="E46" i="10"/>
  <c r="M46" i="10" s="1"/>
  <c r="E47" i="10"/>
  <c r="M47" i="10" s="1"/>
  <c r="E48" i="10"/>
  <c r="M48" i="10" s="1"/>
  <c r="E49" i="10"/>
  <c r="M49" i="10" s="1"/>
  <c r="E50" i="10"/>
  <c r="M50" i="10" s="1"/>
  <c r="E51" i="10"/>
  <c r="M51" i="10" s="1"/>
  <c r="E52" i="10"/>
  <c r="M52" i="10" s="1"/>
  <c r="E53" i="10"/>
  <c r="M53" i="10" s="1"/>
  <c r="E54" i="10"/>
  <c r="M54" i="10" s="1"/>
  <c r="E55" i="10"/>
  <c r="M55" i="10" s="1"/>
  <c r="E56" i="10"/>
  <c r="M56" i="10" s="1"/>
  <c r="E57" i="10"/>
  <c r="M57" i="10" s="1"/>
  <c r="E58" i="10"/>
  <c r="M58" i="10" s="1"/>
  <c r="E59" i="10"/>
  <c r="M59" i="10" s="1"/>
  <c r="E60" i="10"/>
  <c r="M60" i="10" s="1"/>
  <c r="E61" i="10"/>
  <c r="M61" i="10" s="1"/>
  <c r="E62" i="10"/>
  <c r="M62" i="10" s="1"/>
  <c r="E63" i="10"/>
  <c r="M63" i="10" s="1"/>
  <c r="E64" i="10"/>
  <c r="M64" i="10" s="1"/>
  <c r="E65" i="10"/>
  <c r="M65" i="10" s="1"/>
  <c r="E66" i="10"/>
  <c r="M66" i="10" s="1"/>
  <c r="E67" i="10"/>
  <c r="M67" i="10" s="1"/>
  <c r="E68" i="10"/>
  <c r="M68" i="10" s="1"/>
  <c r="E69" i="10"/>
  <c r="M69" i="10" s="1"/>
  <c r="E70" i="10"/>
  <c r="M70" i="10" s="1"/>
  <c r="E71" i="10"/>
  <c r="M71" i="10" s="1"/>
  <c r="E72" i="10"/>
  <c r="M72" i="10" s="1"/>
  <c r="E73" i="10"/>
  <c r="M73" i="10" s="1"/>
  <c r="E74" i="10"/>
  <c r="M74" i="10" s="1"/>
  <c r="E75" i="10"/>
  <c r="M75" i="10" s="1"/>
  <c r="E76" i="10"/>
  <c r="M76" i="10" s="1"/>
  <c r="E77" i="10"/>
  <c r="M77" i="10" s="1"/>
  <c r="E78" i="10"/>
  <c r="M78" i="10" s="1"/>
  <c r="E79" i="10"/>
  <c r="M79" i="10" s="1"/>
  <c r="E80" i="10"/>
  <c r="M80" i="10" s="1"/>
  <c r="E81" i="10"/>
  <c r="M81" i="10" s="1"/>
  <c r="E82" i="10"/>
  <c r="M82" i="10" s="1"/>
  <c r="E83" i="10"/>
  <c r="M83" i="10" s="1"/>
  <c r="E84" i="10"/>
  <c r="M84" i="10" s="1"/>
  <c r="E85" i="10"/>
  <c r="M85" i="10" s="1"/>
  <c r="E86" i="10"/>
  <c r="M86" i="10" s="1"/>
  <c r="E87" i="10"/>
  <c r="M87" i="10" s="1"/>
  <c r="E88" i="10"/>
  <c r="M88" i="10" s="1"/>
  <c r="E89" i="10"/>
  <c r="M89" i="10" s="1"/>
  <c r="E90" i="10"/>
  <c r="M90" i="10" s="1"/>
  <c r="E91" i="10"/>
  <c r="M91" i="10" s="1"/>
  <c r="E92" i="10"/>
  <c r="M92" i="10" s="1"/>
  <c r="E93" i="10"/>
  <c r="M93" i="10" s="1"/>
  <c r="E94" i="10"/>
  <c r="M94" i="10" s="1"/>
  <c r="E95" i="10"/>
  <c r="M95" i="10" s="1"/>
  <c r="E96" i="10"/>
  <c r="M96" i="10" s="1"/>
  <c r="E97" i="10"/>
  <c r="M97" i="10" s="1"/>
  <c r="E98" i="10"/>
  <c r="M98" i="10" s="1"/>
  <c r="E99" i="10"/>
  <c r="M99" i="10" s="1"/>
  <c r="E100" i="10"/>
  <c r="M100" i="10" s="1"/>
  <c r="E101" i="10"/>
  <c r="M101" i="10" s="1"/>
  <c r="E102" i="10"/>
  <c r="M102" i="10" s="1"/>
  <c r="E103" i="10"/>
  <c r="M103" i="10" s="1"/>
  <c r="E104" i="10"/>
  <c r="M104" i="10" s="1"/>
  <c r="E105" i="10"/>
  <c r="M105" i="10" s="1"/>
  <c r="E106" i="10"/>
  <c r="M106" i="10" s="1"/>
  <c r="E107" i="10"/>
  <c r="M107" i="10" s="1"/>
  <c r="E108" i="10"/>
  <c r="M108" i="10" s="1"/>
  <c r="E109" i="10"/>
  <c r="M109" i="10" s="1"/>
  <c r="E110" i="10"/>
  <c r="M110" i="10" s="1"/>
  <c r="E111" i="10"/>
  <c r="M111" i="10" s="1"/>
  <c r="E112" i="10"/>
  <c r="M112" i="10" s="1"/>
  <c r="E113" i="10"/>
  <c r="M113" i="10" s="1"/>
  <c r="E114" i="10"/>
  <c r="M114" i="10" s="1"/>
  <c r="E115" i="10"/>
  <c r="M115" i="10" s="1"/>
  <c r="E116" i="10"/>
  <c r="M116" i="10" s="1"/>
  <c r="E117" i="10"/>
  <c r="M117" i="10" s="1"/>
  <c r="E118" i="10"/>
  <c r="M118" i="10" s="1"/>
  <c r="E119" i="10"/>
  <c r="M119" i="10" s="1"/>
  <c r="E120" i="10"/>
  <c r="M120" i="10" s="1"/>
  <c r="E121" i="10"/>
  <c r="M121" i="10" s="1"/>
  <c r="E122" i="10"/>
  <c r="M122" i="10" s="1"/>
  <c r="E123" i="10"/>
  <c r="M123" i="10" s="1"/>
  <c r="E124" i="10"/>
  <c r="M124" i="10" s="1"/>
  <c r="E125" i="10"/>
  <c r="M125" i="10" s="1"/>
  <c r="E126" i="10"/>
  <c r="M126" i="10" s="1"/>
  <c r="E127" i="10"/>
  <c r="M127" i="10" s="1"/>
  <c r="E128" i="10"/>
  <c r="M128" i="10" s="1"/>
  <c r="E129" i="10"/>
  <c r="M129" i="10" s="1"/>
  <c r="E130" i="10"/>
  <c r="M130" i="10" s="1"/>
  <c r="E131" i="10"/>
  <c r="M131" i="10" s="1"/>
  <c r="E132" i="10"/>
  <c r="M132" i="10" s="1"/>
  <c r="E133" i="10"/>
  <c r="M133" i="10" s="1"/>
  <c r="E134" i="10"/>
  <c r="M134" i="10" s="1"/>
  <c r="E135" i="10"/>
  <c r="M135" i="10" s="1"/>
  <c r="E136" i="10"/>
  <c r="M136" i="10" s="1"/>
  <c r="E137" i="10"/>
  <c r="M137" i="10" s="1"/>
  <c r="E138" i="10"/>
  <c r="M138" i="10" s="1"/>
  <c r="E139" i="10"/>
  <c r="M139" i="10" s="1"/>
  <c r="E140" i="10"/>
  <c r="M140" i="10" s="1"/>
  <c r="E141" i="10"/>
  <c r="M141" i="10" s="1"/>
  <c r="E142" i="10"/>
  <c r="M142" i="10" s="1"/>
  <c r="E143" i="10"/>
  <c r="M143" i="10" s="1"/>
  <c r="E144" i="10"/>
  <c r="M144" i="10" s="1"/>
  <c r="E145" i="10"/>
  <c r="M145" i="10" s="1"/>
  <c r="E146" i="10"/>
  <c r="M146" i="10" s="1"/>
  <c r="E147" i="10"/>
  <c r="M147" i="10" s="1"/>
  <c r="E148" i="10"/>
  <c r="M148" i="10" s="1"/>
  <c r="E149" i="10"/>
  <c r="M149" i="10" s="1"/>
  <c r="E150" i="10"/>
  <c r="M150" i="10" s="1"/>
  <c r="E151" i="10"/>
  <c r="M151" i="10" s="1"/>
  <c r="E152" i="10"/>
  <c r="M152" i="10" s="1"/>
  <c r="E153" i="10"/>
  <c r="M153" i="10" s="1"/>
  <c r="E154" i="10"/>
  <c r="M154" i="10" s="1"/>
  <c r="E155" i="10"/>
  <c r="M155" i="10" s="1"/>
  <c r="E156" i="10"/>
  <c r="M156" i="10" s="1"/>
  <c r="E157" i="10"/>
  <c r="M157" i="10" s="1"/>
  <c r="E158" i="10"/>
  <c r="M158" i="10" s="1"/>
  <c r="E159" i="10"/>
  <c r="M159" i="10" s="1"/>
  <c r="E160" i="10"/>
  <c r="M160" i="10" s="1"/>
  <c r="E161" i="10"/>
  <c r="M161" i="10" s="1"/>
  <c r="E162" i="10"/>
  <c r="M162" i="10" s="1"/>
  <c r="E163" i="10"/>
  <c r="M163" i="10" s="1"/>
  <c r="E164" i="10"/>
  <c r="M164" i="10" s="1"/>
  <c r="E165" i="10"/>
  <c r="M165" i="10" s="1"/>
  <c r="E166" i="10"/>
  <c r="M166" i="10" s="1"/>
  <c r="E167" i="10"/>
  <c r="M167" i="10" s="1"/>
  <c r="E168" i="10"/>
  <c r="M168" i="10" s="1"/>
  <c r="E169" i="10"/>
  <c r="M169" i="10" s="1"/>
  <c r="E170" i="10"/>
  <c r="M170" i="10" s="1"/>
  <c r="E171" i="10"/>
  <c r="M171" i="10" s="1"/>
  <c r="E172" i="10"/>
  <c r="M172" i="10" s="1"/>
  <c r="E173" i="10"/>
  <c r="M173" i="10" s="1"/>
  <c r="E174" i="10"/>
  <c r="M174" i="10" s="1"/>
  <c r="E175" i="10"/>
  <c r="M175" i="10" s="1"/>
  <c r="E176" i="10"/>
  <c r="M176" i="10" s="1"/>
  <c r="E177" i="10"/>
  <c r="M177" i="10" s="1"/>
  <c r="E178" i="10"/>
  <c r="M178" i="10" s="1"/>
  <c r="E179" i="10"/>
  <c r="M179" i="10" s="1"/>
  <c r="E180" i="10"/>
  <c r="M180" i="10" s="1"/>
  <c r="E181" i="10"/>
  <c r="M181" i="10" s="1"/>
  <c r="E182" i="10"/>
  <c r="M182" i="10" s="1"/>
  <c r="E183" i="10"/>
  <c r="M183" i="10" s="1"/>
  <c r="E184" i="10"/>
  <c r="M184" i="10" s="1"/>
  <c r="E185" i="10"/>
  <c r="M185" i="10" s="1"/>
  <c r="E186" i="10"/>
  <c r="M186" i="10" s="1"/>
  <c r="E187" i="10"/>
  <c r="M187" i="10" s="1"/>
  <c r="E188" i="10"/>
  <c r="M188" i="10" s="1"/>
  <c r="E189" i="10"/>
  <c r="M189" i="10" s="1"/>
  <c r="E190" i="10"/>
  <c r="M190" i="10" s="1"/>
  <c r="E191" i="10"/>
  <c r="M191" i="10" s="1"/>
  <c r="E192" i="10"/>
  <c r="M192" i="10" s="1"/>
  <c r="E193" i="10"/>
  <c r="M193" i="10" s="1"/>
  <c r="E194" i="10"/>
  <c r="M194" i="10" s="1"/>
  <c r="E195" i="10"/>
  <c r="M195" i="10" s="1"/>
  <c r="E196" i="10"/>
  <c r="M196" i="10" s="1"/>
  <c r="E197" i="10"/>
  <c r="M197" i="10" s="1"/>
  <c r="E198" i="10"/>
  <c r="M198" i="10" s="1"/>
  <c r="E199" i="10"/>
  <c r="M199" i="10" s="1"/>
  <c r="E200" i="10"/>
  <c r="M200" i="10" s="1"/>
  <c r="E201" i="10"/>
  <c r="M201" i="10" s="1"/>
  <c r="E202" i="10"/>
  <c r="M202" i="10" s="1"/>
  <c r="E203" i="10"/>
  <c r="M203" i="10" s="1"/>
  <c r="E204" i="10"/>
  <c r="M204" i="10" s="1"/>
  <c r="E205" i="10"/>
  <c r="M205" i="10" s="1"/>
  <c r="E206" i="10"/>
  <c r="M206" i="10" s="1"/>
  <c r="E207" i="10"/>
  <c r="M207" i="10" s="1"/>
  <c r="E208" i="10"/>
  <c r="M208" i="10" s="1"/>
  <c r="E209" i="10"/>
  <c r="M209" i="10" s="1"/>
  <c r="E210" i="10"/>
  <c r="M210" i="10" s="1"/>
  <c r="E211" i="10"/>
  <c r="M211" i="10" s="1"/>
  <c r="E212" i="10"/>
  <c r="M212" i="10" s="1"/>
  <c r="E213" i="10"/>
  <c r="M213" i="10" s="1"/>
  <c r="E214" i="10"/>
  <c r="M214" i="10" s="1"/>
  <c r="E215" i="10"/>
  <c r="M215" i="10" s="1"/>
  <c r="E216" i="10"/>
  <c r="M216" i="10" s="1"/>
  <c r="E217" i="10"/>
  <c r="M217" i="10" s="1"/>
  <c r="E218" i="10"/>
  <c r="M218" i="10" s="1"/>
  <c r="E219" i="10"/>
  <c r="M219" i="10" s="1"/>
  <c r="E220" i="10"/>
  <c r="M220" i="10" s="1"/>
  <c r="E221" i="10"/>
  <c r="M221" i="10" s="1"/>
  <c r="E222" i="10"/>
  <c r="M222" i="10" s="1"/>
  <c r="E223" i="10"/>
  <c r="M223" i="10" s="1"/>
  <c r="E224" i="10"/>
  <c r="M224" i="10" s="1"/>
  <c r="E225" i="10"/>
  <c r="M225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" i="10"/>
  <c r="B3" i="10"/>
  <c r="K3" i="10" s="1"/>
  <c r="B4" i="10"/>
  <c r="K4" i="10" s="1"/>
  <c r="B5" i="10"/>
  <c r="K5" i="10" s="1"/>
  <c r="B6" i="10"/>
  <c r="C6" i="10" s="1"/>
  <c r="B7" i="10"/>
  <c r="K7" i="10" s="1"/>
  <c r="B8" i="10"/>
  <c r="C8" i="10" s="1"/>
  <c r="B9" i="10"/>
  <c r="K9" i="10" s="1"/>
  <c r="B10" i="10"/>
  <c r="K10" i="10" s="1"/>
  <c r="B11" i="10"/>
  <c r="K11" i="10" s="1"/>
  <c r="B12" i="10"/>
  <c r="C12" i="10" s="1"/>
  <c r="B13" i="10"/>
  <c r="K13" i="10" s="1"/>
  <c r="B14" i="10"/>
  <c r="C14" i="10" s="1"/>
  <c r="B15" i="10"/>
  <c r="K15" i="10" s="1"/>
  <c r="B16" i="10"/>
  <c r="K16" i="10" s="1"/>
  <c r="B17" i="10"/>
  <c r="K17" i="10" s="1"/>
  <c r="B18" i="10"/>
  <c r="C18" i="10" s="1"/>
  <c r="B19" i="10"/>
  <c r="K19" i="10" s="1"/>
  <c r="B20" i="10"/>
  <c r="C20" i="10" s="1"/>
  <c r="B21" i="10"/>
  <c r="K21" i="10" s="1"/>
  <c r="B22" i="10"/>
  <c r="K22" i="10" s="1"/>
  <c r="B23" i="10"/>
  <c r="K23" i="10" s="1"/>
  <c r="B24" i="10"/>
  <c r="C24" i="10" s="1"/>
  <c r="B25" i="10"/>
  <c r="K25" i="10" s="1"/>
  <c r="B26" i="10"/>
  <c r="C26" i="10" s="1"/>
  <c r="B27" i="10"/>
  <c r="K27" i="10" s="1"/>
  <c r="B28" i="10"/>
  <c r="K28" i="10" s="1"/>
  <c r="B29" i="10"/>
  <c r="K29" i="10" s="1"/>
  <c r="B30" i="10"/>
  <c r="C30" i="10" s="1"/>
  <c r="B31" i="10"/>
  <c r="K31" i="10" s="1"/>
  <c r="B32" i="10"/>
  <c r="C32" i="10" s="1"/>
  <c r="B33" i="10"/>
  <c r="K33" i="10" s="1"/>
  <c r="B34" i="10"/>
  <c r="K34" i="10" s="1"/>
  <c r="B35" i="10"/>
  <c r="K35" i="10" s="1"/>
  <c r="B36" i="10"/>
  <c r="C36" i="10" s="1"/>
  <c r="B37" i="10"/>
  <c r="K37" i="10" s="1"/>
  <c r="B38" i="10"/>
  <c r="C38" i="10" s="1"/>
  <c r="B39" i="10"/>
  <c r="K39" i="10" s="1"/>
  <c r="B40" i="10"/>
  <c r="K40" i="10" s="1"/>
  <c r="B41" i="10"/>
  <c r="K41" i="10" s="1"/>
  <c r="B42" i="10"/>
  <c r="C42" i="10" s="1"/>
  <c r="B43" i="10"/>
  <c r="K43" i="10" s="1"/>
  <c r="B44" i="10"/>
  <c r="C44" i="10" s="1"/>
  <c r="B45" i="10"/>
  <c r="K45" i="10" s="1"/>
  <c r="B46" i="10"/>
  <c r="K46" i="10" s="1"/>
  <c r="B47" i="10"/>
  <c r="K47" i="10" s="1"/>
  <c r="B48" i="10"/>
  <c r="C48" i="10" s="1"/>
  <c r="B49" i="10"/>
  <c r="K49" i="10" s="1"/>
  <c r="B50" i="10"/>
  <c r="C50" i="10" s="1"/>
  <c r="B51" i="10"/>
  <c r="K51" i="10" s="1"/>
  <c r="B52" i="10"/>
  <c r="K52" i="10" s="1"/>
  <c r="B53" i="10"/>
  <c r="K53" i="10" s="1"/>
  <c r="B54" i="10"/>
  <c r="C54" i="10" s="1"/>
  <c r="B55" i="10"/>
  <c r="K55" i="10" s="1"/>
  <c r="B56" i="10"/>
  <c r="C56" i="10" s="1"/>
  <c r="B57" i="10"/>
  <c r="K57" i="10" s="1"/>
  <c r="B58" i="10"/>
  <c r="K58" i="10" s="1"/>
  <c r="B59" i="10"/>
  <c r="K59" i="10" s="1"/>
  <c r="B60" i="10"/>
  <c r="C60" i="10" s="1"/>
  <c r="B61" i="10"/>
  <c r="K61" i="10" s="1"/>
  <c r="B62" i="10"/>
  <c r="C62" i="10" s="1"/>
  <c r="B63" i="10"/>
  <c r="K63" i="10" s="1"/>
  <c r="B64" i="10"/>
  <c r="K64" i="10" s="1"/>
  <c r="B65" i="10"/>
  <c r="K65" i="10" s="1"/>
  <c r="B66" i="10"/>
  <c r="C66" i="10" s="1"/>
  <c r="B67" i="10"/>
  <c r="K67" i="10" s="1"/>
  <c r="B68" i="10"/>
  <c r="C68" i="10" s="1"/>
  <c r="B69" i="10"/>
  <c r="K69" i="10" s="1"/>
  <c r="B70" i="10"/>
  <c r="K70" i="10" s="1"/>
  <c r="B71" i="10"/>
  <c r="K71" i="10" s="1"/>
  <c r="B72" i="10"/>
  <c r="C72" i="10" s="1"/>
  <c r="B73" i="10"/>
  <c r="K73" i="10" s="1"/>
  <c r="B74" i="10"/>
  <c r="C74" i="10" s="1"/>
  <c r="B75" i="10"/>
  <c r="K75" i="10" s="1"/>
  <c r="B76" i="10"/>
  <c r="K76" i="10" s="1"/>
  <c r="B77" i="10"/>
  <c r="K77" i="10" s="1"/>
  <c r="B78" i="10"/>
  <c r="C78" i="10" s="1"/>
  <c r="B79" i="10"/>
  <c r="K79" i="10" s="1"/>
  <c r="B80" i="10"/>
  <c r="C80" i="10" s="1"/>
  <c r="B81" i="10"/>
  <c r="K81" i="10" s="1"/>
  <c r="B82" i="10"/>
  <c r="K82" i="10" s="1"/>
  <c r="B83" i="10"/>
  <c r="K83" i="10" s="1"/>
  <c r="B84" i="10"/>
  <c r="C84" i="10" s="1"/>
  <c r="B85" i="10"/>
  <c r="K85" i="10" s="1"/>
  <c r="B86" i="10"/>
  <c r="C86" i="10" s="1"/>
  <c r="B87" i="10"/>
  <c r="K87" i="10" s="1"/>
  <c r="B88" i="10"/>
  <c r="K88" i="10" s="1"/>
  <c r="B89" i="10"/>
  <c r="K89" i="10" s="1"/>
  <c r="B90" i="10"/>
  <c r="C90" i="10" s="1"/>
  <c r="B91" i="10"/>
  <c r="K91" i="10" s="1"/>
  <c r="B92" i="10"/>
  <c r="C92" i="10" s="1"/>
  <c r="B93" i="10"/>
  <c r="K93" i="10" s="1"/>
  <c r="B94" i="10"/>
  <c r="K94" i="10" s="1"/>
  <c r="B95" i="10"/>
  <c r="K95" i="10" s="1"/>
  <c r="B96" i="10"/>
  <c r="C96" i="10" s="1"/>
  <c r="B97" i="10"/>
  <c r="K97" i="10" s="1"/>
  <c r="B98" i="10"/>
  <c r="C98" i="10" s="1"/>
  <c r="B99" i="10"/>
  <c r="K99" i="10" s="1"/>
  <c r="B100" i="10"/>
  <c r="K100" i="10" s="1"/>
  <c r="B101" i="10"/>
  <c r="K101" i="10" s="1"/>
  <c r="B102" i="10"/>
  <c r="C102" i="10" s="1"/>
  <c r="B103" i="10"/>
  <c r="K103" i="10" s="1"/>
  <c r="B104" i="10"/>
  <c r="C104" i="10" s="1"/>
  <c r="B105" i="10"/>
  <c r="K105" i="10" s="1"/>
  <c r="B106" i="10"/>
  <c r="K106" i="10" s="1"/>
  <c r="B107" i="10"/>
  <c r="K107" i="10" s="1"/>
  <c r="B108" i="10"/>
  <c r="C108" i="10" s="1"/>
  <c r="B109" i="10"/>
  <c r="K109" i="10" s="1"/>
  <c r="B110" i="10"/>
  <c r="C110" i="10" s="1"/>
  <c r="B111" i="10"/>
  <c r="K111" i="10" s="1"/>
  <c r="B112" i="10"/>
  <c r="K112" i="10" s="1"/>
  <c r="B113" i="10"/>
  <c r="K113" i="10" s="1"/>
  <c r="B114" i="10"/>
  <c r="C114" i="10" s="1"/>
  <c r="B115" i="10"/>
  <c r="K115" i="10" s="1"/>
  <c r="B116" i="10"/>
  <c r="C116" i="10" s="1"/>
  <c r="B117" i="10"/>
  <c r="K117" i="10" s="1"/>
  <c r="B118" i="10"/>
  <c r="K118" i="10" s="1"/>
  <c r="B119" i="10"/>
  <c r="K119" i="10" s="1"/>
  <c r="B120" i="10"/>
  <c r="C120" i="10" s="1"/>
  <c r="B121" i="10"/>
  <c r="K121" i="10" s="1"/>
  <c r="B122" i="10"/>
  <c r="C122" i="10" s="1"/>
  <c r="B123" i="10"/>
  <c r="K123" i="10" s="1"/>
  <c r="B124" i="10"/>
  <c r="K124" i="10" s="1"/>
  <c r="B125" i="10"/>
  <c r="K125" i="10" s="1"/>
  <c r="B126" i="10"/>
  <c r="C126" i="10" s="1"/>
  <c r="B127" i="10"/>
  <c r="K127" i="10" s="1"/>
  <c r="B128" i="10"/>
  <c r="C128" i="10" s="1"/>
  <c r="B129" i="10"/>
  <c r="K129" i="10" s="1"/>
  <c r="B130" i="10"/>
  <c r="K130" i="10" s="1"/>
  <c r="B131" i="10"/>
  <c r="K131" i="10" s="1"/>
  <c r="B132" i="10"/>
  <c r="C132" i="10" s="1"/>
  <c r="B133" i="10"/>
  <c r="K133" i="10" s="1"/>
  <c r="B134" i="10"/>
  <c r="C134" i="10" s="1"/>
  <c r="B135" i="10"/>
  <c r="K135" i="10" s="1"/>
  <c r="B136" i="10"/>
  <c r="K136" i="10" s="1"/>
  <c r="B137" i="10"/>
  <c r="K137" i="10" s="1"/>
  <c r="B138" i="10"/>
  <c r="C138" i="10" s="1"/>
  <c r="B139" i="10"/>
  <c r="K139" i="10" s="1"/>
  <c r="B140" i="10"/>
  <c r="C140" i="10" s="1"/>
  <c r="B141" i="10"/>
  <c r="K141" i="10" s="1"/>
  <c r="B142" i="10"/>
  <c r="K142" i="10" s="1"/>
  <c r="B143" i="10"/>
  <c r="K143" i="10" s="1"/>
  <c r="B144" i="10"/>
  <c r="C144" i="10" s="1"/>
  <c r="B145" i="10"/>
  <c r="K145" i="10" s="1"/>
  <c r="B146" i="10"/>
  <c r="C146" i="10" s="1"/>
  <c r="B147" i="10"/>
  <c r="K147" i="10" s="1"/>
  <c r="B148" i="10"/>
  <c r="K148" i="10" s="1"/>
  <c r="B149" i="10"/>
  <c r="K149" i="10" s="1"/>
  <c r="B150" i="10"/>
  <c r="C150" i="10" s="1"/>
  <c r="B151" i="10"/>
  <c r="K151" i="10" s="1"/>
  <c r="B152" i="10"/>
  <c r="C152" i="10" s="1"/>
  <c r="B153" i="10"/>
  <c r="K153" i="10" s="1"/>
  <c r="B154" i="10"/>
  <c r="K154" i="10" s="1"/>
  <c r="B155" i="10"/>
  <c r="K155" i="10" s="1"/>
  <c r="B156" i="10"/>
  <c r="C156" i="10" s="1"/>
  <c r="B157" i="10"/>
  <c r="K157" i="10" s="1"/>
  <c r="B158" i="10"/>
  <c r="C158" i="10" s="1"/>
  <c r="B159" i="10"/>
  <c r="K159" i="10" s="1"/>
  <c r="B160" i="10"/>
  <c r="K160" i="10" s="1"/>
  <c r="B161" i="10"/>
  <c r="K161" i="10" s="1"/>
  <c r="B162" i="10"/>
  <c r="C162" i="10" s="1"/>
  <c r="B163" i="10"/>
  <c r="K163" i="10" s="1"/>
  <c r="B164" i="10"/>
  <c r="C164" i="10" s="1"/>
  <c r="B165" i="10"/>
  <c r="K165" i="10" s="1"/>
  <c r="B166" i="10"/>
  <c r="K166" i="10" s="1"/>
  <c r="B167" i="10"/>
  <c r="K167" i="10" s="1"/>
  <c r="B168" i="10"/>
  <c r="C168" i="10" s="1"/>
  <c r="B169" i="10"/>
  <c r="K169" i="10" s="1"/>
  <c r="B170" i="10"/>
  <c r="C170" i="10" s="1"/>
  <c r="B171" i="10"/>
  <c r="K171" i="10" s="1"/>
  <c r="B172" i="10"/>
  <c r="K172" i="10" s="1"/>
  <c r="B173" i="10"/>
  <c r="K173" i="10" s="1"/>
  <c r="B174" i="10"/>
  <c r="C174" i="10" s="1"/>
  <c r="B175" i="10"/>
  <c r="K175" i="10" s="1"/>
  <c r="B176" i="10"/>
  <c r="C176" i="10" s="1"/>
  <c r="B177" i="10"/>
  <c r="K177" i="10" s="1"/>
  <c r="B178" i="10"/>
  <c r="K178" i="10" s="1"/>
  <c r="B179" i="10"/>
  <c r="K179" i="10" s="1"/>
  <c r="B180" i="10"/>
  <c r="C180" i="10" s="1"/>
  <c r="B181" i="10"/>
  <c r="C181" i="10" s="1"/>
  <c r="B182" i="10"/>
  <c r="C182" i="10" s="1"/>
  <c r="B183" i="10"/>
  <c r="K183" i="10" s="1"/>
  <c r="B184" i="10"/>
  <c r="K184" i="10" s="1"/>
  <c r="B185" i="10"/>
  <c r="K185" i="10" s="1"/>
  <c r="B186" i="10"/>
  <c r="C186" i="10" s="1"/>
  <c r="B187" i="10"/>
  <c r="C187" i="10" s="1"/>
  <c r="B188" i="10"/>
  <c r="C188" i="10" s="1"/>
  <c r="B189" i="10"/>
  <c r="K189" i="10" s="1"/>
  <c r="B190" i="10"/>
  <c r="K190" i="10" s="1"/>
  <c r="B191" i="10"/>
  <c r="K191" i="10" s="1"/>
  <c r="B192" i="10"/>
  <c r="C192" i="10" s="1"/>
  <c r="B193" i="10"/>
  <c r="C193" i="10" s="1"/>
  <c r="B194" i="10"/>
  <c r="C194" i="10" s="1"/>
  <c r="B195" i="10"/>
  <c r="K195" i="10" s="1"/>
  <c r="B196" i="10"/>
  <c r="K196" i="10" s="1"/>
  <c r="B197" i="10"/>
  <c r="K197" i="10" s="1"/>
  <c r="B198" i="10"/>
  <c r="C198" i="10" s="1"/>
  <c r="B199" i="10"/>
  <c r="C199" i="10" s="1"/>
  <c r="B200" i="10"/>
  <c r="C200" i="10" s="1"/>
  <c r="B201" i="10"/>
  <c r="K201" i="10" s="1"/>
  <c r="B202" i="10"/>
  <c r="K202" i="10" s="1"/>
  <c r="B203" i="10"/>
  <c r="K203" i="10" s="1"/>
  <c r="B204" i="10"/>
  <c r="C204" i="10" s="1"/>
  <c r="B205" i="10"/>
  <c r="C205" i="10" s="1"/>
  <c r="B206" i="10"/>
  <c r="C206" i="10" s="1"/>
  <c r="B207" i="10"/>
  <c r="K207" i="10" s="1"/>
  <c r="B208" i="10"/>
  <c r="K208" i="10" s="1"/>
  <c r="B209" i="10"/>
  <c r="K209" i="10" s="1"/>
  <c r="B210" i="10"/>
  <c r="C210" i="10" s="1"/>
  <c r="B211" i="10"/>
  <c r="C211" i="10" s="1"/>
  <c r="B212" i="10"/>
  <c r="C212" i="10" s="1"/>
  <c r="B213" i="10"/>
  <c r="K213" i="10" s="1"/>
  <c r="B214" i="10"/>
  <c r="K214" i="10" s="1"/>
  <c r="B215" i="10"/>
  <c r="K215" i="10" s="1"/>
  <c r="B216" i="10"/>
  <c r="K216" i="10" s="1"/>
  <c r="B217" i="10"/>
  <c r="C217" i="10" s="1"/>
  <c r="B218" i="10"/>
  <c r="C218" i="10" s="1"/>
  <c r="B219" i="10"/>
  <c r="K219" i="10" s="1"/>
  <c r="B220" i="10"/>
  <c r="K220" i="10" s="1"/>
  <c r="B221" i="10"/>
  <c r="K221" i="10" s="1"/>
  <c r="B222" i="10"/>
  <c r="K222" i="10" s="1"/>
  <c r="B223" i="10"/>
  <c r="C223" i="10" s="1"/>
  <c r="B224" i="10"/>
  <c r="C224" i="10" s="1"/>
  <c r="B225" i="10"/>
  <c r="K225" i="10" s="1"/>
  <c r="B2" i="10"/>
  <c r="C2" i="10" s="1"/>
  <c r="G3" i="10"/>
  <c r="H3" i="10"/>
  <c r="I3" i="10"/>
  <c r="G4" i="10"/>
  <c r="H4" i="10"/>
  <c r="I4" i="10"/>
  <c r="G5" i="10"/>
  <c r="H5" i="10"/>
  <c r="I5" i="10"/>
  <c r="G6" i="10"/>
  <c r="H6" i="10"/>
  <c r="I6" i="10"/>
  <c r="G7" i="10"/>
  <c r="H7" i="10"/>
  <c r="I7" i="10"/>
  <c r="G8" i="10"/>
  <c r="H8" i="10"/>
  <c r="I8" i="10"/>
  <c r="G9" i="10"/>
  <c r="H9" i="10"/>
  <c r="I9" i="10"/>
  <c r="G10" i="10"/>
  <c r="H10" i="10"/>
  <c r="I10" i="10"/>
  <c r="G11" i="10"/>
  <c r="H11" i="10"/>
  <c r="I11" i="10"/>
  <c r="G12" i="10"/>
  <c r="H12" i="10"/>
  <c r="I12" i="10"/>
  <c r="G13" i="10"/>
  <c r="H13" i="10"/>
  <c r="I13" i="10"/>
  <c r="G14" i="10"/>
  <c r="H14" i="10"/>
  <c r="I14" i="10"/>
  <c r="G15" i="10"/>
  <c r="H15" i="10"/>
  <c r="I15" i="10"/>
  <c r="G16" i="10"/>
  <c r="H16" i="10"/>
  <c r="I16" i="10"/>
  <c r="G17" i="10"/>
  <c r="H17" i="10"/>
  <c r="I17" i="10"/>
  <c r="G18" i="10"/>
  <c r="H18" i="10"/>
  <c r="I18" i="10"/>
  <c r="G19" i="10"/>
  <c r="H19" i="10"/>
  <c r="I19" i="10"/>
  <c r="G20" i="10"/>
  <c r="H20" i="10"/>
  <c r="I20" i="10"/>
  <c r="G21" i="10"/>
  <c r="H21" i="10"/>
  <c r="I21" i="10"/>
  <c r="G22" i="10"/>
  <c r="H22" i="10"/>
  <c r="I22" i="10"/>
  <c r="G23" i="10"/>
  <c r="H23" i="10"/>
  <c r="I23" i="10"/>
  <c r="G24" i="10"/>
  <c r="H24" i="10"/>
  <c r="I24" i="10"/>
  <c r="G25" i="10"/>
  <c r="H25" i="10"/>
  <c r="I25" i="10"/>
  <c r="G26" i="10"/>
  <c r="H26" i="10"/>
  <c r="I26" i="10"/>
  <c r="G27" i="10"/>
  <c r="H27" i="10"/>
  <c r="I27" i="10"/>
  <c r="G28" i="10"/>
  <c r="H28" i="10"/>
  <c r="I28" i="10"/>
  <c r="G29" i="10"/>
  <c r="H29" i="10"/>
  <c r="I29" i="10"/>
  <c r="G30" i="10"/>
  <c r="H30" i="10"/>
  <c r="I30" i="10"/>
  <c r="G31" i="10"/>
  <c r="H31" i="10"/>
  <c r="I31" i="10"/>
  <c r="G32" i="10"/>
  <c r="H32" i="10"/>
  <c r="I32" i="10"/>
  <c r="G33" i="10"/>
  <c r="H33" i="10"/>
  <c r="I33" i="10"/>
  <c r="G34" i="10"/>
  <c r="H34" i="10"/>
  <c r="I34" i="10"/>
  <c r="G35" i="10"/>
  <c r="H35" i="10"/>
  <c r="I35" i="10"/>
  <c r="G36" i="10"/>
  <c r="H36" i="10"/>
  <c r="I36" i="10"/>
  <c r="G37" i="10"/>
  <c r="H37" i="10"/>
  <c r="I37" i="10"/>
  <c r="G38" i="10"/>
  <c r="H38" i="10"/>
  <c r="I38" i="10"/>
  <c r="G39" i="10"/>
  <c r="H39" i="10"/>
  <c r="I39" i="10"/>
  <c r="G40" i="10"/>
  <c r="H40" i="10"/>
  <c r="I40" i="10"/>
  <c r="G41" i="10"/>
  <c r="H41" i="10"/>
  <c r="I41" i="10"/>
  <c r="G42" i="10"/>
  <c r="H42" i="10"/>
  <c r="I42" i="10"/>
  <c r="G43" i="10"/>
  <c r="H43" i="10"/>
  <c r="I43" i="10"/>
  <c r="G44" i="10"/>
  <c r="H44" i="10"/>
  <c r="I44" i="10"/>
  <c r="G45" i="10"/>
  <c r="H45" i="10"/>
  <c r="I45" i="10"/>
  <c r="G46" i="10"/>
  <c r="H46" i="10"/>
  <c r="I46" i="10"/>
  <c r="G47" i="10"/>
  <c r="H47" i="10"/>
  <c r="I47" i="10"/>
  <c r="G48" i="10"/>
  <c r="H48" i="10"/>
  <c r="I48" i="10"/>
  <c r="G49" i="10"/>
  <c r="H49" i="10"/>
  <c r="I49" i="10"/>
  <c r="G50" i="10"/>
  <c r="H50" i="10"/>
  <c r="I50" i="10"/>
  <c r="G51" i="10"/>
  <c r="H51" i="10"/>
  <c r="I51" i="10"/>
  <c r="G52" i="10"/>
  <c r="H52" i="10"/>
  <c r="I52" i="10"/>
  <c r="G53" i="10"/>
  <c r="H53" i="10"/>
  <c r="I53" i="10"/>
  <c r="G54" i="10"/>
  <c r="H54" i="10"/>
  <c r="I54" i="10"/>
  <c r="G55" i="10"/>
  <c r="H55" i="10"/>
  <c r="I55" i="10"/>
  <c r="G56" i="10"/>
  <c r="H56" i="10"/>
  <c r="I56" i="10"/>
  <c r="G57" i="10"/>
  <c r="H57" i="10"/>
  <c r="I57" i="10"/>
  <c r="G58" i="10"/>
  <c r="H58" i="10"/>
  <c r="I58" i="10"/>
  <c r="G59" i="10"/>
  <c r="H59" i="10"/>
  <c r="I59" i="10"/>
  <c r="G60" i="10"/>
  <c r="H60" i="10"/>
  <c r="I60" i="10"/>
  <c r="G61" i="10"/>
  <c r="H61" i="10"/>
  <c r="I61" i="10"/>
  <c r="G62" i="10"/>
  <c r="H62" i="10"/>
  <c r="I62" i="10"/>
  <c r="G63" i="10"/>
  <c r="H63" i="10"/>
  <c r="I63" i="10"/>
  <c r="G64" i="10"/>
  <c r="H64" i="10"/>
  <c r="I64" i="10"/>
  <c r="G65" i="10"/>
  <c r="H65" i="10"/>
  <c r="I65" i="10"/>
  <c r="G66" i="10"/>
  <c r="H66" i="10"/>
  <c r="I66" i="10"/>
  <c r="G67" i="10"/>
  <c r="H67" i="10"/>
  <c r="I67" i="10"/>
  <c r="G68" i="10"/>
  <c r="H68" i="10"/>
  <c r="I68" i="10"/>
  <c r="G69" i="10"/>
  <c r="H69" i="10"/>
  <c r="I69" i="10"/>
  <c r="G70" i="10"/>
  <c r="H70" i="10"/>
  <c r="I70" i="10"/>
  <c r="G71" i="10"/>
  <c r="H71" i="10"/>
  <c r="I71" i="10"/>
  <c r="G72" i="10"/>
  <c r="H72" i="10"/>
  <c r="I72" i="10"/>
  <c r="G73" i="10"/>
  <c r="H73" i="10"/>
  <c r="I73" i="10"/>
  <c r="G74" i="10"/>
  <c r="H74" i="10"/>
  <c r="I74" i="10"/>
  <c r="G75" i="10"/>
  <c r="H75" i="10"/>
  <c r="I75" i="10"/>
  <c r="G76" i="10"/>
  <c r="H76" i="10"/>
  <c r="I76" i="10"/>
  <c r="G77" i="10"/>
  <c r="H77" i="10"/>
  <c r="I77" i="10"/>
  <c r="G78" i="10"/>
  <c r="H78" i="10"/>
  <c r="I78" i="10"/>
  <c r="G79" i="10"/>
  <c r="H79" i="10"/>
  <c r="I79" i="10"/>
  <c r="G80" i="10"/>
  <c r="H80" i="10"/>
  <c r="I80" i="10"/>
  <c r="G81" i="10"/>
  <c r="H81" i="10"/>
  <c r="I81" i="10"/>
  <c r="G82" i="10"/>
  <c r="H82" i="10"/>
  <c r="I82" i="10"/>
  <c r="G83" i="10"/>
  <c r="H83" i="10"/>
  <c r="I83" i="10"/>
  <c r="G84" i="10"/>
  <c r="H84" i="10"/>
  <c r="I84" i="10"/>
  <c r="G85" i="10"/>
  <c r="H85" i="10"/>
  <c r="I85" i="10"/>
  <c r="G86" i="10"/>
  <c r="H86" i="10"/>
  <c r="I86" i="10"/>
  <c r="G87" i="10"/>
  <c r="H87" i="10"/>
  <c r="I87" i="10"/>
  <c r="G88" i="10"/>
  <c r="H88" i="10"/>
  <c r="I88" i="10"/>
  <c r="G89" i="10"/>
  <c r="H89" i="10"/>
  <c r="I89" i="10"/>
  <c r="G90" i="10"/>
  <c r="H90" i="10"/>
  <c r="I90" i="10"/>
  <c r="G91" i="10"/>
  <c r="H91" i="10"/>
  <c r="I91" i="10"/>
  <c r="G92" i="10"/>
  <c r="H92" i="10"/>
  <c r="I92" i="10"/>
  <c r="G93" i="10"/>
  <c r="H93" i="10"/>
  <c r="I93" i="10"/>
  <c r="G94" i="10"/>
  <c r="H94" i="10"/>
  <c r="I94" i="10"/>
  <c r="G95" i="10"/>
  <c r="H95" i="10"/>
  <c r="I95" i="10"/>
  <c r="G96" i="10"/>
  <c r="H96" i="10"/>
  <c r="I96" i="10"/>
  <c r="G97" i="10"/>
  <c r="H97" i="10"/>
  <c r="I97" i="10"/>
  <c r="G98" i="10"/>
  <c r="H98" i="10"/>
  <c r="I98" i="10"/>
  <c r="G99" i="10"/>
  <c r="H99" i="10"/>
  <c r="I99" i="10"/>
  <c r="G100" i="10"/>
  <c r="H100" i="10"/>
  <c r="I100" i="10"/>
  <c r="G101" i="10"/>
  <c r="H101" i="10"/>
  <c r="I101" i="10"/>
  <c r="G102" i="10"/>
  <c r="H102" i="10"/>
  <c r="I102" i="10"/>
  <c r="G103" i="10"/>
  <c r="H103" i="10"/>
  <c r="I103" i="10"/>
  <c r="G104" i="10"/>
  <c r="H104" i="10"/>
  <c r="I104" i="10"/>
  <c r="G105" i="10"/>
  <c r="H105" i="10"/>
  <c r="I105" i="10"/>
  <c r="G106" i="10"/>
  <c r="H106" i="10"/>
  <c r="I106" i="10"/>
  <c r="G107" i="10"/>
  <c r="H107" i="10"/>
  <c r="I107" i="10"/>
  <c r="G108" i="10"/>
  <c r="H108" i="10"/>
  <c r="I108" i="10"/>
  <c r="G109" i="10"/>
  <c r="H109" i="10"/>
  <c r="I109" i="10"/>
  <c r="G110" i="10"/>
  <c r="H110" i="10"/>
  <c r="I110" i="10"/>
  <c r="G111" i="10"/>
  <c r="H111" i="10"/>
  <c r="I111" i="10"/>
  <c r="G112" i="10"/>
  <c r="H112" i="10"/>
  <c r="I112" i="10"/>
  <c r="G113" i="10"/>
  <c r="H113" i="10"/>
  <c r="I113" i="10"/>
  <c r="G114" i="10"/>
  <c r="H114" i="10"/>
  <c r="I114" i="10"/>
  <c r="G115" i="10"/>
  <c r="H115" i="10"/>
  <c r="I115" i="10"/>
  <c r="G116" i="10"/>
  <c r="H116" i="10"/>
  <c r="I116" i="10"/>
  <c r="G117" i="10"/>
  <c r="H117" i="10"/>
  <c r="I117" i="10"/>
  <c r="G118" i="10"/>
  <c r="H118" i="10"/>
  <c r="I118" i="10"/>
  <c r="G119" i="10"/>
  <c r="H119" i="10"/>
  <c r="I119" i="10"/>
  <c r="G120" i="10"/>
  <c r="H120" i="10"/>
  <c r="I120" i="10"/>
  <c r="G121" i="10"/>
  <c r="H121" i="10"/>
  <c r="I121" i="10"/>
  <c r="G122" i="10"/>
  <c r="H122" i="10"/>
  <c r="I122" i="10"/>
  <c r="G123" i="10"/>
  <c r="H123" i="10"/>
  <c r="I123" i="10"/>
  <c r="G124" i="10"/>
  <c r="H124" i="10"/>
  <c r="I124" i="10"/>
  <c r="G125" i="10"/>
  <c r="H125" i="10"/>
  <c r="I125" i="10"/>
  <c r="G126" i="10"/>
  <c r="H126" i="10"/>
  <c r="I126" i="10"/>
  <c r="G127" i="10"/>
  <c r="H127" i="10"/>
  <c r="I127" i="10"/>
  <c r="G128" i="10"/>
  <c r="H128" i="10"/>
  <c r="I128" i="10"/>
  <c r="G129" i="10"/>
  <c r="H129" i="10"/>
  <c r="I129" i="10"/>
  <c r="G130" i="10"/>
  <c r="H130" i="10"/>
  <c r="I130" i="10"/>
  <c r="G131" i="10"/>
  <c r="H131" i="10"/>
  <c r="I131" i="10"/>
  <c r="G132" i="10"/>
  <c r="H132" i="10"/>
  <c r="I132" i="10"/>
  <c r="G133" i="10"/>
  <c r="H133" i="10"/>
  <c r="I133" i="10"/>
  <c r="G134" i="10"/>
  <c r="H134" i="10"/>
  <c r="I134" i="10"/>
  <c r="G135" i="10"/>
  <c r="H135" i="10"/>
  <c r="I135" i="10"/>
  <c r="G136" i="10"/>
  <c r="H136" i="10"/>
  <c r="I136" i="10"/>
  <c r="G137" i="10"/>
  <c r="H137" i="10"/>
  <c r="I137" i="10"/>
  <c r="G138" i="10"/>
  <c r="H138" i="10"/>
  <c r="I138" i="10"/>
  <c r="G139" i="10"/>
  <c r="H139" i="10"/>
  <c r="I139" i="10"/>
  <c r="G140" i="10"/>
  <c r="H140" i="10"/>
  <c r="I140" i="10"/>
  <c r="G141" i="10"/>
  <c r="H141" i="10"/>
  <c r="I141" i="10"/>
  <c r="G142" i="10"/>
  <c r="H142" i="10"/>
  <c r="I142" i="10"/>
  <c r="G143" i="10"/>
  <c r="H143" i="10"/>
  <c r="I143" i="10"/>
  <c r="G144" i="10"/>
  <c r="H144" i="10"/>
  <c r="I144" i="10"/>
  <c r="G145" i="10"/>
  <c r="H145" i="10"/>
  <c r="I145" i="10"/>
  <c r="G146" i="10"/>
  <c r="H146" i="10"/>
  <c r="I146" i="10"/>
  <c r="G147" i="10"/>
  <c r="H147" i="10"/>
  <c r="I147" i="10"/>
  <c r="G148" i="10"/>
  <c r="H148" i="10"/>
  <c r="I148" i="10"/>
  <c r="G149" i="10"/>
  <c r="H149" i="10"/>
  <c r="I149" i="10"/>
  <c r="G150" i="10"/>
  <c r="H150" i="10"/>
  <c r="I150" i="10"/>
  <c r="G151" i="10"/>
  <c r="H151" i="10"/>
  <c r="I151" i="10"/>
  <c r="G152" i="10"/>
  <c r="H152" i="10"/>
  <c r="I152" i="10"/>
  <c r="G153" i="10"/>
  <c r="H153" i="10"/>
  <c r="I153" i="10"/>
  <c r="G154" i="10"/>
  <c r="H154" i="10"/>
  <c r="I154" i="10"/>
  <c r="G155" i="10"/>
  <c r="H155" i="10"/>
  <c r="I155" i="10"/>
  <c r="G156" i="10"/>
  <c r="H156" i="10"/>
  <c r="I156" i="10"/>
  <c r="G157" i="10"/>
  <c r="H157" i="10"/>
  <c r="I157" i="10"/>
  <c r="G158" i="10"/>
  <c r="H158" i="10"/>
  <c r="I158" i="10"/>
  <c r="G159" i="10"/>
  <c r="H159" i="10"/>
  <c r="I159" i="10"/>
  <c r="G160" i="10"/>
  <c r="H160" i="10"/>
  <c r="I160" i="10"/>
  <c r="G161" i="10"/>
  <c r="H161" i="10"/>
  <c r="I161" i="10"/>
  <c r="G162" i="10"/>
  <c r="H162" i="10"/>
  <c r="I162" i="10"/>
  <c r="G163" i="10"/>
  <c r="H163" i="10"/>
  <c r="I163" i="10"/>
  <c r="G164" i="10"/>
  <c r="H164" i="10"/>
  <c r="I164" i="10"/>
  <c r="G165" i="10"/>
  <c r="H165" i="10"/>
  <c r="I165" i="10"/>
  <c r="G166" i="10"/>
  <c r="H166" i="10"/>
  <c r="I166" i="10"/>
  <c r="G167" i="10"/>
  <c r="H167" i="10"/>
  <c r="I167" i="10"/>
  <c r="G168" i="10"/>
  <c r="H168" i="10"/>
  <c r="I168" i="10"/>
  <c r="G169" i="10"/>
  <c r="H169" i="10"/>
  <c r="I169" i="10"/>
  <c r="G170" i="10"/>
  <c r="H170" i="10"/>
  <c r="I170" i="10"/>
  <c r="G171" i="10"/>
  <c r="H171" i="10"/>
  <c r="I171" i="10"/>
  <c r="G172" i="10"/>
  <c r="H172" i="10"/>
  <c r="I172" i="10"/>
  <c r="G173" i="10"/>
  <c r="H173" i="10"/>
  <c r="I173" i="10"/>
  <c r="G174" i="10"/>
  <c r="H174" i="10"/>
  <c r="I174" i="10"/>
  <c r="G175" i="10"/>
  <c r="H175" i="10"/>
  <c r="I175" i="10"/>
  <c r="G176" i="10"/>
  <c r="H176" i="10"/>
  <c r="I176" i="10"/>
  <c r="G177" i="10"/>
  <c r="H177" i="10"/>
  <c r="I177" i="10"/>
  <c r="G178" i="10"/>
  <c r="H178" i="10"/>
  <c r="I178" i="10"/>
  <c r="G179" i="10"/>
  <c r="H179" i="10"/>
  <c r="I179" i="10"/>
  <c r="G180" i="10"/>
  <c r="H180" i="10"/>
  <c r="I180" i="10"/>
  <c r="G181" i="10"/>
  <c r="H181" i="10"/>
  <c r="I181" i="10"/>
  <c r="G182" i="10"/>
  <c r="H182" i="10"/>
  <c r="I182" i="10"/>
  <c r="G183" i="10"/>
  <c r="H183" i="10"/>
  <c r="I183" i="10"/>
  <c r="G184" i="10"/>
  <c r="H184" i="10"/>
  <c r="I184" i="10"/>
  <c r="G185" i="10"/>
  <c r="H185" i="10"/>
  <c r="I185" i="10"/>
  <c r="G186" i="10"/>
  <c r="H186" i="10"/>
  <c r="I186" i="10"/>
  <c r="G187" i="10"/>
  <c r="H187" i="10"/>
  <c r="I187" i="10"/>
  <c r="G188" i="10"/>
  <c r="H188" i="10"/>
  <c r="I188" i="10"/>
  <c r="G189" i="10"/>
  <c r="H189" i="10"/>
  <c r="I189" i="10"/>
  <c r="G190" i="10"/>
  <c r="H190" i="10"/>
  <c r="I190" i="10"/>
  <c r="G191" i="10"/>
  <c r="H191" i="10"/>
  <c r="I191" i="10"/>
  <c r="G192" i="10"/>
  <c r="H192" i="10"/>
  <c r="I192" i="10"/>
  <c r="G193" i="10"/>
  <c r="H193" i="10"/>
  <c r="I193" i="10"/>
  <c r="G194" i="10"/>
  <c r="H194" i="10"/>
  <c r="I194" i="10"/>
  <c r="G195" i="10"/>
  <c r="H195" i="10"/>
  <c r="I195" i="10"/>
  <c r="G196" i="10"/>
  <c r="H196" i="10"/>
  <c r="I196" i="10"/>
  <c r="G197" i="10"/>
  <c r="H197" i="10"/>
  <c r="I197" i="10"/>
  <c r="G198" i="10"/>
  <c r="H198" i="10"/>
  <c r="I198" i="10"/>
  <c r="G199" i="10"/>
  <c r="H199" i="10"/>
  <c r="I199" i="10"/>
  <c r="G200" i="10"/>
  <c r="H200" i="10"/>
  <c r="I200" i="10"/>
  <c r="G201" i="10"/>
  <c r="H201" i="10"/>
  <c r="I201" i="10"/>
  <c r="G202" i="10"/>
  <c r="H202" i="10"/>
  <c r="I202" i="10"/>
  <c r="G203" i="10"/>
  <c r="H203" i="10"/>
  <c r="I203" i="10"/>
  <c r="G204" i="10"/>
  <c r="H204" i="10"/>
  <c r="I204" i="10"/>
  <c r="G205" i="10"/>
  <c r="H205" i="10"/>
  <c r="I205" i="10"/>
  <c r="G206" i="10"/>
  <c r="H206" i="10"/>
  <c r="I206" i="10"/>
  <c r="G207" i="10"/>
  <c r="H207" i="10"/>
  <c r="I207" i="10"/>
  <c r="G208" i="10"/>
  <c r="H208" i="10"/>
  <c r="I208" i="10"/>
  <c r="G209" i="10"/>
  <c r="H209" i="10"/>
  <c r="I209" i="10"/>
  <c r="G210" i="10"/>
  <c r="H210" i="10"/>
  <c r="I210" i="10"/>
  <c r="G211" i="10"/>
  <c r="H211" i="10"/>
  <c r="I211" i="10"/>
  <c r="G212" i="10"/>
  <c r="H212" i="10"/>
  <c r="I212" i="10"/>
  <c r="G213" i="10"/>
  <c r="H213" i="10"/>
  <c r="I213" i="10"/>
  <c r="G214" i="10"/>
  <c r="H214" i="10"/>
  <c r="I214" i="10"/>
  <c r="G215" i="10"/>
  <c r="H215" i="10"/>
  <c r="I215" i="10"/>
  <c r="G216" i="10"/>
  <c r="H216" i="10"/>
  <c r="I216" i="10"/>
  <c r="G217" i="10"/>
  <c r="H217" i="10"/>
  <c r="I217" i="10"/>
  <c r="G218" i="10"/>
  <c r="H218" i="10"/>
  <c r="I218" i="10"/>
  <c r="G219" i="10"/>
  <c r="H219" i="10"/>
  <c r="I219" i="10"/>
  <c r="G220" i="10"/>
  <c r="H220" i="10"/>
  <c r="I220" i="10"/>
  <c r="G221" i="10"/>
  <c r="H221" i="10"/>
  <c r="I221" i="10"/>
  <c r="G222" i="10"/>
  <c r="H222" i="10"/>
  <c r="I222" i="10"/>
  <c r="G223" i="10"/>
  <c r="H223" i="10"/>
  <c r="I223" i="10"/>
  <c r="G224" i="10"/>
  <c r="H224" i="10"/>
  <c r="I224" i="10"/>
  <c r="G225" i="10"/>
  <c r="H225" i="10"/>
  <c r="I225" i="10"/>
  <c r="I2" i="10"/>
  <c r="H2" i="10"/>
  <c r="G2" i="10"/>
  <c r="C22" i="10"/>
  <c r="C3" i="10"/>
  <c r="C4" i="10"/>
  <c r="C5" i="10"/>
  <c r="C7" i="10"/>
  <c r="C9" i="10"/>
  <c r="C10" i="10"/>
  <c r="C11" i="10"/>
  <c r="C13" i="10"/>
  <c r="C15" i="10"/>
  <c r="C16" i="10"/>
  <c r="C17" i="10"/>
  <c r="C19" i="10"/>
  <c r="C21" i="10"/>
  <c r="C23" i="10"/>
  <c r="C25" i="10"/>
  <c r="C27" i="10"/>
  <c r="C28" i="10"/>
  <c r="C29" i="10"/>
  <c r="C31" i="10"/>
  <c r="C33" i="10"/>
  <c r="C34" i="10"/>
  <c r="C35" i="10"/>
  <c r="C37" i="10"/>
  <c r="C39" i="10"/>
  <c r="C40" i="10"/>
  <c r="C41" i="10"/>
  <c r="C43" i="10"/>
  <c r="C45" i="10"/>
  <c r="C46" i="10"/>
  <c r="C47" i="10"/>
  <c r="C49" i="10"/>
  <c r="C51" i="10"/>
  <c r="C52" i="10"/>
  <c r="C53" i="10"/>
  <c r="C55" i="10"/>
  <c r="C57" i="10"/>
  <c r="C58" i="10"/>
  <c r="C59" i="10"/>
  <c r="C61" i="10"/>
  <c r="C63" i="10"/>
  <c r="C64" i="10"/>
  <c r="C65" i="10"/>
  <c r="C67" i="10"/>
  <c r="C69" i="10"/>
  <c r="C70" i="10"/>
  <c r="C71" i="10"/>
  <c r="C73" i="10"/>
  <c r="C75" i="10"/>
  <c r="C76" i="10"/>
  <c r="C77" i="10"/>
  <c r="C79" i="10"/>
  <c r="C81" i="10"/>
  <c r="C82" i="10"/>
  <c r="C83" i="10"/>
  <c r="C85" i="10"/>
  <c r="C87" i="10"/>
  <c r="C88" i="10"/>
  <c r="C89" i="10"/>
  <c r="C91" i="10"/>
  <c r="C93" i="10"/>
  <c r="C94" i="10"/>
  <c r="C95" i="10"/>
  <c r="C97" i="10"/>
  <c r="C99" i="10"/>
  <c r="C100" i="10"/>
  <c r="C101" i="10"/>
  <c r="C103" i="10"/>
  <c r="C105" i="10"/>
  <c r="C106" i="10"/>
  <c r="C107" i="10"/>
  <c r="C109" i="10"/>
  <c r="C111" i="10"/>
  <c r="C112" i="10"/>
  <c r="C113" i="10"/>
  <c r="C115" i="10"/>
  <c r="C117" i="10"/>
  <c r="C118" i="10"/>
  <c r="C119" i="10"/>
  <c r="C121" i="10"/>
  <c r="C123" i="10"/>
  <c r="C124" i="10"/>
  <c r="C125" i="10"/>
  <c r="C127" i="10"/>
  <c r="C129" i="10"/>
  <c r="C130" i="10"/>
  <c r="C131" i="10"/>
  <c r="C133" i="10"/>
  <c r="C135" i="10"/>
  <c r="C136" i="10"/>
  <c r="C137" i="10"/>
  <c r="C139" i="10"/>
  <c r="C141" i="10"/>
  <c r="C142" i="10"/>
  <c r="C143" i="10"/>
  <c r="C145" i="10"/>
  <c r="C147" i="10"/>
  <c r="C148" i="10"/>
  <c r="C149" i="10"/>
  <c r="C151" i="10"/>
  <c r="C153" i="10"/>
  <c r="C154" i="10"/>
  <c r="C155" i="10"/>
  <c r="C157" i="10"/>
  <c r="C159" i="10"/>
  <c r="C160" i="10"/>
  <c r="C161" i="10"/>
  <c r="C163" i="10"/>
  <c r="C165" i="10"/>
  <c r="C166" i="10"/>
  <c r="C167" i="10"/>
  <c r="C169" i="10"/>
  <c r="C171" i="10"/>
  <c r="C172" i="10"/>
  <c r="C173" i="10"/>
  <c r="C175" i="10"/>
  <c r="C177" i="10"/>
  <c r="C178" i="10"/>
  <c r="C179" i="10"/>
  <c r="C183" i="10"/>
  <c r="C184" i="10"/>
  <c r="C185" i="10"/>
  <c r="C189" i="10"/>
  <c r="C190" i="10"/>
  <c r="C191" i="10"/>
  <c r="C195" i="10"/>
  <c r="C196" i="10"/>
  <c r="C197" i="10"/>
  <c r="C201" i="10"/>
  <c r="C202" i="10"/>
  <c r="C203" i="10"/>
  <c r="C207" i="10"/>
  <c r="C208" i="10"/>
  <c r="C209" i="10"/>
  <c r="C213" i="10"/>
  <c r="C214" i="10"/>
  <c r="C215" i="10"/>
  <c r="C216" i="10"/>
  <c r="C219" i="10"/>
  <c r="C220" i="10"/>
  <c r="C221" i="10"/>
  <c r="C222" i="10"/>
  <c r="C225" i="10"/>
  <c r="CQ26" i="14" l="1"/>
  <c r="CQ20" i="14"/>
  <c r="CQ3" i="14"/>
  <c r="CP27" i="14"/>
  <c r="CQ27" i="14" s="1"/>
  <c r="CP30" i="14"/>
  <c r="CQ30" i="14" s="1"/>
  <c r="CQ31" i="14"/>
  <c r="CP29" i="14"/>
  <c r="CQ29" i="14" s="1"/>
  <c r="CP28" i="14"/>
  <c r="CQ28" i="14" s="1"/>
  <c r="CQ2" i="14"/>
  <c r="CN14" i="14"/>
  <c r="CN8" i="14"/>
  <c r="CN26" i="14"/>
  <c r="CN20" i="14"/>
  <c r="CN31" i="14"/>
  <c r="CN25" i="14"/>
  <c r="CN19" i="14"/>
  <c r="CN13" i="14"/>
  <c r="CN7" i="14"/>
  <c r="CN30" i="14"/>
  <c r="CN24" i="14"/>
  <c r="CN18" i="14"/>
  <c r="CN12" i="14"/>
  <c r="CN6" i="14"/>
  <c r="CN29" i="14"/>
  <c r="CN23" i="14"/>
  <c r="CN17" i="14"/>
  <c r="CN11" i="14"/>
  <c r="CN5" i="14"/>
  <c r="CN28" i="14"/>
  <c r="CN22" i="14"/>
  <c r="CN16" i="14"/>
  <c r="CN10" i="14"/>
  <c r="CN4" i="14"/>
  <c r="CN27" i="14"/>
  <c r="CN21" i="14"/>
  <c r="CN15" i="14"/>
  <c r="CN9" i="14"/>
  <c r="CN3" i="14"/>
  <c r="P196" i="10"/>
  <c r="P118" i="10"/>
  <c r="P70" i="10"/>
  <c r="P201" i="10"/>
  <c r="P165" i="10"/>
  <c r="P123" i="10"/>
  <c r="P75" i="10"/>
  <c r="P27" i="10"/>
  <c r="P200" i="10"/>
  <c r="P164" i="10"/>
  <c r="P122" i="10"/>
  <c r="P86" i="10"/>
  <c r="P8" i="10"/>
  <c r="P193" i="10"/>
  <c r="P157" i="10"/>
  <c r="P73" i="10"/>
  <c r="P210" i="10"/>
  <c r="P36" i="10"/>
  <c r="N159" i="10"/>
  <c r="N15" i="10"/>
  <c r="N195" i="10"/>
  <c r="N123" i="10"/>
  <c r="N87" i="10"/>
  <c r="N51" i="10"/>
  <c r="N189" i="10"/>
  <c r="N153" i="10"/>
  <c r="N117" i="10"/>
  <c r="N81" i="10"/>
  <c r="N45" i="10"/>
  <c r="N9" i="10"/>
  <c r="N183" i="10"/>
  <c r="N147" i="10"/>
  <c r="N111" i="10"/>
  <c r="N75" i="10"/>
  <c r="N39" i="10"/>
  <c r="N3" i="10"/>
  <c r="N177" i="10"/>
  <c r="N141" i="10"/>
  <c r="N105" i="10"/>
  <c r="N69" i="10"/>
  <c r="N33" i="10"/>
  <c r="N207" i="10"/>
  <c r="N171" i="10"/>
  <c r="N135" i="10"/>
  <c r="N99" i="10"/>
  <c r="N63" i="10"/>
  <c r="N27" i="10"/>
  <c r="N201" i="10"/>
  <c r="N165" i="10"/>
  <c r="N129" i="10"/>
  <c r="N93" i="10"/>
  <c r="N57" i="10"/>
  <c r="N21" i="10"/>
  <c r="N221" i="10"/>
  <c r="N215" i="10"/>
  <c r="N209" i="10"/>
  <c r="N203" i="10"/>
  <c r="N197" i="10"/>
  <c r="N191" i="10"/>
  <c r="N185" i="10"/>
  <c r="N179" i="10"/>
  <c r="N173" i="10"/>
  <c r="N167" i="10"/>
  <c r="N161" i="10"/>
  <c r="N155" i="10"/>
  <c r="N149" i="10"/>
  <c r="N143" i="10"/>
  <c r="N137" i="10"/>
  <c r="N131" i="10"/>
  <c r="N125" i="10"/>
  <c r="N119" i="10"/>
  <c r="N113" i="10"/>
  <c r="N107" i="10"/>
  <c r="N101" i="10"/>
  <c r="N95" i="10"/>
  <c r="N89" i="10"/>
  <c r="N83" i="10"/>
  <c r="N77" i="10"/>
  <c r="N71" i="10"/>
  <c r="N65" i="10"/>
  <c r="N59" i="10"/>
  <c r="N53" i="10"/>
  <c r="N47" i="10"/>
  <c r="N41" i="10"/>
  <c r="N35" i="10"/>
  <c r="N29" i="10"/>
  <c r="N23" i="10"/>
  <c r="N17" i="10"/>
  <c r="N11" i="10"/>
  <c r="N5" i="10"/>
  <c r="N220" i="10"/>
  <c r="N214" i="10"/>
  <c r="N208" i="10"/>
  <c r="N202" i="10"/>
  <c r="N196" i="10"/>
  <c r="N190" i="10"/>
  <c r="N184" i="10"/>
  <c r="N178" i="10"/>
  <c r="N172" i="10"/>
  <c r="N166" i="10"/>
  <c r="N160" i="10"/>
  <c r="N154" i="10"/>
  <c r="N148" i="10"/>
  <c r="N142" i="10"/>
  <c r="N136" i="10"/>
  <c r="N130" i="10"/>
  <c r="N124" i="10"/>
  <c r="N118" i="10"/>
  <c r="N112" i="10"/>
  <c r="N106" i="10"/>
  <c r="N100" i="10"/>
  <c r="N94" i="10"/>
  <c r="N88" i="10"/>
  <c r="N82" i="10"/>
  <c r="N76" i="10"/>
  <c r="N70" i="10"/>
  <c r="N64" i="10"/>
  <c r="N58" i="10"/>
  <c r="N52" i="10"/>
  <c r="N46" i="10"/>
  <c r="N40" i="10"/>
  <c r="N34" i="10"/>
  <c r="N28" i="10"/>
  <c r="N22" i="10"/>
  <c r="N16" i="10"/>
  <c r="N10" i="10"/>
  <c r="N4" i="10"/>
  <c r="N225" i="10"/>
  <c r="N219" i="10"/>
  <c r="N213" i="10"/>
  <c r="N224" i="10"/>
  <c r="N218" i="10"/>
  <c r="N212" i="10"/>
  <c r="N206" i="10"/>
  <c r="N200" i="10"/>
  <c r="N194" i="10"/>
  <c r="N188" i="10"/>
  <c r="N182" i="10"/>
  <c r="N176" i="10"/>
  <c r="N170" i="10"/>
  <c r="N164" i="10"/>
  <c r="N158" i="10"/>
  <c r="N152" i="10"/>
  <c r="N146" i="10"/>
  <c r="N140" i="10"/>
  <c r="N134" i="10"/>
  <c r="N128" i="10"/>
  <c r="N122" i="10"/>
  <c r="N116" i="10"/>
  <c r="N110" i="10"/>
  <c r="N104" i="10"/>
  <c r="N98" i="10"/>
  <c r="N92" i="10"/>
  <c r="N86" i="10"/>
  <c r="N80" i="10"/>
  <c r="N74" i="10"/>
  <c r="N68" i="10"/>
  <c r="N62" i="10"/>
  <c r="N56" i="10"/>
  <c r="N50" i="10"/>
  <c r="N44" i="10"/>
  <c r="N38" i="10"/>
  <c r="N32" i="10"/>
  <c r="N26" i="10"/>
  <c r="N20" i="10"/>
  <c r="N14" i="10"/>
  <c r="N8" i="10"/>
  <c r="N2" i="10"/>
  <c r="N223" i="10"/>
  <c r="N217" i="10"/>
  <c r="N211" i="10"/>
  <c r="N205" i="10"/>
  <c r="N199" i="10"/>
  <c r="N193" i="10"/>
  <c r="N187" i="10"/>
  <c r="N181" i="10"/>
  <c r="N175" i="10"/>
  <c r="N169" i="10"/>
  <c r="N163" i="10"/>
  <c r="N157" i="10"/>
  <c r="N151" i="10"/>
  <c r="N145" i="10"/>
  <c r="N139" i="10"/>
  <c r="N133" i="10"/>
  <c r="N127" i="10"/>
  <c r="N121" i="10"/>
  <c r="N115" i="10"/>
  <c r="N109" i="10"/>
  <c r="N103" i="10"/>
  <c r="N97" i="10"/>
  <c r="N91" i="10"/>
  <c r="N85" i="10"/>
  <c r="N79" i="10"/>
  <c r="N73" i="10"/>
  <c r="N67" i="10"/>
  <c r="N61" i="10"/>
  <c r="N55" i="10"/>
  <c r="N49" i="10"/>
  <c r="N43" i="10"/>
  <c r="N37" i="10"/>
  <c r="N31" i="10"/>
  <c r="N25" i="10"/>
  <c r="N19" i="10"/>
  <c r="N13" i="10"/>
  <c r="N7" i="10"/>
  <c r="N222" i="10"/>
  <c r="N216" i="10"/>
  <c r="N210" i="10"/>
  <c r="N204" i="10"/>
  <c r="N198" i="10"/>
  <c r="N192" i="10"/>
  <c r="N186" i="10"/>
  <c r="N180" i="10"/>
  <c r="N174" i="10"/>
  <c r="N168" i="10"/>
  <c r="N162" i="10"/>
  <c r="N156" i="10"/>
  <c r="N150" i="10"/>
  <c r="N144" i="10"/>
  <c r="N138" i="10"/>
  <c r="N132" i="10"/>
  <c r="N126" i="10"/>
  <c r="N120" i="10"/>
  <c r="N114" i="10"/>
  <c r="N108" i="10"/>
  <c r="N102" i="10"/>
  <c r="N96" i="10"/>
  <c r="N90" i="10"/>
  <c r="N84" i="10"/>
  <c r="N78" i="10"/>
  <c r="N72" i="10"/>
  <c r="N66" i="10"/>
  <c r="N60" i="10"/>
  <c r="N54" i="10"/>
  <c r="N48" i="10"/>
  <c r="N42" i="10"/>
  <c r="N36" i="10"/>
  <c r="N30" i="10"/>
  <c r="N24" i="10"/>
  <c r="N18" i="10"/>
  <c r="N12" i="10"/>
  <c r="N6" i="10"/>
  <c r="K38" i="10"/>
  <c r="K210" i="10"/>
  <c r="K204" i="10"/>
  <c r="K198" i="10"/>
  <c r="K192" i="10"/>
  <c r="K186" i="10"/>
  <c r="K180" i="10"/>
  <c r="K174" i="10"/>
  <c r="K168" i="10"/>
  <c r="K162" i="10"/>
  <c r="K156" i="10"/>
  <c r="K150" i="10"/>
  <c r="K144" i="10"/>
  <c r="K138" i="10"/>
  <c r="K132" i="10"/>
  <c r="K126" i="10"/>
  <c r="K120" i="10"/>
  <c r="K114" i="10"/>
  <c r="K108" i="10"/>
  <c r="K102" i="10"/>
  <c r="K96" i="10"/>
  <c r="K90" i="10"/>
  <c r="K84" i="10"/>
  <c r="K78" i="10"/>
  <c r="K72" i="10"/>
  <c r="K66" i="10"/>
  <c r="K30" i="10"/>
  <c r="K44" i="10"/>
  <c r="K36" i="10"/>
  <c r="K8" i="10"/>
  <c r="K50" i="10"/>
  <c r="K42" i="10"/>
  <c r="K14" i="10"/>
  <c r="K6" i="10"/>
  <c r="K56" i="10"/>
  <c r="K48" i="10"/>
  <c r="K20" i="10"/>
  <c r="K12" i="10"/>
  <c r="K224" i="10"/>
  <c r="K218" i="10"/>
  <c r="K212" i="10"/>
  <c r="K206" i="10"/>
  <c r="K200" i="10"/>
  <c r="K194" i="10"/>
  <c r="K188" i="10"/>
  <c r="K182" i="10"/>
  <c r="K176" i="10"/>
  <c r="K170" i="10"/>
  <c r="K164" i="10"/>
  <c r="K158" i="10"/>
  <c r="K152" i="10"/>
  <c r="K146" i="10"/>
  <c r="K140" i="10"/>
  <c r="K134" i="10"/>
  <c r="K128" i="10"/>
  <c r="K122" i="10"/>
  <c r="K116" i="10"/>
  <c r="K110" i="10"/>
  <c r="K104" i="10"/>
  <c r="K98" i="10"/>
  <c r="K92" i="10"/>
  <c r="K86" i="10"/>
  <c r="K80" i="10"/>
  <c r="K74" i="10"/>
  <c r="K68" i="10"/>
  <c r="K62" i="10"/>
  <c r="K54" i="10"/>
  <c r="K26" i="10"/>
  <c r="K18" i="10"/>
  <c r="K223" i="10"/>
  <c r="K217" i="10"/>
  <c r="K211" i="10"/>
  <c r="K205" i="10"/>
  <c r="K199" i="10"/>
  <c r="K193" i="10"/>
  <c r="K187" i="10"/>
  <c r="K181" i="10"/>
  <c r="K60" i="10"/>
  <c r="K32" i="10"/>
  <c r="K24" i="10"/>
  <c r="K2" i="10"/>
  <c r="J2" i="10"/>
  <c r="O2" i="10" s="1"/>
  <c r="J4" i="10"/>
  <c r="J20" i="10"/>
  <c r="J18" i="10"/>
  <c r="P18" i="10" s="1"/>
  <c r="J14" i="10"/>
  <c r="J8" i="10"/>
  <c r="O8" i="10" s="1"/>
  <c r="J6" i="10"/>
  <c r="J17" i="10"/>
  <c r="J15" i="10"/>
  <c r="J11" i="10"/>
  <c r="J9" i="10"/>
  <c r="J5" i="10"/>
  <c r="P5" i="10" s="1"/>
  <c r="J223" i="10"/>
  <c r="P223" i="10" s="1"/>
  <c r="J215" i="10"/>
  <c r="P215" i="10" s="1"/>
  <c r="J219" i="10"/>
  <c r="P219" i="10" s="1"/>
  <c r="J224" i="10"/>
  <c r="P224" i="10" s="1"/>
  <c r="J222" i="10"/>
  <c r="P222" i="10" s="1"/>
  <c r="J220" i="10"/>
  <c r="P220" i="10" s="1"/>
  <c r="J218" i="10"/>
  <c r="P218" i="10" s="1"/>
  <c r="J216" i="10"/>
  <c r="P216" i="10" s="1"/>
  <c r="J214" i="10"/>
  <c r="P214" i="10" s="1"/>
  <c r="J212" i="10"/>
  <c r="P212" i="10" s="1"/>
  <c r="J210" i="10"/>
  <c r="J208" i="10"/>
  <c r="P208" i="10" s="1"/>
  <c r="J206" i="10"/>
  <c r="P206" i="10" s="1"/>
  <c r="J204" i="10"/>
  <c r="P204" i="10" s="1"/>
  <c r="J202" i="10"/>
  <c r="P202" i="10" s="1"/>
  <c r="J200" i="10"/>
  <c r="J198" i="10"/>
  <c r="P198" i="10" s="1"/>
  <c r="J196" i="10"/>
  <c r="J194" i="10"/>
  <c r="P194" i="10" s="1"/>
  <c r="J192" i="10"/>
  <c r="P192" i="10" s="1"/>
  <c r="J190" i="10"/>
  <c r="P190" i="10" s="1"/>
  <c r="J188" i="10"/>
  <c r="P188" i="10" s="1"/>
  <c r="J186" i="10"/>
  <c r="O186" i="10" s="1"/>
  <c r="J225" i="10"/>
  <c r="P225" i="10" s="1"/>
  <c r="J217" i="10"/>
  <c r="P217" i="10" s="1"/>
  <c r="J211" i="10"/>
  <c r="P211" i="10" s="1"/>
  <c r="J209" i="10"/>
  <c r="P209" i="10" s="1"/>
  <c r="J207" i="10"/>
  <c r="P207" i="10" s="1"/>
  <c r="J205" i="10"/>
  <c r="O205" i="10" s="1"/>
  <c r="J203" i="10"/>
  <c r="P203" i="10" s="1"/>
  <c r="J201" i="10"/>
  <c r="J199" i="10"/>
  <c r="P199" i="10" s="1"/>
  <c r="J197" i="10"/>
  <c r="P197" i="10" s="1"/>
  <c r="J195" i="10"/>
  <c r="P195" i="10" s="1"/>
  <c r="J193" i="10"/>
  <c r="J191" i="10"/>
  <c r="P191" i="10" s="1"/>
  <c r="J189" i="10"/>
  <c r="P189" i="10" s="1"/>
  <c r="J187" i="10"/>
  <c r="P187" i="10" s="1"/>
  <c r="J185" i="10"/>
  <c r="P185" i="10" s="1"/>
  <c r="J183" i="10"/>
  <c r="P183" i="10" s="1"/>
  <c r="J181" i="10"/>
  <c r="O181" i="10" s="1"/>
  <c r="J179" i="10"/>
  <c r="P179" i="10" s="1"/>
  <c r="J177" i="10"/>
  <c r="P177" i="10" s="1"/>
  <c r="J175" i="10"/>
  <c r="P175" i="10" s="1"/>
  <c r="J173" i="10"/>
  <c r="P173" i="10" s="1"/>
  <c r="J171" i="10"/>
  <c r="P171" i="10" s="1"/>
  <c r="J169" i="10"/>
  <c r="P169" i="10" s="1"/>
  <c r="J167" i="10"/>
  <c r="P167" i="10" s="1"/>
  <c r="J165" i="10"/>
  <c r="J163" i="10"/>
  <c r="P163" i="10" s="1"/>
  <c r="J161" i="10"/>
  <c r="P161" i="10" s="1"/>
  <c r="J159" i="10"/>
  <c r="P159" i="10" s="1"/>
  <c r="J157" i="10"/>
  <c r="J155" i="10"/>
  <c r="P155" i="10" s="1"/>
  <c r="J153" i="10"/>
  <c r="P153" i="10" s="1"/>
  <c r="J221" i="10"/>
  <c r="P221" i="10" s="1"/>
  <c r="J213" i="10"/>
  <c r="P213" i="10" s="1"/>
  <c r="J184" i="10"/>
  <c r="P184" i="10" s="1"/>
  <c r="J182" i="10"/>
  <c r="P182" i="10" s="1"/>
  <c r="J180" i="10"/>
  <c r="P180" i="10" s="1"/>
  <c r="J178" i="10"/>
  <c r="P178" i="10" s="1"/>
  <c r="J176" i="10"/>
  <c r="P176" i="10" s="1"/>
  <c r="J174" i="10"/>
  <c r="P174" i="10" s="1"/>
  <c r="J172" i="10"/>
  <c r="P172" i="10" s="1"/>
  <c r="J170" i="10"/>
  <c r="P170" i="10" s="1"/>
  <c r="J168" i="10"/>
  <c r="P168" i="10" s="1"/>
  <c r="J166" i="10"/>
  <c r="P166" i="10" s="1"/>
  <c r="J164" i="10"/>
  <c r="O164" i="10" s="1"/>
  <c r="J162" i="10"/>
  <c r="P162" i="10" s="1"/>
  <c r="J160" i="10"/>
  <c r="P160" i="10" s="1"/>
  <c r="J158" i="10"/>
  <c r="P158" i="10" s="1"/>
  <c r="J156" i="10"/>
  <c r="O156" i="10" s="1"/>
  <c r="J154" i="10"/>
  <c r="P154" i="10" s="1"/>
  <c r="J152" i="10"/>
  <c r="P152" i="10" s="1"/>
  <c r="J150" i="10"/>
  <c r="P150" i="10" s="1"/>
  <c r="J148" i="10"/>
  <c r="P148" i="10" s="1"/>
  <c r="J146" i="10"/>
  <c r="P146" i="10" s="1"/>
  <c r="J144" i="10"/>
  <c r="P144" i="10" s="1"/>
  <c r="J142" i="10"/>
  <c r="P142" i="10" s="1"/>
  <c r="J140" i="10"/>
  <c r="P140" i="10" s="1"/>
  <c r="J138" i="10"/>
  <c r="P138" i="10" s="1"/>
  <c r="J136" i="10"/>
  <c r="P136" i="10" s="1"/>
  <c r="J134" i="10"/>
  <c r="J132" i="10"/>
  <c r="P132" i="10" s="1"/>
  <c r="J130" i="10"/>
  <c r="J128" i="10"/>
  <c r="O128" i="10" s="1"/>
  <c r="J126" i="10"/>
  <c r="P126" i="10" s="1"/>
  <c r="J124" i="10"/>
  <c r="P124" i="10" s="1"/>
  <c r="J122" i="10"/>
  <c r="J120" i="10"/>
  <c r="O120" i="10" s="1"/>
  <c r="J118" i="10"/>
  <c r="J116" i="10"/>
  <c r="P116" i="10" s="1"/>
  <c r="J114" i="10"/>
  <c r="P114" i="10" s="1"/>
  <c r="J112" i="10"/>
  <c r="P112" i="10" s="1"/>
  <c r="J110" i="10"/>
  <c r="P110" i="10" s="1"/>
  <c r="J108" i="10"/>
  <c r="O108" i="10" s="1"/>
  <c r="J106" i="10"/>
  <c r="P106" i="10" s="1"/>
  <c r="J104" i="10"/>
  <c r="P104" i="10" s="1"/>
  <c r="J102" i="10"/>
  <c r="P102" i="10" s="1"/>
  <c r="J100" i="10"/>
  <c r="J98" i="10"/>
  <c r="P98" i="10" s="1"/>
  <c r="J96" i="10"/>
  <c r="J94" i="10"/>
  <c r="P94" i="10" s="1"/>
  <c r="J92" i="10"/>
  <c r="O92" i="10" s="1"/>
  <c r="J90" i="10"/>
  <c r="J88" i="10"/>
  <c r="J86" i="10"/>
  <c r="J84" i="10"/>
  <c r="O84" i="10" s="1"/>
  <c r="J82" i="10"/>
  <c r="P82" i="10" s="1"/>
  <c r="J80" i="10"/>
  <c r="P80" i="10" s="1"/>
  <c r="J78" i="10"/>
  <c r="P78" i="10" s="1"/>
  <c r="J76" i="10"/>
  <c r="P76" i="10" s="1"/>
  <c r="J74" i="10"/>
  <c r="P74" i="10" s="1"/>
  <c r="J72" i="10"/>
  <c r="O72" i="10" s="1"/>
  <c r="J70" i="10"/>
  <c r="J68" i="10"/>
  <c r="J66" i="10"/>
  <c r="J64" i="10"/>
  <c r="P64" i="10" s="1"/>
  <c r="J62" i="10"/>
  <c r="J60" i="10"/>
  <c r="O60" i="10" s="1"/>
  <c r="J58" i="10"/>
  <c r="P58" i="10" s="1"/>
  <c r="J56" i="10"/>
  <c r="P56" i="10" s="1"/>
  <c r="J54" i="10"/>
  <c r="O54" i="10" s="1"/>
  <c r="J52" i="10"/>
  <c r="P52" i="10" s="1"/>
  <c r="J50" i="10"/>
  <c r="O50" i="10" s="1"/>
  <c r="J48" i="10"/>
  <c r="O48" i="10" s="1"/>
  <c r="J46" i="10"/>
  <c r="J44" i="10"/>
  <c r="J42" i="10"/>
  <c r="J40" i="10"/>
  <c r="J38" i="10"/>
  <c r="J36" i="10"/>
  <c r="O36" i="10" s="1"/>
  <c r="J34" i="10"/>
  <c r="J32" i="10"/>
  <c r="J30" i="10"/>
  <c r="P30" i="10" s="1"/>
  <c r="J28" i="10"/>
  <c r="P28" i="10" s="1"/>
  <c r="J26" i="10"/>
  <c r="P26" i="10" s="1"/>
  <c r="J24" i="10"/>
  <c r="P24" i="10" s="1"/>
  <c r="J22" i="10"/>
  <c r="P22" i="10" s="1"/>
  <c r="J13" i="10"/>
  <c r="J16" i="10"/>
  <c r="P16" i="10" s="1"/>
  <c r="J7" i="10"/>
  <c r="P7" i="10" s="1"/>
  <c r="J151" i="10"/>
  <c r="P151" i="10" s="1"/>
  <c r="J149" i="10"/>
  <c r="P149" i="10" s="1"/>
  <c r="J147" i="10"/>
  <c r="P147" i="10" s="1"/>
  <c r="J145" i="10"/>
  <c r="P145" i="10" s="1"/>
  <c r="J143" i="10"/>
  <c r="P143" i="10" s="1"/>
  <c r="J141" i="10"/>
  <c r="P141" i="10" s="1"/>
  <c r="J139" i="10"/>
  <c r="P139" i="10" s="1"/>
  <c r="J137" i="10"/>
  <c r="P137" i="10" s="1"/>
  <c r="J135" i="10"/>
  <c r="P135" i="10" s="1"/>
  <c r="J133" i="10"/>
  <c r="P133" i="10" s="1"/>
  <c r="J131" i="10"/>
  <c r="P131" i="10" s="1"/>
  <c r="J129" i="10"/>
  <c r="J127" i="10"/>
  <c r="J125" i="10"/>
  <c r="J123" i="10"/>
  <c r="J121" i="10"/>
  <c r="P121" i="10" s="1"/>
  <c r="J119" i="10"/>
  <c r="P119" i="10" s="1"/>
  <c r="J117" i="10"/>
  <c r="P117" i="10" s="1"/>
  <c r="J115" i="10"/>
  <c r="P115" i="10" s="1"/>
  <c r="J113" i="10"/>
  <c r="P113" i="10" s="1"/>
  <c r="J111" i="10"/>
  <c r="P111" i="10" s="1"/>
  <c r="J109" i="10"/>
  <c r="P109" i="10" s="1"/>
  <c r="J107" i="10"/>
  <c r="P107" i="10" s="1"/>
  <c r="J105" i="10"/>
  <c r="J103" i="10"/>
  <c r="P103" i="10" s="1"/>
  <c r="J101" i="10"/>
  <c r="P101" i="10" s="1"/>
  <c r="J99" i="10"/>
  <c r="J97" i="10"/>
  <c r="J95" i="10"/>
  <c r="P95" i="10" s="1"/>
  <c r="J93" i="10"/>
  <c r="P93" i="10" s="1"/>
  <c r="J91" i="10"/>
  <c r="P91" i="10" s="1"/>
  <c r="J89" i="10"/>
  <c r="J87" i="10"/>
  <c r="P87" i="10" s="1"/>
  <c r="J85" i="10"/>
  <c r="P85" i="10" s="1"/>
  <c r="J83" i="10"/>
  <c r="P83" i="10" s="1"/>
  <c r="J81" i="10"/>
  <c r="P81" i="10" s="1"/>
  <c r="J79" i="10"/>
  <c r="P79" i="10" s="1"/>
  <c r="J77" i="10"/>
  <c r="P77" i="10" s="1"/>
  <c r="J75" i="10"/>
  <c r="J73" i="10"/>
  <c r="J71" i="10"/>
  <c r="P71" i="10" s="1"/>
  <c r="J69" i="10"/>
  <c r="P69" i="10" s="1"/>
  <c r="J67" i="10"/>
  <c r="P67" i="10" s="1"/>
  <c r="J65" i="10"/>
  <c r="J63" i="10"/>
  <c r="P63" i="10" s="1"/>
  <c r="J61" i="10"/>
  <c r="P61" i="10" s="1"/>
  <c r="J59" i="10"/>
  <c r="P59" i="10" s="1"/>
  <c r="J57" i="10"/>
  <c r="P57" i="10" s="1"/>
  <c r="J55" i="10"/>
  <c r="P55" i="10" s="1"/>
  <c r="J53" i="10"/>
  <c r="P53" i="10" s="1"/>
  <c r="J51" i="10"/>
  <c r="P51" i="10" s="1"/>
  <c r="J49" i="10"/>
  <c r="J47" i="10"/>
  <c r="P47" i="10" s="1"/>
  <c r="J45" i="10"/>
  <c r="J43" i="10"/>
  <c r="P43" i="10" s="1"/>
  <c r="J41" i="10"/>
  <c r="P41" i="10" s="1"/>
  <c r="J39" i="10"/>
  <c r="J37" i="10"/>
  <c r="P37" i="10" s="1"/>
  <c r="J35" i="10"/>
  <c r="J33" i="10"/>
  <c r="P33" i="10" s="1"/>
  <c r="J31" i="10"/>
  <c r="P31" i="10" s="1"/>
  <c r="J29" i="10"/>
  <c r="P29" i="10" s="1"/>
  <c r="J27" i="10"/>
  <c r="J25" i="10"/>
  <c r="P25" i="10" s="1"/>
  <c r="J23" i="10"/>
  <c r="P23" i="10" s="1"/>
  <c r="J21" i="10"/>
  <c r="P21" i="10" s="1"/>
  <c r="J12" i="10"/>
  <c r="P12" i="10" s="1"/>
  <c r="J3" i="10"/>
  <c r="J19" i="10"/>
  <c r="P19" i="10" s="1"/>
  <c r="J10" i="10"/>
  <c r="P10" i="10" s="1"/>
  <c r="CN2" i="14" l="1"/>
  <c r="P48" i="10"/>
  <c r="P108" i="10"/>
  <c r="P92" i="10"/>
  <c r="P128" i="10"/>
  <c r="P54" i="10"/>
  <c r="P186" i="10"/>
  <c r="P205" i="10"/>
  <c r="P50" i="10"/>
  <c r="P60" i="10"/>
  <c r="P120" i="10"/>
  <c r="P156" i="10"/>
  <c r="P72" i="10"/>
  <c r="P181" i="10"/>
  <c r="P2" i="10"/>
  <c r="O134" i="10"/>
  <c r="O62" i="10"/>
  <c r="O20" i="10"/>
  <c r="O32" i="10"/>
  <c r="L45" i="10"/>
  <c r="O45" i="10"/>
  <c r="L81" i="10"/>
  <c r="O81" i="10"/>
  <c r="L129" i="10"/>
  <c r="O129" i="10"/>
  <c r="L28" i="10"/>
  <c r="O28" i="10"/>
  <c r="L76" i="10"/>
  <c r="O76" i="10"/>
  <c r="L124" i="10"/>
  <c r="O124" i="10"/>
  <c r="L172" i="10"/>
  <c r="O172" i="10"/>
  <c r="L35" i="10"/>
  <c r="O35" i="10"/>
  <c r="L71" i="10"/>
  <c r="O71" i="10"/>
  <c r="L95" i="10"/>
  <c r="O95" i="10"/>
  <c r="L131" i="10"/>
  <c r="O131" i="10"/>
  <c r="L16" i="10"/>
  <c r="O16" i="10"/>
  <c r="L42" i="10"/>
  <c r="O42" i="10"/>
  <c r="L90" i="10"/>
  <c r="O90" i="10"/>
  <c r="L114" i="10"/>
  <c r="O114" i="10"/>
  <c r="L150" i="10"/>
  <c r="O150" i="10"/>
  <c r="L161" i="10"/>
  <c r="O161" i="10"/>
  <c r="L209" i="10"/>
  <c r="O209" i="10"/>
  <c r="L214" i="10"/>
  <c r="O214" i="10"/>
  <c r="L15" i="10"/>
  <c r="O15" i="10"/>
  <c r="L39" i="10"/>
  <c r="O39" i="10"/>
  <c r="L63" i="10"/>
  <c r="O63" i="10"/>
  <c r="L99" i="10"/>
  <c r="O99" i="10"/>
  <c r="L135" i="10"/>
  <c r="O135" i="10"/>
  <c r="L22" i="10"/>
  <c r="O22" i="10"/>
  <c r="L46" i="10"/>
  <c r="O46" i="10"/>
  <c r="L82" i="10"/>
  <c r="O82" i="10"/>
  <c r="L106" i="10"/>
  <c r="O106" i="10"/>
  <c r="L130" i="10"/>
  <c r="O130" i="10"/>
  <c r="L154" i="10"/>
  <c r="O154" i="10"/>
  <c r="L178" i="10"/>
  <c r="O178" i="10"/>
  <c r="L165" i="10"/>
  <c r="O165" i="10"/>
  <c r="L189" i="10"/>
  <c r="O189" i="10"/>
  <c r="O206" i="10"/>
  <c r="L223" i="10"/>
  <c r="O223" i="10"/>
  <c r="L3" i="10"/>
  <c r="O3" i="10"/>
  <c r="L29" i="10"/>
  <c r="O29" i="10"/>
  <c r="L41" i="10"/>
  <c r="O41" i="10"/>
  <c r="L53" i="10"/>
  <c r="O53" i="10"/>
  <c r="L65" i="10"/>
  <c r="O65" i="10"/>
  <c r="L77" i="10"/>
  <c r="O77" i="10"/>
  <c r="L89" i="10"/>
  <c r="O89" i="10"/>
  <c r="L101" i="10"/>
  <c r="O101" i="10"/>
  <c r="L113" i="10"/>
  <c r="O113" i="10"/>
  <c r="L125" i="10"/>
  <c r="O125" i="10"/>
  <c r="L137" i="10"/>
  <c r="O137" i="10"/>
  <c r="L149" i="10"/>
  <c r="O149" i="10"/>
  <c r="L24" i="10"/>
  <c r="O24" i="10"/>
  <c r="L96" i="10"/>
  <c r="O96" i="10"/>
  <c r="L132" i="10"/>
  <c r="O132" i="10"/>
  <c r="O144" i="10"/>
  <c r="L168" i="10"/>
  <c r="O168" i="10"/>
  <c r="O180" i="10"/>
  <c r="L155" i="10"/>
  <c r="O155" i="10"/>
  <c r="L167" i="10"/>
  <c r="O167" i="10"/>
  <c r="L179" i="10"/>
  <c r="O179" i="10"/>
  <c r="L191" i="10"/>
  <c r="O191" i="10"/>
  <c r="L203" i="10"/>
  <c r="O203" i="10"/>
  <c r="L225" i="10"/>
  <c r="O225" i="10"/>
  <c r="L196" i="10"/>
  <c r="O196" i="10"/>
  <c r="L208" i="10"/>
  <c r="O208" i="10"/>
  <c r="L220" i="10"/>
  <c r="O220" i="10"/>
  <c r="L5" i="10"/>
  <c r="O5" i="10"/>
  <c r="L33" i="10"/>
  <c r="O33" i="10"/>
  <c r="L93" i="10"/>
  <c r="O93" i="10"/>
  <c r="L7" i="10"/>
  <c r="O7" i="10"/>
  <c r="L88" i="10"/>
  <c r="O88" i="10"/>
  <c r="L136" i="10"/>
  <c r="O136" i="10"/>
  <c r="L184" i="10"/>
  <c r="O184" i="10"/>
  <c r="L195" i="10"/>
  <c r="O195" i="10"/>
  <c r="L23" i="10"/>
  <c r="O23" i="10"/>
  <c r="L59" i="10"/>
  <c r="O59" i="10"/>
  <c r="L107" i="10"/>
  <c r="O107" i="10"/>
  <c r="L30" i="10"/>
  <c r="O30" i="10"/>
  <c r="L78" i="10"/>
  <c r="O78" i="10"/>
  <c r="L126" i="10"/>
  <c r="O126" i="10"/>
  <c r="L162" i="10"/>
  <c r="O162" i="10"/>
  <c r="L173" i="10"/>
  <c r="O173" i="10"/>
  <c r="L197" i="10"/>
  <c r="O197" i="10"/>
  <c r="L190" i="10"/>
  <c r="O190" i="10"/>
  <c r="L219" i="10"/>
  <c r="O219" i="10"/>
  <c r="L19" i="10"/>
  <c r="O19" i="10"/>
  <c r="L51" i="10"/>
  <c r="O51" i="10"/>
  <c r="L75" i="10"/>
  <c r="O75" i="10"/>
  <c r="L111" i="10"/>
  <c r="O111" i="10"/>
  <c r="L147" i="10"/>
  <c r="O147" i="10"/>
  <c r="L34" i="10"/>
  <c r="O34" i="10"/>
  <c r="L70" i="10"/>
  <c r="O70" i="10"/>
  <c r="L94" i="10"/>
  <c r="O94" i="10"/>
  <c r="L118" i="10"/>
  <c r="O118" i="10"/>
  <c r="L142" i="10"/>
  <c r="O142" i="10"/>
  <c r="L166" i="10"/>
  <c r="O166" i="10"/>
  <c r="L153" i="10"/>
  <c r="O153" i="10"/>
  <c r="L177" i="10"/>
  <c r="O177" i="10"/>
  <c r="L201" i="10"/>
  <c r="O201" i="10"/>
  <c r="L12" i="10"/>
  <c r="O12" i="10"/>
  <c r="L31" i="10"/>
  <c r="O31" i="10"/>
  <c r="L43" i="10"/>
  <c r="O43" i="10"/>
  <c r="L55" i="10"/>
  <c r="O55" i="10"/>
  <c r="L67" i="10"/>
  <c r="O67" i="10"/>
  <c r="L79" i="10"/>
  <c r="O79" i="10"/>
  <c r="L91" i="10"/>
  <c r="O91" i="10"/>
  <c r="L103" i="10"/>
  <c r="O103" i="10"/>
  <c r="L115" i="10"/>
  <c r="O115" i="10"/>
  <c r="L127" i="10"/>
  <c r="O127" i="10"/>
  <c r="L139" i="10"/>
  <c r="O139" i="10"/>
  <c r="L151" i="10"/>
  <c r="O151" i="10"/>
  <c r="L26" i="10"/>
  <c r="O26" i="10"/>
  <c r="L38" i="10"/>
  <c r="O38" i="10"/>
  <c r="L74" i="10"/>
  <c r="O74" i="10"/>
  <c r="L86" i="10"/>
  <c r="O86" i="10"/>
  <c r="O98" i="10"/>
  <c r="L110" i="10"/>
  <c r="O110" i="10"/>
  <c r="L122" i="10"/>
  <c r="O122" i="10"/>
  <c r="L146" i="10"/>
  <c r="O146" i="10"/>
  <c r="L158" i="10"/>
  <c r="O158" i="10"/>
  <c r="O170" i="10"/>
  <c r="L182" i="10"/>
  <c r="O182" i="10"/>
  <c r="L157" i="10"/>
  <c r="O157" i="10"/>
  <c r="L169" i="10"/>
  <c r="O169" i="10"/>
  <c r="L193" i="10"/>
  <c r="O193" i="10"/>
  <c r="L198" i="10"/>
  <c r="O198" i="10"/>
  <c r="L210" i="10"/>
  <c r="O210" i="10"/>
  <c r="L222" i="10"/>
  <c r="O222" i="10"/>
  <c r="L9" i="10"/>
  <c r="O9" i="10"/>
  <c r="L14" i="10"/>
  <c r="O14" i="10"/>
  <c r="L64" i="10"/>
  <c r="O64" i="10"/>
  <c r="L69" i="10"/>
  <c r="O69" i="10"/>
  <c r="L117" i="10"/>
  <c r="O117" i="10"/>
  <c r="L40" i="10"/>
  <c r="O40" i="10"/>
  <c r="L100" i="10"/>
  <c r="O100" i="10"/>
  <c r="L148" i="10"/>
  <c r="O148" i="10"/>
  <c r="L159" i="10"/>
  <c r="O159" i="10"/>
  <c r="L183" i="10"/>
  <c r="O183" i="10"/>
  <c r="L207" i="10"/>
  <c r="O207" i="10"/>
  <c r="L200" i="10"/>
  <c r="O200" i="10"/>
  <c r="L212" i="10"/>
  <c r="O212" i="10"/>
  <c r="L224" i="10"/>
  <c r="O224" i="10"/>
  <c r="L11" i="10"/>
  <c r="O11" i="10"/>
  <c r="L18" i="10"/>
  <c r="O18" i="10"/>
  <c r="L213" i="10"/>
  <c r="O213" i="10"/>
  <c r="L10" i="10"/>
  <c r="O10" i="10"/>
  <c r="L25" i="10"/>
  <c r="O25" i="10"/>
  <c r="L37" i="10"/>
  <c r="O37" i="10"/>
  <c r="L49" i="10"/>
  <c r="O49" i="10"/>
  <c r="L61" i="10"/>
  <c r="O61" i="10"/>
  <c r="L73" i="10"/>
  <c r="O73" i="10"/>
  <c r="L85" i="10"/>
  <c r="O85" i="10"/>
  <c r="L97" i="10"/>
  <c r="O97" i="10"/>
  <c r="L109" i="10"/>
  <c r="O109" i="10"/>
  <c r="L121" i="10"/>
  <c r="O121" i="10"/>
  <c r="L133" i="10"/>
  <c r="O133" i="10"/>
  <c r="L145" i="10"/>
  <c r="O145" i="10"/>
  <c r="L13" i="10"/>
  <c r="O13" i="10"/>
  <c r="L44" i="10"/>
  <c r="O44" i="10"/>
  <c r="L56" i="10"/>
  <c r="O56" i="10"/>
  <c r="L68" i="10"/>
  <c r="O68" i="10"/>
  <c r="L80" i="10"/>
  <c r="O80" i="10"/>
  <c r="L104" i="10"/>
  <c r="O104" i="10"/>
  <c r="L116" i="10"/>
  <c r="O116" i="10"/>
  <c r="L140" i="10"/>
  <c r="O140" i="10"/>
  <c r="L152" i="10"/>
  <c r="O152" i="10"/>
  <c r="L176" i="10"/>
  <c r="O176" i="10"/>
  <c r="L221" i="10"/>
  <c r="O221" i="10"/>
  <c r="L163" i="10"/>
  <c r="O163" i="10"/>
  <c r="L175" i="10"/>
  <c r="O175" i="10"/>
  <c r="L187" i="10"/>
  <c r="O187" i="10"/>
  <c r="L199" i="10"/>
  <c r="O199" i="10"/>
  <c r="O211" i="10"/>
  <c r="L192" i="10"/>
  <c r="O192" i="10"/>
  <c r="L204" i="10"/>
  <c r="O204" i="10"/>
  <c r="L216" i="10"/>
  <c r="O216" i="10"/>
  <c r="L215" i="10"/>
  <c r="O215" i="10"/>
  <c r="L17" i="10"/>
  <c r="O17" i="10"/>
  <c r="L4" i="10"/>
  <c r="O4" i="10"/>
  <c r="L21" i="10"/>
  <c r="O21" i="10"/>
  <c r="L57" i="10"/>
  <c r="O57" i="10"/>
  <c r="L105" i="10"/>
  <c r="O105" i="10"/>
  <c r="L141" i="10"/>
  <c r="O141" i="10"/>
  <c r="L52" i="10"/>
  <c r="O52" i="10"/>
  <c r="L112" i="10"/>
  <c r="O112" i="10"/>
  <c r="L160" i="10"/>
  <c r="O160" i="10"/>
  <c r="L171" i="10"/>
  <c r="O171" i="10"/>
  <c r="L188" i="10"/>
  <c r="O188" i="10"/>
  <c r="L47" i="10"/>
  <c r="O47" i="10"/>
  <c r="L83" i="10"/>
  <c r="O83" i="10"/>
  <c r="L119" i="10"/>
  <c r="O119" i="10"/>
  <c r="L143" i="10"/>
  <c r="O143" i="10"/>
  <c r="L66" i="10"/>
  <c r="O66" i="10"/>
  <c r="L102" i="10"/>
  <c r="O102" i="10"/>
  <c r="L138" i="10"/>
  <c r="O138" i="10"/>
  <c r="L174" i="10"/>
  <c r="O174" i="10"/>
  <c r="L185" i="10"/>
  <c r="O185" i="10"/>
  <c r="L202" i="10"/>
  <c r="O202" i="10"/>
  <c r="L27" i="10"/>
  <c r="O27" i="10"/>
  <c r="L87" i="10"/>
  <c r="O87" i="10"/>
  <c r="L123" i="10"/>
  <c r="O123" i="10"/>
  <c r="L58" i="10"/>
  <c r="O58" i="10"/>
  <c r="O217" i="10"/>
  <c r="L194" i="10"/>
  <c r="O194" i="10"/>
  <c r="L218" i="10"/>
  <c r="O218" i="10"/>
  <c r="L6" i="10"/>
  <c r="O6" i="10"/>
  <c r="L211" i="10"/>
  <c r="L206" i="10"/>
  <c r="L48" i="10"/>
  <c r="L60" i="10"/>
  <c r="L8" i="10"/>
  <c r="L62" i="10"/>
  <c r="L98" i="10"/>
  <c r="L134" i="10"/>
  <c r="L170" i="10"/>
  <c r="L186" i="10"/>
  <c r="L54" i="10"/>
  <c r="L20" i="10"/>
  <c r="L128" i="10"/>
  <c r="L217" i="10"/>
  <c r="L2" i="10"/>
  <c r="L32" i="10"/>
  <c r="L164" i="10"/>
  <c r="L36" i="10"/>
  <c r="L72" i="10"/>
  <c r="L84" i="10"/>
  <c r="L108" i="10"/>
  <c r="L120" i="10"/>
  <c r="L144" i="10"/>
  <c r="L156" i="10"/>
  <c r="L180" i="10"/>
  <c r="L92" i="10"/>
  <c r="L50" i="10"/>
  <c r="L181" i="10"/>
  <c r="L20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A77B2C-82A9-44C7-8A9A-EB045255340A}" keepAlive="1" name="查询 - batches" description="与工作簿中“batches”查询的连接。" type="5" refreshedVersion="8" background="1" saveData="1">
    <dbPr connection="Provider=Microsoft.Mashup.OleDb.1;Data Source=$Workbook$;Location=batches;Extended Properties=&quot;&quot;" command="SELECT * FROM [batches]"/>
  </connection>
  <connection id="2" xr16:uid="{F60C2F42-690C-448B-AAD1-6C45671BFADE}" keepAlive="1" name="查询 - movements" description="与工作簿中“movements”查询的连接。" type="5" refreshedVersion="8" background="1" saveData="1">
    <dbPr connection="Provider=Microsoft.Mashup.OleDb.1;Data Source=$Workbook$;Location=movements;Extended Properties=&quot;&quot;" command="SELECT * FROM [movements]"/>
  </connection>
  <connection id="3" xr16:uid="{64B9EB2A-E8A0-4132-93D1-9980D621109E}" keepAlive="1" name="查询 - order_lines" description="与工作簿中“order_lines”查询的连接。" type="5" refreshedVersion="8" background="1" saveData="1">
    <dbPr connection="Provider=Microsoft.Mashup.OleDb.1;Data Source=$Workbook$;Location=order_lines;Extended Properties=&quot;&quot;" command="SELECT * FROM [order_lines]"/>
  </connection>
  <connection id="4" xr16:uid="{689B543E-F0E4-447F-945A-E65D9033C7A5}" keepAlive="1" name="查询 - products" description="与工作簿中“products”查询的连接。" type="5" refreshedVersion="0" background="1">
    <dbPr connection="Provider=Microsoft.Mashup.OleDb.1;Data Source=$Workbook$;Location=products;Extended Properties=&quot;&quot;" command="SELECT * FROM [products]"/>
  </connection>
  <connection id="5" xr16:uid="{A34ACE3D-4DB3-45FB-AB5B-AAAF4DB9C87A}" keepAlive="1" name="查询 - products (2)" description="与工作簿中“products (2)”查询的连接。" type="5" refreshedVersion="8" background="1" saveData="1">
    <dbPr connection="Provider=Microsoft.Mashup.OleDb.1;Data Source=$Workbook$;Location=&quot;products (2)&quot;;Extended Properties=&quot;&quot;" command="SELECT * FROM [products (2)]"/>
  </connection>
  <connection id="6" xr16:uid="{966427A1-2BC1-4BDB-8CB8-EC7337332B62}" keepAlive="1" name="查询 - products (3)" description="与工作簿中“products (3)”查询的连接。" type="5" refreshedVersion="8" background="1" saveData="1">
    <dbPr connection="Provider=Microsoft.Mashup.OleDb.1;Data Source=$Workbook$;Location=&quot;products (3)&quot;;Extended Properties=&quot;&quot;" command="SELECT * FROM [products (3)]"/>
  </connection>
  <connection id="7" xr16:uid="{95BA0C23-01A5-412B-A7AF-0B7667F0FFD1}" keepAlive="1" name="查询 - stock_counts" description="与工作簿中“stock_counts”查询的连接。" type="5" refreshedVersion="8" background="1" saveData="1">
    <dbPr connection="Provider=Microsoft.Mashup.OleDb.1;Data Source=$Workbook$;Location=stock_counts;Extended Properties=&quot;&quot;" command="SELECT * FROM [stock_counts]"/>
  </connection>
  <connection id="8" xr16:uid="{17A8276A-7324-477D-9837-96EB59E35A91}" keepAlive="1" name="查询 - stock_counts (2)" description="与工作簿中“stock_counts (2)”查询的连接。" type="5" refreshedVersion="8" background="1" saveData="1">
    <dbPr connection="Provider=Microsoft.Mashup.OleDb.1;Data Source=$Workbook$;Location=&quot;stock_counts (2)&quot;;Extended Properties=&quot;&quot;" command="SELECT * FROM [stock_counts (2)]"/>
  </connection>
  <connection id="9" xr16:uid="{3D6F6FE1-0DC6-4958-B6FD-6E5211918CAA}" keepAlive="1" name="查询 - stores" description="与工作簿中“stores”查询的连接。" type="5" refreshedVersion="8" background="1" saveData="1">
    <dbPr connection="Provider=Microsoft.Mashup.OleDb.1;Data Source=$Workbook$;Location=stores;Extended Properties=&quot;&quot;" command="SELECT * FROM [stores]"/>
  </connection>
</connections>
</file>

<file path=xl/sharedStrings.xml><?xml version="1.0" encoding="utf-8"?>
<sst xmlns="http://schemas.openxmlformats.org/spreadsheetml/2006/main" count="55400" uniqueCount="14501">
  <si>
    <t>sku</t>
  </si>
  <si>
    <t>product_name</t>
  </si>
  <si>
    <t>category</t>
  </si>
  <si>
    <t>base_unit</t>
  </si>
  <si>
    <t>specification</t>
  </si>
  <si>
    <t>unit_cost_cny</t>
  </si>
  <si>
    <t>safety_stock_qty</t>
  </si>
  <si>
    <t>expiry_warning_days</t>
  </si>
  <si>
    <t>storage_zone</t>
  </si>
  <si>
    <t>storage_note</t>
  </si>
  <si>
    <t>unit_weight_kg</t>
  </si>
  <si>
    <t>SKU001</t>
  </si>
  <si>
    <t>茉莉绿茶</t>
  </si>
  <si>
    <t>茶叶</t>
  </si>
  <si>
    <t>袋</t>
  </si>
  <si>
    <t>500g/袋</t>
  </si>
  <si>
    <t>DRY_FOOD</t>
  </si>
  <si>
    <t>模拟未开封常温干燥储存；实际以标签和企业SOP为准</t>
  </si>
  <si>
    <t>SKU002</t>
  </si>
  <si>
    <t>红茶</t>
  </si>
  <si>
    <t>SKU003</t>
  </si>
  <si>
    <t>乌龙茶</t>
  </si>
  <si>
    <t>SKU004</t>
  </si>
  <si>
    <t>四季春茶</t>
  </si>
  <si>
    <t>SKU005</t>
  </si>
  <si>
    <t>桂花乌龙</t>
  </si>
  <si>
    <t>SKU006</t>
  </si>
  <si>
    <t>焙火乌龙</t>
  </si>
  <si>
    <t>SKU007</t>
  </si>
  <si>
    <t>白桃乌龙</t>
  </si>
  <si>
    <t>SKU008</t>
  </si>
  <si>
    <t>普洱茶</t>
  </si>
  <si>
    <t>SKU009</t>
  </si>
  <si>
    <t>龙井茶</t>
  </si>
  <si>
    <t>SKU010</t>
  </si>
  <si>
    <t>栀子绿茶</t>
  </si>
  <si>
    <t>SKU011</t>
  </si>
  <si>
    <t>原味糖浆</t>
  </si>
  <si>
    <t>液体原料</t>
  </si>
  <si>
    <t>瓶</t>
  </si>
  <si>
    <t>1L/瓶</t>
  </si>
  <si>
    <t>SKU012</t>
  </si>
  <si>
    <t>黑糖糖浆</t>
  </si>
  <si>
    <t>SKU013</t>
  </si>
  <si>
    <t>香草糖浆</t>
  </si>
  <si>
    <t>SKU014</t>
  </si>
  <si>
    <t>焦糖糖浆</t>
  </si>
  <si>
    <t>SKU015</t>
  </si>
  <si>
    <t>果糖浆</t>
  </si>
  <si>
    <t>SKU016</t>
  </si>
  <si>
    <t>常温椰浆</t>
  </si>
  <si>
    <t>SKU017</t>
  </si>
  <si>
    <t>常温椰乳</t>
  </si>
  <si>
    <t>SKU018</t>
  </si>
  <si>
    <t>常温燕麦饮</t>
  </si>
  <si>
    <t>SKU019</t>
  </si>
  <si>
    <t>常温全脂奶</t>
  </si>
  <si>
    <t>SKU020</t>
  </si>
  <si>
    <t>常温厚乳</t>
  </si>
  <si>
    <t>SKU021</t>
  </si>
  <si>
    <t>500ml杯</t>
  </si>
  <si>
    <t>包材</t>
  </si>
  <si>
    <t>包</t>
  </si>
  <si>
    <t>100个/包</t>
  </si>
  <si>
    <t>PACKAGING</t>
  </si>
  <si>
    <t>SKU022</t>
  </si>
  <si>
    <t>700ml杯</t>
  </si>
  <si>
    <t>SKU023</t>
  </si>
  <si>
    <t>500ml杯盖</t>
  </si>
  <si>
    <t>SKU024</t>
  </si>
  <si>
    <t>700ml杯盖</t>
  </si>
  <si>
    <t>SKU025</t>
  </si>
  <si>
    <t>粗吸管</t>
  </si>
  <si>
    <t>SKU026</t>
  </si>
  <si>
    <t>细吸管</t>
  </si>
  <si>
    <t>SKU027</t>
  </si>
  <si>
    <t>单杯袋</t>
  </si>
  <si>
    <t>SKU028</t>
  </si>
  <si>
    <t>双杯袋</t>
  </si>
  <si>
    <t>SKU029</t>
  </si>
  <si>
    <t>封口膜</t>
  </si>
  <si>
    <t>1卷/包</t>
  </si>
  <si>
    <t>SKU030</t>
  </si>
  <si>
    <t>纸巾</t>
  </si>
  <si>
    <t>100张/包</t>
  </si>
  <si>
    <t>batch_id</t>
  </si>
  <si>
    <t>location_id</t>
  </si>
  <si>
    <t>production_date</t>
  </si>
  <si>
    <t>expiry_date</t>
  </si>
  <si>
    <t>available_from</t>
  </si>
  <si>
    <t>quality_status</t>
  </si>
  <si>
    <t>B0001</t>
  </si>
  <si>
    <t>L001</t>
  </si>
  <si>
    <t>RELEASED</t>
  </si>
  <si>
    <t>B0002</t>
  </si>
  <si>
    <t>L002</t>
  </si>
  <si>
    <t>B0003</t>
  </si>
  <si>
    <t>L003</t>
  </si>
  <si>
    <t>B0004</t>
  </si>
  <si>
    <t>L004</t>
  </si>
  <si>
    <t>B0005</t>
  </si>
  <si>
    <t>L005</t>
  </si>
  <si>
    <t>B0006</t>
  </si>
  <si>
    <t>L006</t>
  </si>
  <si>
    <t>B0007</t>
  </si>
  <si>
    <t>L007</t>
  </si>
  <si>
    <t>B0008</t>
  </si>
  <si>
    <t>L008</t>
  </si>
  <si>
    <t>B0009</t>
  </si>
  <si>
    <t>L009</t>
  </si>
  <si>
    <t>B0010</t>
  </si>
  <si>
    <t>L010</t>
  </si>
  <si>
    <t>B0011</t>
  </si>
  <si>
    <t>L011</t>
  </si>
  <si>
    <t>B0012</t>
  </si>
  <si>
    <t>L012</t>
  </si>
  <si>
    <t>B0013</t>
  </si>
  <si>
    <t>L013</t>
  </si>
  <si>
    <t>B0014</t>
  </si>
  <si>
    <t>L014</t>
  </si>
  <si>
    <t>B0015</t>
  </si>
  <si>
    <t>L015</t>
  </si>
  <si>
    <t>B0016</t>
  </si>
  <si>
    <t>L016</t>
  </si>
  <si>
    <t>B0017</t>
  </si>
  <si>
    <t>L017</t>
  </si>
  <si>
    <t>B0018</t>
  </si>
  <si>
    <t>L018</t>
  </si>
  <si>
    <t>B0019</t>
  </si>
  <si>
    <t>L019</t>
  </si>
  <si>
    <t>B0020</t>
  </si>
  <si>
    <t>L020</t>
  </si>
  <si>
    <t>B0021</t>
  </si>
  <si>
    <t>L021</t>
  </si>
  <si>
    <t>B0022</t>
  </si>
  <si>
    <t>L022</t>
  </si>
  <si>
    <t>B0023</t>
  </si>
  <si>
    <t>L023</t>
  </si>
  <si>
    <t>B0024</t>
  </si>
  <si>
    <t>L024</t>
  </si>
  <si>
    <t>B0025</t>
  </si>
  <si>
    <t>L025</t>
  </si>
  <si>
    <t>B0026</t>
  </si>
  <si>
    <t>L026</t>
  </si>
  <si>
    <t>B0027</t>
  </si>
  <si>
    <t>L027</t>
  </si>
  <si>
    <t>B0028</t>
  </si>
  <si>
    <t>L028</t>
  </si>
  <si>
    <t>B0029</t>
  </si>
  <si>
    <t>L029</t>
  </si>
  <si>
    <t>B0030</t>
  </si>
  <si>
    <t>L030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</si>
  <si>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</si>
  <si>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</si>
  <si>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</si>
  <si>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</si>
  <si>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</si>
  <si>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</si>
  <si>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</si>
  <si>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</si>
  <si>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</si>
  <si>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</si>
  <si>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</si>
  <si>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</si>
  <si>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</si>
  <si>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</si>
  <si>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</si>
  <si>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</si>
  <si>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</si>
  <si>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</si>
  <si>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</si>
  <si>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</si>
  <si>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</si>
  <si>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</si>
  <si>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</si>
  <si>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</si>
  <si>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</si>
  <si>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</si>
  <si>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</si>
  <si>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</si>
  <si>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</si>
  <si>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</si>
  <si>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</si>
  <si>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</si>
  <si>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</si>
  <si>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</si>
  <si>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</si>
  <si>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</si>
  <si>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</si>
  <si>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</si>
  <si>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</si>
  <si>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</si>
  <si>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</si>
  <si>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</si>
  <si>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</si>
  <si>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</si>
  <si>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</si>
  <si>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</si>
  <si>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</si>
  <si>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</si>
  <si>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</si>
  <si>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</si>
  <si>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</si>
  <si>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</si>
  <si>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</si>
  <si>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</si>
  <si>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</si>
  <si>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</si>
  <si>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</si>
  <si>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</si>
  <si>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</si>
  <si>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</si>
  <si>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</si>
  <si>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</si>
  <si>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</si>
  <si>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</si>
  <si>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</si>
  <si>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</si>
  <si>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</si>
  <si>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</si>
  <si>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HOLD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</si>
  <si>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</si>
  <si>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</si>
  <si>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</si>
  <si>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</si>
  <si>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</si>
  <si>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</si>
  <si>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</si>
  <si>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</si>
  <si>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</si>
  <si>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</si>
  <si>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</si>
  <si>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</si>
  <si>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</si>
  <si>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</si>
  <si>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</si>
  <si>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</si>
  <si>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</si>
  <si>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</si>
  <si>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</si>
  <si>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</si>
  <si>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</si>
  <si>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</si>
  <si>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</si>
  <si>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</si>
  <si>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</si>
  <si>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</si>
  <si>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</si>
  <si>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</si>
  <si>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</si>
  <si>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</si>
  <si>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</si>
  <si>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</si>
  <si>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</si>
  <si>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</si>
  <si>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</si>
  <si>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</si>
  <si>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</si>
  <si>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</si>
  <si>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</si>
  <si>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</si>
  <si>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</si>
  <si>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</si>
  <si>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</si>
  <si>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</si>
  <si>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</si>
  <si>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</si>
  <si>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</si>
  <si>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</si>
  <si>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</si>
  <si>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</si>
  <si>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</si>
  <si>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</si>
  <si>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</si>
  <si>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</si>
  <si>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</si>
  <si>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</si>
  <si>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</si>
  <si>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</si>
  <si>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</si>
  <si>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</si>
  <si>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</si>
  <si>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</si>
  <si>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</si>
  <si>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</si>
  <si>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</si>
  <si>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</si>
  <si>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</si>
  <si>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</si>
  <si>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</si>
  <si>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</si>
  <si>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</si>
  <si>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</si>
  <si>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</si>
  <si>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</si>
  <si>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</si>
  <si>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</si>
  <si>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</si>
  <si>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</si>
  <si>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</si>
  <si>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</si>
  <si>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</si>
  <si>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</si>
  <si>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</si>
  <si>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</si>
  <si>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</si>
  <si>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</si>
  <si>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</si>
  <si>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</si>
  <si>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</si>
  <si>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</si>
  <si>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</si>
  <si>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</si>
  <si>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</si>
  <si>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</si>
  <si>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</si>
  <si>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</si>
  <si>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</si>
  <si>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</si>
  <si>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</si>
  <si>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</si>
  <si>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</si>
  <si>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</si>
  <si>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</si>
  <si>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</si>
  <si>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</si>
  <si>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</si>
  <si>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</si>
  <si>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</si>
  <si>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</si>
  <si>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</si>
  <si>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</si>
  <si>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</si>
  <si>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</si>
  <si>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</si>
  <si>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</si>
  <si>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</si>
  <si>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</si>
  <si>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</si>
  <si>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</si>
  <si>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</si>
  <si>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</si>
  <si>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</si>
  <si>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</si>
  <si>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</si>
  <si>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</si>
  <si>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</si>
  <si>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movement_id</t>
  </si>
  <si>
    <t>document_id</t>
  </si>
  <si>
    <t>event_time</t>
  </si>
  <si>
    <t>movement_type</t>
  </si>
  <si>
    <t>quantity</t>
  </si>
  <si>
    <t>order_line_id</t>
  </si>
  <si>
    <t>receipt_id</t>
  </si>
  <si>
    <t>M000001</t>
  </si>
  <si>
    <t>D000001</t>
  </si>
  <si>
    <t>OPENING</t>
  </si>
  <si>
    <t/>
  </si>
  <si>
    <t>M000002</t>
  </si>
  <si>
    <t>D000002</t>
  </si>
  <si>
    <t>M000003</t>
  </si>
  <si>
    <t>D000003</t>
  </si>
  <si>
    <t>M000004</t>
  </si>
  <si>
    <t>D000004</t>
  </si>
  <si>
    <t>M000005</t>
  </si>
  <si>
    <t>D000005</t>
  </si>
  <si>
    <t>M000006</t>
  </si>
  <si>
    <t>D000006</t>
  </si>
  <si>
    <t>M000007</t>
  </si>
  <si>
    <t>D000007</t>
  </si>
  <si>
    <t>M000008</t>
  </si>
  <si>
    <t>D000008</t>
  </si>
  <si>
    <t>M000009</t>
  </si>
  <si>
    <t>D000009</t>
  </si>
  <si>
    <t>M000010</t>
  </si>
  <si>
    <t>D000010</t>
  </si>
  <si>
    <t>M000011</t>
  </si>
  <si>
    <t>D000011</t>
  </si>
  <si>
    <t>M000012</t>
  </si>
  <si>
    <t>D000012</t>
  </si>
  <si>
    <t>M000013</t>
  </si>
  <si>
    <t>D000013</t>
  </si>
  <si>
    <t>M000014</t>
  </si>
  <si>
    <t>D000014</t>
  </si>
  <si>
    <t>M000015</t>
  </si>
  <si>
    <t>D000015</t>
  </si>
  <si>
    <t>M000016</t>
  </si>
  <si>
    <t>D000016</t>
  </si>
  <si>
    <t>M000017</t>
  </si>
  <si>
    <t>D000017</t>
  </si>
  <si>
    <t>M000018</t>
  </si>
  <si>
    <t>D000018</t>
  </si>
  <si>
    <t>M000019</t>
  </si>
  <si>
    <t>D000019</t>
  </si>
  <si>
    <t>M000020</t>
  </si>
  <si>
    <t>D000020</t>
  </si>
  <si>
    <t>M000021</t>
  </si>
  <si>
    <t>D000021</t>
  </si>
  <si>
    <t>M000022</t>
  </si>
  <si>
    <t>D000022</t>
  </si>
  <si>
    <t>M000023</t>
  </si>
  <si>
    <t>D000023</t>
  </si>
  <si>
    <t>M000024</t>
  </si>
  <si>
    <t>D000024</t>
  </si>
  <si>
    <t>M000025</t>
  </si>
  <si>
    <t>D000025</t>
  </si>
  <si>
    <t>M000026</t>
  </si>
  <si>
    <t>D000026</t>
  </si>
  <si>
    <t>M000027</t>
  </si>
  <si>
    <t>D000027</t>
  </si>
  <si>
    <t>M000028</t>
  </si>
  <si>
    <t>D000028</t>
  </si>
  <si>
    <t>M000029</t>
  </si>
  <si>
    <t>D000029</t>
  </si>
  <si>
    <t>M000030</t>
  </si>
  <si>
    <t>D000030</t>
  </si>
  <si>
    <t>M000031</t>
  </si>
  <si>
    <t>D000031</t>
  </si>
  <si>
    <t>ISSUE</t>
  </si>
  <si>
    <t>O00001</t>
  </si>
  <si>
    <t>M000032</t>
  </si>
  <si>
    <t>D000032</t>
  </si>
  <si>
    <t>O00002</t>
  </si>
  <si>
    <t>M000033</t>
  </si>
  <si>
    <t>D000033</t>
  </si>
  <si>
    <t>O00003</t>
  </si>
  <si>
    <t>M000034</t>
  </si>
  <si>
    <t>D000034</t>
  </si>
  <si>
    <t>O00004</t>
  </si>
  <si>
    <t>M000035</t>
  </si>
  <si>
    <t>D000035</t>
  </si>
  <si>
    <t>O00005</t>
  </si>
  <si>
    <t>M000036</t>
  </si>
  <si>
    <t>D000036</t>
  </si>
  <si>
    <t>O00006</t>
  </si>
  <si>
    <t>M000037</t>
  </si>
  <si>
    <t>D000037</t>
  </si>
  <si>
    <t>O00007</t>
  </si>
  <si>
    <t>M000038</t>
  </si>
  <si>
    <t>D000038</t>
  </si>
  <si>
    <t>O00008</t>
  </si>
  <si>
    <t>M000039</t>
  </si>
  <si>
    <t>D000039</t>
  </si>
  <si>
    <t>O00009</t>
  </si>
  <si>
    <t>M000040</t>
  </si>
  <si>
    <t>D000040</t>
  </si>
  <si>
    <t>O00010</t>
  </si>
  <si>
    <t>M000041</t>
  </si>
  <si>
    <t>D000041</t>
  </si>
  <si>
    <t>O00011</t>
  </si>
  <si>
    <t>M000042</t>
  </si>
  <si>
    <t>D000042</t>
  </si>
  <si>
    <t>O00012</t>
  </si>
  <si>
    <t>M000043</t>
  </si>
  <si>
    <t>D000043</t>
  </si>
  <si>
    <t>O00013</t>
  </si>
  <si>
    <t>M000044</t>
  </si>
  <si>
    <t>D000044</t>
  </si>
  <si>
    <t>O00014</t>
  </si>
  <si>
    <t>M000045</t>
  </si>
  <si>
    <t>D000045</t>
  </si>
  <si>
    <t>O00015</t>
  </si>
  <si>
    <t>M000046</t>
  </si>
  <si>
    <t>D000046</t>
  </si>
  <si>
    <t>O00016</t>
  </si>
  <si>
    <t>M000047</t>
  </si>
  <si>
    <t>D000047</t>
  </si>
  <si>
    <t>O00017</t>
  </si>
  <si>
    <t>M000048</t>
  </si>
  <si>
    <t>D000048</t>
  </si>
  <si>
    <t>O00018</t>
  </si>
  <si>
    <t>M000049</t>
  </si>
  <si>
    <t>D000049</t>
  </si>
  <si>
    <t>O00019</t>
  </si>
  <si>
    <t>M000050</t>
  </si>
  <si>
    <t>D000050</t>
  </si>
  <si>
    <t>O00020</t>
  </si>
  <si>
    <t>M000051</t>
  </si>
  <si>
    <t>D000051</t>
  </si>
  <si>
    <t>O00021</t>
  </si>
  <si>
    <t>M000052</t>
  </si>
  <si>
    <t>D000052</t>
  </si>
  <si>
    <t>O00022</t>
  </si>
  <si>
    <t>M000053</t>
  </si>
  <si>
    <t>D000053</t>
  </si>
  <si>
    <t>O00023</t>
  </si>
  <si>
    <t>M000054</t>
  </si>
  <si>
    <t>D000054</t>
  </si>
  <si>
    <t>O00024</t>
  </si>
  <si>
    <t>M000055</t>
  </si>
  <si>
    <t>D000055</t>
  </si>
  <si>
    <t>O00025</t>
  </si>
  <si>
    <t>M000056</t>
  </si>
  <si>
    <t>D000056</t>
  </si>
  <si>
    <t>O00026</t>
  </si>
  <si>
    <t>M000057</t>
  </si>
  <si>
    <t>D000057</t>
  </si>
  <si>
    <t>O00027</t>
  </si>
  <si>
    <t>M000058</t>
  </si>
  <si>
    <t>D000058</t>
  </si>
  <si>
    <t>O00028</t>
  </si>
  <si>
    <t>M000059</t>
  </si>
  <si>
    <t>D000059</t>
  </si>
  <si>
    <t>O00029</t>
  </si>
  <si>
    <t>M000060</t>
  </si>
  <si>
    <t>D000060</t>
  </si>
  <si>
    <t>O00030</t>
  </si>
  <si>
    <t>M000061</t>
  </si>
  <si>
    <t>D000061</t>
  </si>
  <si>
    <t>O00031</t>
  </si>
  <si>
    <t>M000062</t>
  </si>
  <si>
    <t>D000062</t>
  </si>
  <si>
    <t>O00032</t>
  </si>
  <si>
    <t>M000063</t>
  </si>
  <si>
    <t>D000063</t>
  </si>
  <si>
    <t>O00033</t>
  </si>
  <si>
    <t>M000064</t>
  </si>
  <si>
    <t>D000064</t>
  </si>
  <si>
    <t>O00034</t>
  </si>
  <si>
    <t>M000065</t>
  </si>
  <si>
    <t>D000065</t>
  </si>
  <si>
    <t>O00035</t>
  </si>
  <si>
    <t>M000066</t>
  </si>
  <si>
    <t>D000066</t>
  </si>
  <si>
    <t>O00036</t>
  </si>
  <si>
    <t>M000067</t>
  </si>
  <si>
    <t>D000067</t>
  </si>
  <si>
    <t>O00037</t>
  </si>
  <si>
    <t>M000068</t>
  </si>
  <si>
    <t>D000068</t>
  </si>
  <si>
    <t>O00038</t>
  </si>
  <si>
    <t>M000069</t>
  </si>
  <si>
    <t>D000069</t>
  </si>
  <si>
    <t>O00039</t>
  </si>
  <si>
    <t>M000070</t>
  </si>
  <si>
    <t>D000070</t>
  </si>
  <si>
    <t>O00040</t>
  </si>
  <si>
    <t>M000071</t>
  </si>
  <si>
    <t>D000071</t>
  </si>
  <si>
    <t>O00041</t>
  </si>
  <si>
    <t>M000072</t>
  </si>
  <si>
    <t>D000072</t>
  </si>
  <si>
    <t>O00042</t>
  </si>
  <si>
    <t>M000073</t>
  </si>
  <si>
    <t>D000073</t>
  </si>
  <si>
    <t>O00043</t>
  </si>
  <si>
    <t>M000074</t>
  </si>
  <si>
    <t>D000074</t>
  </si>
  <si>
    <t>O00044</t>
  </si>
  <si>
    <t>M000075</t>
  </si>
  <si>
    <t>D000075</t>
  </si>
  <si>
    <t>O00045</t>
  </si>
  <si>
    <t>M000076</t>
  </si>
  <si>
    <t>D000076</t>
  </si>
  <si>
    <t>O00046</t>
  </si>
  <si>
    <t>M000077</t>
  </si>
  <si>
    <t>D000077</t>
  </si>
  <si>
    <t>O00047</t>
  </si>
  <si>
    <t>M000078</t>
  </si>
  <si>
    <t>D000078</t>
  </si>
  <si>
    <t>O00048</t>
  </si>
  <si>
    <t>M000079</t>
  </si>
  <si>
    <t>D000079</t>
  </si>
  <si>
    <t>O00049</t>
  </si>
  <si>
    <t>M000080</t>
  </si>
  <si>
    <t>D000080</t>
  </si>
  <si>
    <t>O00050</t>
  </si>
  <si>
    <t>M000081</t>
  </si>
  <si>
    <t>D000081</t>
  </si>
  <si>
    <t>O00051</t>
  </si>
  <si>
    <t>M000082</t>
  </si>
  <si>
    <t>D000082</t>
  </si>
  <si>
    <t>O00052</t>
  </si>
  <si>
    <t>M000083</t>
  </si>
  <si>
    <t>D000083</t>
  </si>
  <si>
    <t>O00053</t>
  </si>
  <si>
    <t>M000084</t>
  </si>
  <si>
    <t>D000084</t>
  </si>
  <si>
    <t>O00054</t>
  </si>
  <si>
    <t>M000085</t>
  </si>
  <si>
    <t>D000085</t>
  </si>
  <si>
    <t>O00055</t>
  </si>
  <si>
    <t>M000086</t>
  </si>
  <si>
    <t>D000086</t>
  </si>
  <si>
    <t>O00056</t>
  </si>
  <si>
    <t>M000087</t>
  </si>
  <si>
    <t>D000087</t>
  </si>
  <si>
    <t>O00057</t>
  </si>
  <si>
    <t>M000088</t>
  </si>
  <si>
    <t>D000088</t>
  </si>
  <si>
    <t>O00058</t>
  </si>
  <si>
    <t>M000089</t>
  </si>
  <si>
    <t>D000089</t>
  </si>
  <si>
    <t>O00059</t>
  </si>
  <si>
    <t>M000090</t>
  </si>
  <si>
    <t>D000090</t>
  </si>
  <si>
    <t>O00060</t>
  </si>
  <si>
    <t>M000091</t>
  </si>
  <si>
    <t>D000091</t>
  </si>
  <si>
    <t>O00061</t>
  </si>
  <si>
    <t>M000092</t>
  </si>
  <si>
    <t>D000092</t>
  </si>
  <si>
    <t>O00062</t>
  </si>
  <si>
    <t>M000093</t>
  </si>
  <si>
    <t>D000093</t>
  </si>
  <si>
    <t>O00063</t>
  </si>
  <si>
    <t>M000094</t>
  </si>
  <si>
    <t>D000094</t>
  </si>
  <si>
    <t>O00064</t>
  </si>
  <si>
    <t>M000095</t>
  </si>
  <si>
    <t>D000095</t>
  </si>
  <si>
    <t>O00065</t>
  </si>
  <si>
    <t>M000096</t>
  </si>
  <si>
    <t>D000096</t>
  </si>
  <si>
    <t>O00066</t>
  </si>
  <si>
    <t>M000097</t>
  </si>
  <si>
    <t>D000097</t>
  </si>
  <si>
    <t>O00067</t>
  </si>
  <si>
    <t>M000098</t>
  </si>
  <si>
    <t>D000098</t>
  </si>
  <si>
    <t>O00068</t>
  </si>
  <si>
    <t>M000099</t>
  </si>
  <si>
    <t>D000099</t>
  </si>
  <si>
    <t>O00069</t>
  </si>
  <si>
    <t>M000100</t>
  </si>
  <si>
    <t>D000100</t>
  </si>
  <si>
    <t>O00070</t>
  </si>
  <si>
    <t>M000101</t>
  </si>
  <si>
    <t>D000101</t>
  </si>
  <si>
    <t>O00071</t>
  </si>
  <si>
    <t>M000102</t>
  </si>
  <si>
    <t>D000102</t>
  </si>
  <si>
    <t>O00072</t>
  </si>
  <si>
    <t>M000103</t>
  </si>
  <si>
    <t>D000103</t>
  </si>
  <si>
    <t>O00073</t>
  </si>
  <si>
    <t>M000104</t>
  </si>
  <si>
    <t>D000104</t>
  </si>
  <si>
    <t>O00074</t>
  </si>
  <si>
    <t>M000105</t>
  </si>
  <si>
    <t>D000105</t>
  </si>
  <si>
    <t>O00075</t>
  </si>
  <si>
    <t>M000106</t>
  </si>
  <si>
    <t>D000106</t>
  </si>
  <si>
    <t>O00076</t>
  </si>
  <si>
    <t>M000107</t>
  </si>
  <si>
    <t>D000107</t>
  </si>
  <si>
    <t>O00077</t>
  </si>
  <si>
    <t>M000108</t>
  </si>
  <si>
    <t>D000108</t>
  </si>
  <si>
    <t>O00078</t>
  </si>
  <si>
    <t>M000109</t>
  </si>
  <si>
    <t>D000109</t>
  </si>
  <si>
    <t>O00079</t>
  </si>
  <si>
    <t>M000110</t>
  </si>
  <si>
    <t>D000110</t>
  </si>
  <si>
    <t>O00080</t>
  </si>
  <si>
    <t>M000111</t>
  </si>
  <si>
    <t>D000111</t>
  </si>
  <si>
    <t>O00081</t>
  </si>
  <si>
    <t>M000112</t>
  </si>
  <si>
    <t>D000112</t>
  </si>
  <si>
    <t>O00082</t>
  </si>
  <si>
    <t>M000113</t>
  </si>
  <si>
    <t>D000113</t>
  </si>
  <si>
    <t>O00083</t>
  </si>
  <si>
    <t>M000114</t>
  </si>
  <si>
    <t>D000114</t>
  </si>
  <si>
    <t>O00084</t>
  </si>
  <si>
    <t>M000115</t>
  </si>
  <si>
    <t>D000115</t>
  </si>
  <si>
    <t>O00085</t>
  </si>
  <si>
    <t>M000116</t>
  </si>
  <si>
    <t>D000116</t>
  </si>
  <si>
    <t>O00086</t>
  </si>
  <si>
    <t>M000117</t>
  </si>
  <si>
    <t>D000117</t>
  </si>
  <si>
    <t>O00087</t>
  </si>
  <si>
    <t>M000118</t>
  </si>
  <si>
    <t>D000118</t>
  </si>
  <si>
    <t>O00088</t>
  </si>
  <si>
    <t>M000119</t>
  </si>
  <si>
    <t>D000119</t>
  </si>
  <si>
    <t>O00089</t>
  </si>
  <si>
    <t>M000120</t>
  </si>
  <si>
    <t>D000120</t>
  </si>
  <si>
    <t>O00090</t>
  </si>
  <si>
    <t>M000121</t>
  </si>
  <si>
    <t>D000121</t>
  </si>
  <si>
    <t>O00091</t>
  </si>
  <si>
    <t>M000122</t>
  </si>
  <si>
    <t>D000122</t>
  </si>
  <si>
    <t>O00092</t>
  </si>
  <si>
    <t>M000123</t>
  </si>
  <si>
    <t>D000123</t>
  </si>
  <si>
    <t>O00093</t>
  </si>
  <si>
    <t>M000124</t>
  </si>
  <si>
    <t>D000124</t>
  </si>
  <si>
    <t>O00094</t>
  </si>
  <si>
    <t>M000125</t>
  </si>
  <si>
    <t>D000125</t>
  </si>
  <si>
    <t>O00095</t>
  </si>
  <si>
    <t>M000126</t>
  </si>
  <si>
    <t>D000126</t>
  </si>
  <si>
    <t>O00096</t>
  </si>
  <si>
    <t>M000127</t>
  </si>
  <si>
    <t>D000127</t>
  </si>
  <si>
    <t>O00097</t>
  </si>
  <si>
    <t>M000128</t>
  </si>
  <si>
    <t>D000128</t>
  </si>
  <si>
    <t>O00098</t>
  </si>
  <si>
    <t>M000129</t>
  </si>
  <si>
    <t>D000129</t>
  </si>
  <si>
    <t>O00099</t>
  </si>
  <si>
    <t>M000130</t>
  </si>
  <si>
    <t>D000130</t>
  </si>
  <si>
    <t>O00100</t>
  </si>
  <si>
    <t>M000131</t>
  </si>
  <si>
    <t>D000131</t>
  </si>
  <si>
    <t>O00101</t>
  </si>
  <si>
    <t>M000132</t>
  </si>
  <si>
    <t>D000132</t>
  </si>
  <si>
    <t>O00102</t>
  </si>
  <si>
    <t>M000133</t>
  </si>
  <si>
    <t>D000133</t>
  </si>
  <si>
    <t>O00103</t>
  </si>
  <si>
    <t>M000134</t>
  </si>
  <si>
    <t>D000134</t>
  </si>
  <si>
    <t>O00104</t>
  </si>
  <si>
    <t>M000135</t>
  </si>
  <si>
    <t>D000135</t>
  </si>
  <si>
    <t>O00105</t>
  </si>
  <si>
    <t>M000136</t>
  </si>
  <si>
    <t>D000136</t>
  </si>
  <si>
    <t>O00106</t>
  </si>
  <si>
    <t>M000137</t>
  </si>
  <si>
    <t>D000137</t>
  </si>
  <si>
    <t>O00107</t>
  </si>
  <si>
    <t>M000138</t>
  </si>
  <si>
    <t>D000138</t>
  </si>
  <si>
    <t>O00108</t>
  </si>
  <si>
    <t>M000139</t>
  </si>
  <si>
    <t>D000139</t>
  </si>
  <si>
    <t>O00109</t>
  </si>
  <si>
    <t>M000140</t>
  </si>
  <si>
    <t>D000140</t>
  </si>
  <si>
    <t>O00110</t>
  </si>
  <si>
    <t>M000141</t>
  </si>
  <si>
    <t>D000141</t>
  </si>
  <si>
    <t>O00111</t>
  </si>
  <si>
    <t>M000142</t>
  </si>
  <si>
    <t>D000142</t>
  </si>
  <si>
    <t>O00112</t>
  </si>
  <si>
    <t>M000143</t>
  </si>
  <si>
    <t>D000143</t>
  </si>
  <si>
    <t>O00113</t>
  </si>
  <si>
    <t>M000144</t>
  </si>
  <si>
    <t>D000144</t>
  </si>
  <si>
    <t>O00114</t>
  </si>
  <si>
    <t>M000145</t>
  </si>
  <si>
    <t>D000145</t>
  </si>
  <si>
    <t>O00115</t>
  </si>
  <si>
    <t>M000146</t>
  </si>
  <si>
    <t>D000146</t>
  </si>
  <si>
    <t>O00116</t>
  </si>
  <si>
    <t>M000147</t>
  </si>
  <si>
    <t>D000147</t>
  </si>
  <si>
    <t>O00117</t>
  </si>
  <si>
    <t>M000148</t>
  </si>
  <si>
    <t>D000148</t>
  </si>
  <si>
    <t>O00118</t>
  </si>
  <si>
    <t>M000149</t>
  </si>
  <si>
    <t>D000149</t>
  </si>
  <si>
    <t>O00119</t>
  </si>
  <si>
    <t>M000150</t>
  </si>
  <si>
    <t>D000150</t>
  </si>
  <si>
    <t>O00120</t>
  </si>
  <si>
    <t>M000151</t>
  </si>
  <si>
    <t>D000151</t>
  </si>
  <si>
    <t>O00121</t>
  </si>
  <si>
    <t>M000152</t>
  </si>
  <si>
    <t>D000152</t>
  </si>
  <si>
    <t>O00122</t>
  </si>
  <si>
    <t>M000153</t>
  </si>
  <si>
    <t>D000153</t>
  </si>
  <si>
    <t>O00123</t>
  </si>
  <si>
    <t>M000154</t>
  </si>
  <si>
    <t>D000154</t>
  </si>
  <si>
    <t>O00124</t>
  </si>
  <si>
    <t>M000155</t>
  </si>
  <si>
    <t>D000155</t>
  </si>
  <si>
    <t>O00125</t>
  </si>
  <si>
    <t>M000156</t>
  </si>
  <si>
    <t>D000156</t>
  </si>
  <si>
    <t>O00126</t>
  </si>
  <si>
    <t>M000157</t>
  </si>
  <si>
    <t>D000157</t>
  </si>
  <si>
    <t>O00127</t>
  </si>
  <si>
    <t>M000158</t>
  </si>
  <si>
    <t>D000158</t>
  </si>
  <si>
    <t>O00128</t>
  </si>
  <si>
    <t>M000159</t>
  </si>
  <si>
    <t>D000159</t>
  </si>
  <si>
    <t>O00129</t>
  </si>
  <si>
    <t>M000160</t>
  </si>
  <si>
    <t>D000160</t>
  </si>
  <si>
    <t>O00130</t>
  </si>
  <si>
    <t>M000161</t>
  </si>
  <si>
    <t>D000161</t>
  </si>
  <si>
    <t>O00131</t>
  </si>
  <si>
    <t>M000162</t>
  </si>
  <si>
    <t>D000162</t>
  </si>
  <si>
    <t>O00132</t>
  </si>
  <si>
    <t>M000163</t>
  </si>
  <si>
    <t>D000163</t>
  </si>
  <si>
    <t>O00133</t>
  </si>
  <si>
    <t>M000164</t>
  </si>
  <si>
    <t>D000164</t>
  </si>
  <si>
    <t>O00134</t>
  </si>
  <si>
    <t>M000165</t>
  </si>
  <si>
    <t>D000165</t>
  </si>
  <si>
    <t>O00135</t>
  </si>
  <si>
    <t>M000166</t>
  </si>
  <si>
    <t>D000166</t>
  </si>
  <si>
    <t>O00136</t>
  </si>
  <si>
    <t>M000167</t>
  </si>
  <si>
    <t>D000167</t>
  </si>
  <si>
    <t>O00137</t>
  </si>
  <si>
    <t>M000168</t>
  </si>
  <si>
    <t>D000168</t>
  </si>
  <si>
    <t>O00138</t>
  </si>
  <si>
    <t>M000169</t>
  </si>
  <si>
    <t>D000169</t>
  </si>
  <si>
    <t>O00139</t>
  </si>
  <si>
    <t>M000170</t>
  </si>
  <si>
    <t>D000170</t>
  </si>
  <si>
    <t>O00140</t>
  </si>
  <si>
    <t>M000171</t>
  </si>
  <si>
    <t>D000171</t>
  </si>
  <si>
    <t>O00141</t>
  </si>
  <si>
    <t>M000172</t>
  </si>
  <si>
    <t>D000172</t>
  </si>
  <si>
    <t>O00142</t>
  </si>
  <si>
    <t>M000173</t>
  </si>
  <si>
    <t>D000173</t>
  </si>
  <si>
    <t>O00143</t>
  </si>
  <si>
    <t>M000174</t>
  </si>
  <si>
    <t>D000174</t>
  </si>
  <si>
    <t>O00144</t>
  </si>
  <si>
    <t>M000175</t>
  </si>
  <si>
    <t>D000175</t>
  </si>
  <si>
    <t>O00145</t>
  </si>
  <si>
    <t>M000176</t>
  </si>
  <si>
    <t>D000176</t>
  </si>
  <si>
    <t>O00146</t>
  </si>
  <si>
    <t>M000177</t>
  </si>
  <si>
    <t>D000177</t>
  </si>
  <si>
    <t>O00147</t>
  </si>
  <si>
    <t>M000178</t>
  </si>
  <si>
    <t>D000178</t>
  </si>
  <si>
    <t>O00148</t>
  </si>
  <si>
    <t>M000179</t>
  </si>
  <si>
    <t>D000179</t>
  </si>
  <si>
    <t>O00149</t>
  </si>
  <si>
    <t>M000180</t>
  </si>
  <si>
    <t>D000180</t>
  </si>
  <si>
    <t>O00150</t>
  </si>
  <si>
    <t>M000181</t>
  </si>
  <si>
    <t>D000181</t>
  </si>
  <si>
    <t>O00151</t>
  </si>
  <si>
    <t>M000182</t>
  </si>
  <si>
    <t>D000182</t>
  </si>
  <si>
    <t>O00152</t>
  </si>
  <si>
    <t>M000183</t>
  </si>
  <si>
    <t>D000183</t>
  </si>
  <si>
    <t>O00153</t>
  </si>
  <si>
    <t>M000184</t>
  </si>
  <si>
    <t>D000184</t>
  </si>
  <si>
    <t>O00154</t>
  </si>
  <si>
    <t>M000185</t>
  </si>
  <si>
    <t>D000185</t>
  </si>
  <si>
    <t>O00155</t>
  </si>
  <si>
    <t>M000186</t>
  </si>
  <si>
    <t>D000186</t>
  </si>
  <si>
    <t>O00156</t>
  </si>
  <si>
    <t>M000187</t>
  </si>
  <si>
    <t>D000187</t>
  </si>
  <si>
    <t>O00157</t>
  </si>
  <si>
    <t>M000188</t>
  </si>
  <si>
    <t>D000188</t>
  </si>
  <si>
    <t>O00158</t>
  </si>
  <si>
    <t>M000189</t>
  </si>
  <si>
    <t>D000189</t>
  </si>
  <si>
    <t>O00159</t>
  </si>
  <si>
    <t>M000190</t>
  </si>
  <si>
    <t>D000190</t>
  </si>
  <si>
    <t>O00160</t>
  </si>
  <si>
    <t>M000191</t>
  </si>
  <si>
    <t>D000191</t>
  </si>
  <si>
    <t>O00161</t>
  </si>
  <si>
    <t>M000192</t>
  </si>
  <si>
    <t>D000192</t>
  </si>
  <si>
    <t>O00162</t>
  </si>
  <si>
    <t>M000193</t>
  </si>
  <si>
    <t>D000193</t>
  </si>
  <si>
    <t>O00163</t>
  </si>
  <si>
    <t>M000194</t>
  </si>
  <si>
    <t>D000194</t>
  </si>
  <si>
    <t>O00164</t>
  </si>
  <si>
    <t>M000195</t>
  </si>
  <si>
    <t>D000195</t>
  </si>
  <si>
    <t>O00165</t>
  </si>
  <si>
    <t>M000196</t>
  </si>
  <si>
    <t>D000196</t>
  </si>
  <si>
    <t>O00166</t>
  </si>
  <si>
    <t>M000197</t>
  </si>
  <si>
    <t>D000197</t>
  </si>
  <si>
    <t>O00167</t>
  </si>
  <si>
    <t>M000198</t>
  </si>
  <si>
    <t>D000198</t>
  </si>
  <si>
    <t>O00168</t>
  </si>
  <si>
    <t>M000199</t>
  </si>
  <si>
    <t>D000199</t>
  </si>
  <si>
    <t>O00169</t>
  </si>
  <si>
    <t>M000200</t>
  </si>
  <si>
    <t>D000200</t>
  </si>
  <si>
    <t>O00170</t>
  </si>
  <si>
    <t>M000201</t>
  </si>
  <si>
    <t>D000201</t>
  </si>
  <si>
    <t>O00171</t>
  </si>
  <si>
    <t>M000202</t>
  </si>
  <si>
    <t>D000202</t>
  </si>
  <si>
    <t>O00172</t>
  </si>
  <si>
    <t>M000203</t>
  </si>
  <si>
    <t>D000203</t>
  </si>
  <si>
    <t>O00173</t>
  </si>
  <si>
    <t>M000204</t>
  </si>
  <si>
    <t>D000204</t>
  </si>
  <si>
    <t>O00174</t>
  </si>
  <si>
    <t>M000205</t>
  </si>
  <si>
    <t>D000205</t>
  </si>
  <si>
    <t>O00175</t>
  </si>
  <si>
    <t>M000206</t>
  </si>
  <si>
    <t>D000206</t>
  </si>
  <si>
    <t>O00176</t>
  </si>
  <si>
    <t>M000207</t>
  </si>
  <si>
    <t>D000207</t>
  </si>
  <si>
    <t>O00177</t>
  </si>
  <si>
    <t>M000208</t>
  </si>
  <si>
    <t>D000208</t>
  </si>
  <si>
    <t>O00178</t>
  </si>
  <si>
    <t>M000209</t>
  </si>
  <si>
    <t>D000209</t>
  </si>
  <si>
    <t>O00179</t>
  </si>
  <si>
    <t>M000210</t>
  </si>
  <si>
    <t>D000210</t>
  </si>
  <si>
    <t>O00180</t>
  </si>
  <si>
    <t>M000211</t>
  </si>
  <si>
    <t>D000211</t>
  </si>
  <si>
    <t>O00181</t>
  </si>
  <si>
    <t>M000212</t>
  </si>
  <si>
    <t>D000212</t>
  </si>
  <si>
    <t>O00182</t>
  </si>
  <si>
    <t>M000213</t>
  </si>
  <si>
    <t>D000213</t>
  </si>
  <si>
    <t>O00183</t>
  </si>
  <si>
    <t>M000214</t>
  </si>
  <si>
    <t>D000214</t>
  </si>
  <si>
    <t>O00184</t>
  </si>
  <si>
    <t>M000215</t>
  </si>
  <si>
    <t>D000215</t>
  </si>
  <si>
    <t>O00185</t>
  </si>
  <si>
    <t>M000216</t>
  </si>
  <si>
    <t>D000216</t>
  </si>
  <si>
    <t>O00186</t>
  </si>
  <si>
    <t>M000217</t>
  </si>
  <si>
    <t>D000217</t>
  </si>
  <si>
    <t>O00187</t>
  </si>
  <si>
    <t>M000218</t>
  </si>
  <si>
    <t>D000218</t>
  </si>
  <si>
    <t>O00188</t>
  </si>
  <si>
    <t>M000219</t>
  </si>
  <si>
    <t>D000219</t>
  </si>
  <si>
    <t>O00189</t>
  </si>
  <si>
    <t>M000220</t>
  </si>
  <si>
    <t>D000220</t>
  </si>
  <si>
    <t>O00190</t>
  </si>
  <si>
    <t>M000221</t>
  </si>
  <si>
    <t>D000221</t>
  </si>
  <si>
    <t>O00191</t>
  </si>
  <si>
    <t>M000222</t>
  </si>
  <si>
    <t>D000222</t>
  </si>
  <si>
    <t>O00192</t>
  </si>
  <si>
    <t>M000223</t>
  </si>
  <si>
    <t>D000223</t>
  </si>
  <si>
    <t>O00193</t>
  </si>
  <si>
    <t>M000224</t>
  </si>
  <si>
    <t>D000224</t>
  </si>
  <si>
    <t>O00194</t>
  </si>
  <si>
    <t>M000225</t>
  </si>
  <si>
    <t>D000225</t>
  </si>
  <si>
    <t>O00195</t>
  </si>
  <si>
    <t>M000226</t>
  </si>
  <si>
    <t>D000226</t>
  </si>
  <si>
    <t>O00196</t>
  </si>
  <si>
    <t>M000227</t>
  </si>
  <si>
    <t>D000227</t>
  </si>
  <si>
    <t>O00197</t>
  </si>
  <si>
    <t>M000228</t>
  </si>
  <si>
    <t>D000228</t>
  </si>
  <si>
    <t>O00198</t>
  </si>
  <si>
    <t>M000229</t>
  </si>
  <si>
    <t>D000229</t>
  </si>
  <si>
    <t>O00199</t>
  </si>
  <si>
    <t>M000230</t>
  </si>
  <si>
    <t>D000230</t>
  </si>
  <si>
    <t>O00200</t>
  </si>
  <si>
    <t>M000231</t>
  </si>
  <si>
    <t>D000231</t>
  </si>
  <si>
    <t>O00201</t>
  </si>
  <si>
    <t>M000232</t>
  </si>
  <si>
    <t>D000232</t>
  </si>
  <si>
    <t>O00202</t>
  </si>
  <si>
    <t>M000233</t>
  </si>
  <si>
    <t>D000233</t>
  </si>
  <si>
    <t>O00203</t>
  </si>
  <si>
    <t>M000234</t>
  </si>
  <si>
    <t>D000234</t>
  </si>
  <si>
    <t>O00204</t>
  </si>
  <si>
    <t>M000235</t>
  </si>
  <si>
    <t>D000235</t>
  </si>
  <si>
    <t>O00205</t>
  </si>
  <si>
    <t>M000236</t>
  </si>
  <si>
    <t>D000236</t>
  </si>
  <si>
    <t>O00206</t>
  </si>
  <si>
    <t>M000237</t>
  </si>
  <si>
    <t>D000237</t>
  </si>
  <si>
    <t>O00207</t>
  </si>
  <si>
    <t>M000238</t>
  </si>
  <si>
    <t>D000238</t>
  </si>
  <si>
    <t>O00208</t>
  </si>
  <si>
    <t>M000239</t>
  </si>
  <si>
    <t>D000239</t>
  </si>
  <si>
    <t>O00209</t>
  </si>
  <si>
    <t>M000240</t>
  </si>
  <si>
    <t>D000240</t>
  </si>
  <si>
    <t>O00210</t>
  </si>
  <si>
    <t>M000241</t>
  </si>
  <si>
    <t>D000241</t>
  </si>
  <si>
    <t>O00211</t>
  </si>
  <si>
    <t>M000242</t>
  </si>
  <si>
    <t>D000242</t>
  </si>
  <si>
    <t>O00212</t>
  </si>
  <si>
    <t>M000243</t>
  </si>
  <si>
    <t>D000243</t>
  </si>
  <si>
    <t>O00213</t>
  </si>
  <si>
    <t>M000244</t>
  </si>
  <si>
    <t>D000244</t>
  </si>
  <si>
    <t>O00214</t>
  </si>
  <si>
    <t>M000245</t>
  </si>
  <si>
    <t>D000245</t>
  </si>
  <si>
    <t>O00215</t>
  </si>
  <si>
    <t>M000246</t>
  </si>
  <si>
    <t>D000246</t>
  </si>
  <si>
    <t>O00216</t>
  </si>
  <si>
    <t>M000247</t>
  </si>
  <si>
    <t>D000247</t>
  </si>
  <si>
    <t>O00217</t>
  </si>
  <si>
    <t>M000248</t>
  </si>
  <si>
    <t>D000248</t>
  </si>
  <si>
    <t>O00218</t>
  </si>
  <si>
    <t>M000249</t>
  </si>
  <si>
    <t>D000249</t>
  </si>
  <si>
    <t>O00219</t>
  </si>
  <si>
    <t>M000250</t>
  </si>
  <si>
    <t>D000250</t>
  </si>
  <si>
    <t>O00220</t>
  </si>
  <si>
    <t>M000251</t>
  </si>
  <si>
    <t>D000251</t>
  </si>
  <si>
    <t>O00221</t>
  </si>
  <si>
    <t>M000252</t>
  </si>
  <si>
    <t>D000252</t>
  </si>
  <si>
    <t>O00222</t>
  </si>
  <si>
    <t>M000253</t>
  </si>
  <si>
    <t>D000253</t>
  </si>
  <si>
    <t>O00223</t>
  </si>
  <si>
    <t>M000254</t>
  </si>
  <si>
    <t>D000254</t>
  </si>
  <si>
    <t>O00224</t>
  </si>
  <si>
    <t>M000255</t>
  </si>
  <si>
    <t>D000255</t>
  </si>
  <si>
    <t>O00225</t>
  </si>
  <si>
    <t>M000256</t>
  </si>
  <si>
    <t>D000256</t>
  </si>
  <si>
    <t>O00226</t>
  </si>
  <si>
    <t>M000257</t>
  </si>
  <si>
    <t>D000257</t>
  </si>
  <si>
    <t>O00227</t>
  </si>
  <si>
    <t>M000258</t>
  </si>
  <si>
    <t>D000258</t>
  </si>
  <si>
    <t>O00228</t>
  </si>
  <si>
    <t>M000259</t>
  </si>
  <si>
    <t>D000259</t>
  </si>
  <si>
    <t>O00229</t>
  </si>
  <si>
    <t>M000260</t>
  </si>
  <si>
    <t>D000260</t>
  </si>
  <si>
    <t>O00230</t>
  </si>
  <si>
    <t>M000261</t>
  </si>
  <si>
    <t>D000261</t>
  </si>
  <si>
    <t>O00231</t>
  </si>
  <si>
    <t>M000262</t>
  </si>
  <si>
    <t>D000262</t>
  </si>
  <si>
    <t>O00232</t>
  </si>
  <si>
    <t>M000263</t>
  </si>
  <si>
    <t>D000263</t>
  </si>
  <si>
    <t>O00233</t>
  </si>
  <si>
    <t>M000264</t>
  </si>
  <si>
    <t>D000264</t>
  </si>
  <si>
    <t>O00234</t>
  </si>
  <si>
    <t>M000265</t>
  </si>
  <si>
    <t>D000265</t>
  </si>
  <si>
    <t>O00235</t>
  </si>
  <si>
    <t>M000266</t>
  </si>
  <si>
    <t>D000266</t>
  </si>
  <si>
    <t>O00236</t>
  </si>
  <si>
    <t>M000267</t>
  </si>
  <si>
    <t>D000267</t>
  </si>
  <si>
    <t>O00237</t>
  </si>
  <si>
    <t>M000268</t>
  </si>
  <si>
    <t>D000268</t>
  </si>
  <si>
    <t>O00238</t>
  </si>
  <si>
    <t>M000269</t>
  </si>
  <si>
    <t>D000269</t>
  </si>
  <si>
    <t>O00239</t>
  </si>
  <si>
    <t>M000270</t>
  </si>
  <si>
    <t>D000270</t>
  </si>
  <si>
    <t>O00240</t>
  </si>
  <si>
    <t>M000271</t>
  </si>
  <si>
    <t>D000271</t>
  </si>
  <si>
    <t>O00241</t>
  </si>
  <si>
    <t>M000272</t>
  </si>
  <si>
    <t>D000272</t>
  </si>
  <si>
    <t>O00242</t>
  </si>
  <si>
    <t>M000273</t>
  </si>
  <si>
    <t>D000273</t>
  </si>
  <si>
    <t>O00243</t>
  </si>
  <si>
    <t>M000274</t>
  </si>
  <si>
    <t>D000274</t>
  </si>
  <si>
    <t>O00244</t>
  </si>
  <si>
    <t>M000275</t>
  </si>
  <si>
    <t>D000275</t>
  </si>
  <si>
    <t>O00245</t>
  </si>
  <si>
    <t>M000276</t>
  </si>
  <si>
    <t>D000276</t>
  </si>
  <si>
    <t>O00246</t>
  </si>
  <si>
    <t>M000277</t>
  </si>
  <si>
    <t>D000277</t>
  </si>
  <si>
    <t>O00247</t>
  </si>
  <si>
    <t>M000278</t>
  </si>
  <si>
    <t>D000278</t>
  </si>
  <si>
    <t>O00248</t>
  </si>
  <si>
    <t>M000279</t>
  </si>
  <si>
    <t>D000279</t>
  </si>
  <si>
    <t>O00249</t>
  </si>
  <si>
    <t>M000280</t>
  </si>
  <si>
    <t>D000280</t>
  </si>
  <si>
    <t>O00250</t>
  </si>
  <si>
    <t>M000281</t>
  </si>
  <si>
    <t>D000281</t>
  </si>
  <si>
    <t>O00251</t>
  </si>
  <si>
    <t>M000282</t>
  </si>
  <si>
    <t>D000282</t>
  </si>
  <si>
    <t>O00252</t>
  </si>
  <si>
    <t>M000283</t>
  </si>
  <si>
    <t>D000283</t>
  </si>
  <si>
    <t>O00253</t>
  </si>
  <si>
    <t>M000284</t>
  </si>
  <si>
    <t>D000284</t>
  </si>
  <si>
    <t>O00254</t>
  </si>
  <si>
    <t>M000285</t>
  </si>
  <si>
    <t>D000285</t>
  </si>
  <si>
    <t>O00255</t>
  </si>
  <si>
    <t>M000286</t>
  </si>
  <si>
    <t>D000286</t>
  </si>
  <si>
    <t>O00256</t>
  </si>
  <si>
    <t>M000287</t>
  </si>
  <si>
    <t>D000287</t>
  </si>
  <si>
    <t>O00257</t>
  </si>
  <si>
    <t>M000288</t>
  </si>
  <si>
    <t>D000288</t>
  </si>
  <si>
    <t>O00258</t>
  </si>
  <si>
    <t>M000289</t>
  </si>
  <si>
    <t>D000289</t>
  </si>
  <si>
    <t>O00259</t>
  </si>
  <si>
    <t>M000290</t>
  </si>
  <si>
    <t>D000290</t>
  </si>
  <si>
    <t>O00260</t>
  </si>
  <si>
    <t>M000291</t>
  </si>
  <si>
    <t>D000291</t>
  </si>
  <si>
    <t>O00261</t>
  </si>
  <si>
    <t>M000292</t>
  </si>
  <si>
    <t>D000292</t>
  </si>
  <si>
    <t>O00262</t>
  </si>
  <si>
    <t>M000293</t>
  </si>
  <si>
    <t>D000293</t>
  </si>
  <si>
    <t>O00263</t>
  </si>
  <si>
    <t>M000294</t>
  </si>
  <si>
    <t>D000294</t>
  </si>
  <si>
    <t>O00264</t>
  </si>
  <si>
    <t>M000295</t>
  </si>
  <si>
    <t>D000295</t>
  </si>
  <si>
    <t>O00265</t>
  </si>
  <si>
    <t>M000296</t>
  </si>
  <si>
    <t>D000296</t>
  </si>
  <si>
    <t>O00266</t>
  </si>
  <si>
    <t>M000297</t>
  </si>
  <si>
    <t>D000297</t>
  </si>
  <si>
    <t>O00267</t>
  </si>
  <si>
    <t>M000298</t>
  </si>
  <si>
    <t>D000298</t>
  </si>
  <si>
    <t>O00268</t>
  </si>
  <si>
    <t>M000299</t>
  </si>
  <si>
    <t>D000299</t>
  </si>
  <si>
    <t>O00269</t>
  </si>
  <si>
    <t>M000300</t>
  </si>
  <si>
    <t>D000300</t>
  </si>
  <si>
    <t>O00270</t>
  </si>
  <si>
    <t>M000301</t>
  </si>
  <si>
    <t>D000301</t>
  </si>
  <si>
    <t>O00271</t>
  </si>
  <si>
    <t>M000302</t>
  </si>
  <si>
    <t>D000302</t>
  </si>
  <si>
    <t>O00272</t>
  </si>
  <si>
    <t>M000303</t>
  </si>
  <si>
    <t>D000303</t>
  </si>
  <si>
    <t>O00273</t>
  </si>
  <si>
    <t>M000304</t>
  </si>
  <si>
    <t>D000304</t>
  </si>
  <si>
    <t>O00274</t>
  </si>
  <si>
    <t>M000305</t>
  </si>
  <si>
    <t>D000305</t>
  </si>
  <si>
    <t>O00275</t>
  </si>
  <si>
    <t>M000306</t>
  </si>
  <si>
    <t>D000306</t>
  </si>
  <si>
    <t>O00276</t>
  </si>
  <si>
    <t>M000307</t>
  </si>
  <si>
    <t>D000307</t>
  </si>
  <si>
    <t>O00277</t>
  </si>
  <si>
    <t>M000308</t>
  </si>
  <si>
    <t>D000308</t>
  </si>
  <si>
    <t>O00278</t>
  </si>
  <si>
    <t>M000309</t>
  </si>
  <si>
    <t>D000309</t>
  </si>
  <si>
    <t>O00279</t>
  </si>
  <si>
    <t>M000310</t>
  </si>
  <si>
    <t>D000310</t>
  </si>
  <si>
    <t>O00280</t>
  </si>
  <si>
    <t>M000311</t>
  </si>
  <si>
    <t>D000311</t>
  </si>
  <si>
    <t>O00281</t>
  </si>
  <si>
    <t>M000312</t>
  </si>
  <si>
    <t>D000312</t>
  </si>
  <si>
    <t>O00282</t>
  </si>
  <si>
    <t>M000313</t>
  </si>
  <si>
    <t>D000313</t>
  </si>
  <si>
    <t>O00283</t>
  </si>
  <si>
    <t>M000314</t>
  </si>
  <si>
    <t>D000314</t>
  </si>
  <si>
    <t>O00284</t>
  </si>
  <si>
    <t>M000315</t>
  </si>
  <si>
    <t>D000315</t>
  </si>
  <si>
    <t>O00285</t>
  </si>
  <si>
    <t>M000316</t>
  </si>
  <si>
    <t>D000316</t>
  </si>
  <si>
    <t>O00287</t>
  </si>
  <si>
    <t>M000317</t>
  </si>
  <si>
    <t>D000317</t>
  </si>
  <si>
    <t>O00288</t>
  </si>
  <si>
    <t>M000318</t>
  </si>
  <si>
    <t>D000318</t>
  </si>
  <si>
    <t>O00289</t>
  </si>
  <si>
    <t>M000319</t>
  </si>
  <si>
    <t>D000319</t>
  </si>
  <si>
    <t>O00290</t>
  </si>
  <si>
    <t>M000320</t>
  </si>
  <si>
    <t>D000320</t>
  </si>
  <si>
    <t>O00291</t>
  </si>
  <si>
    <t>M000321</t>
  </si>
  <si>
    <t>D000321</t>
  </si>
  <si>
    <t>O00292</t>
  </si>
  <si>
    <t>M000322</t>
  </si>
  <si>
    <t>D000322</t>
  </si>
  <si>
    <t>O00293</t>
  </si>
  <si>
    <t>M000323</t>
  </si>
  <si>
    <t>D000323</t>
  </si>
  <si>
    <t>O00294</t>
  </si>
  <si>
    <t>M000324</t>
  </si>
  <si>
    <t>D000324</t>
  </si>
  <si>
    <t>O00295</t>
  </si>
  <si>
    <t>M000325</t>
  </si>
  <si>
    <t>D000325</t>
  </si>
  <si>
    <t>O00296</t>
  </si>
  <si>
    <t>M000326</t>
  </si>
  <si>
    <t>D000326</t>
  </si>
  <si>
    <t>O00297</t>
  </si>
  <si>
    <t>M000327</t>
  </si>
  <si>
    <t>D000327</t>
  </si>
  <si>
    <t>O00298</t>
  </si>
  <si>
    <t>M000328</t>
  </si>
  <si>
    <t>D000328</t>
  </si>
  <si>
    <t>O00299</t>
  </si>
  <si>
    <t>M000329</t>
  </si>
  <si>
    <t>D000329</t>
  </si>
  <si>
    <t>O00301</t>
  </si>
  <si>
    <t>M000330</t>
  </si>
  <si>
    <t>D000330</t>
  </si>
  <si>
    <t>O00302</t>
  </si>
  <si>
    <t>M000331</t>
  </si>
  <si>
    <t>D000331</t>
  </si>
  <si>
    <t>O00303</t>
  </si>
  <si>
    <t>M000332</t>
  </si>
  <si>
    <t>D000332</t>
  </si>
  <si>
    <t>O00304</t>
  </si>
  <si>
    <t>M000333</t>
  </si>
  <si>
    <t>D000333</t>
  </si>
  <si>
    <t>O00305</t>
  </si>
  <si>
    <t>M000334</t>
  </si>
  <si>
    <t>D000334</t>
  </si>
  <si>
    <t>O00306</t>
  </si>
  <si>
    <t>M000335</t>
  </si>
  <si>
    <t>D000335</t>
  </si>
  <si>
    <t>O00307</t>
  </si>
  <si>
    <t>M000336</t>
  </si>
  <si>
    <t>D000336</t>
  </si>
  <si>
    <t>O00308</t>
  </si>
  <si>
    <t>M000337</t>
  </si>
  <si>
    <t>D000337</t>
  </si>
  <si>
    <t>O00309</t>
  </si>
  <si>
    <t>M000338</t>
  </si>
  <si>
    <t>D000338</t>
  </si>
  <si>
    <t>O00310</t>
  </si>
  <si>
    <t>M000339</t>
  </si>
  <si>
    <t>D000339</t>
  </si>
  <si>
    <t>O00311</t>
  </si>
  <si>
    <t>M000340</t>
  </si>
  <si>
    <t>D000340</t>
  </si>
  <si>
    <t>O00312</t>
  </si>
  <si>
    <t>M000341</t>
  </si>
  <si>
    <t>D000341</t>
  </si>
  <si>
    <t>O00313</t>
  </si>
  <si>
    <t>M000342</t>
  </si>
  <si>
    <t>D000342</t>
  </si>
  <si>
    <t>O00314</t>
  </si>
  <si>
    <t>M000343</t>
  </si>
  <si>
    <t>D000343</t>
  </si>
  <si>
    <t>O00315</t>
  </si>
  <si>
    <t>M000344</t>
  </si>
  <si>
    <t>D000344</t>
  </si>
  <si>
    <t>O00316</t>
  </si>
  <si>
    <t>M000345</t>
  </si>
  <si>
    <t>D000345</t>
  </si>
  <si>
    <t>O00317</t>
  </si>
  <si>
    <t>M000346</t>
  </si>
  <si>
    <t>D000346</t>
  </si>
  <si>
    <t>O00318</t>
  </si>
  <si>
    <t>M000347</t>
  </si>
  <si>
    <t>D000347</t>
  </si>
  <si>
    <t>O00319</t>
  </si>
  <si>
    <t>M000348</t>
  </si>
  <si>
    <t>D000348</t>
  </si>
  <si>
    <t>O00320</t>
  </si>
  <si>
    <t>M000349</t>
  </si>
  <si>
    <t>D000349</t>
  </si>
  <si>
    <t>O00321</t>
  </si>
  <si>
    <t>M000350</t>
  </si>
  <si>
    <t>D000350</t>
  </si>
  <si>
    <t>O00322</t>
  </si>
  <si>
    <t>M000351</t>
  </si>
  <si>
    <t>D000351</t>
  </si>
  <si>
    <t>O00323</t>
  </si>
  <si>
    <t>M000352</t>
  </si>
  <si>
    <t>D000352</t>
  </si>
  <si>
    <t>O00324</t>
  </si>
  <si>
    <t>M000353</t>
  </si>
  <si>
    <t>D000353</t>
  </si>
  <si>
    <t>O00326</t>
  </si>
  <si>
    <t>M000354</t>
  </si>
  <si>
    <t>D000354</t>
  </si>
  <si>
    <t>O00327</t>
  </si>
  <si>
    <t>M000355</t>
  </si>
  <si>
    <t>D000355</t>
  </si>
  <si>
    <t>O00328</t>
  </si>
  <si>
    <t>M000356</t>
  </si>
  <si>
    <t>D000356</t>
  </si>
  <si>
    <t>O00329</t>
  </si>
  <si>
    <t>M000357</t>
  </si>
  <si>
    <t>D000357</t>
  </si>
  <si>
    <t>O00330</t>
  </si>
  <si>
    <t>M000358</t>
  </si>
  <si>
    <t>D000358</t>
  </si>
  <si>
    <t>O00331</t>
  </si>
  <si>
    <t>M000359</t>
  </si>
  <si>
    <t>D000359</t>
  </si>
  <si>
    <t>O00332</t>
  </si>
  <si>
    <t>M000360</t>
  </si>
  <si>
    <t>D000360</t>
  </si>
  <si>
    <t>O00333</t>
  </si>
  <si>
    <t>M000361</t>
  </si>
  <si>
    <t>D000361</t>
  </si>
  <si>
    <t>O00334</t>
  </si>
  <si>
    <t>M000362</t>
  </si>
  <si>
    <t>D000362</t>
  </si>
  <si>
    <t>RECEIPT</t>
  </si>
  <si>
    <t>R0001</t>
  </si>
  <si>
    <t>M000363</t>
  </si>
  <si>
    <t>D000363</t>
  </si>
  <si>
    <t>R0002</t>
  </si>
  <si>
    <t>M000364</t>
  </si>
  <si>
    <t>D000364</t>
  </si>
  <si>
    <t>R0003</t>
  </si>
  <si>
    <t>M000365</t>
  </si>
  <si>
    <t>D000365</t>
  </si>
  <si>
    <t>R0004</t>
  </si>
  <si>
    <t>M000366</t>
  </si>
  <si>
    <t>D000366</t>
  </si>
  <si>
    <t>R0005</t>
  </si>
  <si>
    <t>M000367</t>
  </si>
  <si>
    <t>D000367</t>
  </si>
  <si>
    <t>R0006</t>
  </si>
  <si>
    <t>M000368</t>
  </si>
  <si>
    <t>D000368</t>
  </si>
  <si>
    <t>R0007</t>
  </si>
  <si>
    <t>M000369</t>
  </si>
  <si>
    <t>D000369</t>
  </si>
  <si>
    <t>R0008</t>
  </si>
  <si>
    <t>M000370</t>
  </si>
  <si>
    <t>D000370</t>
  </si>
  <si>
    <t>R0009</t>
  </si>
  <si>
    <t>M000371</t>
  </si>
  <si>
    <t>D000371</t>
  </si>
  <si>
    <t>R0010</t>
  </si>
  <si>
    <t>M000372</t>
  </si>
  <si>
    <t>D000372</t>
  </si>
  <si>
    <t>R0011</t>
  </si>
  <si>
    <t>M000373</t>
  </si>
  <si>
    <t>D000373</t>
  </si>
  <si>
    <t>R0012</t>
  </si>
  <si>
    <t>M000374</t>
  </si>
  <si>
    <t>D000374</t>
  </si>
  <si>
    <t>R0013</t>
  </si>
  <si>
    <t>M000375</t>
  </si>
  <si>
    <t>D000375</t>
  </si>
  <si>
    <t>R0014</t>
  </si>
  <si>
    <t>M000376</t>
  </si>
  <si>
    <t>D000376</t>
  </si>
  <si>
    <t>R0015</t>
  </si>
  <si>
    <t>M000377</t>
  </si>
  <si>
    <t>D000377</t>
  </si>
  <si>
    <t>R0016</t>
  </si>
  <si>
    <t>M000378</t>
  </si>
  <si>
    <t>D000378</t>
  </si>
  <si>
    <t>R0017</t>
  </si>
  <si>
    <t>M000379</t>
  </si>
  <si>
    <t>D000379</t>
  </si>
  <si>
    <t>R0018</t>
  </si>
  <si>
    <t>M000380</t>
  </si>
  <si>
    <t>D000380</t>
  </si>
  <si>
    <t>R0019</t>
  </si>
  <si>
    <t>M000381</t>
  </si>
  <si>
    <t>D000381</t>
  </si>
  <si>
    <t>R0020</t>
  </si>
  <si>
    <t>M000382</t>
  </si>
  <si>
    <t>D000382</t>
  </si>
  <si>
    <t>R0021</t>
  </si>
  <si>
    <t>M000383</t>
  </si>
  <si>
    <t>D000383</t>
  </si>
  <si>
    <t>R0022</t>
  </si>
  <si>
    <t>M000384</t>
  </si>
  <si>
    <t>D000384</t>
  </si>
  <si>
    <t>R0023</t>
  </si>
  <si>
    <t>M000385</t>
  </si>
  <si>
    <t>D000385</t>
  </si>
  <si>
    <t>R0024</t>
  </si>
  <si>
    <t>M000386</t>
  </si>
  <si>
    <t>D000386</t>
  </si>
  <si>
    <t>R0025</t>
  </si>
  <si>
    <t>M000387</t>
  </si>
  <si>
    <t>D000387</t>
  </si>
  <si>
    <t>R0026</t>
  </si>
  <si>
    <t>M000388</t>
  </si>
  <si>
    <t>D000388</t>
  </si>
  <si>
    <t>R0027</t>
  </si>
  <si>
    <t>M000389</t>
  </si>
  <si>
    <t>D000389</t>
  </si>
  <si>
    <t>R0028</t>
  </si>
  <si>
    <t>M000390</t>
  </si>
  <si>
    <t>D000390</t>
  </si>
  <si>
    <t>O00335</t>
  </si>
  <si>
    <t>M000391</t>
  </si>
  <si>
    <t>D000391</t>
  </si>
  <si>
    <t>O00336</t>
  </si>
  <si>
    <t>M000392</t>
  </si>
  <si>
    <t>D000392</t>
  </si>
  <si>
    <t>O00337</t>
  </si>
  <si>
    <t>M000393</t>
  </si>
  <si>
    <t>D000393</t>
  </si>
  <si>
    <t>O00338</t>
  </si>
  <si>
    <t>M000394</t>
  </si>
  <si>
    <t>D000394</t>
  </si>
  <si>
    <t>O00339</t>
  </si>
  <si>
    <t>M000395</t>
  </si>
  <si>
    <t>D000395</t>
  </si>
  <si>
    <t>O00340</t>
  </si>
  <si>
    <t>M000396</t>
  </si>
  <si>
    <t>D000396</t>
  </si>
  <si>
    <t>O00341</t>
  </si>
  <si>
    <t>M000397</t>
  </si>
  <si>
    <t>D000397</t>
  </si>
  <si>
    <t>O00342</t>
  </si>
  <si>
    <t>M000398</t>
  </si>
  <si>
    <t>D000398</t>
  </si>
  <si>
    <t>O00343</t>
  </si>
  <si>
    <t>M000399</t>
  </si>
  <si>
    <t>D000399</t>
  </si>
  <si>
    <t>O00344</t>
  </si>
  <si>
    <t>M000400</t>
  </si>
  <si>
    <t>D000400</t>
  </si>
  <si>
    <t>O00345</t>
  </si>
  <si>
    <t>M000401</t>
  </si>
  <si>
    <t>D000401</t>
  </si>
  <si>
    <t>O00346</t>
  </si>
  <si>
    <t>M000402</t>
  </si>
  <si>
    <t>D000402</t>
  </si>
  <si>
    <t>O00347</t>
  </si>
  <si>
    <t>M000403</t>
  </si>
  <si>
    <t>D000403</t>
  </si>
  <si>
    <t>O00348</t>
  </si>
  <si>
    <t>M000404</t>
  </si>
  <si>
    <t>D000404</t>
  </si>
  <si>
    <t>O00349</t>
  </si>
  <si>
    <t>M000405</t>
  </si>
  <si>
    <t>D000405</t>
  </si>
  <si>
    <t>O00350</t>
  </si>
  <si>
    <t>M000406</t>
  </si>
  <si>
    <t>D000406</t>
  </si>
  <si>
    <t>O00351</t>
  </si>
  <si>
    <t>M000407</t>
  </si>
  <si>
    <t>D000407</t>
  </si>
  <si>
    <t>O00352</t>
  </si>
  <si>
    <t>M000408</t>
  </si>
  <si>
    <t>D000408</t>
  </si>
  <si>
    <t>O00353</t>
  </si>
  <si>
    <t>M000409</t>
  </si>
  <si>
    <t>D000409</t>
  </si>
  <si>
    <t>O00354</t>
  </si>
  <si>
    <t>M000410</t>
  </si>
  <si>
    <t>D000410</t>
  </si>
  <si>
    <t>O00355</t>
  </si>
  <si>
    <t>M000411</t>
  </si>
  <si>
    <t>D000411</t>
  </si>
  <si>
    <t>O00356</t>
  </si>
  <si>
    <t>M000412</t>
  </si>
  <si>
    <t>D000412</t>
  </si>
  <si>
    <t>O00357</t>
  </si>
  <si>
    <t>M000413</t>
  </si>
  <si>
    <t>D000413</t>
  </si>
  <si>
    <t>O00358</t>
  </si>
  <si>
    <t>M000414</t>
  </si>
  <si>
    <t>D000414</t>
  </si>
  <si>
    <t>O00359</t>
  </si>
  <si>
    <t>M000415</t>
  </si>
  <si>
    <t>D000415</t>
  </si>
  <si>
    <t>O00360</t>
  </si>
  <si>
    <t>M000416</t>
  </si>
  <si>
    <t>D000416</t>
  </si>
  <si>
    <t>O00361</t>
  </si>
  <si>
    <t>M000417</t>
  </si>
  <si>
    <t>D000417</t>
  </si>
  <si>
    <t>O00362</t>
  </si>
  <si>
    <t>M000418</t>
  </si>
  <si>
    <t>D000418</t>
  </si>
  <si>
    <t>O00363</t>
  </si>
  <si>
    <t>M000419</t>
  </si>
  <si>
    <t>D000419</t>
  </si>
  <si>
    <t>O00364</t>
  </si>
  <si>
    <t>M000420</t>
  </si>
  <si>
    <t>D000420</t>
  </si>
  <si>
    <t>O00365</t>
  </si>
  <si>
    <t>M000421</t>
  </si>
  <si>
    <t>D000421</t>
  </si>
  <si>
    <t>O00366</t>
  </si>
  <si>
    <t>M000422</t>
  </si>
  <si>
    <t>D000422</t>
  </si>
  <si>
    <t>O00367</t>
  </si>
  <si>
    <t>M000423</t>
  </si>
  <si>
    <t>D000423</t>
  </si>
  <si>
    <t>O00368</t>
  </si>
  <si>
    <t>M000424</t>
  </si>
  <si>
    <t>D000424</t>
  </si>
  <si>
    <t>O00369</t>
  </si>
  <si>
    <t>M000425</t>
  </si>
  <si>
    <t>D000425</t>
  </si>
  <si>
    <t>O00370</t>
  </si>
  <si>
    <t>M000426</t>
  </si>
  <si>
    <t>D000426</t>
  </si>
  <si>
    <t>O00371</t>
  </si>
  <si>
    <t>M000427</t>
  </si>
  <si>
    <t>D000427</t>
  </si>
  <si>
    <t>O00372</t>
  </si>
  <si>
    <t>M000428</t>
  </si>
  <si>
    <t>D000428</t>
  </si>
  <si>
    <t>O00373</t>
  </si>
  <si>
    <t>M000429</t>
  </si>
  <si>
    <t>D000429</t>
  </si>
  <si>
    <t>O00374</t>
  </si>
  <si>
    <t>M000430</t>
  </si>
  <si>
    <t>D000430</t>
  </si>
  <si>
    <t>O00375</t>
  </si>
  <si>
    <t>M000431</t>
  </si>
  <si>
    <t>D000431</t>
  </si>
  <si>
    <t>O00376</t>
  </si>
  <si>
    <t>M000432</t>
  </si>
  <si>
    <t>D000432</t>
  </si>
  <si>
    <t>O00377</t>
  </si>
  <si>
    <t>M000433</t>
  </si>
  <si>
    <t>D000433</t>
  </si>
  <si>
    <t>O00378</t>
  </si>
  <si>
    <t>M000434</t>
  </si>
  <si>
    <t>D000434</t>
  </si>
  <si>
    <t>O00379</t>
  </si>
  <si>
    <t>M000435</t>
  </si>
  <si>
    <t>D000435</t>
  </si>
  <si>
    <t>O00380</t>
  </si>
  <si>
    <t>M000436</t>
  </si>
  <si>
    <t>D000436</t>
  </si>
  <si>
    <t>O00381</t>
  </si>
  <si>
    <t>M000437</t>
  </si>
  <si>
    <t>D000437</t>
  </si>
  <si>
    <t>O00382</t>
  </si>
  <si>
    <t>M000438</t>
  </si>
  <si>
    <t>D000438</t>
  </si>
  <si>
    <t>O00383</t>
  </si>
  <si>
    <t>M000439</t>
  </si>
  <si>
    <t>D000439</t>
  </si>
  <si>
    <t>O00384</t>
  </si>
  <si>
    <t>M000440</t>
  </si>
  <si>
    <t>D000440</t>
  </si>
  <si>
    <t>O00385</t>
  </si>
  <si>
    <t>M000441</t>
  </si>
  <si>
    <t>D000441</t>
  </si>
  <si>
    <t>O00386</t>
  </si>
  <si>
    <t>M000442</t>
  </si>
  <si>
    <t>D000442</t>
  </si>
  <si>
    <t>O00387</t>
  </si>
  <si>
    <t>M000443</t>
  </si>
  <si>
    <t>D000443</t>
  </si>
  <si>
    <t>O00388</t>
  </si>
  <si>
    <t>M000444</t>
  </si>
  <si>
    <t>D000444</t>
  </si>
  <si>
    <t>O00389</t>
  </si>
  <si>
    <t>M000445</t>
  </si>
  <si>
    <t>D000445</t>
  </si>
  <si>
    <t>O00390</t>
  </si>
  <si>
    <t>M000446</t>
  </si>
  <si>
    <t>D000446</t>
  </si>
  <si>
    <t>O00391</t>
  </si>
  <si>
    <t>M000447</t>
  </si>
  <si>
    <t>D000447</t>
  </si>
  <si>
    <t>O00392</t>
  </si>
  <si>
    <t>M000448</t>
  </si>
  <si>
    <t>D000448</t>
  </si>
  <si>
    <t>O00393</t>
  </si>
  <si>
    <t>M000449</t>
  </si>
  <si>
    <t>D000449</t>
  </si>
  <si>
    <t>O00394</t>
  </si>
  <si>
    <t>M000450</t>
  </si>
  <si>
    <t>D000450</t>
  </si>
  <si>
    <t>O00395</t>
  </si>
  <si>
    <t>M000451</t>
  </si>
  <si>
    <t>D000451</t>
  </si>
  <si>
    <t>O00396</t>
  </si>
  <si>
    <t>M000452</t>
  </si>
  <si>
    <t>D000452</t>
  </si>
  <si>
    <t>O00397</t>
  </si>
  <si>
    <t>M000453</t>
  </si>
  <si>
    <t>D000453</t>
  </si>
  <si>
    <t>O00398</t>
  </si>
  <si>
    <t>M000454</t>
  </si>
  <si>
    <t>D000454</t>
  </si>
  <si>
    <t>O00399</t>
  </si>
  <si>
    <t>M000455</t>
  </si>
  <si>
    <t>D000455</t>
  </si>
  <si>
    <t>O00400</t>
  </si>
  <si>
    <t>M000456</t>
  </si>
  <si>
    <t>D000456</t>
  </si>
  <si>
    <t>O00401</t>
  </si>
  <si>
    <t>M000457</t>
  </si>
  <si>
    <t>D000457</t>
  </si>
  <si>
    <t>O00402</t>
  </si>
  <si>
    <t>M000458</t>
  </si>
  <si>
    <t>D000458</t>
  </si>
  <si>
    <t>O00403</t>
  </si>
  <si>
    <t>M000459</t>
  </si>
  <si>
    <t>D000459</t>
  </si>
  <si>
    <t>O00404</t>
  </si>
  <si>
    <t>M000460</t>
  </si>
  <si>
    <t>D000460</t>
  </si>
  <si>
    <t>O00405</t>
  </si>
  <si>
    <t>M000461</t>
  </si>
  <si>
    <t>D000461</t>
  </si>
  <si>
    <t>O00406</t>
  </si>
  <si>
    <t>M000462</t>
  </si>
  <si>
    <t>D000462</t>
  </si>
  <si>
    <t>O00407</t>
  </si>
  <si>
    <t>M000463</t>
  </si>
  <si>
    <t>D000463</t>
  </si>
  <si>
    <t>O00408</t>
  </si>
  <si>
    <t>M000464</t>
  </si>
  <si>
    <t>D000464</t>
  </si>
  <si>
    <t>O00409</t>
  </si>
  <si>
    <t>M000465</t>
  </si>
  <si>
    <t>D000465</t>
  </si>
  <si>
    <t>O00410</t>
  </si>
  <si>
    <t>M000466</t>
  </si>
  <si>
    <t>D000466</t>
  </si>
  <si>
    <t>O00411</t>
  </si>
  <si>
    <t>M000467</t>
  </si>
  <si>
    <t>D000467</t>
  </si>
  <si>
    <t>O00412</t>
  </si>
  <si>
    <t>M000468</t>
  </si>
  <si>
    <t>D000468</t>
  </si>
  <si>
    <t>O00413</t>
  </si>
  <si>
    <t>M000469</t>
  </si>
  <si>
    <t>D000469</t>
  </si>
  <si>
    <t>O00414</t>
  </si>
  <si>
    <t>M000470</t>
  </si>
  <si>
    <t>D000470</t>
  </si>
  <si>
    <t>O00415</t>
  </si>
  <si>
    <t>M000471</t>
  </si>
  <si>
    <t>D000471</t>
  </si>
  <si>
    <t>O00416</t>
  </si>
  <si>
    <t>M000472</t>
  </si>
  <si>
    <t>D000472</t>
  </si>
  <si>
    <t>O00417</t>
  </si>
  <si>
    <t>M000473</t>
  </si>
  <si>
    <t>D000473</t>
  </si>
  <si>
    <t>O00418</t>
  </si>
  <si>
    <t>M000474</t>
  </si>
  <si>
    <t>D000474</t>
  </si>
  <si>
    <t>O00419</t>
  </si>
  <si>
    <t>M000475</t>
  </si>
  <si>
    <t>D000475</t>
  </si>
  <si>
    <t>O00420</t>
  </si>
  <si>
    <t>M000476</t>
  </si>
  <si>
    <t>D000476</t>
  </si>
  <si>
    <t>O00421</t>
  </si>
  <si>
    <t>M000477</t>
  </si>
  <si>
    <t>D000477</t>
  </si>
  <si>
    <t>O00422</t>
  </si>
  <si>
    <t>M000478</t>
  </si>
  <si>
    <t>D000478</t>
  </si>
  <si>
    <t>O00423</t>
  </si>
  <si>
    <t>M000479</t>
  </si>
  <si>
    <t>D000479</t>
  </si>
  <si>
    <t>O00424</t>
  </si>
  <si>
    <t>M000480</t>
  </si>
  <si>
    <t>D000480</t>
  </si>
  <si>
    <t>O00425</t>
  </si>
  <si>
    <t>M000481</t>
  </si>
  <si>
    <t>D000481</t>
  </si>
  <si>
    <t>O00426</t>
  </si>
  <si>
    <t>M000482</t>
  </si>
  <si>
    <t>D000482</t>
  </si>
  <si>
    <t>O00427</t>
  </si>
  <si>
    <t>M000483</t>
  </si>
  <si>
    <t>D000483</t>
  </si>
  <si>
    <t>O00428</t>
  </si>
  <si>
    <t>M000484</t>
  </si>
  <si>
    <t>D000484</t>
  </si>
  <si>
    <t>O00429</t>
  </si>
  <si>
    <t>M000485</t>
  </si>
  <si>
    <t>D000485</t>
  </si>
  <si>
    <t>O00430</t>
  </si>
  <si>
    <t>M000486</t>
  </si>
  <si>
    <t>D000486</t>
  </si>
  <si>
    <t>O00431</t>
  </si>
  <si>
    <t>M000487</t>
  </si>
  <si>
    <t>D000487</t>
  </si>
  <si>
    <t>O00432</t>
  </si>
  <si>
    <t>M000488</t>
  </si>
  <si>
    <t>D000488</t>
  </si>
  <si>
    <t>O00433</t>
  </si>
  <si>
    <t>M000489</t>
  </si>
  <si>
    <t>D000489</t>
  </si>
  <si>
    <t>O00434</t>
  </si>
  <si>
    <t>M000490</t>
  </si>
  <si>
    <t>D000490</t>
  </si>
  <si>
    <t>O00435</t>
  </si>
  <si>
    <t>M000491</t>
  </si>
  <si>
    <t>D000491</t>
  </si>
  <si>
    <t>O00436</t>
  </si>
  <si>
    <t>M000492</t>
  </si>
  <si>
    <t>D000492</t>
  </si>
  <si>
    <t>O00437</t>
  </si>
  <si>
    <t>M000493</t>
  </si>
  <si>
    <t>D000493</t>
  </si>
  <si>
    <t>O00438</t>
  </si>
  <si>
    <t>M000494</t>
  </si>
  <si>
    <t>D000494</t>
  </si>
  <si>
    <t>O00439</t>
  </si>
  <si>
    <t>M000495</t>
  </si>
  <si>
    <t>D000495</t>
  </si>
  <si>
    <t>O00440</t>
  </si>
  <si>
    <t>M000496</t>
  </si>
  <si>
    <t>D000496</t>
  </si>
  <si>
    <t>O00441</t>
  </si>
  <si>
    <t>M000497</t>
  </si>
  <si>
    <t>D000497</t>
  </si>
  <si>
    <t>O00442</t>
  </si>
  <si>
    <t>M000498</t>
  </si>
  <si>
    <t>D000498</t>
  </si>
  <si>
    <t>O00443</t>
  </si>
  <si>
    <t>M000499</t>
  </si>
  <si>
    <t>D000499</t>
  </si>
  <si>
    <t>O00444</t>
  </si>
  <si>
    <t>M000500</t>
  </si>
  <si>
    <t>D000500</t>
  </si>
  <si>
    <t>O00445</t>
  </si>
  <si>
    <t>M000501</t>
  </si>
  <si>
    <t>D000501</t>
  </si>
  <si>
    <t>O00446</t>
  </si>
  <si>
    <t>M000502</t>
  </si>
  <si>
    <t>D000502</t>
  </si>
  <si>
    <t>O00447</t>
  </si>
  <si>
    <t>M000503</t>
  </si>
  <si>
    <t>D000503</t>
  </si>
  <si>
    <t>O00448</t>
  </si>
  <si>
    <t>M000504</t>
  </si>
  <si>
    <t>D000504</t>
  </si>
  <si>
    <t>O00449</t>
  </si>
  <si>
    <t>M000505</t>
  </si>
  <si>
    <t>D000505</t>
  </si>
  <si>
    <t>O00450</t>
  </si>
  <si>
    <t>M000506</t>
  </si>
  <si>
    <t>D000506</t>
  </si>
  <si>
    <t>O00451</t>
  </si>
  <si>
    <t>M000507</t>
  </si>
  <si>
    <t>D000507</t>
  </si>
  <si>
    <t>O00452</t>
  </si>
  <si>
    <t>M000508</t>
  </si>
  <si>
    <t>D000508</t>
  </si>
  <si>
    <t>O00453</t>
  </si>
  <si>
    <t>M000509</t>
  </si>
  <si>
    <t>D000509</t>
  </si>
  <si>
    <t>O00454</t>
  </si>
  <si>
    <t>M000510</t>
  </si>
  <si>
    <t>D000510</t>
  </si>
  <si>
    <t>O00455</t>
  </si>
  <si>
    <t>M000511</t>
  </si>
  <si>
    <t>D000511</t>
  </si>
  <si>
    <t>O00456</t>
  </si>
  <si>
    <t>M000512</t>
  </si>
  <si>
    <t>D000512</t>
  </si>
  <si>
    <t>O00457</t>
  </si>
  <si>
    <t>M000513</t>
  </si>
  <si>
    <t>D000513</t>
  </si>
  <si>
    <t>O00458</t>
  </si>
  <si>
    <t>M000514</t>
  </si>
  <si>
    <t>D000514</t>
  </si>
  <si>
    <t>O00459</t>
  </si>
  <si>
    <t>M000515</t>
  </si>
  <si>
    <t>D000515</t>
  </si>
  <si>
    <t>O00460</t>
  </si>
  <si>
    <t>M000516</t>
  </si>
  <si>
    <t>D000516</t>
  </si>
  <si>
    <t>O00461</t>
  </si>
  <si>
    <t>M000517</t>
  </si>
  <si>
    <t>D000517</t>
  </si>
  <si>
    <t>O00462</t>
  </si>
  <si>
    <t>M000518</t>
  </si>
  <si>
    <t>D000518</t>
  </si>
  <si>
    <t>O00463</t>
  </si>
  <si>
    <t>M000519</t>
  </si>
  <si>
    <t>D000519</t>
  </si>
  <si>
    <t>O00464</t>
  </si>
  <si>
    <t>M000520</t>
  </si>
  <si>
    <t>D000520</t>
  </si>
  <si>
    <t>O00465</t>
  </si>
  <si>
    <t>M000521</t>
  </si>
  <si>
    <t>D000521</t>
  </si>
  <si>
    <t>O00466</t>
  </si>
  <si>
    <t>M000522</t>
  </si>
  <si>
    <t>D000522</t>
  </si>
  <si>
    <t>O00467</t>
  </si>
  <si>
    <t>M000523</t>
  </si>
  <si>
    <t>D000523</t>
  </si>
  <si>
    <t>O00468</t>
  </si>
  <si>
    <t>M000524</t>
  </si>
  <si>
    <t>D000524</t>
  </si>
  <si>
    <t>O00469</t>
  </si>
  <si>
    <t>M000525</t>
  </si>
  <si>
    <t>D000525</t>
  </si>
  <si>
    <t>O00470</t>
  </si>
  <si>
    <t>M000526</t>
  </si>
  <si>
    <t>D000526</t>
  </si>
  <si>
    <t>O00471</t>
  </si>
  <si>
    <t>M000527</t>
  </si>
  <si>
    <t>D000527</t>
  </si>
  <si>
    <t>O00472</t>
  </si>
  <si>
    <t>M000528</t>
  </si>
  <si>
    <t>D000528</t>
  </si>
  <si>
    <t>O00473</t>
  </si>
  <si>
    <t>M000529</t>
  </si>
  <si>
    <t>D000529</t>
  </si>
  <si>
    <t>O00474</t>
  </si>
  <si>
    <t>M000530</t>
  </si>
  <si>
    <t>D000530</t>
  </si>
  <si>
    <t>O00475</t>
  </si>
  <si>
    <t>M000531</t>
  </si>
  <si>
    <t>D000531</t>
  </si>
  <si>
    <t>O00476</t>
  </si>
  <si>
    <t>M000532</t>
  </si>
  <si>
    <t>D000532</t>
  </si>
  <si>
    <t>O00477</t>
  </si>
  <si>
    <t>M000533</t>
  </si>
  <si>
    <t>D000533</t>
  </si>
  <si>
    <t>O00478</t>
  </si>
  <si>
    <t>M000534</t>
  </si>
  <si>
    <t>D000534</t>
  </si>
  <si>
    <t>O00479</t>
  </si>
  <si>
    <t>M000535</t>
  </si>
  <si>
    <t>D000535</t>
  </si>
  <si>
    <t>M000536</t>
  </si>
  <si>
    <t>D000536</t>
  </si>
  <si>
    <t>O00480</t>
  </si>
  <si>
    <t>M000537</t>
  </si>
  <si>
    <t>D000537</t>
  </si>
  <si>
    <t>O00481</t>
  </si>
  <si>
    <t>M000538</t>
  </si>
  <si>
    <t>D000538</t>
  </si>
  <si>
    <t>O00482</t>
  </si>
  <si>
    <t>M000539</t>
  </si>
  <si>
    <t>D000539</t>
  </si>
  <si>
    <t>O00483</t>
  </si>
  <si>
    <t>M000540</t>
  </si>
  <si>
    <t>D000540</t>
  </si>
  <si>
    <t>O00484</t>
  </si>
  <si>
    <t>M000541</t>
  </si>
  <si>
    <t>D000541</t>
  </si>
  <si>
    <t>O00485</t>
  </si>
  <si>
    <t>M000542</t>
  </si>
  <si>
    <t>D000542</t>
  </si>
  <si>
    <t>O00486</t>
  </si>
  <si>
    <t>M000543</t>
  </si>
  <si>
    <t>D000543</t>
  </si>
  <si>
    <t>O00487</t>
  </si>
  <si>
    <t>M000544</t>
  </si>
  <si>
    <t>D000544</t>
  </si>
  <si>
    <t>O00488</t>
  </si>
  <si>
    <t>M000545</t>
  </si>
  <si>
    <t>D000545</t>
  </si>
  <si>
    <t>O00489</t>
  </si>
  <si>
    <t>M000546</t>
  </si>
  <si>
    <t>D000546</t>
  </si>
  <si>
    <t>O00490</t>
  </si>
  <si>
    <t>M000547</t>
  </si>
  <si>
    <t>D000547</t>
  </si>
  <si>
    <t>O00491</t>
  </si>
  <si>
    <t>M000548</t>
  </si>
  <si>
    <t>D000548</t>
  </si>
  <si>
    <t>O00492</t>
  </si>
  <si>
    <t>M000549</t>
  </si>
  <si>
    <t>D000549</t>
  </si>
  <si>
    <t>O00493</t>
  </si>
  <si>
    <t>M000550</t>
  </si>
  <si>
    <t>D000550</t>
  </si>
  <si>
    <t>O00494</t>
  </si>
  <si>
    <t>M000551</t>
  </si>
  <si>
    <t>D000551</t>
  </si>
  <si>
    <t>O00495</t>
  </si>
  <si>
    <t>M000552</t>
  </si>
  <si>
    <t>D000552</t>
  </si>
  <si>
    <t>O00496</t>
  </si>
  <si>
    <t>M000553</t>
  </si>
  <si>
    <t>D000553</t>
  </si>
  <si>
    <t>O00497</t>
  </si>
  <si>
    <t>M000554</t>
  </si>
  <si>
    <t>D000554</t>
  </si>
  <si>
    <t>O00498</t>
  </si>
  <si>
    <t>M000555</t>
  </si>
  <si>
    <t>D000555</t>
  </si>
  <si>
    <t>O00499</t>
  </si>
  <si>
    <t>M000556</t>
  </si>
  <si>
    <t>D000556</t>
  </si>
  <si>
    <t>O00500</t>
  </si>
  <si>
    <t>M000557</t>
  </si>
  <si>
    <t>D000557</t>
  </si>
  <si>
    <t>O00501</t>
  </si>
  <si>
    <t>M000558</t>
  </si>
  <si>
    <t>D000558</t>
  </si>
  <si>
    <t>O00502</t>
  </si>
  <si>
    <t>M000559</t>
  </si>
  <si>
    <t>D000559</t>
  </si>
  <si>
    <t>O00503</t>
  </si>
  <si>
    <t>M000560</t>
  </si>
  <si>
    <t>D000560</t>
  </si>
  <si>
    <t>O00504</t>
  </si>
  <si>
    <t>M000561</t>
  </si>
  <si>
    <t>D000561</t>
  </si>
  <si>
    <t>O00505</t>
  </si>
  <si>
    <t>M000562</t>
  </si>
  <si>
    <t>D000562</t>
  </si>
  <si>
    <t>O00506</t>
  </si>
  <si>
    <t>M000563</t>
  </si>
  <si>
    <t>D000563</t>
  </si>
  <si>
    <t>O00507</t>
  </si>
  <si>
    <t>M000564</t>
  </si>
  <si>
    <t>D000564</t>
  </si>
  <si>
    <t>O00508</t>
  </si>
  <si>
    <t>M000565</t>
  </si>
  <si>
    <t>D000565</t>
  </si>
  <si>
    <t>O00509</t>
  </si>
  <si>
    <t>M000566</t>
  </si>
  <si>
    <t>D000566</t>
  </si>
  <si>
    <t>O00510</t>
  </si>
  <si>
    <t>M000567</t>
  </si>
  <si>
    <t>D000567</t>
  </si>
  <si>
    <t>O00511</t>
  </si>
  <si>
    <t>M000568</t>
  </si>
  <si>
    <t>D000568</t>
  </si>
  <si>
    <t>O00512</t>
  </si>
  <si>
    <t>M000569</t>
  </si>
  <si>
    <t>D000569</t>
  </si>
  <si>
    <t>O00513</t>
  </si>
  <si>
    <t>M000570</t>
  </si>
  <si>
    <t>D000570</t>
  </si>
  <si>
    <t>O00514</t>
  </si>
  <si>
    <t>M000571</t>
  </si>
  <si>
    <t>D000571</t>
  </si>
  <si>
    <t>O00515</t>
  </si>
  <si>
    <t>M000572</t>
  </si>
  <si>
    <t>D000572</t>
  </si>
  <si>
    <t>O00516</t>
  </si>
  <si>
    <t>M000573</t>
  </si>
  <si>
    <t>D000573</t>
  </si>
  <si>
    <t>O00517</t>
  </si>
  <si>
    <t>M000574</t>
  </si>
  <si>
    <t>D000574</t>
  </si>
  <si>
    <t>O00518</t>
  </si>
  <si>
    <t>M000575</t>
  </si>
  <si>
    <t>D000575</t>
  </si>
  <si>
    <t>O00519</t>
  </si>
  <si>
    <t>M000576</t>
  </si>
  <si>
    <t>D000576</t>
  </si>
  <si>
    <t>O00520</t>
  </si>
  <si>
    <t>M000577</t>
  </si>
  <si>
    <t>D000577</t>
  </si>
  <si>
    <t>O00521</t>
  </si>
  <si>
    <t>M000578</t>
  </si>
  <si>
    <t>D000578</t>
  </si>
  <si>
    <t>O00522</t>
  </si>
  <si>
    <t>M000579</t>
  </si>
  <si>
    <t>D000579</t>
  </si>
  <si>
    <t>O00523</t>
  </si>
  <si>
    <t>M000580</t>
  </si>
  <si>
    <t>D000580</t>
  </si>
  <si>
    <t>O00524</t>
  </si>
  <si>
    <t>M000581</t>
  </si>
  <si>
    <t>D000581</t>
  </si>
  <si>
    <t>O00525</t>
  </si>
  <si>
    <t>M000582</t>
  </si>
  <si>
    <t>D000582</t>
  </si>
  <si>
    <t>O00526</t>
  </si>
  <si>
    <t>M000583</t>
  </si>
  <si>
    <t>D000583</t>
  </si>
  <si>
    <t>O00527</t>
  </si>
  <si>
    <t>M000584</t>
  </si>
  <si>
    <t>D000584</t>
  </si>
  <si>
    <t>O00528</t>
  </si>
  <si>
    <t>M000585</t>
  </si>
  <si>
    <t>D000585</t>
  </si>
  <si>
    <t>O00529</t>
  </si>
  <si>
    <t>M000586</t>
  </si>
  <si>
    <t>D000586</t>
  </si>
  <si>
    <t>O00530</t>
  </si>
  <si>
    <t>M000587</t>
  </si>
  <si>
    <t>D000587</t>
  </si>
  <si>
    <t>O00531</t>
  </si>
  <si>
    <t>M000588</t>
  </si>
  <si>
    <t>D000588</t>
  </si>
  <si>
    <t>O00532</t>
  </si>
  <si>
    <t>M000589</t>
  </si>
  <si>
    <t>D000589</t>
  </si>
  <si>
    <t>O00533</t>
  </si>
  <si>
    <t>M000590</t>
  </si>
  <si>
    <t>D000590</t>
  </si>
  <si>
    <t>O00534</t>
  </si>
  <si>
    <t>M000591</t>
  </si>
  <si>
    <t>D000591</t>
  </si>
  <si>
    <t>O00535</t>
  </si>
  <si>
    <t>M000592</t>
  </si>
  <si>
    <t>D000592</t>
  </si>
  <si>
    <t>O00536</t>
  </si>
  <si>
    <t>M000593</t>
  </si>
  <si>
    <t>D000593</t>
  </si>
  <si>
    <t>O00537</t>
  </si>
  <si>
    <t>M000594</t>
  </si>
  <si>
    <t>D000594</t>
  </si>
  <si>
    <t>O00538</t>
  </si>
  <si>
    <t>M000595</t>
  </si>
  <si>
    <t>D000595</t>
  </si>
  <si>
    <t>O00539</t>
  </si>
  <si>
    <t>M000596</t>
  </si>
  <si>
    <t>D000596</t>
  </si>
  <si>
    <t>O00540</t>
  </si>
  <si>
    <t>M000597</t>
  </si>
  <si>
    <t>D000597</t>
  </si>
  <si>
    <t>O00541</t>
  </si>
  <si>
    <t>M000598</t>
  </si>
  <si>
    <t>D000598</t>
  </si>
  <si>
    <t>O00542</t>
  </si>
  <si>
    <t>M000599</t>
  </si>
  <si>
    <t>D000599</t>
  </si>
  <si>
    <t>O00543</t>
  </si>
  <si>
    <t>M000600</t>
  </si>
  <si>
    <t>D000600</t>
  </si>
  <si>
    <t>O00544</t>
  </si>
  <si>
    <t>M000601</t>
  </si>
  <si>
    <t>D000601</t>
  </si>
  <si>
    <t>O00545</t>
  </si>
  <si>
    <t>M000602</t>
  </si>
  <si>
    <t>D000602</t>
  </si>
  <si>
    <t>O00546</t>
  </si>
  <si>
    <t>M000603</t>
  </si>
  <si>
    <t>D000603</t>
  </si>
  <si>
    <t>O00547</t>
  </si>
  <si>
    <t>M000604</t>
  </si>
  <si>
    <t>D000604</t>
  </si>
  <si>
    <t>O00548</t>
  </si>
  <si>
    <t>M000605</t>
  </si>
  <si>
    <t>D000605</t>
  </si>
  <si>
    <t>O00549</t>
  </si>
  <si>
    <t>M000606</t>
  </si>
  <si>
    <t>D000606</t>
  </si>
  <si>
    <t>O00550</t>
  </si>
  <si>
    <t>M000607</t>
  </si>
  <si>
    <t>D000607</t>
  </si>
  <si>
    <t>M000608</t>
  </si>
  <si>
    <t>D000608</t>
  </si>
  <si>
    <t>O00551</t>
  </si>
  <si>
    <t>M000609</t>
  </si>
  <si>
    <t>D000609</t>
  </si>
  <si>
    <t>O00552</t>
  </si>
  <si>
    <t>M000610</t>
  </si>
  <si>
    <t>D000610</t>
  </si>
  <si>
    <t>O00553</t>
  </si>
  <si>
    <t>M000611</t>
  </si>
  <si>
    <t>D000611</t>
  </si>
  <si>
    <t>O00554</t>
  </si>
  <si>
    <t>M000612</t>
  </si>
  <si>
    <t>D000612</t>
  </si>
  <si>
    <t>O00555</t>
  </si>
  <si>
    <t>M000613</t>
  </si>
  <si>
    <t>D000613</t>
  </si>
  <si>
    <t>O00556</t>
  </si>
  <si>
    <t>M000614</t>
  </si>
  <si>
    <t>D000614</t>
  </si>
  <si>
    <t>O00557</t>
  </si>
  <si>
    <t>M000615</t>
  </si>
  <si>
    <t>D000615</t>
  </si>
  <si>
    <t>O00558</t>
  </si>
  <si>
    <t>M000616</t>
  </si>
  <si>
    <t>D000616</t>
  </si>
  <si>
    <t>O00559</t>
  </si>
  <si>
    <t>M000617</t>
  </si>
  <si>
    <t>D000617</t>
  </si>
  <si>
    <t>M000618</t>
  </si>
  <si>
    <t>D000618</t>
  </si>
  <si>
    <t>O00560</t>
  </si>
  <si>
    <t>M000619</t>
  </si>
  <si>
    <t>D000619</t>
  </si>
  <si>
    <t>O00561</t>
  </si>
  <si>
    <t>M000620</t>
  </si>
  <si>
    <t>D000620</t>
  </si>
  <si>
    <t>O00562</t>
  </si>
  <si>
    <t>M000621</t>
  </si>
  <si>
    <t>D000621</t>
  </si>
  <si>
    <t>O00563</t>
  </si>
  <si>
    <t>M000622</t>
  </si>
  <si>
    <t>D000622</t>
  </si>
  <si>
    <t>O00564</t>
  </si>
  <si>
    <t>M000623</t>
  </si>
  <si>
    <t>D000623</t>
  </si>
  <si>
    <t>O00565</t>
  </si>
  <si>
    <t>M000624</t>
  </si>
  <si>
    <t>D000624</t>
  </si>
  <si>
    <t>O00566</t>
  </si>
  <si>
    <t>M000625</t>
  </si>
  <si>
    <t>D000625</t>
  </si>
  <si>
    <t>O00567</t>
  </si>
  <si>
    <t>M000626</t>
  </si>
  <si>
    <t>D000626</t>
  </si>
  <si>
    <t>O00568</t>
  </si>
  <si>
    <t>M000627</t>
  </si>
  <si>
    <t>D000627</t>
  </si>
  <si>
    <t>O00569</t>
  </si>
  <si>
    <t>M000628</t>
  </si>
  <si>
    <t>D000628</t>
  </si>
  <si>
    <t>O00570</t>
  </si>
  <si>
    <t>M000629</t>
  </si>
  <si>
    <t>D000629</t>
  </si>
  <si>
    <t>O00571</t>
  </si>
  <si>
    <t>M000630</t>
  </si>
  <si>
    <t>D000630</t>
  </si>
  <si>
    <t>O00572</t>
  </si>
  <si>
    <t>M000631</t>
  </si>
  <si>
    <t>D000631</t>
  </si>
  <si>
    <t>O00573</t>
  </si>
  <si>
    <t>M000632</t>
  </si>
  <si>
    <t>D000632</t>
  </si>
  <si>
    <t>O00574</t>
  </si>
  <si>
    <t>M000633</t>
  </si>
  <si>
    <t>D000633</t>
  </si>
  <si>
    <t>O00575</t>
  </si>
  <si>
    <t>M000634</t>
  </si>
  <si>
    <t>D000634</t>
  </si>
  <si>
    <t>O00576</t>
  </si>
  <si>
    <t>M000635</t>
  </si>
  <si>
    <t>D000635</t>
  </si>
  <si>
    <t>O00577</t>
  </si>
  <si>
    <t>M000636</t>
  </si>
  <si>
    <t>D000636</t>
  </si>
  <si>
    <t>O00578</t>
  </si>
  <si>
    <t>M000637</t>
  </si>
  <si>
    <t>D000637</t>
  </si>
  <si>
    <t>O00579</t>
  </si>
  <si>
    <t>M000638</t>
  </si>
  <si>
    <t>D000638</t>
  </si>
  <si>
    <t>O00580</t>
  </si>
  <si>
    <t>M000639</t>
  </si>
  <si>
    <t>D000639</t>
  </si>
  <si>
    <t>O00581</t>
  </si>
  <si>
    <t>M000640</t>
  </si>
  <si>
    <t>D000640</t>
  </si>
  <si>
    <t>O00582</t>
  </si>
  <si>
    <t>M000641</t>
  </si>
  <si>
    <t>D000641</t>
  </si>
  <si>
    <t>O00583</t>
  </si>
  <si>
    <t>M000642</t>
  </si>
  <si>
    <t>D000642</t>
  </si>
  <si>
    <t>O00584</t>
  </si>
  <si>
    <t>M000643</t>
  </si>
  <si>
    <t>D000643</t>
  </si>
  <si>
    <t>O00585</t>
  </si>
  <si>
    <t>M000644</t>
  </si>
  <si>
    <t>D000644</t>
  </si>
  <si>
    <t>O00586</t>
  </si>
  <si>
    <t>M000645</t>
  </si>
  <si>
    <t>D000645</t>
  </si>
  <si>
    <t>O00587</t>
  </si>
  <si>
    <t>M000646</t>
  </si>
  <si>
    <t>D000646</t>
  </si>
  <si>
    <t>O00588</t>
  </si>
  <si>
    <t>M000647</t>
  </si>
  <si>
    <t>D000647</t>
  </si>
  <si>
    <t>O00589</t>
  </si>
  <si>
    <t>M000648</t>
  </si>
  <si>
    <t>D000648</t>
  </si>
  <si>
    <t>O00590</t>
  </si>
  <si>
    <t>M000649</t>
  </si>
  <si>
    <t>D000649</t>
  </si>
  <si>
    <t>O00591</t>
  </si>
  <si>
    <t>M000650</t>
  </si>
  <si>
    <t>D000650</t>
  </si>
  <si>
    <t>O00592</t>
  </si>
  <si>
    <t>M000651</t>
  </si>
  <si>
    <t>D000651</t>
  </si>
  <si>
    <t>O00594</t>
  </si>
  <si>
    <t>M000652</t>
  </si>
  <si>
    <t>D000652</t>
  </si>
  <si>
    <t>O00595</t>
  </si>
  <si>
    <t>M000653</t>
  </si>
  <si>
    <t>D000653</t>
  </si>
  <si>
    <t>O00596</t>
  </si>
  <si>
    <t>M000654</t>
  </si>
  <si>
    <t>D000654</t>
  </si>
  <si>
    <t>O00597</t>
  </si>
  <si>
    <t>M000655</t>
  </si>
  <si>
    <t>D000655</t>
  </si>
  <si>
    <t>O00598</t>
  </si>
  <si>
    <t>M000656</t>
  </si>
  <si>
    <t>D000656</t>
  </si>
  <si>
    <t>O00599</t>
  </si>
  <si>
    <t>M000657</t>
  </si>
  <si>
    <t>D000657</t>
  </si>
  <si>
    <t>O00600</t>
  </si>
  <si>
    <t>M000658</t>
  </si>
  <si>
    <t>D000658</t>
  </si>
  <si>
    <t>O00601</t>
  </si>
  <si>
    <t>M000659</t>
  </si>
  <si>
    <t>D000659</t>
  </si>
  <si>
    <t>O00602</t>
  </si>
  <si>
    <t>M000660</t>
  </si>
  <si>
    <t>D000660</t>
  </si>
  <si>
    <t>O00603</t>
  </si>
  <si>
    <t>M000661</t>
  </si>
  <si>
    <t>D000661</t>
  </si>
  <si>
    <t>M000662</t>
  </si>
  <si>
    <t>D000662</t>
  </si>
  <si>
    <t>O00604</t>
  </si>
  <si>
    <t>M000663</t>
  </si>
  <si>
    <t>D000663</t>
  </si>
  <si>
    <t>O00605</t>
  </si>
  <si>
    <t>M000664</t>
  </si>
  <si>
    <t>D000664</t>
  </si>
  <si>
    <t>O00607</t>
  </si>
  <si>
    <t>M000665</t>
  </si>
  <si>
    <t>D000665</t>
  </si>
  <si>
    <t>O00608</t>
  </si>
  <si>
    <t>M000666</t>
  </si>
  <si>
    <t>D000666</t>
  </si>
  <si>
    <t>O00609</t>
  </si>
  <si>
    <t>M000667</t>
  </si>
  <si>
    <t>D000667</t>
  </si>
  <si>
    <t>M000668</t>
  </si>
  <si>
    <t>D000668</t>
  </si>
  <si>
    <t>O00610</t>
  </si>
  <si>
    <t>M000669</t>
  </si>
  <si>
    <t>D000669</t>
  </si>
  <si>
    <t>O00611</t>
  </si>
  <si>
    <t>M000670</t>
  </si>
  <si>
    <t>D000670</t>
  </si>
  <si>
    <t>O00612</t>
  </si>
  <si>
    <t>M000671</t>
  </si>
  <si>
    <t>D000671</t>
  </si>
  <si>
    <t>O00613</t>
  </si>
  <si>
    <t>M000672</t>
  </si>
  <si>
    <t>D000672</t>
  </si>
  <si>
    <t>O00615</t>
  </si>
  <si>
    <t>M000673</t>
  </si>
  <si>
    <t>D000673</t>
  </si>
  <si>
    <t>O00616</t>
  </si>
  <si>
    <t>M000674</t>
  </si>
  <si>
    <t>D000674</t>
  </si>
  <si>
    <t>O00617</t>
  </si>
  <si>
    <t>M000675</t>
  </si>
  <si>
    <t>D000675</t>
  </si>
  <si>
    <t>O00618</t>
  </si>
  <si>
    <t>M000676</t>
  </si>
  <si>
    <t>D000676</t>
  </si>
  <si>
    <t>O00619</t>
  </si>
  <si>
    <t>M000677</t>
  </si>
  <si>
    <t>D000677</t>
  </si>
  <si>
    <t>M000678</t>
  </si>
  <si>
    <t>D000678</t>
  </si>
  <si>
    <t>O00620</t>
  </si>
  <si>
    <t>M000679</t>
  </si>
  <si>
    <t>D000679</t>
  </si>
  <si>
    <t>O00623</t>
  </si>
  <si>
    <t>M000680</t>
  </si>
  <si>
    <t>D000680</t>
  </si>
  <si>
    <t>O00624</t>
  </si>
  <si>
    <t>M000681</t>
  </si>
  <si>
    <t>D000681</t>
  </si>
  <si>
    <t>O00625</t>
  </si>
  <si>
    <t>M000682</t>
  </si>
  <si>
    <t>D000682</t>
  </si>
  <si>
    <t>O00626</t>
  </si>
  <si>
    <t>M000683</t>
  </si>
  <si>
    <t>D000683</t>
  </si>
  <si>
    <t>O00627</t>
  </si>
  <si>
    <t>M000684</t>
  </si>
  <si>
    <t>D000684</t>
  </si>
  <si>
    <t>O00628</t>
  </si>
  <si>
    <t>M000685</t>
  </si>
  <si>
    <t>D000685</t>
  </si>
  <si>
    <t>O00629</t>
  </si>
  <si>
    <t>M000686</t>
  </si>
  <si>
    <t>D000686</t>
  </si>
  <si>
    <t>O00630</t>
  </si>
  <si>
    <t>M000687</t>
  </si>
  <si>
    <t>D000687</t>
  </si>
  <si>
    <t>O00631</t>
  </si>
  <si>
    <t>M000688</t>
  </si>
  <si>
    <t>D000688</t>
  </si>
  <si>
    <t>O00632</t>
  </si>
  <si>
    <t>M000689</t>
  </si>
  <si>
    <t>D000689</t>
  </si>
  <si>
    <t>O00633</t>
  </si>
  <si>
    <t>M000690</t>
  </si>
  <si>
    <t>D000690</t>
  </si>
  <si>
    <t>O00634</t>
  </si>
  <si>
    <t>M000691</t>
  </si>
  <si>
    <t>D000691</t>
  </si>
  <si>
    <t>O00636</t>
  </si>
  <si>
    <t>M000692</t>
  </si>
  <si>
    <t>D000692</t>
  </si>
  <si>
    <t>O00637</t>
  </si>
  <si>
    <t>M000693</t>
  </si>
  <si>
    <t>D000693</t>
  </si>
  <si>
    <t>O00638</t>
  </si>
  <si>
    <t>M000694</t>
  </si>
  <si>
    <t>D000694</t>
  </si>
  <si>
    <t>O00639</t>
  </si>
  <si>
    <t>M000695</t>
  </si>
  <si>
    <t>D000695</t>
  </si>
  <si>
    <t>O00640</t>
  </si>
  <si>
    <t>M000696</t>
  </si>
  <si>
    <t>D000696</t>
  </si>
  <si>
    <t>O00641</t>
  </si>
  <si>
    <t>M000697</t>
  </si>
  <si>
    <t>D000697</t>
  </si>
  <si>
    <t>O00642</t>
  </si>
  <si>
    <t>M000698</t>
  </si>
  <si>
    <t>D000698</t>
  </si>
  <si>
    <t>O00643</t>
  </si>
  <si>
    <t>M000699</t>
  </si>
  <si>
    <t>D000699</t>
  </si>
  <si>
    <t>O00644</t>
  </si>
  <si>
    <t>M000700</t>
  </si>
  <si>
    <t>D000700</t>
  </si>
  <si>
    <t>O00646</t>
  </si>
  <si>
    <t>M000701</t>
  </si>
  <si>
    <t>D000701</t>
  </si>
  <si>
    <t>O00647</t>
  </si>
  <si>
    <t>M000702</t>
  </si>
  <si>
    <t>D000702</t>
  </si>
  <si>
    <t>O00648</t>
  </si>
  <si>
    <t>M000703</t>
  </si>
  <si>
    <t>D000703</t>
  </si>
  <si>
    <t>O00649</t>
  </si>
  <si>
    <t>M000704</t>
  </si>
  <si>
    <t>D000704</t>
  </si>
  <si>
    <t>O00650</t>
  </si>
  <si>
    <t>M000705</t>
  </si>
  <si>
    <t>D000705</t>
  </si>
  <si>
    <t>O00653</t>
  </si>
  <si>
    <t>M000706</t>
  </si>
  <si>
    <t>D000706</t>
  </si>
  <si>
    <t>O00654</t>
  </si>
  <si>
    <t>M000707</t>
  </si>
  <si>
    <t>D000707</t>
  </si>
  <si>
    <t>O00655</t>
  </si>
  <si>
    <t>M000708</t>
  </si>
  <si>
    <t>D000708</t>
  </si>
  <si>
    <t>O00656</t>
  </si>
  <si>
    <t>M000709</t>
  </si>
  <si>
    <t>D000709</t>
  </si>
  <si>
    <t>O00657</t>
  </si>
  <si>
    <t>M000710</t>
  </si>
  <si>
    <t>D000710</t>
  </si>
  <si>
    <t>O00658</t>
  </si>
  <si>
    <t>M000711</t>
  </si>
  <si>
    <t>D000711</t>
  </si>
  <si>
    <t>O00659</t>
  </si>
  <si>
    <t>M000712</t>
  </si>
  <si>
    <t>D000712</t>
  </si>
  <si>
    <t>O00660</t>
  </si>
  <si>
    <t>M000713</t>
  </si>
  <si>
    <t>D000713</t>
  </si>
  <si>
    <t>O00661</t>
  </si>
  <si>
    <t>M000714</t>
  </si>
  <si>
    <t>D000714</t>
  </si>
  <si>
    <t>R0029</t>
  </si>
  <si>
    <t>M000715</t>
  </si>
  <si>
    <t>D000715</t>
  </si>
  <si>
    <t>R0030</t>
  </si>
  <si>
    <t>M000716</t>
  </si>
  <si>
    <t>D000716</t>
  </si>
  <si>
    <t>R0031</t>
  </si>
  <si>
    <t>M000717</t>
  </si>
  <si>
    <t>D000717</t>
  </si>
  <si>
    <t>R0032</t>
  </si>
  <si>
    <t>M000718</t>
  </si>
  <si>
    <t>D000718</t>
  </si>
  <si>
    <t>R0033</t>
  </si>
  <si>
    <t>M000719</t>
  </si>
  <si>
    <t>D000719</t>
  </si>
  <si>
    <t>R0034</t>
  </si>
  <si>
    <t>M000720</t>
  </si>
  <si>
    <t>D000720</t>
  </si>
  <si>
    <t>R0035</t>
  </si>
  <si>
    <t>M000721</t>
  </si>
  <si>
    <t>D000721</t>
  </si>
  <si>
    <t>R0036</t>
  </si>
  <si>
    <t>M000722</t>
  </si>
  <si>
    <t>D000722</t>
  </si>
  <si>
    <t>R0037</t>
  </si>
  <si>
    <t>M000723</t>
  </si>
  <si>
    <t>D000723</t>
  </si>
  <si>
    <t>R0038</t>
  </si>
  <si>
    <t>M000724</t>
  </si>
  <si>
    <t>D000724</t>
  </si>
  <si>
    <t>R0039</t>
  </si>
  <si>
    <t>M000725</t>
  </si>
  <si>
    <t>D000725</t>
  </si>
  <si>
    <t>R0040</t>
  </si>
  <si>
    <t>M000726</t>
  </si>
  <si>
    <t>D000726</t>
  </si>
  <si>
    <t>R0041</t>
  </si>
  <si>
    <t>M000727</t>
  </si>
  <si>
    <t>D000727</t>
  </si>
  <si>
    <t>R0042</t>
  </si>
  <si>
    <t>M000728</t>
  </si>
  <si>
    <t>D000728</t>
  </si>
  <si>
    <t>R0043</t>
  </si>
  <si>
    <t>M000729</t>
  </si>
  <si>
    <t>D000729</t>
  </si>
  <si>
    <t>R0044</t>
  </si>
  <si>
    <t>M000730</t>
  </si>
  <si>
    <t>D000730</t>
  </si>
  <si>
    <t>R0045</t>
  </si>
  <si>
    <t>M000731</t>
  </si>
  <si>
    <t>D000731</t>
  </si>
  <si>
    <t>R0046</t>
  </si>
  <si>
    <t>M000732</t>
  </si>
  <si>
    <t>D000732</t>
  </si>
  <si>
    <t>R0047</t>
  </si>
  <si>
    <t>M000733</t>
  </si>
  <si>
    <t>D000733</t>
  </si>
  <si>
    <t>R0048</t>
  </si>
  <si>
    <t>M000734</t>
  </si>
  <si>
    <t>D000734</t>
  </si>
  <si>
    <t>R0049</t>
  </si>
  <si>
    <t>M000735</t>
  </si>
  <si>
    <t>D000735</t>
  </si>
  <si>
    <t>O00662</t>
  </si>
  <si>
    <t>M000736</t>
  </si>
  <si>
    <t>D000736</t>
  </si>
  <si>
    <t>O00663</t>
  </si>
  <si>
    <t>M000737</t>
  </si>
  <si>
    <t>D000737</t>
  </si>
  <si>
    <t>O00664</t>
  </si>
  <si>
    <t>M000738</t>
  </si>
  <si>
    <t>D000738</t>
  </si>
  <si>
    <t>O00665</t>
  </si>
  <si>
    <t>M000739</t>
  </si>
  <si>
    <t>D000739</t>
  </si>
  <si>
    <t>O00666</t>
  </si>
  <si>
    <t>M000740</t>
  </si>
  <si>
    <t>D000740</t>
  </si>
  <si>
    <t>O00667</t>
  </si>
  <si>
    <t>M000741</t>
  </si>
  <si>
    <t>D000741</t>
  </si>
  <si>
    <t>O00668</t>
  </si>
  <si>
    <t>M000742</t>
  </si>
  <si>
    <t>D000742</t>
  </si>
  <si>
    <t>O00669</t>
  </si>
  <si>
    <t>M000743</t>
  </si>
  <si>
    <t>D000743</t>
  </si>
  <si>
    <t>O00670</t>
  </si>
  <si>
    <t>M000744</t>
  </si>
  <si>
    <t>D000744</t>
  </si>
  <si>
    <t>O00671</t>
  </si>
  <si>
    <t>M000745</t>
  </si>
  <si>
    <t>D000745</t>
  </si>
  <si>
    <t>O00672</t>
  </si>
  <si>
    <t>M000746</t>
  </si>
  <si>
    <t>D000746</t>
  </si>
  <si>
    <t>O00673</t>
  </si>
  <si>
    <t>M000747</t>
  </si>
  <si>
    <t>D000747</t>
  </si>
  <si>
    <t>O00674</t>
  </si>
  <si>
    <t>M000748</t>
  </si>
  <si>
    <t>D000748</t>
  </si>
  <si>
    <t>O00675</t>
  </si>
  <si>
    <t>M000749</t>
  </si>
  <si>
    <t>D000749</t>
  </si>
  <si>
    <t>O00676</t>
  </si>
  <si>
    <t>M000750</t>
  </si>
  <si>
    <t>D000750</t>
  </si>
  <si>
    <t>O00677</t>
  </si>
  <si>
    <t>M000751</t>
  </si>
  <si>
    <t>D000751</t>
  </si>
  <si>
    <t>O00678</t>
  </si>
  <si>
    <t>M000752</t>
  </si>
  <si>
    <t>D000752</t>
  </si>
  <si>
    <t>O00679</t>
  </si>
  <si>
    <t>M000753</t>
  </si>
  <si>
    <t>D000753</t>
  </si>
  <si>
    <t>O00680</t>
  </si>
  <si>
    <t>M000754</t>
  </si>
  <si>
    <t>D000754</t>
  </si>
  <si>
    <t>O00681</t>
  </si>
  <si>
    <t>M000755</t>
  </si>
  <si>
    <t>D000755</t>
  </si>
  <si>
    <t>O00682</t>
  </si>
  <si>
    <t>M000756</t>
  </si>
  <si>
    <t>D000756</t>
  </si>
  <si>
    <t>M000757</t>
  </si>
  <si>
    <t>D000757</t>
  </si>
  <si>
    <t>O00683</t>
  </si>
  <si>
    <t>M000758</t>
  </si>
  <si>
    <t>D000758</t>
  </si>
  <si>
    <t>O00684</t>
  </si>
  <si>
    <t>M000759</t>
  </si>
  <si>
    <t>D000759</t>
  </si>
  <si>
    <t>O00685</t>
  </si>
  <si>
    <t>M000760</t>
  </si>
  <si>
    <t>D000760</t>
  </si>
  <si>
    <t>O00686</t>
  </si>
  <si>
    <t>M000761</t>
  </si>
  <si>
    <t>D000761</t>
  </si>
  <si>
    <t>O00687</t>
  </si>
  <si>
    <t>M000762</t>
  </si>
  <si>
    <t>D000762</t>
  </si>
  <si>
    <t>O00688</t>
  </si>
  <si>
    <t>M000763</t>
  </si>
  <si>
    <t>D000763</t>
  </si>
  <si>
    <t>M000764</t>
  </si>
  <si>
    <t>D000764</t>
  </si>
  <si>
    <t>O00689</t>
  </si>
  <si>
    <t>M000765</t>
  </si>
  <si>
    <t>D000765</t>
  </si>
  <si>
    <t>O00690</t>
  </si>
  <si>
    <t>M000766</t>
  </si>
  <si>
    <t>D000766</t>
  </si>
  <si>
    <t>O00691</t>
  </si>
  <si>
    <t>M000767</t>
  </si>
  <si>
    <t>D000767</t>
  </si>
  <si>
    <t>O00692</t>
  </si>
  <si>
    <t>M000768</t>
  </si>
  <si>
    <t>D000768</t>
  </si>
  <si>
    <t>O00693</t>
  </si>
  <si>
    <t>M000769</t>
  </si>
  <si>
    <t>D000769</t>
  </si>
  <si>
    <t>O00694</t>
  </si>
  <si>
    <t>M000770</t>
  </si>
  <si>
    <t>D000770</t>
  </si>
  <si>
    <t>O00695</t>
  </si>
  <si>
    <t>M000771</t>
  </si>
  <si>
    <t>D000771</t>
  </si>
  <si>
    <t>O00696</t>
  </si>
  <si>
    <t>M000772</t>
  </si>
  <si>
    <t>D000772</t>
  </si>
  <si>
    <t>O00697</t>
  </si>
  <si>
    <t>M000773</t>
  </si>
  <si>
    <t>D000773</t>
  </si>
  <si>
    <t>O00698</t>
  </si>
  <si>
    <t>M000774</t>
  </si>
  <si>
    <t>D000774</t>
  </si>
  <si>
    <t>O00699</t>
  </si>
  <si>
    <t>M000775</t>
  </si>
  <si>
    <t>D000775</t>
  </si>
  <si>
    <t>O00700</t>
  </si>
  <si>
    <t>M000776</t>
  </si>
  <si>
    <t>D000776</t>
  </si>
  <si>
    <t>O00701</t>
  </si>
  <si>
    <t>M000777</t>
  </si>
  <si>
    <t>D000777</t>
  </si>
  <si>
    <t>O00702</t>
  </si>
  <si>
    <t>M000778</t>
  </si>
  <si>
    <t>D000778</t>
  </si>
  <si>
    <t>O00703</t>
  </si>
  <si>
    <t>M000779</t>
  </si>
  <si>
    <t>D000779</t>
  </si>
  <si>
    <t>O00704</t>
  </si>
  <si>
    <t>M000780</t>
  </si>
  <si>
    <t>D000780</t>
  </si>
  <si>
    <t>O00705</t>
  </si>
  <si>
    <t>M000781</t>
  </si>
  <si>
    <t>D000781</t>
  </si>
  <si>
    <t>O00706</t>
  </si>
  <si>
    <t>M000782</t>
  </si>
  <si>
    <t>D000782</t>
  </si>
  <si>
    <t>O00707</t>
  </si>
  <si>
    <t>M000783</t>
  </si>
  <si>
    <t>D000783</t>
  </si>
  <si>
    <t>O00708</t>
  </si>
  <si>
    <t>M000784</t>
  </si>
  <si>
    <t>D000784</t>
  </si>
  <si>
    <t>O00709</t>
  </si>
  <si>
    <t>M000785</t>
  </si>
  <si>
    <t>D000785</t>
  </si>
  <si>
    <t>O00710</t>
  </si>
  <si>
    <t>M000786</t>
  </si>
  <si>
    <t>D000786</t>
  </si>
  <si>
    <t>O00711</t>
  </si>
  <si>
    <t>M000787</t>
  </si>
  <si>
    <t>D000787</t>
  </si>
  <si>
    <t>O00712</t>
  </si>
  <si>
    <t>M000788</t>
  </si>
  <si>
    <t>D000788</t>
  </si>
  <si>
    <t>O00713</t>
  </si>
  <si>
    <t>M000789</t>
  </si>
  <si>
    <t>D000789</t>
  </si>
  <si>
    <t>O00714</t>
  </si>
  <si>
    <t>M000790</t>
  </si>
  <si>
    <t>D000790</t>
  </si>
  <si>
    <t>O00715</t>
  </si>
  <si>
    <t>M000791</t>
  </si>
  <si>
    <t>D000791</t>
  </si>
  <si>
    <t>O00716</t>
  </si>
  <si>
    <t>M000792</t>
  </si>
  <si>
    <t>D000792</t>
  </si>
  <si>
    <t>O00717</t>
  </si>
  <si>
    <t>M000793</t>
  </si>
  <si>
    <t>D000793</t>
  </si>
  <si>
    <t>O00718</t>
  </si>
  <si>
    <t>M000794</t>
  </si>
  <si>
    <t>D000794</t>
  </si>
  <si>
    <t>O00719</t>
  </si>
  <si>
    <t>M000795</t>
  </si>
  <si>
    <t>D000795</t>
  </si>
  <si>
    <t>O00720</t>
  </si>
  <si>
    <t>M000796</t>
  </si>
  <si>
    <t>D000796</t>
  </si>
  <si>
    <t>O00721</t>
  </si>
  <si>
    <t>M000797</t>
  </si>
  <si>
    <t>D000797</t>
  </si>
  <si>
    <t>O00722</t>
  </si>
  <si>
    <t>M000798</t>
  </si>
  <si>
    <t>D000798</t>
  </si>
  <si>
    <t>O00723</t>
  </si>
  <si>
    <t>M000799</t>
  </si>
  <si>
    <t>D000799</t>
  </si>
  <si>
    <t>O00724</t>
  </si>
  <si>
    <t>M000800</t>
  </si>
  <si>
    <t>D000800</t>
  </si>
  <si>
    <t>O00725</t>
  </si>
  <si>
    <t>M000801</t>
  </si>
  <si>
    <t>D000801</t>
  </si>
  <si>
    <t>O00726</t>
  </si>
  <si>
    <t>M000802</t>
  </si>
  <si>
    <t>D000802</t>
  </si>
  <si>
    <t>O00727</t>
  </si>
  <si>
    <t>M000803</t>
  </si>
  <si>
    <t>D000803</t>
  </si>
  <si>
    <t>O00728</t>
  </si>
  <si>
    <t>M000804</t>
  </si>
  <si>
    <t>D000804</t>
  </si>
  <si>
    <t>O00729</t>
  </si>
  <si>
    <t>M000805</t>
  </si>
  <si>
    <t>D000805</t>
  </si>
  <si>
    <t>O00730</t>
  </si>
  <si>
    <t>M000806</t>
  </si>
  <si>
    <t>D000806</t>
  </si>
  <si>
    <t>O00731</t>
  </si>
  <si>
    <t>M000807</t>
  </si>
  <si>
    <t>D000807</t>
  </si>
  <si>
    <t>O00732</t>
  </si>
  <si>
    <t>M000808</t>
  </si>
  <si>
    <t>D000808</t>
  </si>
  <si>
    <t>O00733</t>
  </si>
  <si>
    <t>M000809</t>
  </si>
  <si>
    <t>D000809</t>
  </si>
  <si>
    <t>O00734</t>
  </si>
  <si>
    <t>M000810</t>
  </si>
  <si>
    <t>D000810</t>
  </si>
  <si>
    <t>O00735</t>
  </si>
  <si>
    <t>M000811</t>
  </si>
  <si>
    <t>D000811</t>
  </si>
  <si>
    <t>M000812</t>
  </si>
  <si>
    <t>D000812</t>
  </si>
  <si>
    <t>O00736</t>
  </si>
  <si>
    <t>M000813</t>
  </si>
  <si>
    <t>D000813</t>
  </si>
  <si>
    <t>O00737</t>
  </si>
  <si>
    <t>M000814</t>
  </si>
  <si>
    <t>D000814</t>
  </si>
  <si>
    <t>O00738</t>
  </si>
  <si>
    <t>M000815</t>
  </si>
  <si>
    <t>D000815</t>
  </si>
  <si>
    <t>O00739</t>
  </si>
  <si>
    <t>M000816</t>
  </si>
  <si>
    <t>D000816</t>
  </si>
  <si>
    <t>O00740</t>
  </si>
  <si>
    <t>M000817</t>
  </si>
  <si>
    <t>D000817</t>
  </si>
  <si>
    <t>O00741</t>
  </si>
  <si>
    <t>M000818</t>
  </si>
  <si>
    <t>D000818</t>
  </si>
  <si>
    <t>O00742</t>
  </si>
  <si>
    <t>M000819</t>
  </si>
  <si>
    <t>D000819</t>
  </si>
  <si>
    <t>O00743</t>
  </si>
  <si>
    <t>M000820</t>
  </si>
  <si>
    <t>D000820</t>
  </si>
  <si>
    <t>O00744</t>
  </si>
  <si>
    <t>M000821</t>
  </si>
  <si>
    <t>D000821</t>
  </si>
  <si>
    <t>O00745</t>
  </si>
  <si>
    <t>M000822</t>
  </si>
  <si>
    <t>D000822</t>
  </si>
  <si>
    <t>M000823</t>
  </si>
  <si>
    <t>D000823</t>
  </si>
  <si>
    <t>O00746</t>
  </si>
  <si>
    <t>M000824</t>
  </si>
  <si>
    <t>D000824</t>
  </si>
  <si>
    <t>O00747</t>
  </si>
  <si>
    <t>M000825</t>
  </si>
  <si>
    <t>D000825</t>
  </si>
  <si>
    <t>O00748</t>
  </si>
  <si>
    <t>M000826</t>
  </si>
  <si>
    <t>D000826</t>
  </si>
  <si>
    <t>O00749</t>
  </si>
  <si>
    <t>M000827</t>
  </si>
  <si>
    <t>D000827</t>
  </si>
  <si>
    <t>O00750</t>
  </si>
  <si>
    <t>M000828</t>
  </si>
  <si>
    <t>D000828</t>
  </si>
  <si>
    <t>O00751</t>
  </si>
  <si>
    <t>M000829</t>
  </si>
  <si>
    <t>D000829</t>
  </si>
  <si>
    <t>O00752</t>
  </si>
  <si>
    <t>M000830</t>
  </si>
  <si>
    <t>D000830</t>
  </si>
  <si>
    <t>O00753</t>
  </si>
  <si>
    <t>M000831</t>
  </si>
  <si>
    <t>D000831</t>
  </si>
  <si>
    <t>O00754</t>
  </si>
  <si>
    <t>M000832</t>
  </si>
  <si>
    <t>D000832</t>
  </si>
  <si>
    <t>O00755</t>
  </si>
  <si>
    <t>M000833</t>
  </si>
  <si>
    <t>D000833</t>
  </si>
  <si>
    <t>O00756</t>
  </si>
  <si>
    <t>M000834</t>
  </si>
  <si>
    <t>D000834</t>
  </si>
  <si>
    <t>O00757</t>
  </si>
  <si>
    <t>M000835</t>
  </si>
  <si>
    <t>D000835</t>
  </si>
  <si>
    <t>O00758</t>
  </si>
  <si>
    <t>M000836</t>
  </si>
  <si>
    <t>D000836</t>
  </si>
  <si>
    <t>O00759</t>
  </si>
  <si>
    <t>M000837</t>
  </si>
  <si>
    <t>D000837</t>
  </si>
  <si>
    <t>O00760</t>
  </si>
  <si>
    <t>M000838</t>
  </si>
  <si>
    <t>D000838</t>
  </si>
  <si>
    <t>O00761</t>
  </si>
  <si>
    <t>M000839</t>
  </si>
  <si>
    <t>D000839</t>
  </si>
  <si>
    <t>O00762</t>
  </si>
  <si>
    <t>M000840</t>
  </si>
  <si>
    <t>D000840</t>
  </si>
  <si>
    <t>O00763</t>
  </si>
  <si>
    <t>M000841</t>
  </si>
  <si>
    <t>D000841</t>
  </si>
  <si>
    <t>O00764</t>
  </si>
  <si>
    <t>M000842</t>
  </si>
  <si>
    <t>D000842</t>
  </si>
  <si>
    <t>O00765</t>
  </si>
  <si>
    <t>M000843</t>
  </si>
  <si>
    <t>D000843</t>
  </si>
  <si>
    <t>O00766</t>
  </si>
  <si>
    <t>M000844</t>
  </si>
  <si>
    <t>D000844</t>
  </si>
  <si>
    <t>O00767</t>
  </si>
  <si>
    <t>M000845</t>
  </si>
  <si>
    <t>D000845</t>
  </si>
  <si>
    <t>O00768</t>
  </si>
  <si>
    <t>M000846</t>
  </si>
  <si>
    <t>D000846</t>
  </si>
  <si>
    <t>O00769</t>
  </si>
  <si>
    <t>M000847</t>
  </si>
  <si>
    <t>D000847</t>
  </si>
  <si>
    <t>M000848</t>
  </si>
  <si>
    <t>D000848</t>
  </si>
  <si>
    <t>O00770</t>
  </si>
  <si>
    <t>M000849</t>
  </si>
  <si>
    <t>D000849</t>
  </si>
  <si>
    <t>O00771</t>
  </si>
  <si>
    <t>M000850</t>
  </si>
  <si>
    <t>D000850</t>
  </si>
  <si>
    <t>O00772</t>
  </si>
  <si>
    <t>M000851</t>
  </si>
  <si>
    <t>D000851</t>
  </si>
  <si>
    <t>O00773</t>
  </si>
  <si>
    <t>M000852</t>
  </si>
  <si>
    <t>D000852</t>
  </si>
  <si>
    <t>O00774</t>
  </si>
  <si>
    <t>M000853</t>
  </si>
  <si>
    <t>D000853</t>
  </si>
  <si>
    <t>O00775</t>
  </si>
  <si>
    <t>M000854</t>
  </si>
  <si>
    <t>D000854</t>
  </si>
  <si>
    <t>O00776</t>
  </si>
  <si>
    <t>M000855</t>
  </si>
  <si>
    <t>D000855</t>
  </si>
  <si>
    <t>O00777</t>
  </si>
  <si>
    <t>M000856</t>
  </si>
  <si>
    <t>D000856</t>
  </si>
  <si>
    <t>O00778</t>
  </si>
  <si>
    <t>M000857</t>
  </si>
  <si>
    <t>D000857</t>
  </si>
  <si>
    <t>O00779</t>
  </si>
  <si>
    <t>M000858</t>
  </si>
  <si>
    <t>D000858</t>
  </si>
  <si>
    <t>O00780</t>
  </si>
  <si>
    <t>M000859</t>
  </si>
  <si>
    <t>D000859</t>
  </si>
  <si>
    <t>O00781</t>
  </si>
  <si>
    <t>M000860</t>
  </si>
  <si>
    <t>D000860</t>
  </si>
  <si>
    <t>O00782</t>
  </si>
  <si>
    <t>M000861</t>
  </si>
  <si>
    <t>D000861</t>
  </si>
  <si>
    <t>O00783</t>
  </si>
  <si>
    <t>M000862</t>
  </si>
  <si>
    <t>D000862</t>
  </si>
  <si>
    <t>O00784</t>
  </si>
  <si>
    <t>M000863</t>
  </si>
  <si>
    <t>D000863</t>
  </si>
  <si>
    <t>O00785</t>
  </si>
  <si>
    <t>M000864</t>
  </si>
  <si>
    <t>D000864</t>
  </si>
  <si>
    <t>O00786</t>
  </si>
  <si>
    <t>M000865</t>
  </si>
  <si>
    <t>D000865</t>
  </si>
  <si>
    <t>M000866</t>
  </si>
  <si>
    <t>D000866</t>
  </si>
  <si>
    <t>O00787</t>
  </si>
  <si>
    <t>M000867</t>
  </si>
  <si>
    <t>D000867</t>
  </si>
  <si>
    <t>O00788</t>
  </si>
  <si>
    <t>M000868</t>
  </si>
  <si>
    <t>D000868</t>
  </si>
  <si>
    <t>O00789</t>
  </si>
  <si>
    <t>M000869</t>
  </si>
  <si>
    <t>D000869</t>
  </si>
  <si>
    <t>O00790</t>
  </si>
  <si>
    <t>M000870</t>
  </si>
  <si>
    <t>D000870</t>
  </si>
  <si>
    <t>O00791</t>
  </si>
  <si>
    <t>M000871</t>
  </si>
  <si>
    <t>D000871</t>
  </si>
  <si>
    <t>O00792</t>
  </si>
  <si>
    <t>M000872</t>
  </si>
  <si>
    <t>D000872</t>
  </si>
  <si>
    <t>O00793</t>
  </si>
  <si>
    <t>M000873</t>
  </si>
  <si>
    <t>D000873</t>
  </si>
  <si>
    <t>O00794</t>
  </si>
  <si>
    <t>M000874</t>
  </si>
  <si>
    <t>D000874</t>
  </si>
  <si>
    <t>O00795</t>
  </si>
  <si>
    <t>M000875</t>
  </si>
  <si>
    <t>D000875</t>
  </si>
  <si>
    <t>O00796</t>
  </si>
  <si>
    <t>M000876</t>
  </si>
  <si>
    <t>D000876</t>
  </si>
  <si>
    <t>O00797</t>
  </si>
  <si>
    <t>M000877</t>
  </si>
  <si>
    <t>D000877</t>
  </si>
  <si>
    <t>O00798</t>
  </si>
  <si>
    <t>M000878</t>
  </si>
  <si>
    <t>D000878</t>
  </si>
  <si>
    <t>O00799</t>
  </si>
  <si>
    <t>M000879</t>
  </si>
  <si>
    <t>D000879</t>
  </si>
  <si>
    <t>O00800</t>
  </si>
  <si>
    <t>M000880</t>
  </si>
  <si>
    <t>D000880</t>
  </si>
  <si>
    <t>O00801</t>
  </si>
  <si>
    <t>M000881</t>
  </si>
  <si>
    <t>D000881</t>
  </si>
  <si>
    <t>O00802</t>
  </si>
  <si>
    <t>M000882</t>
  </si>
  <si>
    <t>D000882</t>
  </si>
  <si>
    <t>O00803</t>
  </si>
  <si>
    <t>M000883</t>
  </si>
  <si>
    <t>D000883</t>
  </si>
  <si>
    <t>O00804</t>
  </si>
  <si>
    <t>M000884</t>
  </si>
  <si>
    <t>D000884</t>
  </si>
  <si>
    <t>O00805</t>
  </si>
  <si>
    <t>M000885</t>
  </si>
  <si>
    <t>D000885</t>
  </si>
  <si>
    <t>O00806</t>
  </si>
  <si>
    <t>M000886</t>
  </si>
  <si>
    <t>D000886</t>
  </si>
  <si>
    <t>O00807</t>
  </si>
  <si>
    <t>M000887</t>
  </si>
  <si>
    <t>D000887</t>
  </si>
  <si>
    <t>O00808</t>
  </si>
  <si>
    <t>M000888</t>
  </si>
  <si>
    <t>D000888</t>
  </si>
  <si>
    <t>O00809</t>
  </si>
  <si>
    <t>M000889</t>
  </si>
  <si>
    <t>D000889</t>
  </si>
  <si>
    <t>O00810</t>
  </si>
  <si>
    <t>M000890</t>
  </si>
  <si>
    <t>D000890</t>
  </si>
  <si>
    <t>O00811</t>
  </si>
  <si>
    <t>M000891</t>
  </si>
  <si>
    <t>D000891</t>
  </si>
  <si>
    <t>O00812</t>
  </si>
  <si>
    <t>M000892</t>
  </si>
  <si>
    <t>D000892</t>
  </si>
  <si>
    <t>O00813</t>
  </si>
  <si>
    <t>M000893</t>
  </si>
  <si>
    <t>D000893</t>
  </si>
  <si>
    <t>O00814</t>
  </si>
  <si>
    <t>M000894</t>
  </si>
  <si>
    <t>D000894</t>
  </si>
  <si>
    <t>O00815</t>
  </si>
  <si>
    <t>M000895</t>
  </si>
  <si>
    <t>D000895</t>
  </si>
  <si>
    <t>O00816</t>
  </si>
  <si>
    <t>M000896</t>
  </si>
  <si>
    <t>D000896</t>
  </si>
  <si>
    <t>O00817</t>
  </si>
  <si>
    <t>M000897</t>
  </si>
  <si>
    <t>D000897</t>
  </si>
  <si>
    <t>O00818</t>
  </si>
  <si>
    <t>M000898</t>
  </si>
  <si>
    <t>D000898</t>
  </si>
  <si>
    <t>O00819</t>
  </si>
  <si>
    <t>M000899</t>
  </si>
  <si>
    <t>D000899</t>
  </si>
  <si>
    <t>O00820</t>
  </si>
  <si>
    <t>M000900</t>
  </si>
  <si>
    <t>D000900</t>
  </si>
  <si>
    <t>O00821</t>
  </si>
  <si>
    <t>M000901</t>
  </si>
  <si>
    <t>D000901</t>
  </si>
  <si>
    <t>O00822</t>
  </si>
  <si>
    <t>M000902</t>
  </si>
  <si>
    <t>D000902</t>
  </si>
  <si>
    <t>O00823</t>
  </si>
  <si>
    <t>M000903</t>
  </si>
  <si>
    <t>D000903</t>
  </si>
  <si>
    <t>O00824</t>
  </si>
  <si>
    <t>M000904</t>
  </si>
  <si>
    <t>D000904</t>
  </si>
  <si>
    <t>O00825</t>
  </si>
  <si>
    <t>M000905</t>
  </si>
  <si>
    <t>D000905</t>
  </si>
  <si>
    <t>O00826</t>
  </si>
  <si>
    <t>M000906</t>
  </si>
  <si>
    <t>D000906</t>
  </si>
  <si>
    <t>O00827</t>
  </si>
  <si>
    <t>M000907</t>
  </si>
  <si>
    <t>D000907</t>
  </si>
  <si>
    <t>O00828</t>
  </si>
  <si>
    <t>M000908</t>
  </si>
  <si>
    <t>D000908</t>
  </si>
  <si>
    <t>O00829</t>
  </si>
  <si>
    <t>M000909</t>
  </si>
  <si>
    <t>D000909</t>
  </si>
  <si>
    <t>O00830</t>
  </si>
  <si>
    <t>M000910</t>
  </si>
  <si>
    <t>D000910</t>
  </si>
  <si>
    <t>O00831</t>
  </si>
  <si>
    <t>M000911</t>
  </si>
  <si>
    <t>D000911</t>
  </si>
  <si>
    <t>O00832</t>
  </si>
  <si>
    <t>M000912</t>
  </si>
  <si>
    <t>D000912</t>
  </si>
  <si>
    <t>O00833</t>
  </si>
  <si>
    <t>M000913</t>
  </si>
  <si>
    <t>D000913</t>
  </si>
  <si>
    <t>O00834</t>
  </si>
  <si>
    <t>M000914</t>
  </si>
  <si>
    <t>D000914</t>
  </si>
  <si>
    <t>O00835</t>
  </si>
  <si>
    <t>M000915</t>
  </si>
  <si>
    <t>D000915</t>
  </si>
  <si>
    <t>M000916</t>
  </si>
  <si>
    <t>D000916</t>
  </si>
  <si>
    <t>O00836</t>
  </si>
  <si>
    <t>M000917</t>
  </si>
  <si>
    <t>D000917</t>
  </si>
  <si>
    <t>O00837</t>
  </si>
  <si>
    <t>M000918</t>
  </si>
  <si>
    <t>D000918</t>
  </si>
  <si>
    <t>O00838</t>
  </si>
  <si>
    <t>M000919</t>
  </si>
  <si>
    <t>D000919</t>
  </si>
  <si>
    <t>O00839</t>
  </si>
  <si>
    <t>M000920</t>
  </si>
  <si>
    <t>D000920</t>
  </si>
  <si>
    <t>O00840</t>
  </si>
  <si>
    <t>M000921</t>
  </si>
  <si>
    <t>D000921</t>
  </si>
  <si>
    <t>O00841</t>
  </si>
  <si>
    <t>M000922</t>
  </si>
  <si>
    <t>D000922</t>
  </si>
  <si>
    <t>O00842</t>
  </si>
  <si>
    <t>M000923</t>
  </si>
  <si>
    <t>D000923</t>
  </si>
  <si>
    <t>O00843</t>
  </si>
  <si>
    <t>M000924</t>
  </si>
  <si>
    <t>D000924</t>
  </si>
  <si>
    <t>O00844</t>
  </si>
  <si>
    <t>M000925</t>
  </si>
  <si>
    <t>D000925</t>
  </si>
  <si>
    <t>O00845</t>
  </si>
  <si>
    <t>M000926</t>
  </si>
  <si>
    <t>D000926</t>
  </si>
  <si>
    <t>O00846</t>
  </si>
  <si>
    <t>M000927</t>
  </si>
  <si>
    <t>D000927</t>
  </si>
  <si>
    <t>O00847</t>
  </si>
  <si>
    <t>M000928</t>
  </si>
  <si>
    <t>D000928</t>
  </si>
  <si>
    <t>O00848</t>
  </si>
  <si>
    <t>M000929</t>
  </si>
  <si>
    <t>D000929</t>
  </si>
  <si>
    <t>O00849</t>
  </si>
  <si>
    <t>M000930</t>
  </si>
  <si>
    <t>D000930</t>
  </si>
  <si>
    <t>M000931</t>
  </si>
  <si>
    <t>D000931</t>
  </si>
  <si>
    <t>O00850</t>
  </si>
  <si>
    <t>M000932</t>
  </si>
  <si>
    <t>D000932</t>
  </si>
  <si>
    <t>O00851</t>
  </si>
  <si>
    <t>M000933</t>
  </si>
  <si>
    <t>D000933</t>
  </si>
  <si>
    <t>O00852</t>
  </si>
  <si>
    <t>M000934</t>
  </si>
  <si>
    <t>D000934</t>
  </si>
  <si>
    <t>O00853</t>
  </si>
  <si>
    <t>M000935</t>
  </si>
  <si>
    <t>D000935</t>
  </si>
  <si>
    <t>O00854</t>
  </si>
  <si>
    <t>M000936</t>
  </si>
  <si>
    <t>D000936</t>
  </si>
  <si>
    <t>O00855</t>
  </si>
  <si>
    <t>M000937</t>
  </si>
  <si>
    <t>D000937</t>
  </si>
  <si>
    <t>O00856</t>
  </si>
  <si>
    <t>M000938</t>
  </si>
  <si>
    <t>D000938</t>
  </si>
  <si>
    <t>O00857</t>
  </si>
  <si>
    <t>M000939</t>
  </si>
  <si>
    <t>D000939</t>
  </si>
  <si>
    <t>O00858</t>
  </si>
  <si>
    <t>M000940</t>
  </si>
  <si>
    <t>D000940</t>
  </si>
  <si>
    <t>O00859</t>
  </si>
  <si>
    <t>M000941</t>
  </si>
  <si>
    <t>D000941</t>
  </si>
  <si>
    <t>O00860</t>
  </si>
  <si>
    <t>M000942</t>
  </si>
  <si>
    <t>D000942</t>
  </si>
  <si>
    <t>O00861</t>
  </si>
  <si>
    <t>M000943</t>
  </si>
  <si>
    <t>D000943</t>
  </si>
  <si>
    <t>O00862</t>
  </si>
  <si>
    <t>M000944</t>
  </si>
  <si>
    <t>D000944</t>
  </si>
  <si>
    <t>O00863</t>
  </si>
  <si>
    <t>M000945</t>
  </si>
  <si>
    <t>D000945</t>
  </si>
  <si>
    <t>O00864</t>
  </si>
  <si>
    <t>M000946</t>
  </si>
  <si>
    <t>D000946</t>
  </si>
  <si>
    <t>O00865</t>
  </si>
  <si>
    <t>M000947</t>
  </si>
  <si>
    <t>D000947</t>
  </si>
  <si>
    <t>O00866</t>
  </si>
  <si>
    <t>M000948</t>
  </si>
  <si>
    <t>D000948</t>
  </si>
  <si>
    <t>O00867</t>
  </si>
  <si>
    <t>M000949</t>
  </si>
  <si>
    <t>D000949</t>
  </si>
  <si>
    <t>O00868</t>
  </si>
  <si>
    <t>M000950</t>
  </si>
  <si>
    <t>D000950</t>
  </si>
  <si>
    <t>O00869</t>
  </si>
  <si>
    <t>M000951</t>
  </si>
  <si>
    <t>D000951</t>
  </si>
  <si>
    <t>O00870</t>
  </si>
  <si>
    <t>M000952</t>
  </si>
  <si>
    <t>D000952</t>
  </si>
  <si>
    <t>O00871</t>
  </si>
  <si>
    <t>M000953</t>
  </si>
  <si>
    <t>D000953</t>
  </si>
  <si>
    <t>O00872</t>
  </si>
  <si>
    <t>M000954</t>
  </si>
  <si>
    <t>D000954</t>
  </si>
  <si>
    <t>O00873</t>
  </si>
  <si>
    <t>M000955</t>
  </si>
  <si>
    <t>D000955</t>
  </si>
  <si>
    <t>M000956</t>
  </si>
  <si>
    <t>D000956</t>
  </si>
  <si>
    <t>O00874</t>
  </si>
  <si>
    <t>M000957</t>
  </si>
  <si>
    <t>D000957</t>
  </si>
  <si>
    <t>O00875</t>
  </si>
  <si>
    <t>M000958</t>
  </si>
  <si>
    <t>D000958</t>
  </si>
  <si>
    <t>O00876</t>
  </si>
  <si>
    <t>M000959</t>
  </si>
  <si>
    <t>D000959</t>
  </si>
  <si>
    <t>O00877</t>
  </si>
  <si>
    <t>M000960</t>
  </si>
  <si>
    <t>D000960</t>
  </si>
  <si>
    <t>O00878</t>
  </si>
  <si>
    <t>M000961</t>
  </si>
  <si>
    <t>D000961</t>
  </si>
  <si>
    <t>O00879</t>
  </si>
  <si>
    <t>M000962</t>
  </si>
  <si>
    <t>D000962</t>
  </si>
  <si>
    <t>O00880</t>
  </si>
  <si>
    <t>M000963</t>
  </si>
  <si>
    <t>D000963</t>
  </si>
  <si>
    <t>O00881</t>
  </si>
  <si>
    <t>M000964</t>
  </si>
  <si>
    <t>D000964</t>
  </si>
  <si>
    <t>O00882</t>
  </si>
  <si>
    <t>M000965</t>
  </si>
  <si>
    <t>D000965</t>
  </si>
  <si>
    <t>O00883</t>
  </si>
  <si>
    <t>M000966</t>
  </si>
  <si>
    <t>D000966</t>
  </si>
  <si>
    <t>O00884</t>
  </si>
  <si>
    <t>M000967</t>
  </si>
  <si>
    <t>D000967</t>
  </si>
  <si>
    <t>O00885</t>
  </si>
  <si>
    <t>M000968</t>
  </si>
  <si>
    <t>D000968</t>
  </si>
  <si>
    <t>O00886</t>
  </si>
  <si>
    <t>M000969</t>
  </si>
  <si>
    <t>D000969</t>
  </si>
  <si>
    <t>O00887</t>
  </si>
  <si>
    <t>M000970</t>
  </si>
  <si>
    <t>D000970</t>
  </si>
  <si>
    <t>O00888</t>
  </si>
  <si>
    <t>M000971</t>
  </si>
  <si>
    <t>D000971</t>
  </si>
  <si>
    <t>O00889</t>
  </si>
  <si>
    <t>M000972</t>
  </si>
  <si>
    <t>D000972</t>
  </si>
  <si>
    <t>O00890</t>
  </si>
  <si>
    <t>M000973</t>
  </si>
  <si>
    <t>D000973</t>
  </si>
  <si>
    <t>O00891</t>
  </si>
  <si>
    <t>M000974</t>
  </si>
  <si>
    <t>D000974</t>
  </si>
  <si>
    <t>O00892</t>
  </si>
  <si>
    <t>M000975</t>
  </si>
  <si>
    <t>D000975</t>
  </si>
  <si>
    <t>O00893</t>
  </si>
  <si>
    <t>M000976</t>
  </si>
  <si>
    <t>D000976</t>
  </si>
  <si>
    <t>O00894</t>
  </si>
  <si>
    <t>M000977</t>
  </si>
  <si>
    <t>D000977</t>
  </si>
  <si>
    <t>O00895</t>
  </si>
  <si>
    <t>M000978</t>
  </si>
  <si>
    <t>D000978</t>
  </si>
  <si>
    <t>O00896</t>
  </si>
  <si>
    <t>M000979</t>
  </si>
  <si>
    <t>D000979</t>
  </si>
  <si>
    <t>O00897</t>
  </si>
  <si>
    <t>M000980</t>
  </si>
  <si>
    <t>D000980</t>
  </si>
  <si>
    <t>O00898</t>
  </si>
  <si>
    <t>M000981</t>
  </si>
  <si>
    <t>D000981</t>
  </si>
  <si>
    <t>O00899</t>
  </si>
  <si>
    <t>M000982</t>
  </si>
  <si>
    <t>D000982</t>
  </si>
  <si>
    <t>O00900</t>
  </si>
  <si>
    <t>M000983</t>
  </si>
  <si>
    <t>D000983</t>
  </si>
  <si>
    <t>O00901</t>
  </si>
  <si>
    <t>M000984</t>
  </si>
  <si>
    <t>D000984</t>
  </si>
  <si>
    <t>O00902</t>
  </si>
  <si>
    <t>M000985</t>
  </si>
  <si>
    <t>D000985</t>
  </si>
  <si>
    <t>O00903</t>
  </si>
  <si>
    <t>M000986</t>
  </si>
  <si>
    <t>D000986</t>
  </si>
  <si>
    <t>O00904</t>
  </si>
  <si>
    <t>M000987</t>
  </si>
  <si>
    <t>D000987</t>
  </si>
  <si>
    <t>O00905</t>
  </si>
  <si>
    <t>M000988</t>
  </si>
  <si>
    <t>D000988</t>
  </si>
  <si>
    <t>O00906</t>
  </si>
  <si>
    <t>M000989</t>
  </si>
  <si>
    <t>D000989</t>
  </si>
  <si>
    <t>O00907</t>
  </si>
  <si>
    <t>M000990</t>
  </si>
  <si>
    <t>D000990</t>
  </si>
  <si>
    <t>O00908</t>
  </si>
  <si>
    <t>M000991</t>
  </si>
  <si>
    <t>D000991</t>
  </si>
  <si>
    <t>O00909</t>
  </si>
  <si>
    <t>M000992</t>
  </si>
  <si>
    <t>D000992</t>
  </si>
  <si>
    <t>O00910</t>
  </si>
  <si>
    <t>M000993</t>
  </si>
  <si>
    <t>D000993</t>
  </si>
  <si>
    <t>O00911</t>
  </si>
  <si>
    <t>M000994</t>
  </si>
  <si>
    <t>D000994</t>
  </si>
  <si>
    <t>O00912</t>
  </si>
  <si>
    <t>M000995</t>
  </si>
  <si>
    <t>D000995</t>
  </si>
  <si>
    <t>O00913</t>
  </si>
  <si>
    <t>M000996</t>
  </si>
  <si>
    <t>D000996</t>
  </si>
  <si>
    <t>O00914</t>
  </si>
  <si>
    <t>M000997</t>
  </si>
  <si>
    <t>D000997</t>
  </si>
  <si>
    <t>O00915</t>
  </si>
  <si>
    <t>M000998</t>
  </si>
  <si>
    <t>D000998</t>
  </si>
  <si>
    <t>O00916</t>
  </si>
  <si>
    <t>M000999</t>
  </si>
  <si>
    <t>D000999</t>
  </si>
  <si>
    <t>O00917</t>
  </si>
  <si>
    <t>M001000</t>
  </si>
  <si>
    <t>D001000</t>
  </si>
  <si>
    <t>O00918</t>
  </si>
  <si>
    <t>M001001</t>
  </si>
  <si>
    <t>D001001</t>
  </si>
  <si>
    <t>O00919</t>
  </si>
  <si>
    <t>M001002</t>
  </si>
  <si>
    <t>D001002</t>
  </si>
  <si>
    <t>O00920</t>
  </si>
  <si>
    <t>M001003</t>
  </si>
  <si>
    <t>D001003</t>
  </si>
  <si>
    <t>O00921</t>
  </si>
  <si>
    <t>M001004</t>
  </si>
  <si>
    <t>D001004</t>
  </si>
  <si>
    <t>O00922</t>
  </si>
  <si>
    <t>M001005</t>
  </si>
  <si>
    <t>D001005</t>
  </si>
  <si>
    <t>O00923</t>
  </si>
  <si>
    <t>M001006</t>
  </si>
  <si>
    <t>D001006</t>
  </si>
  <si>
    <t>O00924</t>
  </si>
  <si>
    <t>M001007</t>
  </si>
  <si>
    <t>D001007</t>
  </si>
  <si>
    <t>O00925</t>
  </si>
  <si>
    <t>M001008</t>
  </si>
  <si>
    <t>D001008</t>
  </si>
  <si>
    <t>O00926</t>
  </si>
  <si>
    <t>M001009</t>
  </si>
  <si>
    <t>D001009</t>
  </si>
  <si>
    <t>O00927</t>
  </si>
  <si>
    <t>M001010</t>
  </si>
  <si>
    <t>D001010</t>
  </si>
  <si>
    <t>O00928</t>
  </si>
  <si>
    <t>M001011</t>
  </si>
  <si>
    <t>D001011</t>
  </si>
  <si>
    <t>O00929</t>
  </si>
  <si>
    <t>M001012</t>
  </si>
  <si>
    <t>D001012</t>
  </si>
  <si>
    <t>O00930</t>
  </si>
  <si>
    <t>M001013</t>
  </si>
  <si>
    <t>D001013</t>
  </si>
  <si>
    <t>O00931</t>
  </si>
  <si>
    <t>M001014</t>
  </si>
  <si>
    <t>D001014</t>
  </si>
  <si>
    <t>O00932</t>
  </si>
  <si>
    <t>M001015</t>
  </si>
  <si>
    <t>D001015</t>
  </si>
  <si>
    <t>O00933</t>
  </si>
  <si>
    <t>M001016</t>
  </si>
  <si>
    <t>D001016</t>
  </si>
  <si>
    <t>M001017</t>
  </si>
  <si>
    <t>D001017</t>
  </si>
  <si>
    <t>O00934</t>
  </si>
  <si>
    <t>M001018</t>
  </si>
  <si>
    <t>D001018</t>
  </si>
  <si>
    <t>O00935</t>
  </si>
  <si>
    <t>M001019</t>
  </si>
  <si>
    <t>D001019</t>
  </si>
  <si>
    <t>O00936</t>
  </si>
  <si>
    <t>M001020</t>
  </si>
  <si>
    <t>D001020</t>
  </si>
  <si>
    <t>O00937</t>
  </si>
  <si>
    <t>M001021</t>
  </si>
  <si>
    <t>D001021</t>
  </si>
  <si>
    <t>O00938</t>
  </si>
  <si>
    <t>M001022</t>
  </si>
  <si>
    <t>D001022</t>
  </si>
  <si>
    <t>O00939</t>
  </si>
  <si>
    <t>M001023</t>
  </si>
  <si>
    <t>D001023</t>
  </si>
  <si>
    <t>O00940</t>
  </si>
  <si>
    <t>M001024</t>
  </si>
  <si>
    <t>D001024</t>
  </si>
  <si>
    <t>O00941</t>
  </si>
  <si>
    <t>M001025</t>
  </si>
  <si>
    <t>D001025</t>
  </si>
  <si>
    <t>O00942</t>
  </si>
  <si>
    <t>M001026</t>
  </si>
  <si>
    <t>D001026</t>
  </si>
  <si>
    <t>O00943</t>
  </si>
  <si>
    <t>M001027</t>
  </si>
  <si>
    <t>D001027</t>
  </si>
  <si>
    <t>O00944</t>
  </si>
  <si>
    <t>M001028</t>
  </si>
  <si>
    <t>D001028</t>
  </si>
  <si>
    <t>O00945</t>
  </si>
  <si>
    <t>M001029</t>
  </si>
  <si>
    <t>D001029</t>
  </si>
  <si>
    <t>O00946</t>
  </si>
  <si>
    <t>M001030</t>
  </si>
  <si>
    <t>D001030</t>
  </si>
  <si>
    <t>O00947</t>
  </si>
  <si>
    <t>M001031</t>
  </si>
  <si>
    <t>D001031</t>
  </si>
  <si>
    <t>O00948</t>
  </si>
  <si>
    <t>M001032</t>
  </si>
  <si>
    <t>D001032</t>
  </si>
  <si>
    <t>O00949</t>
  </si>
  <si>
    <t>M001033</t>
  </si>
  <si>
    <t>D001033</t>
  </si>
  <si>
    <t>O00950</t>
  </si>
  <si>
    <t>M001034</t>
  </si>
  <si>
    <t>D001034</t>
  </si>
  <si>
    <t>O00951</t>
  </si>
  <si>
    <t>M001035</t>
  </si>
  <si>
    <t>D001035</t>
  </si>
  <si>
    <t>O00952</t>
  </si>
  <si>
    <t>M001036</t>
  </si>
  <si>
    <t>D001036</t>
  </si>
  <si>
    <t>O00953</t>
  </si>
  <si>
    <t>M001037</t>
  </si>
  <si>
    <t>D001037</t>
  </si>
  <si>
    <t>O00954</t>
  </si>
  <si>
    <t>M001038</t>
  </si>
  <si>
    <t>D001038</t>
  </si>
  <si>
    <t>O00955</t>
  </si>
  <si>
    <t>M001039</t>
  </si>
  <si>
    <t>D001039</t>
  </si>
  <si>
    <t>O00956</t>
  </si>
  <si>
    <t>M001040</t>
  </si>
  <si>
    <t>D001040</t>
  </si>
  <si>
    <t>O00957</t>
  </si>
  <si>
    <t>M001041</t>
  </si>
  <si>
    <t>D001041</t>
  </si>
  <si>
    <t>O00958</t>
  </si>
  <si>
    <t>M001042</t>
  </si>
  <si>
    <t>D001042</t>
  </si>
  <si>
    <t>O00959</t>
  </si>
  <si>
    <t>M001043</t>
  </si>
  <si>
    <t>D001043</t>
  </si>
  <si>
    <t>O00960</t>
  </si>
  <si>
    <t>M001044</t>
  </si>
  <si>
    <t>D001044</t>
  </si>
  <si>
    <t>O00961</t>
  </si>
  <si>
    <t>M001045</t>
  </si>
  <si>
    <t>D001045</t>
  </si>
  <si>
    <t>O00962</t>
  </si>
  <si>
    <t>M001046</t>
  </si>
  <si>
    <t>D001046</t>
  </si>
  <si>
    <t>O00963</t>
  </si>
  <si>
    <t>M001047</t>
  </si>
  <si>
    <t>D001047</t>
  </si>
  <si>
    <t>O00964</t>
  </si>
  <si>
    <t>M001048</t>
  </si>
  <si>
    <t>D001048</t>
  </si>
  <si>
    <t>O00965</t>
  </si>
  <si>
    <t>M001049</t>
  </si>
  <si>
    <t>D001049</t>
  </si>
  <si>
    <t>O00966</t>
  </si>
  <si>
    <t>M001050</t>
  </si>
  <si>
    <t>D001050</t>
  </si>
  <si>
    <t>O00967</t>
  </si>
  <si>
    <t>M001051</t>
  </si>
  <si>
    <t>D001051</t>
  </si>
  <si>
    <t>O00968</t>
  </si>
  <si>
    <t>M001052</t>
  </si>
  <si>
    <t>D001052</t>
  </si>
  <si>
    <t>O00969</t>
  </si>
  <si>
    <t>M001053</t>
  </si>
  <si>
    <t>D001053</t>
  </si>
  <si>
    <t>O00970</t>
  </si>
  <si>
    <t>M001054</t>
  </si>
  <si>
    <t>D001054</t>
  </si>
  <si>
    <t>O00971</t>
  </si>
  <si>
    <t>M001055</t>
  </si>
  <si>
    <t>D001055</t>
  </si>
  <si>
    <t>O00972</t>
  </si>
  <si>
    <t>M001056</t>
  </si>
  <si>
    <t>D001056</t>
  </si>
  <si>
    <t>O00973</t>
  </si>
  <si>
    <t>M001057</t>
  </si>
  <si>
    <t>D001057</t>
  </si>
  <si>
    <t>O00974</t>
  </si>
  <si>
    <t>M001058</t>
  </si>
  <si>
    <t>D001058</t>
  </si>
  <si>
    <t>O00975</t>
  </si>
  <si>
    <t>M001059</t>
  </si>
  <si>
    <t>D001059</t>
  </si>
  <si>
    <t>O00976</t>
  </si>
  <si>
    <t>M001060</t>
  </si>
  <si>
    <t>D001060</t>
  </si>
  <si>
    <t>O00977</t>
  </si>
  <si>
    <t>M001061</t>
  </si>
  <si>
    <t>D001061</t>
  </si>
  <si>
    <t>O00978</t>
  </si>
  <si>
    <t>M001062</t>
  </si>
  <si>
    <t>D001062</t>
  </si>
  <si>
    <t>O00979</t>
  </si>
  <si>
    <t>M001063</t>
  </si>
  <si>
    <t>D001063</t>
  </si>
  <si>
    <t>O00980</t>
  </si>
  <si>
    <t>M001064</t>
  </si>
  <si>
    <t>D001064</t>
  </si>
  <si>
    <t>O00981</t>
  </si>
  <si>
    <t>M001065</t>
  </si>
  <si>
    <t>D001065</t>
  </si>
  <si>
    <t>O00982</t>
  </si>
  <si>
    <t>M001066</t>
  </si>
  <si>
    <t>D001066</t>
  </si>
  <si>
    <t>O00983</t>
  </si>
  <si>
    <t>M001067</t>
  </si>
  <si>
    <t>D001067</t>
  </si>
  <si>
    <t>O00984</t>
  </si>
  <si>
    <t>M001068</t>
  </si>
  <si>
    <t>D001068</t>
  </si>
  <si>
    <t>O00985</t>
  </si>
  <si>
    <t>M001069</t>
  </si>
  <si>
    <t>D001069</t>
  </si>
  <si>
    <t>O00986</t>
  </si>
  <si>
    <t>M001070</t>
  </si>
  <si>
    <t>D001070</t>
  </si>
  <si>
    <t>O00987</t>
  </si>
  <si>
    <t>M001071</t>
  </si>
  <si>
    <t>D001071</t>
  </si>
  <si>
    <t>O00988</t>
  </si>
  <si>
    <t>M001072</t>
  </si>
  <si>
    <t>D001072</t>
  </si>
  <si>
    <t>O00989</t>
  </si>
  <si>
    <t>M001073</t>
  </si>
  <si>
    <t>D001073</t>
  </si>
  <si>
    <t>O00990</t>
  </si>
  <si>
    <t>M001074</t>
  </si>
  <si>
    <t>D001074</t>
  </si>
  <si>
    <t>O00991</t>
  </si>
  <si>
    <t>M001075</t>
  </si>
  <si>
    <t>D001075</t>
  </si>
  <si>
    <t>R0050</t>
  </si>
  <si>
    <t>M001076</t>
  </si>
  <si>
    <t>D001076</t>
  </si>
  <si>
    <t>R0051</t>
  </si>
  <si>
    <t>M001077</t>
  </si>
  <si>
    <t>D001077</t>
  </si>
  <si>
    <t>R0052</t>
  </si>
  <si>
    <t>M001078</t>
  </si>
  <si>
    <t>D001078</t>
  </si>
  <si>
    <t>R0053</t>
  </si>
  <si>
    <t>M001079</t>
  </si>
  <si>
    <t>D001079</t>
  </si>
  <si>
    <t>R0054</t>
  </si>
  <si>
    <t>M001080</t>
  </si>
  <si>
    <t>D001080</t>
  </si>
  <si>
    <t>R0055</t>
  </si>
  <si>
    <t>M001081</t>
  </si>
  <si>
    <t>D001081</t>
  </si>
  <si>
    <t>R0056</t>
  </si>
  <si>
    <t>M001082</t>
  </si>
  <si>
    <t>D001082</t>
  </si>
  <si>
    <t>R0057</t>
  </si>
  <si>
    <t>M001083</t>
  </si>
  <si>
    <t>D001083</t>
  </si>
  <si>
    <t>R0058</t>
  </si>
  <si>
    <t>M001084</t>
  </si>
  <si>
    <t>D001084</t>
  </si>
  <si>
    <t>R0059</t>
  </si>
  <si>
    <t>M001085</t>
  </si>
  <si>
    <t>D001085</t>
  </si>
  <si>
    <t>R0060</t>
  </si>
  <si>
    <t>M001086</t>
  </si>
  <si>
    <t>D001086</t>
  </si>
  <si>
    <t>R0061</t>
  </si>
  <si>
    <t>M001087</t>
  </si>
  <si>
    <t>D001087</t>
  </si>
  <si>
    <t>R0062</t>
  </si>
  <si>
    <t>M001088</t>
  </si>
  <si>
    <t>D001088</t>
  </si>
  <si>
    <t>O00992</t>
  </si>
  <si>
    <t>M001089</t>
  </si>
  <si>
    <t>D001089</t>
  </si>
  <si>
    <t>O00993</t>
  </si>
  <si>
    <t>M001090</t>
  </si>
  <si>
    <t>D001090</t>
  </si>
  <si>
    <t>O00994</t>
  </si>
  <si>
    <t>M001091</t>
  </si>
  <si>
    <t>D001091</t>
  </si>
  <si>
    <t>O00995</t>
  </si>
  <si>
    <t>M001092</t>
  </si>
  <si>
    <t>D001092</t>
  </si>
  <si>
    <t>O00996</t>
  </si>
  <si>
    <t>M001093</t>
  </si>
  <si>
    <t>D001093</t>
  </si>
  <si>
    <t>O00997</t>
  </si>
  <si>
    <t>M001094</t>
  </si>
  <si>
    <t>D001094</t>
  </si>
  <si>
    <t>M001095</t>
  </si>
  <si>
    <t>D001095</t>
  </si>
  <si>
    <t>O00998</t>
  </si>
  <si>
    <t>M001096</t>
  </si>
  <si>
    <t>D001096</t>
  </si>
  <si>
    <t>O00999</t>
  </si>
  <si>
    <t>M001097</t>
  </si>
  <si>
    <t>D001097</t>
  </si>
  <si>
    <t>O01000</t>
  </si>
  <si>
    <t>M001098</t>
  </si>
  <si>
    <t>D001098</t>
  </si>
  <si>
    <t>O01001</t>
  </si>
  <si>
    <t>M001099</t>
  </si>
  <si>
    <t>D001099</t>
  </si>
  <si>
    <t>O01002</t>
  </si>
  <si>
    <t>M001100</t>
  </si>
  <si>
    <t>D001100</t>
  </si>
  <si>
    <t>O01003</t>
  </si>
  <si>
    <t>M001101</t>
  </si>
  <si>
    <t>D001101</t>
  </si>
  <si>
    <t>O01004</t>
  </si>
  <si>
    <t>M001102</t>
  </si>
  <si>
    <t>D001102</t>
  </si>
  <si>
    <t>O01005</t>
  </si>
  <si>
    <t>M001103</t>
  </si>
  <si>
    <t>D001103</t>
  </si>
  <si>
    <t>O01006</t>
  </si>
  <si>
    <t>M001104</t>
  </si>
  <si>
    <t>D001104</t>
  </si>
  <si>
    <t>O01007</t>
  </si>
  <si>
    <t>M001105</t>
  </si>
  <si>
    <t>D001105</t>
  </si>
  <si>
    <t>O01008</t>
  </si>
  <si>
    <t>M001106</t>
  </si>
  <si>
    <t>D001106</t>
  </si>
  <si>
    <t>O01009</t>
  </si>
  <si>
    <t>M001107</t>
  </si>
  <si>
    <t>D001107</t>
  </si>
  <si>
    <t>O01010</t>
  </si>
  <si>
    <t>M001108</t>
  </si>
  <si>
    <t>D001108</t>
  </si>
  <si>
    <t>O01011</t>
  </si>
  <si>
    <t>M001109</t>
  </si>
  <si>
    <t>D001109</t>
  </si>
  <si>
    <t>O01012</t>
  </si>
  <si>
    <t>M001110</t>
  </si>
  <si>
    <t>D001110</t>
  </si>
  <si>
    <t>O01013</t>
  </si>
  <si>
    <t>M001111</t>
  </si>
  <si>
    <t>D001111</t>
  </si>
  <si>
    <t>O01014</t>
  </si>
  <si>
    <t>M001112</t>
  </si>
  <si>
    <t>D001112</t>
  </si>
  <si>
    <t>O01015</t>
  </si>
  <si>
    <t>M001113</t>
  </si>
  <si>
    <t>D001113</t>
  </si>
  <si>
    <t>O01016</t>
  </si>
  <si>
    <t>M001114</t>
  </si>
  <si>
    <t>D001114</t>
  </si>
  <si>
    <t>O01017</t>
  </si>
  <si>
    <t>M001115</t>
  </si>
  <si>
    <t>D001115</t>
  </si>
  <si>
    <t>O01018</t>
  </si>
  <si>
    <t>M001116</t>
  </si>
  <si>
    <t>D001116</t>
  </si>
  <si>
    <t>O01019</t>
  </si>
  <si>
    <t>M001117</t>
  </si>
  <si>
    <t>D001117</t>
  </si>
  <si>
    <t>O01020</t>
  </si>
  <si>
    <t>M001118</t>
  </si>
  <si>
    <t>D001118</t>
  </si>
  <si>
    <t>O01021</t>
  </si>
  <si>
    <t>M001119</t>
  </si>
  <si>
    <t>D001119</t>
  </si>
  <si>
    <t>O01022</t>
  </si>
  <si>
    <t>M001120</t>
  </si>
  <si>
    <t>D001120</t>
  </si>
  <si>
    <t>M001121</t>
  </si>
  <si>
    <t>D001121</t>
  </si>
  <si>
    <t>O01023</t>
  </si>
  <si>
    <t>M001122</t>
  </si>
  <si>
    <t>D001122</t>
  </si>
  <si>
    <t>O01024</t>
  </si>
  <si>
    <t>M001123</t>
  </si>
  <si>
    <t>D001123</t>
  </si>
  <si>
    <t>O01025</t>
  </si>
  <si>
    <t>M001124</t>
  </si>
  <si>
    <t>D001124</t>
  </si>
  <si>
    <t>O01026</t>
  </si>
  <si>
    <t>M001125</t>
  </si>
  <si>
    <t>D001125</t>
  </si>
  <si>
    <t>O01027</t>
  </si>
  <si>
    <t>M001126</t>
  </si>
  <si>
    <t>D001126</t>
  </si>
  <si>
    <t>O01028</t>
  </si>
  <si>
    <t>M001127</t>
  </si>
  <si>
    <t>D001127</t>
  </si>
  <si>
    <t>O01029</t>
  </si>
  <si>
    <t>M001128</t>
  </si>
  <si>
    <t>D001128</t>
  </si>
  <si>
    <t>O01030</t>
  </si>
  <si>
    <t>M001129</t>
  </si>
  <si>
    <t>D001129</t>
  </si>
  <si>
    <t>O01031</t>
  </si>
  <si>
    <t>M001130</t>
  </si>
  <si>
    <t>D001130</t>
  </si>
  <si>
    <t>O01032</t>
  </si>
  <si>
    <t>M001131</t>
  </si>
  <si>
    <t>D001131</t>
  </si>
  <si>
    <t>O01033</t>
  </si>
  <si>
    <t>M001132</t>
  </si>
  <si>
    <t>D001132</t>
  </si>
  <si>
    <t>O01034</t>
  </si>
  <si>
    <t>M001133</t>
  </si>
  <si>
    <t>D001133</t>
  </si>
  <si>
    <t>O01035</t>
  </si>
  <si>
    <t>M001134</t>
  </si>
  <si>
    <t>D001134</t>
  </si>
  <si>
    <t>O01036</t>
  </si>
  <si>
    <t>M001135</t>
  </si>
  <si>
    <t>D001135</t>
  </si>
  <si>
    <t>O01037</t>
  </si>
  <si>
    <t>M001136</t>
  </si>
  <si>
    <t>D001136</t>
  </si>
  <si>
    <t>O01038</t>
  </si>
  <si>
    <t>M001137</t>
  </si>
  <si>
    <t>D001137</t>
  </si>
  <si>
    <t>O01039</t>
  </si>
  <si>
    <t>M001138</t>
  </si>
  <si>
    <t>D001138</t>
  </si>
  <si>
    <t>O01040</t>
  </si>
  <si>
    <t>M001139</t>
  </si>
  <si>
    <t>D001139</t>
  </si>
  <si>
    <t>O01041</t>
  </si>
  <si>
    <t>M001140</t>
  </si>
  <si>
    <t>D001140</t>
  </si>
  <si>
    <t>O01042</t>
  </si>
  <si>
    <t>M001141</t>
  </si>
  <si>
    <t>D001141</t>
  </si>
  <si>
    <t>O01043</t>
  </si>
  <si>
    <t>M001142</t>
  </si>
  <si>
    <t>D001142</t>
  </si>
  <si>
    <t>O01044</t>
  </si>
  <si>
    <t>M001143</t>
  </si>
  <si>
    <t>D001143</t>
  </si>
  <si>
    <t>O01045</t>
  </si>
  <si>
    <t>M001144</t>
  </si>
  <si>
    <t>D001144</t>
  </si>
  <si>
    <t>O01046</t>
  </si>
  <si>
    <t>M001145</t>
  </si>
  <si>
    <t>D001145</t>
  </si>
  <si>
    <t>O01047</t>
  </si>
  <si>
    <t>M001146</t>
  </si>
  <si>
    <t>D001146</t>
  </si>
  <si>
    <t>O01048</t>
  </si>
  <si>
    <t>M001147</t>
  </si>
  <si>
    <t>D001147</t>
  </si>
  <si>
    <t>O01049</t>
  </si>
  <si>
    <t>M001148</t>
  </si>
  <si>
    <t>D001148</t>
  </si>
  <si>
    <t>O01050</t>
  </si>
  <si>
    <t>M001149</t>
  </si>
  <si>
    <t>D001149</t>
  </si>
  <si>
    <t>O01051</t>
  </si>
  <si>
    <t>M001150</t>
  </si>
  <si>
    <t>D001150</t>
  </si>
  <si>
    <t>O01052</t>
  </si>
  <si>
    <t>M001151</t>
  </si>
  <si>
    <t>D001151</t>
  </si>
  <si>
    <t>O01053</t>
  </si>
  <si>
    <t>M001152</t>
  </si>
  <si>
    <t>D001152</t>
  </si>
  <si>
    <t>O01054</t>
  </si>
  <si>
    <t>M001153</t>
  </si>
  <si>
    <t>D001153</t>
  </si>
  <si>
    <t>O01055</t>
  </si>
  <si>
    <t>M001154</t>
  </si>
  <si>
    <t>D001154</t>
  </si>
  <si>
    <t>O01056</t>
  </si>
  <si>
    <t>M001155</t>
  </si>
  <si>
    <t>D001155</t>
  </si>
  <si>
    <t>M001156</t>
  </si>
  <si>
    <t>D001156</t>
  </si>
  <si>
    <t>O01057</t>
  </si>
  <si>
    <t>M001157</t>
  </si>
  <si>
    <t>D001157</t>
  </si>
  <si>
    <t>O01058</t>
  </si>
  <si>
    <t>M001158</t>
  </si>
  <si>
    <t>D001158</t>
  </si>
  <si>
    <t>O01059</t>
  </si>
  <si>
    <t>M001159</t>
  </si>
  <si>
    <t>D001159</t>
  </si>
  <si>
    <t>O01060</t>
  </si>
  <si>
    <t>M001160</t>
  </si>
  <si>
    <t>D001160</t>
  </si>
  <si>
    <t>O01061</t>
  </si>
  <si>
    <t>M001161</t>
  </si>
  <si>
    <t>D001161</t>
  </si>
  <si>
    <t>O01062</t>
  </si>
  <si>
    <t>M001162</t>
  </si>
  <si>
    <t>D001162</t>
  </si>
  <si>
    <t>O01063</t>
  </si>
  <si>
    <t>M001163</t>
  </si>
  <si>
    <t>D001163</t>
  </si>
  <si>
    <t>O01064</t>
  </si>
  <si>
    <t>M001164</t>
  </si>
  <si>
    <t>D001164</t>
  </si>
  <si>
    <t>O01065</t>
  </si>
  <si>
    <t>M001165</t>
  </si>
  <si>
    <t>D001165</t>
  </si>
  <si>
    <t>O01066</t>
  </si>
  <si>
    <t>M001166</t>
  </si>
  <si>
    <t>D001166</t>
  </si>
  <si>
    <t>O01067</t>
  </si>
  <si>
    <t>M001167</t>
  </si>
  <si>
    <t>D001167</t>
  </si>
  <si>
    <t>O01068</t>
  </si>
  <si>
    <t>M001168</t>
  </si>
  <si>
    <t>D001168</t>
  </si>
  <si>
    <t>O01069</t>
  </si>
  <si>
    <t>M001169</t>
  </si>
  <si>
    <t>D001169</t>
  </si>
  <si>
    <t>O01070</t>
  </si>
  <si>
    <t>M001170</t>
  </si>
  <si>
    <t>D001170</t>
  </si>
  <si>
    <t>O01071</t>
  </si>
  <si>
    <t>M001171</t>
  </si>
  <si>
    <t>D001171</t>
  </si>
  <si>
    <t>O01072</t>
  </si>
  <si>
    <t>M001172</t>
  </si>
  <si>
    <t>D001172</t>
  </si>
  <si>
    <t>O01073</t>
  </si>
  <si>
    <t>M001173</t>
  </si>
  <si>
    <t>D001173</t>
  </si>
  <si>
    <t>O01074</t>
  </si>
  <si>
    <t>M001174</t>
  </si>
  <si>
    <t>D001174</t>
  </si>
  <si>
    <t>O01075</t>
  </si>
  <si>
    <t>M001175</t>
  </si>
  <si>
    <t>D001175</t>
  </si>
  <si>
    <t>O01076</t>
  </si>
  <si>
    <t>M001176</t>
  </si>
  <si>
    <t>D001176</t>
  </si>
  <si>
    <t>O01077</t>
  </si>
  <si>
    <t>M001177</t>
  </si>
  <si>
    <t>D001177</t>
  </si>
  <si>
    <t>O01078</t>
  </si>
  <si>
    <t>M001178</t>
  </si>
  <si>
    <t>D001178</t>
  </si>
  <si>
    <t>O01079</t>
  </si>
  <si>
    <t>M001179</t>
  </si>
  <si>
    <t>D001179</t>
  </si>
  <si>
    <t>O01080</t>
  </si>
  <si>
    <t>M001180</t>
  </si>
  <si>
    <t>D001180</t>
  </si>
  <si>
    <t>O01081</t>
  </si>
  <si>
    <t>M001181</t>
  </si>
  <si>
    <t>D001181</t>
  </si>
  <si>
    <t>O01082</t>
  </si>
  <si>
    <t>M001182</t>
  </si>
  <si>
    <t>D001182</t>
  </si>
  <si>
    <t>O01083</t>
  </si>
  <si>
    <t>M001183</t>
  </si>
  <si>
    <t>D001183</t>
  </si>
  <si>
    <t>O01084</t>
  </si>
  <si>
    <t>M001184</t>
  </si>
  <si>
    <t>D001184</t>
  </si>
  <si>
    <t>O01085</t>
  </si>
  <si>
    <t>M001185</t>
  </si>
  <si>
    <t>D001185</t>
  </si>
  <si>
    <t>O01086</t>
  </si>
  <si>
    <t>M001186</t>
  </si>
  <si>
    <t>D001186</t>
  </si>
  <si>
    <t>O01087</t>
  </si>
  <si>
    <t>M001187</t>
  </si>
  <si>
    <t>D001187</t>
  </si>
  <si>
    <t>O01088</t>
  </si>
  <si>
    <t>M001188</t>
  </si>
  <si>
    <t>D001188</t>
  </si>
  <si>
    <t>O01089</t>
  </si>
  <si>
    <t>M001189</t>
  </si>
  <si>
    <t>D001189</t>
  </si>
  <si>
    <t>O01090</t>
  </si>
  <si>
    <t>M001190</t>
  </si>
  <si>
    <t>D001190</t>
  </si>
  <si>
    <t>O01091</t>
  </si>
  <si>
    <t>M001191</t>
  </si>
  <si>
    <t>D001191</t>
  </si>
  <si>
    <t>M001192</t>
  </si>
  <si>
    <t>D001192</t>
  </si>
  <si>
    <t>O01092</t>
  </si>
  <si>
    <t>M001193</t>
  </si>
  <si>
    <t>D001193</t>
  </si>
  <si>
    <t>O01093</t>
  </si>
  <si>
    <t>M001194</t>
  </si>
  <si>
    <t>D001194</t>
  </si>
  <si>
    <t>O01094</t>
  </si>
  <si>
    <t>M001195</t>
  </si>
  <si>
    <t>D001195</t>
  </si>
  <si>
    <t>O01095</t>
  </si>
  <si>
    <t>M001196</t>
  </si>
  <si>
    <t>D001196</t>
  </si>
  <si>
    <t>O01096</t>
  </si>
  <si>
    <t>M001197</t>
  </si>
  <si>
    <t>D001197</t>
  </si>
  <si>
    <t>O01097</t>
  </si>
  <si>
    <t>M001198</t>
  </si>
  <si>
    <t>D001198</t>
  </si>
  <si>
    <t>O01098</t>
  </si>
  <si>
    <t>M001199</t>
  </si>
  <si>
    <t>D001199</t>
  </si>
  <si>
    <t>O01099</t>
  </si>
  <si>
    <t>M001200</t>
  </si>
  <si>
    <t>D001200</t>
  </si>
  <si>
    <t>O01100</t>
  </si>
  <si>
    <t>M001201</t>
  </si>
  <si>
    <t>D001201</t>
  </si>
  <si>
    <t>O01101</t>
  </si>
  <si>
    <t>M001202</t>
  </si>
  <si>
    <t>D001202</t>
  </si>
  <si>
    <t>O01102</t>
  </si>
  <si>
    <t>M001203</t>
  </si>
  <si>
    <t>D001203</t>
  </si>
  <si>
    <t>O01103</t>
  </si>
  <si>
    <t>M001204</t>
  </si>
  <si>
    <t>D001204</t>
  </si>
  <si>
    <t>O01104</t>
  </si>
  <si>
    <t>M001205</t>
  </si>
  <si>
    <t>D001205</t>
  </si>
  <si>
    <t>O01105</t>
  </si>
  <si>
    <t>M001206</t>
  </si>
  <si>
    <t>D001206</t>
  </si>
  <si>
    <t>O01106</t>
  </si>
  <si>
    <t>M001207</t>
  </si>
  <si>
    <t>D001207</t>
  </si>
  <si>
    <t>O01107</t>
  </si>
  <si>
    <t>M001208</t>
  </si>
  <si>
    <t>D001208</t>
  </si>
  <si>
    <t>O01108</t>
  </si>
  <si>
    <t>M001209</t>
  </si>
  <si>
    <t>D001209</t>
  </si>
  <si>
    <t>O01109</t>
  </si>
  <si>
    <t>M001210</t>
  </si>
  <si>
    <t>D001210</t>
  </si>
  <si>
    <t>O01110</t>
  </si>
  <si>
    <t>M001211</t>
  </si>
  <si>
    <t>D001211</t>
  </si>
  <si>
    <t>O01111</t>
  </si>
  <si>
    <t>M001212</t>
  </si>
  <si>
    <t>D001212</t>
  </si>
  <si>
    <t>O01112</t>
  </si>
  <si>
    <t>M001213</t>
  </si>
  <si>
    <t>D001213</t>
  </si>
  <si>
    <t>O01113</t>
  </si>
  <si>
    <t>M001214</t>
  </si>
  <si>
    <t>D001214</t>
  </si>
  <si>
    <t>O01114</t>
  </si>
  <si>
    <t>M001215</t>
  </si>
  <si>
    <t>D001215</t>
  </si>
  <si>
    <t>O01115</t>
  </si>
  <si>
    <t>M001216</t>
  </si>
  <si>
    <t>D001216</t>
  </si>
  <si>
    <t>O01116</t>
  </si>
  <si>
    <t>M001217</t>
  </si>
  <si>
    <t>D001217</t>
  </si>
  <si>
    <t>O01117</t>
  </si>
  <si>
    <t>M001218</t>
  </si>
  <si>
    <t>D001218</t>
  </si>
  <si>
    <t>O01118</t>
  </si>
  <si>
    <t>M001219</t>
  </si>
  <si>
    <t>D001219</t>
  </si>
  <si>
    <t>O01119</t>
  </si>
  <si>
    <t>M001220</t>
  </si>
  <si>
    <t>D001220</t>
  </si>
  <si>
    <t>O01120</t>
  </si>
  <si>
    <t>M001221</t>
  </si>
  <si>
    <t>D001221</t>
  </si>
  <si>
    <t>O01121</t>
  </si>
  <si>
    <t>M001222</t>
  </si>
  <si>
    <t>D001222</t>
  </si>
  <si>
    <t>O01122</t>
  </si>
  <si>
    <t>M001223</t>
  </si>
  <si>
    <t>D001223</t>
  </si>
  <si>
    <t>O01123</t>
  </si>
  <si>
    <t>M001224</t>
  </si>
  <si>
    <t>D001224</t>
  </si>
  <si>
    <t>O01124</t>
  </si>
  <si>
    <t>M001225</t>
  </si>
  <si>
    <t>D001225</t>
  </si>
  <si>
    <t>O01125</t>
  </si>
  <si>
    <t>M001226</t>
  </si>
  <si>
    <t>D001226</t>
  </si>
  <si>
    <t>O01126</t>
  </si>
  <si>
    <t>M001227</t>
  </si>
  <si>
    <t>D001227</t>
  </si>
  <si>
    <t>O01127</t>
  </si>
  <si>
    <t>M001228</t>
  </si>
  <si>
    <t>D001228</t>
  </si>
  <si>
    <t>O01128</t>
  </si>
  <si>
    <t>M001229</t>
  </si>
  <si>
    <t>D001229</t>
  </si>
  <si>
    <t>O01129</t>
  </si>
  <si>
    <t>M001230</t>
  </si>
  <si>
    <t>D001230</t>
  </si>
  <si>
    <t>O01130</t>
  </si>
  <si>
    <t>M001231</t>
  </si>
  <si>
    <t>D001231</t>
  </si>
  <si>
    <t>O01131</t>
  </si>
  <si>
    <t>M001232</t>
  </si>
  <si>
    <t>D001232</t>
  </si>
  <si>
    <t>O01132</t>
  </si>
  <si>
    <t>M001233</t>
  </si>
  <si>
    <t>D001233</t>
  </si>
  <si>
    <t>O01133</t>
  </si>
  <si>
    <t>M001234</t>
  </si>
  <si>
    <t>D001234</t>
  </si>
  <si>
    <t>O01134</t>
  </si>
  <si>
    <t>M001235</t>
  </si>
  <si>
    <t>D001235</t>
  </si>
  <si>
    <t>O01135</t>
  </si>
  <si>
    <t>M001236</t>
  </si>
  <si>
    <t>D001236</t>
  </si>
  <si>
    <t>O01136</t>
  </si>
  <si>
    <t>M001237</t>
  </si>
  <si>
    <t>D001237</t>
  </si>
  <si>
    <t>O01137</t>
  </si>
  <si>
    <t>M001238</t>
  </si>
  <si>
    <t>D001238</t>
  </si>
  <si>
    <t>O01138</t>
  </si>
  <si>
    <t>M001239</t>
  </si>
  <si>
    <t>D001239</t>
  </si>
  <si>
    <t>O01139</t>
  </si>
  <si>
    <t>M001240</t>
  </si>
  <si>
    <t>D001240</t>
  </si>
  <si>
    <t>O01140</t>
  </si>
  <si>
    <t>M001241</t>
  </si>
  <si>
    <t>D001241</t>
  </si>
  <si>
    <t>O01141</t>
  </si>
  <si>
    <t>M001242</t>
  </si>
  <si>
    <t>D001242</t>
  </si>
  <si>
    <t>O01142</t>
  </si>
  <si>
    <t>M001243</t>
  </si>
  <si>
    <t>D001243</t>
  </si>
  <si>
    <t>O01143</t>
  </si>
  <si>
    <t>M001244</t>
  </si>
  <si>
    <t>D001244</t>
  </si>
  <si>
    <t>O01144</t>
  </si>
  <si>
    <t>M001245</t>
  </si>
  <si>
    <t>D001245</t>
  </si>
  <si>
    <t>O01145</t>
  </si>
  <si>
    <t>M001246</t>
  </si>
  <si>
    <t>D001246</t>
  </si>
  <si>
    <t>O01146</t>
  </si>
  <si>
    <t>M001247</t>
  </si>
  <si>
    <t>D001247</t>
  </si>
  <si>
    <t>O01147</t>
  </si>
  <si>
    <t>M001248</t>
  </si>
  <si>
    <t>D001248</t>
  </si>
  <si>
    <t>O01148</t>
  </si>
  <si>
    <t>M001249</t>
  </si>
  <si>
    <t>D001249</t>
  </si>
  <si>
    <t>O01149</t>
  </si>
  <si>
    <t>M001250</t>
  </si>
  <si>
    <t>D001250</t>
  </si>
  <si>
    <t>O01150</t>
  </si>
  <si>
    <t>M001251</t>
  </si>
  <si>
    <t>D001251</t>
  </si>
  <si>
    <t>O01151</t>
  </si>
  <si>
    <t>M001252</t>
  </si>
  <si>
    <t>D001252</t>
  </si>
  <si>
    <t>O01152</t>
  </si>
  <si>
    <t>M001253</t>
  </si>
  <si>
    <t>D001253</t>
  </si>
  <si>
    <t>O01153</t>
  </si>
  <si>
    <t>M001254</t>
  </si>
  <si>
    <t>D001254</t>
  </si>
  <si>
    <t>O01154</t>
  </si>
  <si>
    <t>M001255</t>
  </si>
  <si>
    <t>D001255</t>
  </si>
  <si>
    <t>M001256</t>
  </si>
  <si>
    <t>D001256</t>
  </si>
  <si>
    <t>O01155</t>
  </si>
  <si>
    <t>M001257</t>
  </si>
  <si>
    <t>D001257</t>
  </si>
  <si>
    <t>O01156</t>
  </si>
  <si>
    <t>M001258</t>
  </si>
  <si>
    <t>D001258</t>
  </si>
  <si>
    <t>O01157</t>
  </si>
  <si>
    <t>M001259</t>
  </si>
  <si>
    <t>D001259</t>
  </si>
  <si>
    <t>O01158</t>
  </si>
  <si>
    <t>M001260</t>
  </si>
  <si>
    <t>D001260</t>
  </si>
  <si>
    <t>O01159</t>
  </si>
  <si>
    <t>M001261</t>
  </si>
  <si>
    <t>D001261</t>
  </si>
  <si>
    <t>M001262</t>
  </si>
  <si>
    <t>D001262</t>
  </si>
  <si>
    <t>O01160</t>
  </si>
  <si>
    <t>M001263</t>
  </si>
  <si>
    <t>D001263</t>
  </si>
  <si>
    <t>O01161</t>
  </si>
  <si>
    <t>M001264</t>
  </si>
  <si>
    <t>D001264</t>
  </si>
  <si>
    <t>O01162</t>
  </si>
  <si>
    <t>M001265</t>
  </si>
  <si>
    <t>D001265</t>
  </si>
  <si>
    <t>O01163</t>
  </si>
  <si>
    <t>M001266</t>
  </si>
  <si>
    <t>D001266</t>
  </si>
  <si>
    <t>O01164</t>
  </si>
  <si>
    <t>M001267</t>
  </si>
  <si>
    <t>D001267</t>
  </si>
  <si>
    <t>O01165</t>
  </si>
  <si>
    <t>M001268</t>
  </si>
  <si>
    <t>D001268</t>
  </si>
  <si>
    <t>O01166</t>
  </si>
  <si>
    <t>M001269</t>
  </si>
  <si>
    <t>D001269</t>
  </si>
  <si>
    <t>O01167</t>
  </si>
  <si>
    <t>M001270</t>
  </si>
  <si>
    <t>D001270</t>
  </si>
  <si>
    <t>O01168</t>
  </si>
  <si>
    <t>M001271</t>
  </si>
  <si>
    <t>D001271</t>
  </si>
  <si>
    <t>O01169</t>
  </si>
  <si>
    <t>M001272</t>
  </si>
  <si>
    <t>D001272</t>
  </si>
  <si>
    <t>O01170</t>
  </si>
  <si>
    <t>M001273</t>
  </si>
  <si>
    <t>D001273</t>
  </si>
  <si>
    <t>O01171</t>
  </si>
  <si>
    <t>M001274</t>
  </si>
  <si>
    <t>D001274</t>
  </si>
  <si>
    <t>O01172</t>
  </si>
  <si>
    <t>M001275</t>
  </si>
  <si>
    <t>D001275</t>
  </si>
  <si>
    <t>M001276</t>
  </si>
  <si>
    <t>D001276</t>
  </si>
  <si>
    <t>O01173</t>
  </si>
  <si>
    <t>M001277</t>
  </si>
  <si>
    <t>D001277</t>
  </si>
  <si>
    <t>O01174</t>
  </si>
  <si>
    <t>M001278</t>
  </si>
  <si>
    <t>D001278</t>
  </si>
  <si>
    <t>O01175</t>
  </si>
  <si>
    <t>M001279</t>
  </si>
  <si>
    <t>D001279</t>
  </si>
  <si>
    <t>O01176</t>
  </si>
  <si>
    <t>M001280</t>
  </si>
  <si>
    <t>D001280</t>
  </si>
  <si>
    <t>O01177</t>
  </si>
  <si>
    <t>M001281</t>
  </si>
  <si>
    <t>D001281</t>
  </si>
  <si>
    <t>O01178</t>
  </si>
  <si>
    <t>M001282</t>
  </si>
  <si>
    <t>D001282</t>
  </si>
  <si>
    <t>O01179</t>
  </si>
  <si>
    <t>M001283</t>
  </si>
  <si>
    <t>D001283</t>
  </si>
  <si>
    <t>O01180</t>
  </si>
  <si>
    <t>M001284</t>
  </si>
  <si>
    <t>D001284</t>
  </si>
  <si>
    <t>O01181</t>
  </si>
  <si>
    <t>M001285</t>
  </si>
  <si>
    <t>D001285</t>
  </si>
  <si>
    <t>O01182</t>
  </si>
  <si>
    <t>M001286</t>
  </si>
  <si>
    <t>D001286</t>
  </si>
  <si>
    <t>O01183</t>
  </si>
  <si>
    <t>M001287</t>
  </si>
  <si>
    <t>D001287</t>
  </si>
  <si>
    <t>O01184</t>
  </si>
  <si>
    <t>M001288</t>
  </si>
  <si>
    <t>D001288</t>
  </si>
  <si>
    <t>O01185</t>
  </si>
  <si>
    <t>M001289</t>
  </si>
  <si>
    <t>D001289</t>
  </si>
  <si>
    <t>O01186</t>
  </si>
  <si>
    <t>M001290</t>
  </si>
  <si>
    <t>D001290</t>
  </si>
  <si>
    <t>O01187</t>
  </si>
  <si>
    <t>M001291</t>
  </si>
  <si>
    <t>D001291</t>
  </si>
  <si>
    <t>O01188</t>
  </si>
  <si>
    <t>M001292</t>
  </si>
  <si>
    <t>D001292</t>
  </si>
  <si>
    <t>O01189</t>
  </si>
  <si>
    <t>M001293</t>
  </si>
  <si>
    <t>D001293</t>
  </si>
  <si>
    <t>O01190</t>
  </si>
  <si>
    <t>M001294</t>
  </si>
  <si>
    <t>D001294</t>
  </si>
  <si>
    <t>O01191</t>
  </si>
  <si>
    <t>M001295</t>
  </si>
  <si>
    <t>D001295</t>
  </si>
  <si>
    <t>O01192</t>
  </si>
  <si>
    <t>M001296</t>
  </si>
  <si>
    <t>D001296</t>
  </si>
  <si>
    <t>O01193</t>
  </si>
  <si>
    <t>M001297</t>
  </si>
  <si>
    <t>D001297</t>
  </si>
  <si>
    <t>O01194</t>
  </si>
  <si>
    <t>M001298</t>
  </si>
  <si>
    <t>D001298</t>
  </si>
  <si>
    <t>O01195</t>
  </si>
  <si>
    <t>M001299</t>
  </si>
  <si>
    <t>D001299</t>
  </si>
  <si>
    <t>O01196</t>
  </si>
  <si>
    <t>M001300</t>
  </si>
  <si>
    <t>D001300</t>
  </si>
  <si>
    <t>O01197</t>
  </si>
  <si>
    <t>M001301</t>
  </si>
  <si>
    <t>D001301</t>
  </si>
  <si>
    <t>O01198</t>
  </si>
  <si>
    <t>M001302</t>
  </si>
  <si>
    <t>D001302</t>
  </si>
  <si>
    <t>O01199</t>
  </si>
  <si>
    <t>M001303</t>
  </si>
  <si>
    <t>D001303</t>
  </si>
  <si>
    <t>O01200</t>
  </si>
  <si>
    <t>M001304</t>
  </si>
  <si>
    <t>D001304</t>
  </si>
  <si>
    <t>O01201</t>
  </si>
  <si>
    <t>M001305</t>
  </si>
  <si>
    <t>D001305</t>
  </si>
  <si>
    <t>O01202</t>
  </si>
  <si>
    <t>M001306</t>
  </si>
  <si>
    <t>D001306</t>
  </si>
  <si>
    <t>O01203</t>
  </si>
  <si>
    <t>M001307</t>
  </si>
  <si>
    <t>D001307</t>
  </si>
  <si>
    <t>O01204</t>
  </si>
  <si>
    <t>M001308</t>
  </si>
  <si>
    <t>D001308</t>
  </si>
  <si>
    <t>O01205</t>
  </si>
  <si>
    <t>M001309</t>
  </si>
  <si>
    <t>D001309</t>
  </si>
  <si>
    <t>O01206</t>
  </si>
  <si>
    <t>M001310</t>
  </si>
  <si>
    <t>D001310</t>
  </si>
  <si>
    <t>O01207</t>
  </si>
  <si>
    <t>M001311</t>
  </si>
  <si>
    <t>D001311</t>
  </si>
  <si>
    <t>O01208</t>
  </si>
  <si>
    <t>M001312</t>
  </si>
  <si>
    <t>D001312</t>
  </si>
  <si>
    <t>O01209</t>
  </si>
  <si>
    <t>M001313</t>
  </si>
  <si>
    <t>D001313</t>
  </si>
  <si>
    <t>O01210</t>
  </si>
  <si>
    <t>M001314</t>
  </si>
  <si>
    <t>D001314</t>
  </si>
  <si>
    <t>O01211</t>
  </si>
  <si>
    <t>M001315</t>
  </si>
  <si>
    <t>D001315</t>
  </si>
  <si>
    <t>O01212</t>
  </si>
  <si>
    <t>M001316</t>
  </si>
  <si>
    <t>D001316</t>
  </si>
  <si>
    <t>O01213</t>
  </si>
  <si>
    <t>M001317</t>
  </si>
  <si>
    <t>D001317</t>
  </si>
  <si>
    <t>O01214</t>
  </si>
  <si>
    <t>M001318</t>
  </si>
  <si>
    <t>D001318</t>
  </si>
  <si>
    <t>O01215</t>
  </si>
  <si>
    <t>M001319</t>
  </si>
  <si>
    <t>D001319</t>
  </si>
  <si>
    <t>O01216</t>
  </si>
  <si>
    <t>M001320</t>
  </si>
  <si>
    <t>D001320</t>
  </si>
  <si>
    <t>O01217</t>
  </si>
  <si>
    <t>M001321</t>
  </si>
  <si>
    <t>D001321</t>
  </si>
  <si>
    <t>O01218</t>
  </si>
  <si>
    <t>M001322</t>
  </si>
  <si>
    <t>D001322</t>
  </si>
  <si>
    <t>O01219</t>
  </si>
  <si>
    <t>M001323</t>
  </si>
  <si>
    <t>D001323</t>
  </si>
  <si>
    <t>O01220</t>
  </si>
  <si>
    <t>M001324</t>
  </si>
  <si>
    <t>D001324</t>
  </si>
  <si>
    <t>O01221</t>
  </si>
  <si>
    <t>M001325</t>
  </si>
  <si>
    <t>D001325</t>
  </si>
  <si>
    <t>O01222</t>
  </si>
  <si>
    <t>M001326</t>
  </si>
  <si>
    <t>D001326</t>
  </si>
  <si>
    <t>O01223</t>
  </si>
  <si>
    <t>M001327</t>
  </si>
  <si>
    <t>D001327</t>
  </si>
  <si>
    <t>O01224</t>
  </si>
  <si>
    <t>M001328</t>
  </si>
  <si>
    <t>D001328</t>
  </si>
  <si>
    <t>O01225</t>
  </si>
  <si>
    <t>M001329</t>
  </si>
  <si>
    <t>D001329</t>
  </si>
  <si>
    <t>O01226</t>
  </si>
  <si>
    <t>M001330</t>
  </si>
  <si>
    <t>D001330</t>
  </si>
  <si>
    <t>O01227</t>
  </si>
  <si>
    <t>M001331</t>
  </si>
  <si>
    <t>D001331</t>
  </si>
  <si>
    <t>O01228</t>
  </si>
  <si>
    <t>M001332</t>
  </si>
  <si>
    <t>D001332</t>
  </si>
  <si>
    <t>O01229</t>
  </si>
  <si>
    <t>M001333</t>
  </si>
  <si>
    <t>D001333</t>
  </si>
  <si>
    <t>O01230</t>
  </si>
  <si>
    <t>M001334</t>
  </si>
  <si>
    <t>D001334</t>
  </si>
  <si>
    <t>O01231</t>
  </si>
  <si>
    <t>M001335</t>
  </si>
  <si>
    <t>D001335</t>
  </si>
  <si>
    <t>O01232</t>
  </si>
  <si>
    <t>M001336</t>
  </si>
  <si>
    <t>D001336</t>
  </si>
  <si>
    <t>O01233</t>
  </si>
  <si>
    <t>M001337</t>
  </si>
  <si>
    <t>D001337</t>
  </si>
  <si>
    <t>O01234</t>
  </si>
  <si>
    <t>M001338</t>
  </si>
  <si>
    <t>D001338</t>
  </si>
  <si>
    <t>O01235</t>
  </si>
  <si>
    <t>M001339</t>
  </si>
  <si>
    <t>D001339</t>
  </si>
  <si>
    <t>O01236</t>
  </si>
  <si>
    <t>M001340</t>
  </si>
  <si>
    <t>D001340</t>
  </si>
  <si>
    <t>O01237</t>
  </si>
  <si>
    <t>M001341</t>
  </si>
  <si>
    <t>D001341</t>
  </si>
  <si>
    <t>O01238</t>
  </si>
  <si>
    <t>M001342</t>
  </si>
  <si>
    <t>D001342</t>
  </si>
  <si>
    <t>O01239</t>
  </si>
  <si>
    <t>M001343</t>
  </si>
  <si>
    <t>D001343</t>
  </si>
  <si>
    <t>O01240</t>
  </si>
  <si>
    <t>M001344</t>
  </si>
  <si>
    <t>D001344</t>
  </si>
  <si>
    <t>O01241</t>
  </si>
  <si>
    <t>M001345</t>
  </si>
  <si>
    <t>D001345</t>
  </si>
  <si>
    <t>O01242</t>
  </si>
  <si>
    <t>M001346</t>
  </si>
  <si>
    <t>D001346</t>
  </si>
  <si>
    <t>O01243</t>
  </si>
  <si>
    <t>M001347</t>
  </si>
  <si>
    <t>D001347</t>
  </si>
  <si>
    <t>O01244</t>
  </si>
  <si>
    <t>M001348</t>
  </si>
  <si>
    <t>D001348</t>
  </si>
  <si>
    <t>O01245</t>
  </si>
  <si>
    <t>M001349</t>
  </si>
  <si>
    <t>D001349</t>
  </si>
  <si>
    <t>O01246</t>
  </si>
  <si>
    <t>M001350</t>
  </si>
  <si>
    <t>D001350</t>
  </si>
  <si>
    <t>O01247</t>
  </si>
  <si>
    <t>M001351</t>
  </si>
  <si>
    <t>D001351</t>
  </si>
  <si>
    <t>O01248</t>
  </si>
  <si>
    <t>M001352</t>
  </si>
  <si>
    <t>D001352</t>
  </si>
  <si>
    <t>O01249</t>
  </si>
  <si>
    <t>M001353</t>
  </si>
  <si>
    <t>D001353</t>
  </si>
  <si>
    <t>O01250</t>
  </si>
  <si>
    <t>M001354</t>
  </si>
  <si>
    <t>D001354</t>
  </si>
  <si>
    <t>O01251</t>
  </si>
  <si>
    <t>M001355</t>
  </si>
  <si>
    <t>D001355</t>
  </si>
  <si>
    <t>O01252</t>
  </si>
  <si>
    <t>M001356</t>
  </si>
  <si>
    <t>D001356</t>
  </si>
  <si>
    <t>O01253</t>
  </si>
  <si>
    <t>M001357</t>
  </si>
  <si>
    <t>D001357</t>
  </si>
  <si>
    <t>O01254</t>
  </si>
  <si>
    <t>M001358</t>
  </si>
  <si>
    <t>D001358</t>
  </si>
  <si>
    <t>O01255</t>
  </si>
  <si>
    <t>M001359</t>
  </si>
  <si>
    <t>D001359</t>
  </si>
  <si>
    <t>O01256</t>
  </si>
  <si>
    <t>M001360</t>
  </si>
  <si>
    <t>D001360</t>
  </si>
  <si>
    <t>O01257</t>
  </si>
  <si>
    <t>M001361</t>
  </si>
  <si>
    <t>D001361</t>
  </si>
  <si>
    <t>O01258</t>
  </si>
  <si>
    <t>M001362</t>
  </si>
  <si>
    <t>D001362</t>
  </si>
  <si>
    <t>O01259</t>
  </si>
  <si>
    <t>M001363</t>
  </si>
  <si>
    <t>D001363</t>
  </si>
  <si>
    <t>O01260</t>
  </si>
  <si>
    <t>M001364</t>
  </si>
  <si>
    <t>D001364</t>
  </si>
  <si>
    <t>O01261</t>
  </si>
  <si>
    <t>M001365</t>
  </si>
  <si>
    <t>D001365</t>
  </si>
  <si>
    <t>O01262</t>
  </si>
  <si>
    <t>M001366</t>
  </si>
  <si>
    <t>D001366</t>
  </si>
  <si>
    <t>O01263</t>
  </si>
  <si>
    <t>M001367</t>
  </si>
  <si>
    <t>D001367</t>
  </si>
  <si>
    <t>O01264</t>
  </si>
  <si>
    <t>M001368</t>
  </si>
  <si>
    <t>D001368</t>
  </si>
  <si>
    <t>O01265</t>
  </si>
  <si>
    <t>M001369</t>
  </si>
  <si>
    <t>D001369</t>
  </si>
  <si>
    <t>O01266</t>
  </si>
  <si>
    <t>M001370</t>
  </si>
  <si>
    <t>D001370</t>
  </si>
  <si>
    <t>O01267</t>
  </si>
  <si>
    <t>M001371</t>
  </si>
  <si>
    <t>D001371</t>
  </si>
  <si>
    <t>O01268</t>
  </si>
  <si>
    <t>M001372</t>
  </si>
  <si>
    <t>D001372</t>
  </si>
  <si>
    <t>O01269</t>
  </si>
  <si>
    <t>M001373</t>
  </si>
  <si>
    <t>D001373</t>
  </si>
  <si>
    <t>O01270</t>
  </si>
  <si>
    <t>M001374</t>
  </si>
  <si>
    <t>D001374</t>
  </si>
  <si>
    <t>O01271</t>
  </si>
  <si>
    <t>M001375</t>
  </si>
  <si>
    <t>D001375</t>
  </si>
  <si>
    <t>O01272</t>
  </si>
  <si>
    <t>M001376</t>
  </si>
  <si>
    <t>D001376</t>
  </si>
  <si>
    <t>O01273</t>
  </si>
  <si>
    <t>M001377</t>
  </si>
  <si>
    <t>D001377</t>
  </si>
  <si>
    <t>O01274</t>
  </si>
  <si>
    <t>M001378</t>
  </si>
  <si>
    <t>D001378</t>
  </si>
  <si>
    <t>O01275</t>
  </si>
  <si>
    <t>M001379</t>
  </si>
  <si>
    <t>D001379</t>
  </si>
  <si>
    <t>O01276</t>
  </si>
  <si>
    <t>M001380</t>
  </si>
  <si>
    <t>D001380</t>
  </si>
  <si>
    <t>O01277</t>
  </si>
  <si>
    <t>M001381</t>
  </si>
  <si>
    <t>D001381</t>
  </si>
  <si>
    <t>O01278</t>
  </si>
  <si>
    <t>M001382</t>
  </si>
  <si>
    <t>D001382</t>
  </si>
  <si>
    <t>O01279</t>
  </si>
  <si>
    <t>M001383</t>
  </si>
  <si>
    <t>D001383</t>
  </si>
  <si>
    <t>O01280</t>
  </si>
  <si>
    <t>M001384</t>
  </si>
  <si>
    <t>D001384</t>
  </si>
  <si>
    <t>O01281</t>
  </si>
  <si>
    <t>M001385</t>
  </si>
  <si>
    <t>D001385</t>
  </si>
  <si>
    <t>O01282</t>
  </si>
  <si>
    <t>M001386</t>
  </si>
  <si>
    <t>D001386</t>
  </si>
  <si>
    <t>O01283</t>
  </si>
  <si>
    <t>M001387</t>
  </si>
  <si>
    <t>D001387</t>
  </si>
  <si>
    <t>O01284</t>
  </si>
  <si>
    <t>M001388</t>
  </si>
  <si>
    <t>D001388</t>
  </si>
  <si>
    <t>O01285</t>
  </si>
  <si>
    <t>M001389</t>
  </si>
  <si>
    <t>D001389</t>
  </si>
  <si>
    <t>O01286</t>
  </si>
  <si>
    <t>M001390</t>
  </si>
  <si>
    <t>D001390</t>
  </si>
  <si>
    <t>O01287</t>
  </si>
  <si>
    <t>M001391</t>
  </si>
  <si>
    <t>D001391</t>
  </si>
  <si>
    <t>O01288</t>
  </si>
  <si>
    <t>M001392</t>
  </si>
  <si>
    <t>D001392</t>
  </si>
  <si>
    <t>O01289</t>
  </si>
  <si>
    <t>M001393</t>
  </si>
  <si>
    <t>D001393</t>
  </si>
  <si>
    <t>O01290</t>
  </si>
  <si>
    <t>M001394</t>
  </si>
  <si>
    <t>D001394</t>
  </si>
  <si>
    <t>O01291</t>
  </si>
  <si>
    <t>M001395</t>
  </si>
  <si>
    <t>D001395</t>
  </si>
  <si>
    <t>O01292</t>
  </si>
  <si>
    <t>M001396</t>
  </si>
  <si>
    <t>D001396</t>
  </si>
  <si>
    <t>O01293</t>
  </si>
  <si>
    <t>M001397</t>
  </si>
  <si>
    <t>D001397</t>
  </si>
  <si>
    <t>M001398</t>
  </si>
  <si>
    <t>D001398</t>
  </si>
  <si>
    <t>O01294</t>
  </si>
  <si>
    <t>M001399</t>
  </si>
  <si>
    <t>D001399</t>
  </si>
  <si>
    <t>O01295</t>
  </si>
  <si>
    <t>M001400</t>
  </si>
  <si>
    <t>D001400</t>
  </si>
  <si>
    <t>O01296</t>
  </si>
  <si>
    <t>M001401</t>
  </si>
  <si>
    <t>D001401</t>
  </si>
  <si>
    <t>O01297</t>
  </si>
  <si>
    <t>M001402</t>
  </si>
  <si>
    <t>D001402</t>
  </si>
  <si>
    <t>O01298</t>
  </si>
  <si>
    <t>M001403</t>
  </si>
  <si>
    <t>D001403</t>
  </si>
  <si>
    <t>O01299</t>
  </si>
  <si>
    <t>M001404</t>
  </si>
  <si>
    <t>D001404</t>
  </si>
  <si>
    <t>O01300</t>
  </si>
  <si>
    <t>M001405</t>
  </si>
  <si>
    <t>D001405</t>
  </si>
  <si>
    <t>O01301</t>
  </si>
  <si>
    <t>M001406</t>
  </si>
  <si>
    <t>D001406</t>
  </si>
  <si>
    <t>O01302</t>
  </si>
  <si>
    <t>M001407</t>
  </si>
  <si>
    <t>D001407</t>
  </si>
  <si>
    <t>O01303</t>
  </si>
  <si>
    <t>M001408</t>
  </si>
  <si>
    <t>D001408</t>
  </si>
  <si>
    <t>O01304</t>
  </si>
  <si>
    <t>M001409</t>
  </si>
  <si>
    <t>D001409</t>
  </si>
  <si>
    <t>O01305</t>
  </si>
  <si>
    <t>M001410</t>
  </si>
  <si>
    <t>D001410</t>
  </si>
  <si>
    <t>O01306</t>
  </si>
  <si>
    <t>M001411</t>
  </si>
  <si>
    <t>D001411</t>
  </si>
  <si>
    <t>O01307</t>
  </si>
  <si>
    <t>M001412</t>
  </si>
  <si>
    <t>D001412</t>
  </si>
  <si>
    <t>O01308</t>
  </si>
  <si>
    <t>M001413</t>
  </si>
  <si>
    <t>D001413</t>
  </si>
  <si>
    <t>O01309</t>
  </si>
  <si>
    <t>M001414</t>
  </si>
  <si>
    <t>D001414</t>
  </si>
  <si>
    <t>O01310</t>
  </si>
  <si>
    <t>M001415</t>
  </si>
  <si>
    <t>D001415</t>
  </si>
  <si>
    <t>O01311</t>
  </si>
  <si>
    <t>M001416</t>
  </si>
  <si>
    <t>D001416</t>
  </si>
  <si>
    <t>O01312</t>
  </si>
  <si>
    <t>M001417</t>
  </si>
  <si>
    <t>D001417</t>
  </si>
  <si>
    <t>O01313</t>
  </si>
  <si>
    <t>M001418</t>
  </si>
  <si>
    <t>D001418</t>
  </si>
  <si>
    <t>O01314</t>
  </si>
  <si>
    <t>M001419</t>
  </si>
  <si>
    <t>D001419</t>
  </si>
  <si>
    <t>R0063</t>
  </si>
  <si>
    <t>M001420</t>
  </si>
  <si>
    <t>D001420</t>
  </si>
  <si>
    <t>R0064</t>
  </si>
  <si>
    <t>M001421</t>
  </si>
  <si>
    <t>D001421</t>
  </si>
  <si>
    <t>R0065</t>
  </si>
  <si>
    <t>M001422</t>
  </si>
  <si>
    <t>D001422</t>
  </si>
  <si>
    <t>R0066</t>
  </si>
  <si>
    <t>M001423</t>
  </si>
  <si>
    <t>D001423</t>
  </si>
  <si>
    <t>R0067</t>
  </si>
  <si>
    <t>M001424</t>
  </si>
  <si>
    <t>D001424</t>
  </si>
  <si>
    <t>R0068</t>
  </si>
  <si>
    <t>M001425</t>
  </si>
  <si>
    <t>D001425</t>
  </si>
  <si>
    <t>R0069</t>
  </si>
  <si>
    <t>M001426</t>
  </si>
  <si>
    <t>D001426</t>
  </si>
  <si>
    <t>R0070</t>
  </si>
  <si>
    <t>M001427</t>
  </si>
  <si>
    <t>D001427</t>
  </si>
  <si>
    <t>R0071</t>
  </si>
  <si>
    <t>M001428</t>
  </si>
  <si>
    <t>D001428</t>
  </si>
  <si>
    <t>R0072</t>
  </si>
  <si>
    <t>M001429</t>
  </si>
  <si>
    <t>D001429</t>
  </si>
  <si>
    <t>R0073</t>
  </si>
  <si>
    <t>M001430</t>
  </si>
  <si>
    <t>D001430</t>
  </si>
  <si>
    <t>R0074</t>
  </si>
  <si>
    <t>M001431</t>
  </si>
  <si>
    <t>D001431</t>
  </si>
  <si>
    <t>R0075</t>
  </si>
  <si>
    <t>M001432</t>
  </si>
  <si>
    <t>D001432</t>
  </si>
  <si>
    <t>R0076</t>
  </si>
  <si>
    <t>M001433</t>
  </si>
  <si>
    <t>D001433</t>
  </si>
  <si>
    <t>R0077</t>
  </si>
  <si>
    <t>M001434</t>
  </si>
  <si>
    <t>D001434</t>
  </si>
  <si>
    <t>R0078</t>
  </si>
  <si>
    <t>M001435</t>
  </si>
  <si>
    <t>D001435</t>
  </si>
  <si>
    <t>O01315</t>
  </si>
  <si>
    <t>M001436</t>
  </si>
  <si>
    <t>D001436</t>
  </si>
  <si>
    <t>O01316</t>
  </si>
  <si>
    <t>M001437</t>
  </si>
  <si>
    <t>D001437</t>
  </si>
  <si>
    <t>O01317</t>
  </si>
  <si>
    <t>M001438</t>
  </si>
  <si>
    <t>D001438</t>
  </si>
  <si>
    <t>O01318</t>
  </si>
  <si>
    <t>M001439</t>
  </si>
  <si>
    <t>D001439</t>
  </si>
  <si>
    <t>O01319</t>
  </si>
  <si>
    <t>M001440</t>
  </si>
  <si>
    <t>D001440</t>
  </si>
  <si>
    <t>M001441</t>
  </si>
  <si>
    <t>D001441</t>
  </si>
  <si>
    <t>O01320</t>
  </si>
  <si>
    <t>M001442</t>
  </si>
  <si>
    <t>D001442</t>
  </si>
  <si>
    <t>O01321</t>
  </si>
  <si>
    <t>M001443</t>
  </si>
  <si>
    <t>D001443</t>
  </si>
  <si>
    <t>O01322</t>
  </si>
  <si>
    <t>M001444</t>
  </si>
  <si>
    <t>D001444</t>
  </si>
  <si>
    <t>O01323</t>
  </si>
  <si>
    <t>M001445</t>
  </si>
  <si>
    <t>D001445</t>
  </si>
  <si>
    <t>O01324</t>
  </si>
  <si>
    <t>M001446</t>
  </si>
  <si>
    <t>D001446</t>
  </si>
  <si>
    <t>O01325</t>
  </si>
  <si>
    <t>M001447</t>
  </si>
  <si>
    <t>D001447</t>
  </si>
  <si>
    <t>O01326</t>
  </si>
  <si>
    <t>M001448</t>
  </si>
  <si>
    <t>D001448</t>
  </si>
  <si>
    <t>O01327</t>
  </si>
  <si>
    <t>M001449</t>
  </si>
  <si>
    <t>D001449</t>
  </si>
  <si>
    <t>O01328</t>
  </si>
  <si>
    <t>M001450</t>
  </si>
  <si>
    <t>D001450</t>
  </si>
  <si>
    <t>O01329</t>
  </si>
  <si>
    <t>M001451</t>
  </si>
  <si>
    <t>D001451</t>
  </si>
  <si>
    <t>O01330</t>
  </si>
  <si>
    <t>M001452</t>
  </si>
  <si>
    <t>D001452</t>
  </si>
  <si>
    <t>O01331</t>
  </si>
  <si>
    <t>M001453</t>
  </si>
  <si>
    <t>D001453</t>
  </si>
  <si>
    <t>O01332</t>
  </si>
  <si>
    <t>M001454</t>
  </si>
  <si>
    <t>D001454</t>
  </si>
  <si>
    <t>O01333</t>
  </si>
  <si>
    <t>M001455</t>
  </si>
  <si>
    <t>D001455</t>
  </si>
  <si>
    <t>O01334</t>
  </si>
  <si>
    <t>M001456</t>
  </si>
  <si>
    <t>D001456</t>
  </si>
  <si>
    <t>O01335</t>
  </si>
  <si>
    <t>M001457</t>
  </si>
  <si>
    <t>D001457</t>
  </si>
  <si>
    <t>O01336</t>
  </si>
  <si>
    <t>M001458</t>
  </si>
  <si>
    <t>D001458</t>
  </si>
  <si>
    <t>O01337</t>
  </si>
  <si>
    <t>M001459</t>
  </si>
  <si>
    <t>D001459</t>
  </si>
  <si>
    <t>O01338</t>
  </si>
  <si>
    <t>M001460</t>
  </si>
  <si>
    <t>D001460</t>
  </si>
  <si>
    <t>O01339</t>
  </si>
  <si>
    <t>M001461</t>
  </si>
  <si>
    <t>D001461</t>
  </si>
  <si>
    <t>O01340</t>
  </si>
  <si>
    <t>M001462</t>
  </si>
  <si>
    <t>D001462</t>
  </si>
  <si>
    <t>O01341</t>
  </si>
  <si>
    <t>M001463</t>
  </si>
  <si>
    <t>D001463</t>
  </si>
  <si>
    <t>O01342</t>
  </si>
  <si>
    <t>M001464</t>
  </si>
  <si>
    <t>D001464</t>
  </si>
  <si>
    <t>O01343</t>
  </si>
  <si>
    <t>M001465</t>
  </si>
  <si>
    <t>D001465</t>
  </si>
  <si>
    <t>O01344</t>
  </si>
  <si>
    <t>M001466</t>
  </si>
  <si>
    <t>D001466</t>
  </si>
  <si>
    <t>O01345</t>
  </si>
  <si>
    <t>M001467</t>
  </si>
  <si>
    <t>D001467</t>
  </si>
  <si>
    <t>O01346</t>
  </si>
  <si>
    <t>M001468</t>
  </si>
  <si>
    <t>D001468</t>
  </si>
  <si>
    <t>O01347</t>
  </si>
  <si>
    <t>M001469</t>
  </si>
  <si>
    <t>D001469</t>
  </si>
  <si>
    <t>O01348</t>
  </si>
  <si>
    <t>M001470</t>
  </si>
  <si>
    <t>D001470</t>
  </si>
  <si>
    <t>O01349</t>
  </si>
  <si>
    <t>M001471</t>
  </si>
  <si>
    <t>D001471</t>
  </si>
  <si>
    <t>O01350</t>
  </si>
  <si>
    <t>M001472</t>
  </si>
  <si>
    <t>D001472</t>
  </si>
  <si>
    <t>O01351</t>
  </si>
  <si>
    <t>M001473</t>
  </si>
  <si>
    <t>D001473</t>
  </si>
  <si>
    <t>O01352</t>
  </si>
  <si>
    <t>M001474</t>
  </si>
  <si>
    <t>D001474</t>
  </si>
  <si>
    <t>O01353</t>
  </si>
  <si>
    <t>M001475</t>
  </si>
  <si>
    <t>D001475</t>
  </si>
  <si>
    <t>O01354</t>
  </si>
  <si>
    <t>M001476</t>
  </si>
  <si>
    <t>D001476</t>
  </si>
  <si>
    <t>O01355</t>
  </si>
  <si>
    <t>M001477</t>
  </si>
  <si>
    <t>D001477</t>
  </si>
  <si>
    <t>O01356</t>
  </si>
  <si>
    <t>M001478</t>
  </si>
  <si>
    <t>D001478</t>
  </si>
  <si>
    <t>O01357</t>
  </si>
  <si>
    <t>M001479</t>
  </si>
  <si>
    <t>D001479</t>
  </si>
  <si>
    <t>O01358</t>
  </si>
  <si>
    <t>M001480</t>
  </si>
  <si>
    <t>D001480</t>
  </si>
  <si>
    <t>O01359</t>
  </si>
  <si>
    <t>M001481</t>
  </si>
  <si>
    <t>D001481</t>
  </si>
  <si>
    <t>M001482</t>
  </si>
  <si>
    <t>D001482</t>
  </si>
  <si>
    <t>O01361</t>
  </si>
  <si>
    <t>M001483</t>
  </si>
  <si>
    <t>D001483</t>
  </si>
  <si>
    <t>O01362</t>
  </si>
  <si>
    <t>M001484</t>
  </si>
  <si>
    <t>D001484</t>
  </si>
  <si>
    <t>O01363</t>
  </si>
  <si>
    <t>M001485</t>
  </si>
  <si>
    <t>D001485</t>
  </si>
  <si>
    <t>O01364</t>
  </si>
  <si>
    <t>M001486</t>
  </si>
  <si>
    <t>D001486</t>
  </si>
  <si>
    <t>O01365</t>
  </si>
  <si>
    <t>M001487</t>
  </si>
  <si>
    <t>D001487</t>
  </si>
  <si>
    <t>O01366</t>
  </si>
  <si>
    <t>M001488</t>
  </si>
  <si>
    <t>D001488</t>
  </si>
  <si>
    <t>O01367</t>
  </si>
  <si>
    <t>M001489</t>
  </si>
  <si>
    <t>D001489</t>
  </si>
  <si>
    <t>O01368</t>
  </si>
  <si>
    <t>M001490</t>
  </si>
  <si>
    <t>D001490</t>
  </si>
  <si>
    <t>O01369</t>
  </si>
  <si>
    <t>M001491</t>
  </si>
  <si>
    <t>D001491</t>
  </si>
  <si>
    <t>O01370</t>
  </si>
  <si>
    <t>M001492</t>
  </si>
  <si>
    <t>D001492</t>
  </si>
  <si>
    <t>O01371</t>
  </si>
  <si>
    <t>M001493</t>
  </si>
  <si>
    <t>D001493</t>
  </si>
  <si>
    <t>O01373</t>
  </si>
  <si>
    <t>M001494</t>
  </si>
  <si>
    <t>D001494</t>
  </si>
  <si>
    <t>O01374</t>
  </si>
  <si>
    <t>M001495</t>
  </si>
  <si>
    <t>D001495</t>
  </si>
  <si>
    <t>O01375</t>
  </si>
  <si>
    <t>M001496</t>
  </si>
  <si>
    <t>D001496</t>
  </si>
  <si>
    <t>O01376</t>
  </si>
  <si>
    <t>M001497</t>
  </si>
  <si>
    <t>D001497</t>
  </si>
  <si>
    <t>O01377</t>
  </si>
  <si>
    <t>M001498</t>
  </si>
  <si>
    <t>D001498</t>
  </si>
  <si>
    <t>O01378</t>
  </si>
  <si>
    <t>M001499</t>
  </si>
  <si>
    <t>D001499</t>
  </si>
  <si>
    <t>O01379</t>
  </si>
  <si>
    <t>M001500</t>
  </si>
  <si>
    <t>D001500</t>
  </si>
  <si>
    <t>O01380</t>
  </si>
  <si>
    <t>M001501</t>
  </si>
  <si>
    <t>D001501</t>
  </si>
  <si>
    <t>O01381</t>
  </si>
  <si>
    <t>M001502</t>
  </si>
  <si>
    <t>D001502</t>
  </si>
  <si>
    <t>O01383</t>
  </si>
  <si>
    <t>M001503</t>
  </si>
  <si>
    <t>D001503</t>
  </si>
  <si>
    <t>O01384</t>
  </si>
  <si>
    <t>M001504</t>
  </si>
  <si>
    <t>D001504</t>
  </si>
  <si>
    <t>O01385</t>
  </si>
  <si>
    <t>M001505</t>
  </si>
  <si>
    <t>D001505</t>
  </si>
  <si>
    <t>O01386</t>
  </si>
  <si>
    <t>M001506</t>
  </si>
  <si>
    <t>D001506</t>
  </si>
  <si>
    <t>O01387</t>
  </si>
  <si>
    <t>M001507</t>
  </si>
  <si>
    <t>D001507</t>
  </si>
  <si>
    <t>O01388</t>
  </si>
  <si>
    <t>M001508</t>
  </si>
  <si>
    <t>D001508</t>
  </si>
  <si>
    <t>O01389</t>
  </si>
  <si>
    <t>M001509</t>
  </si>
  <si>
    <t>D001509</t>
  </si>
  <si>
    <t>O01390</t>
  </si>
  <si>
    <t>M001510</t>
  </si>
  <si>
    <t>D001510</t>
  </si>
  <si>
    <t>O01392</t>
  </si>
  <si>
    <t>M001511</t>
  </si>
  <si>
    <t>D001511</t>
  </si>
  <si>
    <t>O01393</t>
  </si>
  <si>
    <t>M001512</t>
  </si>
  <si>
    <t>D001512</t>
  </si>
  <si>
    <t>O01394</t>
  </si>
  <si>
    <t>M001513</t>
  </si>
  <si>
    <t>D001513</t>
  </si>
  <si>
    <t>M001514</t>
  </si>
  <si>
    <t>D001514</t>
  </si>
  <si>
    <t>O01395</t>
  </si>
  <si>
    <t>M001515</t>
  </si>
  <si>
    <t>D001515</t>
  </si>
  <si>
    <t>O01396</t>
  </si>
  <si>
    <t>M001516</t>
  </si>
  <si>
    <t>D001516</t>
  </si>
  <si>
    <t>O01397</t>
  </si>
  <si>
    <t>M001517</t>
  </si>
  <si>
    <t>D001517</t>
  </si>
  <si>
    <t>O01398</t>
  </si>
  <si>
    <t>M001518</t>
  </si>
  <si>
    <t>D001518</t>
  </si>
  <si>
    <t>O01399</t>
  </si>
  <si>
    <t>M001519</t>
  </si>
  <si>
    <t>D001519</t>
  </si>
  <si>
    <t>O01400</t>
  </si>
  <si>
    <t>M001520</t>
  </si>
  <si>
    <t>D001520</t>
  </si>
  <si>
    <t>O01401</t>
  </si>
  <si>
    <t>M001521</t>
  </si>
  <si>
    <t>D001521</t>
  </si>
  <si>
    <t>O01402</t>
  </si>
  <si>
    <t>M001522</t>
  </si>
  <si>
    <t>D001522</t>
  </si>
  <si>
    <t>O01403</t>
  </si>
  <si>
    <t>M001523</t>
  </si>
  <si>
    <t>D001523</t>
  </si>
  <si>
    <t>O01404</t>
  </si>
  <si>
    <t>M001524</t>
  </si>
  <si>
    <t>D001524</t>
  </si>
  <si>
    <t>O01405</t>
  </si>
  <si>
    <t>M001525</t>
  </si>
  <si>
    <t>D001525</t>
  </si>
  <si>
    <t>O01406</t>
  </si>
  <si>
    <t>M001526</t>
  </si>
  <si>
    <t>D001526</t>
  </si>
  <si>
    <t>O01407</t>
  </si>
  <si>
    <t>M001527</t>
  </si>
  <si>
    <t>D001527</t>
  </si>
  <si>
    <t>O01408</t>
  </si>
  <si>
    <t>M001528</t>
  </si>
  <si>
    <t>D001528</t>
  </si>
  <si>
    <t>O01409</t>
  </si>
  <si>
    <t>M001529</t>
  </si>
  <si>
    <t>D001529</t>
  </si>
  <si>
    <t>O01411</t>
  </si>
  <si>
    <t>M001530</t>
  </si>
  <si>
    <t>D001530</t>
  </si>
  <si>
    <t>O01412</t>
  </si>
  <si>
    <t>M001531</t>
  </si>
  <si>
    <t>D001531</t>
  </si>
  <si>
    <t>O01413</t>
  </si>
  <si>
    <t>M001532</t>
  </si>
  <si>
    <t>D001532</t>
  </si>
  <si>
    <t>O01414</t>
  </si>
  <si>
    <t>M001533</t>
  </si>
  <si>
    <t>D001533</t>
  </si>
  <si>
    <t>O01415</t>
  </si>
  <si>
    <t>M001534</t>
  </si>
  <si>
    <t>D001534</t>
  </si>
  <si>
    <t>O01416</t>
  </si>
  <si>
    <t>M001535</t>
  </si>
  <si>
    <t>D001535</t>
  </si>
  <si>
    <t>O01417</t>
  </si>
  <si>
    <t>M001536</t>
  </si>
  <si>
    <t>D001536</t>
  </si>
  <si>
    <t>O01418</t>
  </si>
  <si>
    <t>M001537</t>
  </si>
  <si>
    <t>D001537</t>
  </si>
  <si>
    <t>O01419</t>
  </si>
  <si>
    <t>M001538</t>
  </si>
  <si>
    <t>D001538</t>
  </si>
  <si>
    <t>O01420</t>
  </si>
  <si>
    <t>M001539</t>
  </si>
  <si>
    <t>D001539</t>
  </si>
  <si>
    <t>O01421</t>
  </si>
  <si>
    <t>M001540</t>
  </si>
  <si>
    <t>D001540</t>
  </si>
  <si>
    <t>O01422</t>
  </si>
  <si>
    <t>M001541</t>
  </si>
  <si>
    <t>D001541</t>
  </si>
  <si>
    <t>O01423</t>
  </si>
  <si>
    <t>M001542</t>
  </si>
  <si>
    <t>D001542</t>
  </si>
  <si>
    <t>O01424</t>
  </si>
  <si>
    <t>M001543</t>
  </si>
  <si>
    <t>D001543</t>
  </si>
  <si>
    <t>O01425</t>
  </si>
  <si>
    <t>M001544</t>
  </si>
  <si>
    <t>D001544</t>
  </si>
  <si>
    <t>O01426</t>
  </si>
  <si>
    <t>M001545</t>
  </si>
  <si>
    <t>D001545</t>
  </si>
  <si>
    <t>O01427</t>
  </si>
  <si>
    <t>M001546</t>
  </si>
  <si>
    <t>D001546</t>
  </si>
  <si>
    <t>O01428</t>
  </si>
  <si>
    <t>M001547</t>
  </si>
  <si>
    <t>D001547</t>
  </si>
  <si>
    <t>O01429</t>
  </si>
  <si>
    <t>M001548</t>
  </si>
  <si>
    <t>D001548</t>
  </si>
  <si>
    <t>O01430</t>
  </si>
  <si>
    <t>M001549</t>
  </si>
  <si>
    <t>D001549</t>
  </si>
  <si>
    <t>O01432</t>
  </si>
  <si>
    <t>M001550</t>
  </si>
  <si>
    <t>D001550</t>
  </si>
  <si>
    <t>O01433</t>
  </si>
  <si>
    <t>M001551</t>
  </si>
  <si>
    <t>D001551</t>
  </si>
  <si>
    <t>O01434</t>
  </si>
  <si>
    <t>M001552</t>
  </si>
  <si>
    <t>D001552</t>
  </si>
  <si>
    <t>O01435</t>
  </si>
  <si>
    <t>M001553</t>
  </si>
  <si>
    <t>D001553</t>
  </si>
  <si>
    <t>O01436</t>
  </si>
  <si>
    <t>M001554</t>
  </si>
  <si>
    <t>D001554</t>
  </si>
  <si>
    <t>O01437</t>
  </si>
  <si>
    <t>M001555</t>
  </si>
  <si>
    <t>D001555</t>
  </si>
  <si>
    <t>O01438</t>
  </si>
  <si>
    <t>M001556</t>
  </si>
  <si>
    <t>D001556</t>
  </si>
  <si>
    <t>O01439</t>
  </si>
  <si>
    <t>M001557</t>
  </si>
  <si>
    <t>D001557</t>
  </si>
  <si>
    <t>O01440</t>
  </si>
  <si>
    <t>M001558</t>
  </si>
  <si>
    <t>D001558</t>
  </si>
  <si>
    <t>O01442</t>
  </si>
  <si>
    <t>M001559</t>
  </si>
  <si>
    <t>D001559</t>
  </si>
  <si>
    <t>O01443</t>
  </si>
  <si>
    <t>M001560</t>
  </si>
  <si>
    <t>D001560</t>
  </si>
  <si>
    <t>O01444</t>
  </si>
  <si>
    <t>M001561</t>
  </si>
  <si>
    <t>D001561</t>
  </si>
  <si>
    <t>O01445</t>
  </si>
  <si>
    <t>M001562</t>
  </si>
  <si>
    <t>D001562</t>
  </si>
  <si>
    <t>O01446</t>
  </si>
  <si>
    <t>M001563</t>
  </si>
  <si>
    <t>D001563</t>
  </si>
  <si>
    <t>O01447</t>
  </si>
  <si>
    <t>M001564</t>
  </si>
  <si>
    <t>D001564</t>
  </si>
  <si>
    <t>O01448</t>
  </si>
  <si>
    <t>M001565</t>
  </si>
  <si>
    <t>D001565</t>
  </si>
  <si>
    <t>O01450</t>
  </si>
  <si>
    <t>M001566</t>
  </si>
  <si>
    <t>D001566</t>
  </si>
  <si>
    <t>O01451</t>
  </si>
  <si>
    <t>M001567</t>
  </si>
  <si>
    <t>D001567</t>
  </si>
  <si>
    <t>O01452</t>
  </si>
  <si>
    <t>M001568</t>
  </si>
  <si>
    <t>D001568</t>
  </si>
  <si>
    <t>O01453</t>
  </si>
  <si>
    <t>M001569</t>
  </si>
  <si>
    <t>D001569</t>
  </si>
  <si>
    <t>O01454</t>
  </si>
  <si>
    <t>M001570</t>
  </si>
  <si>
    <t>D001570</t>
  </si>
  <si>
    <t>O01455</t>
  </si>
  <si>
    <t>M001571</t>
  </si>
  <si>
    <t>D001571</t>
  </si>
  <si>
    <t>O01456</t>
  </si>
  <si>
    <t>M001572</t>
  </si>
  <si>
    <t>D001572</t>
  </si>
  <si>
    <t>O01457</t>
  </si>
  <si>
    <t>M001573</t>
  </si>
  <si>
    <t>D001573</t>
  </si>
  <si>
    <t>O01458</t>
  </si>
  <si>
    <t>M001574</t>
  </si>
  <si>
    <t>D001574</t>
  </si>
  <si>
    <t>O01460</t>
  </si>
  <si>
    <t>M001575</t>
  </si>
  <si>
    <t>D001575</t>
  </si>
  <si>
    <t>O01461</t>
  </si>
  <si>
    <t>M001576</t>
  </si>
  <si>
    <t>D001576</t>
  </si>
  <si>
    <t>O01462</t>
  </si>
  <si>
    <t>M001577</t>
  </si>
  <si>
    <t>D001577</t>
  </si>
  <si>
    <t>O01463</t>
  </si>
  <si>
    <t>M001578</t>
  </si>
  <si>
    <t>D001578</t>
  </si>
  <si>
    <t>O01464</t>
  </si>
  <si>
    <t>M001579</t>
  </si>
  <si>
    <t>D001579</t>
  </si>
  <si>
    <t>O01465</t>
  </si>
  <si>
    <t>M001580</t>
  </si>
  <si>
    <t>D001580</t>
  </si>
  <si>
    <t>O01466</t>
  </si>
  <si>
    <t>M001581</t>
  </si>
  <si>
    <t>D001581</t>
  </si>
  <si>
    <t>O01467</t>
  </si>
  <si>
    <t>M001582</t>
  </si>
  <si>
    <t>D001582</t>
  </si>
  <si>
    <t>O01469</t>
  </si>
  <si>
    <t>M001583</t>
  </si>
  <si>
    <t>D001583</t>
  </si>
  <si>
    <t>O01470</t>
  </si>
  <si>
    <t>M001584</t>
  </si>
  <si>
    <t>D001584</t>
  </si>
  <si>
    <t>O01471</t>
  </si>
  <si>
    <t>M001585</t>
  </si>
  <si>
    <t>D001585</t>
  </si>
  <si>
    <t>O01472</t>
  </si>
  <si>
    <t>M001586</t>
  </si>
  <si>
    <t>D001586</t>
  </si>
  <si>
    <t>O01473</t>
  </si>
  <si>
    <t>M001587</t>
  </si>
  <si>
    <t>D001587</t>
  </si>
  <si>
    <t>O01474</t>
  </si>
  <si>
    <t>M001588</t>
  </si>
  <si>
    <t>D001588</t>
  </si>
  <si>
    <t>O01475</t>
  </si>
  <si>
    <t>M001589</t>
  </si>
  <si>
    <t>D001589</t>
  </si>
  <si>
    <t>O01476</t>
  </si>
  <si>
    <t>M001590</t>
  </si>
  <si>
    <t>D001590</t>
  </si>
  <si>
    <t>O01477</t>
  </si>
  <si>
    <t>M001591</t>
  </si>
  <si>
    <t>D001591</t>
  </si>
  <si>
    <t>O01478</t>
  </si>
  <si>
    <t>M001592</t>
  </si>
  <si>
    <t>D001592</t>
  </si>
  <si>
    <t>O01480</t>
  </si>
  <si>
    <t>M001593</t>
  </si>
  <si>
    <t>D001593</t>
  </si>
  <si>
    <t>O01481</t>
  </si>
  <si>
    <t>M001594</t>
  </si>
  <si>
    <t>D001594</t>
  </si>
  <si>
    <t>O01482</t>
  </si>
  <si>
    <t>M001595</t>
  </si>
  <si>
    <t>D001595</t>
  </si>
  <si>
    <t>O01483</t>
  </si>
  <si>
    <t>M001596</t>
  </si>
  <si>
    <t>D001596</t>
  </si>
  <si>
    <t>O01484</t>
  </si>
  <si>
    <t>M001597</t>
  </si>
  <si>
    <t>D001597</t>
  </si>
  <si>
    <t>O01485</t>
  </si>
  <si>
    <t>M001598</t>
  </si>
  <si>
    <t>D001598</t>
  </si>
  <si>
    <t>O01486</t>
  </si>
  <si>
    <t>M001599</t>
  </si>
  <si>
    <t>D001599</t>
  </si>
  <si>
    <t>O01487</t>
  </si>
  <si>
    <t>M001600</t>
  </si>
  <si>
    <t>D001600</t>
  </si>
  <si>
    <t>O01488</t>
  </si>
  <si>
    <t>M001601</t>
  </si>
  <si>
    <t>D001601</t>
  </si>
  <si>
    <t>O01489</t>
  </si>
  <si>
    <t>M001602</t>
  </si>
  <si>
    <t>D001602</t>
  </si>
  <si>
    <t>O01491</t>
  </si>
  <si>
    <t>M001603</t>
  </si>
  <si>
    <t>D001603</t>
  </si>
  <si>
    <t>O01492</t>
  </si>
  <si>
    <t>M001604</t>
  </si>
  <si>
    <t>D001604</t>
  </si>
  <si>
    <t>O01493</t>
  </si>
  <si>
    <t>M001605</t>
  </si>
  <si>
    <t>D001605</t>
  </si>
  <si>
    <t>O01494</t>
  </si>
  <si>
    <t>M001606</t>
  </si>
  <si>
    <t>D001606</t>
  </si>
  <si>
    <t>O01495</t>
  </si>
  <si>
    <t>M001607</t>
  </si>
  <si>
    <t>D001607</t>
  </si>
  <si>
    <t>O01496</t>
  </si>
  <si>
    <t>M001608</t>
  </si>
  <si>
    <t>D001608</t>
  </si>
  <si>
    <t>O01497</t>
  </si>
  <si>
    <t>M001609</t>
  </si>
  <si>
    <t>D001609</t>
  </si>
  <si>
    <t>O01498</t>
  </si>
  <si>
    <t>M001610</t>
  </si>
  <si>
    <t>D001610</t>
  </si>
  <si>
    <t>O01499</t>
  </si>
  <si>
    <t>M001611</t>
  </si>
  <si>
    <t>D001611</t>
  </si>
  <si>
    <t>O01500</t>
  </si>
  <si>
    <t>M001612</t>
  </si>
  <si>
    <t>D001612</t>
  </si>
  <si>
    <t>O01501</t>
  </si>
  <si>
    <t>M001613</t>
  </si>
  <si>
    <t>D001613</t>
  </si>
  <si>
    <t>O01502</t>
  </si>
  <si>
    <t>M001614</t>
  </si>
  <si>
    <t>D001614</t>
  </si>
  <si>
    <t>O01504</t>
  </si>
  <si>
    <t>M001615</t>
  </si>
  <si>
    <t>D001615</t>
  </si>
  <si>
    <t>O01505</t>
  </si>
  <si>
    <t>M001616</t>
  </si>
  <si>
    <t>D001616</t>
  </si>
  <si>
    <t>O01506</t>
  </si>
  <si>
    <t>M001617</t>
  </si>
  <si>
    <t>D001617</t>
  </si>
  <si>
    <t>O01507</t>
  </si>
  <si>
    <t>M001618</t>
  </si>
  <si>
    <t>D001618</t>
  </si>
  <si>
    <t>O01508</t>
  </si>
  <si>
    <t>M001619</t>
  </si>
  <si>
    <t>D001619</t>
  </si>
  <si>
    <t>O01509</t>
  </si>
  <si>
    <t>M001620</t>
  </si>
  <si>
    <t>D001620</t>
  </si>
  <si>
    <t>O01510</t>
  </si>
  <si>
    <t>M001621</t>
  </si>
  <si>
    <t>D001621</t>
  </si>
  <si>
    <t>O01512</t>
  </si>
  <si>
    <t>M001622</t>
  </si>
  <si>
    <t>D001622</t>
  </si>
  <si>
    <t>O01513</t>
  </si>
  <si>
    <t>M001623</t>
  </si>
  <si>
    <t>D001623</t>
  </si>
  <si>
    <t>O01514</t>
  </si>
  <si>
    <t>M001624</t>
  </si>
  <si>
    <t>D001624</t>
  </si>
  <si>
    <t>O01515</t>
  </si>
  <si>
    <t>M001625</t>
  </si>
  <si>
    <t>D001625</t>
  </si>
  <si>
    <t>O01516</t>
  </si>
  <si>
    <t>M001626</t>
  </si>
  <si>
    <t>D001626</t>
  </si>
  <si>
    <t>O01517</t>
  </si>
  <si>
    <t>M001627</t>
  </si>
  <si>
    <t>D001627</t>
  </si>
  <si>
    <t>O01518</t>
  </si>
  <si>
    <t>M001628</t>
  </si>
  <si>
    <t>D001628</t>
  </si>
  <si>
    <t>O01519</t>
  </si>
  <si>
    <t>M001629</t>
  </si>
  <si>
    <t>D001629</t>
  </si>
  <si>
    <t>O01520</t>
  </si>
  <si>
    <t>M001630</t>
  </si>
  <si>
    <t>D001630</t>
  </si>
  <si>
    <t>O01521</t>
  </si>
  <si>
    <t>M001631</t>
  </si>
  <si>
    <t>D001631</t>
  </si>
  <si>
    <t>O01523</t>
  </si>
  <si>
    <t>M001632</t>
  </si>
  <si>
    <t>D001632</t>
  </si>
  <si>
    <t>O01524</t>
  </si>
  <si>
    <t>M001633</t>
  </si>
  <si>
    <t>D001633</t>
  </si>
  <si>
    <t>O01525</t>
  </si>
  <si>
    <t>M001634</t>
  </si>
  <si>
    <t>D001634</t>
  </si>
  <si>
    <t>O01526</t>
  </si>
  <si>
    <t>M001635</t>
  </si>
  <si>
    <t>D001635</t>
  </si>
  <si>
    <t>O01527</t>
  </si>
  <si>
    <t>M001636</t>
  </si>
  <si>
    <t>D001636</t>
  </si>
  <si>
    <t>O01528</t>
  </si>
  <si>
    <t>M001637</t>
  </si>
  <si>
    <t>D001637</t>
  </si>
  <si>
    <t>O01529</t>
  </si>
  <si>
    <t>M001638</t>
  </si>
  <si>
    <t>D001638</t>
  </si>
  <si>
    <t>O01530</t>
  </si>
  <si>
    <t>M001639</t>
  </si>
  <si>
    <t>D001639</t>
  </si>
  <si>
    <t>O01531</t>
  </si>
  <si>
    <t>M001640</t>
  </si>
  <si>
    <t>D001640</t>
  </si>
  <si>
    <t>O01533</t>
  </si>
  <si>
    <t>M001641</t>
  </si>
  <si>
    <t>D001641</t>
  </si>
  <si>
    <t>O01534</t>
  </si>
  <si>
    <t>M001642</t>
  </si>
  <si>
    <t>D001642</t>
  </si>
  <si>
    <t>O01535</t>
  </si>
  <si>
    <t>M001643</t>
  </si>
  <si>
    <t>D001643</t>
  </si>
  <si>
    <t>O01536</t>
  </si>
  <si>
    <t>M001644</t>
  </si>
  <si>
    <t>D001644</t>
  </si>
  <si>
    <t>O01537</t>
  </si>
  <si>
    <t>M001645</t>
  </si>
  <si>
    <t>D001645</t>
  </si>
  <si>
    <t>M001646</t>
  </si>
  <si>
    <t>D001646</t>
  </si>
  <si>
    <t>O01538</t>
  </si>
  <si>
    <t>M001647</t>
  </si>
  <si>
    <t>D001647</t>
  </si>
  <si>
    <t>O01539</t>
  </si>
  <si>
    <t>M001648</t>
  </si>
  <si>
    <t>D001648</t>
  </si>
  <si>
    <t>O01540</t>
  </si>
  <si>
    <t>M001649</t>
  </si>
  <si>
    <t>D001649</t>
  </si>
  <si>
    <t>O01541</t>
  </si>
  <si>
    <t>M001650</t>
  </si>
  <si>
    <t>D001650</t>
  </si>
  <si>
    <t>O01542</t>
  </si>
  <si>
    <t>M001651</t>
  </si>
  <si>
    <t>D001651</t>
  </si>
  <si>
    <t>O01543</t>
  </si>
  <si>
    <t>M001652</t>
  </si>
  <si>
    <t>D001652</t>
  </si>
  <si>
    <t>O01544</t>
  </si>
  <si>
    <t>M001653</t>
  </si>
  <si>
    <t>D001653</t>
  </si>
  <si>
    <t>O01545</t>
  </si>
  <si>
    <t>M001654</t>
  </si>
  <si>
    <t>D001654</t>
  </si>
  <si>
    <t>O01546</t>
  </si>
  <si>
    <t>M001655</t>
  </si>
  <si>
    <t>D001655</t>
  </si>
  <si>
    <t>O01547</t>
  </si>
  <si>
    <t>M001656</t>
  </si>
  <si>
    <t>D001656</t>
  </si>
  <si>
    <t>O01548</t>
  </si>
  <si>
    <t>M001657</t>
  </si>
  <si>
    <t>D001657</t>
  </si>
  <si>
    <t>O01549</t>
  </si>
  <si>
    <t>M001658</t>
  </si>
  <si>
    <t>D001658</t>
  </si>
  <si>
    <t>O01550</t>
  </si>
  <si>
    <t>M001659</t>
  </si>
  <si>
    <t>D001659</t>
  </si>
  <si>
    <t>O01551</t>
  </si>
  <si>
    <t>M001660</t>
  </si>
  <si>
    <t>D001660</t>
  </si>
  <si>
    <t>O01552</t>
  </si>
  <si>
    <t>M001661</t>
  </si>
  <si>
    <t>D001661</t>
  </si>
  <si>
    <t>O01553</t>
  </si>
  <si>
    <t>M001662</t>
  </si>
  <si>
    <t>D001662</t>
  </si>
  <si>
    <t>O01554</t>
  </si>
  <si>
    <t>M001663</t>
  </si>
  <si>
    <t>D001663</t>
  </si>
  <si>
    <t>O01555</t>
  </si>
  <si>
    <t>M001664</t>
  </si>
  <si>
    <t>D001664</t>
  </si>
  <si>
    <t>O01556</t>
  </si>
  <si>
    <t>M001665</t>
  </si>
  <si>
    <t>D001665</t>
  </si>
  <si>
    <t>O01557</t>
  </si>
  <si>
    <t>M001666</t>
  </si>
  <si>
    <t>D001666</t>
  </si>
  <si>
    <t>O01558</t>
  </si>
  <si>
    <t>M001667</t>
  </si>
  <si>
    <t>D001667</t>
  </si>
  <si>
    <t>O01559</t>
  </si>
  <si>
    <t>M001668</t>
  </si>
  <si>
    <t>D001668</t>
  </si>
  <si>
    <t>O01560</t>
  </si>
  <si>
    <t>M001669</t>
  </si>
  <si>
    <t>D001669</t>
  </si>
  <si>
    <t>O01561</t>
  </si>
  <si>
    <t>M001670</t>
  </si>
  <si>
    <t>D001670</t>
  </si>
  <si>
    <t>O01562</t>
  </si>
  <si>
    <t>M001671</t>
  </si>
  <si>
    <t>D001671</t>
  </si>
  <si>
    <t>O01563</t>
  </si>
  <si>
    <t>M001672</t>
  </si>
  <si>
    <t>D001672</t>
  </si>
  <si>
    <t>O01564</t>
  </si>
  <si>
    <t>M001673</t>
  </si>
  <si>
    <t>D001673</t>
  </si>
  <si>
    <t>O01565</t>
  </si>
  <si>
    <t>M001674</t>
  </si>
  <si>
    <t>D001674</t>
  </si>
  <si>
    <t>O01566</t>
  </si>
  <si>
    <t>M001675</t>
  </si>
  <si>
    <t>D001675</t>
  </si>
  <si>
    <t>O01567</t>
  </si>
  <si>
    <t>M001676</t>
  </si>
  <si>
    <t>D001676</t>
  </si>
  <si>
    <t>O01568</t>
  </si>
  <si>
    <t>M001677</t>
  </si>
  <si>
    <t>D001677</t>
  </si>
  <si>
    <t>O01569</t>
  </si>
  <si>
    <t>M001678</t>
  </si>
  <si>
    <t>D001678</t>
  </si>
  <si>
    <t>O01571</t>
  </si>
  <si>
    <t>M001679</t>
  </si>
  <si>
    <t>D001679</t>
  </si>
  <si>
    <t>O01572</t>
  </si>
  <si>
    <t>M001680</t>
  </si>
  <si>
    <t>D001680</t>
  </si>
  <si>
    <t>O01573</t>
  </si>
  <si>
    <t>M001681</t>
  </si>
  <si>
    <t>D001681</t>
  </si>
  <si>
    <t>O01574</t>
  </si>
  <si>
    <t>M001682</t>
  </si>
  <si>
    <t>D001682</t>
  </si>
  <si>
    <t>O01575</t>
  </si>
  <si>
    <t>M001683</t>
  </si>
  <si>
    <t>D001683</t>
  </si>
  <si>
    <t>O01576</t>
  </si>
  <si>
    <t>M001684</t>
  </si>
  <si>
    <t>D001684</t>
  </si>
  <si>
    <t>O01577</t>
  </si>
  <si>
    <t>M001685</t>
  </si>
  <si>
    <t>D001685</t>
  </si>
  <si>
    <t>O01578</t>
  </si>
  <si>
    <t>M001686</t>
  </si>
  <si>
    <t>D001686</t>
  </si>
  <si>
    <t>O01579</t>
  </si>
  <si>
    <t>M001687</t>
  </si>
  <si>
    <t>D001687</t>
  </si>
  <si>
    <t>M001688</t>
  </si>
  <si>
    <t>D001688</t>
  </si>
  <si>
    <t>O01581</t>
  </si>
  <si>
    <t>M001689</t>
  </si>
  <si>
    <t>D001689</t>
  </si>
  <si>
    <t>O01582</t>
  </si>
  <si>
    <t>M001690</t>
  </si>
  <si>
    <t>D001690</t>
  </si>
  <si>
    <t>O01583</t>
  </si>
  <si>
    <t>M001691</t>
  </si>
  <si>
    <t>D001691</t>
  </si>
  <si>
    <t>M001692</t>
  </si>
  <si>
    <t>D001692</t>
  </si>
  <si>
    <t>O01584</t>
  </si>
  <si>
    <t>M001693</t>
  </si>
  <si>
    <t>D001693</t>
  </si>
  <si>
    <t>O01585</t>
  </si>
  <si>
    <t>M001694</t>
  </si>
  <si>
    <t>D001694</t>
  </si>
  <si>
    <t>O01586</t>
  </si>
  <si>
    <t>M001695</t>
  </si>
  <si>
    <t>D001695</t>
  </si>
  <si>
    <t>O01587</t>
  </si>
  <si>
    <t>M001696</t>
  </si>
  <si>
    <t>D001696</t>
  </si>
  <si>
    <t>O01588</t>
  </si>
  <si>
    <t>M001697</t>
  </si>
  <si>
    <t>D001697</t>
  </si>
  <si>
    <t>O01589</t>
  </si>
  <si>
    <t>M001698</t>
  </si>
  <si>
    <t>D001698</t>
  </si>
  <si>
    <t>O01590</t>
  </si>
  <si>
    <t>M001699</t>
  </si>
  <si>
    <t>D001699</t>
  </si>
  <si>
    <t>O01591</t>
  </si>
  <si>
    <t>M001700</t>
  </si>
  <si>
    <t>D001700</t>
  </si>
  <si>
    <t>O01592</t>
  </si>
  <si>
    <t>M001701</t>
  </si>
  <si>
    <t>D001701</t>
  </si>
  <si>
    <t>O01593</t>
  </si>
  <si>
    <t>M001702</t>
  </si>
  <si>
    <t>D001702</t>
  </si>
  <si>
    <t>O01594</t>
  </si>
  <si>
    <t>M001703</t>
  </si>
  <si>
    <t>D001703</t>
  </si>
  <si>
    <t>O01595</t>
  </si>
  <si>
    <t>M001704</t>
  </si>
  <si>
    <t>D001704</t>
  </si>
  <si>
    <t>O01596</t>
  </si>
  <si>
    <t>M001705</t>
  </si>
  <si>
    <t>D001705</t>
  </si>
  <si>
    <t>O01597</t>
  </si>
  <si>
    <t>M001706</t>
  </si>
  <si>
    <t>D001706</t>
  </si>
  <si>
    <t>O01598</t>
  </si>
  <si>
    <t>M001707</t>
  </si>
  <si>
    <t>D001707</t>
  </si>
  <si>
    <t>O01599</t>
  </si>
  <si>
    <t>M001708</t>
  </si>
  <si>
    <t>D001708</t>
  </si>
  <si>
    <t>O01600</t>
  </si>
  <si>
    <t>M001709</t>
  </si>
  <si>
    <t>D001709</t>
  </si>
  <si>
    <t>O01601</t>
  </si>
  <si>
    <t>M001710</t>
  </si>
  <si>
    <t>D001710</t>
  </si>
  <si>
    <t>M001711</t>
  </si>
  <si>
    <t>D001711</t>
  </si>
  <si>
    <t>O01602</t>
  </si>
  <si>
    <t>M001712</t>
  </si>
  <si>
    <t>D001712</t>
  </si>
  <si>
    <t>O01603</t>
  </si>
  <si>
    <t>M001713</t>
  </si>
  <si>
    <t>D001713</t>
  </si>
  <si>
    <t>O01604</t>
  </si>
  <si>
    <t>M001714</t>
  </si>
  <si>
    <t>D001714</t>
  </si>
  <si>
    <t>O01605</t>
  </si>
  <si>
    <t>M001715</t>
  </si>
  <si>
    <t>D001715</t>
  </si>
  <si>
    <t>O01606</t>
  </si>
  <si>
    <t>M001716</t>
  </si>
  <si>
    <t>D001716</t>
  </si>
  <si>
    <t>O01607</t>
  </si>
  <si>
    <t>M001717</t>
  </si>
  <si>
    <t>D001717</t>
  </si>
  <si>
    <t>O01608</t>
  </si>
  <si>
    <t>M001718</t>
  </si>
  <si>
    <t>D001718</t>
  </si>
  <si>
    <t>O01609</t>
  </si>
  <si>
    <t>M001719</t>
  </si>
  <si>
    <t>D001719</t>
  </si>
  <si>
    <t>O01610</t>
  </si>
  <si>
    <t>M001720</t>
  </si>
  <si>
    <t>D001720</t>
  </si>
  <si>
    <t>O01611</t>
  </si>
  <si>
    <t>M001721</t>
  </si>
  <si>
    <t>D001721</t>
  </si>
  <si>
    <t>O01612</t>
  </si>
  <si>
    <t>M001722</t>
  </si>
  <si>
    <t>D001722</t>
  </si>
  <si>
    <t>O01614</t>
  </si>
  <si>
    <t>M001723</t>
  </si>
  <si>
    <t>D001723</t>
  </si>
  <si>
    <t>O01615</t>
  </si>
  <si>
    <t>M001724</t>
  </si>
  <si>
    <t>D001724</t>
  </si>
  <si>
    <t>O01616</t>
  </si>
  <si>
    <t>M001725</t>
  </si>
  <si>
    <t>D001725</t>
  </si>
  <si>
    <t>O01617</t>
  </si>
  <si>
    <t>M001726</t>
  </si>
  <si>
    <t>D001726</t>
  </si>
  <si>
    <t>O01618</t>
  </si>
  <si>
    <t>M001727</t>
  </si>
  <si>
    <t>D001727</t>
  </si>
  <si>
    <t>O01619</t>
  </si>
  <si>
    <t>M001728</t>
  </si>
  <si>
    <t>D001728</t>
  </si>
  <si>
    <t>O01620</t>
  </si>
  <si>
    <t>M001729</t>
  </si>
  <si>
    <t>D001729</t>
  </si>
  <si>
    <t>O01621</t>
  </si>
  <si>
    <t>M001730</t>
  </si>
  <si>
    <t>D001730</t>
  </si>
  <si>
    <t>O01623</t>
  </si>
  <si>
    <t>M001731</t>
  </si>
  <si>
    <t>D001731</t>
  </si>
  <si>
    <t>O01624</t>
  </si>
  <si>
    <t>M001732</t>
  </si>
  <si>
    <t>D001732</t>
  </si>
  <si>
    <t>O01625</t>
  </si>
  <si>
    <t>M001733</t>
  </si>
  <si>
    <t>D001733</t>
  </si>
  <si>
    <t>O01626</t>
  </si>
  <si>
    <t>M001734</t>
  </si>
  <si>
    <t>D001734</t>
  </si>
  <si>
    <t>O01627</t>
  </si>
  <si>
    <t>M001735</t>
  </si>
  <si>
    <t>D001735</t>
  </si>
  <si>
    <t>O01628</t>
  </si>
  <si>
    <t>M001736</t>
  </si>
  <si>
    <t>D001736</t>
  </si>
  <si>
    <t>O01629</t>
  </si>
  <si>
    <t>M001737</t>
  </si>
  <si>
    <t>D001737</t>
  </si>
  <si>
    <t>O01630</t>
  </si>
  <si>
    <t>M001738</t>
  </si>
  <si>
    <t>D001738</t>
  </si>
  <si>
    <t>O01631</t>
  </si>
  <si>
    <t>M001739</t>
  </si>
  <si>
    <t>D001739</t>
  </si>
  <si>
    <t>O01632</t>
  </si>
  <si>
    <t>M001740</t>
  </si>
  <si>
    <t>D001740</t>
  </si>
  <si>
    <t>O01633</t>
  </si>
  <si>
    <t>M001741</t>
  </si>
  <si>
    <t>D001741</t>
  </si>
  <si>
    <t>R0079</t>
  </si>
  <si>
    <t>M001742</t>
  </si>
  <si>
    <t>D001742</t>
  </si>
  <si>
    <t>R0080</t>
  </si>
  <si>
    <t>M001743</t>
  </si>
  <si>
    <t>D001743</t>
  </si>
  <si>
    <t>R0081</t>
  </si>
  <si>
    <t>M001744</t>
  </si>
  <si>
    <t>D001744</t>
  </si>
  <si>
    <t>R0082</t>
  </si>
  <si>
    <t>M001745</t>
  </si>
  <si>
    <t>D001745</t>
  </si>
  <si>
    <t>R0083</t>
  </si>
  <si>
    <t>M001746</t>
  </si>
  <si>
    <t>D001746</t>
  </si>
  <si>
    <t>R0084</t>
  </si>
  <si>
    <t>M001747</t>
  </si>
  <si>
    <t>D001747</t>
  </si>
  <si>
    <t>R0085</t>
  </si>
  <si>
    <t>M001748</t>
  </si>
  <si>
    <t>D001748</t>
  </si>
  <si>
    <t>R0086</t>
  </si>
  <si>
    <t>M001749</t>
  </si>
  <si>
    <t>D001749</t>
  </si>
  <si>
    <t>R0087</t>
  </si>
  <si>
    <t>M001750</t>
  </si>
  <si>
    <t>D001750</t>
  </si>
  <si>
    <t>R0088</t>
  </si>
  <si>
    <t>M001751</t>
  </si>
  <si>
    <t>D001751</t>
  </si>
  <si>
    <t>R0089</t>
  </si>
  <si>
    <t>M001752</t>
  </si>
  <si>
    <t>D001752</t>
  </si>
  <si>
    <t>R0090</t>
  </si>
  <si>
    <t>M001753</t>
  </si>
  <si>
    <t>D001753</t>
  </si>
  <si>
    <t>R0091</t>
  </si>
  <si>
    <t>M001754</t>
  </si>
  <si>
    <t>D001754</t>
  </si>
  <si>
    <t>O01634</t>
  </si>
  <si>
    <t>M001755</t>
  </si>
  <si>
    <t>D001755</t>
  </si>
  <si>
    <t>O01635</t>
  </si>
  <si>
    <t>M001756</t>
  </si>
  <si>
    <t>D001756</t>
  </si>
  <si>
    <t>O01636</t>
  </si>
  <si>
    <t>M001757</t>
  </si>
  <si>
    <t>D001757</t>
  </si>
  <si>
    <t>M001758</t>
  </si>
  <si>
    <t>D001758</t>
  </si>
  <si>
    <t>O01637</t>
  </si>
  <si>
    <t>M001759</t>
  </si>
  <si>
    <t>D001759</t>
  </si>
  <si>
    <t>O01638</t>
  </si>
  <si>
    <t>M001760</t>
  </si>
  <si>
    <t>D001760</t>
  </si>
  <si>
    <t>O01639</t>
  </si>
  <si>
    <t>M001761</t>
  </si>
  <si>
    <t>D001761</t>
  </si>
  <si>
    <t>O01640</t>
  </si>
  <si>
    <t>M001762</t>
  </si>
  <si>
    <t>D001762</t>
  </si>
  <si>
    <t>O01641</t>
  </si>
  <si>
    <t>M001763</t>
  </si>
  <si>
    <t>D001763</t>
  </si>
  <si>
    <t>O01642</t>
  </si>
  <si>
    <t>M001764</t>
  </si>
  <si>
    <t>D001764</t>
  </si>
  <si>
    <t>O01643</t>
  </si>
  <si>
    <t>M001765</t>
  </si>
  <si>
    <t>D001765</t>
  </si>
  <si>
    <t>O01644</t>
  </si>
  <si>
    <t>M001766</t>
  </si>
  <si>
    <t>D001766</t>
  </si>
  <si>
    <t>O01645</t>
  </si>
  <si>
    <t>M001767</t>
  </si>
  <si>
    <t>D001767</t>
  </si>
  <si>
    <t>O01646</t>
  </si>
  <si>
    <t>M001768</t>
  </si>
  <si>
    <t>D001768</t>
  </si>
  <si>
    <t>O01647</t>
  </si>
  <si>
    <t>M001769</t>
  </si>
  <si>
    <t>D001769</t>
  </si>
  <si>
    <t>O01648</t>
  </si>
  <si>
    <t>M001770</t>
  </si>
  <si>
    <t>D001770</t>
  </si>
  <si>
    <t>O01649</t>
  </si>
  <si>
    <t>M001771</t>
  </si>
  <si>
    <t>D001771</t>
  </si>
  <si>
    <t>O01650</t>
  </si>
  <si>
    <t>M001772</t>
  </si>
  <si>
    <t>D001772</t>
  </si>
  <si>
    <t>O01651</t>
  </si>
  <si>
    <t>M001773</t>
  </si>
  <si>
    <t>D001773</t>
  </si>
  <si>
    <t>O01652</t>
  </si>
  <si>
    <t>M001774</t>
  </si>
  <si>
    <t>D001774</t>
  </si>
  <si>
    <t>O01653</t>
  </si>
  <si>
    <t>M001775</t>
  </si>
  <si>
    <t>D001775</t>
  </si>
  <si>
    <t>O01654</t>
  </si>
  <si>
    <t>M001776</t>
  </si>
  <si>
    <t>D001776</t>
  </si>
  <si>
    <t>O01655</t>
  </si>
  <si>
    <t>M001777</t>
  </si>
  <si>
    <t>D001777</t>
  </si>
  <si>
    <t>O01656</t>
  </si>
  <si>
    <t>M001778</t>
  </si>
  <si>
    <t>D001778</t>
  </si>
  <si>
    <t>O01657</t>
  </si>
  <si>
    <t>M001779</t>
  </si>
  <si>
    <t>D001779</t>
  </si>
  <si>
    <t>O01658</t>
  </si>
  <si>
    <t>M001780</t>
  </si>
  <si>
    <t>D001780</t>
  </si>
  <si>
    <t>O01659</t>
  </si>
  <si>
    <t>M001781</t>
  </si>
  <si>
    <t>D001781</t>
  </si>
  <si>
    <t>O01660</t>
  </si>
  <si>
    <t>M001782</t>
  </si>
  <si>
    <t>D001782</t>
  </si>
  <si>
    <t>O01661</t>
  </si>
  <si>
    <t>M001783</t>
  </si>
  <si>
    <t>D001783</t>
  </si>
  <si>
    <t>O01662</t>
  </si>
  <si>
    <t>M001784</t>
  </si>
  <si>
    <t>D001784</t>
  </si>
  <si>
    <t>O01663</t>
  </si>
  <si>
    <t>M001785</t>
  </si>
  <si>
    <t>D001785</t>
  </si>
  <si>
    <t>O01664</t>
  </si>
  <si>
    <t>M001786</t>
  </si>
  <si>
    <t>D001786</t>
  </si>
  <si>
    <t>M001787</t>
  </si>
  <si>
    <t>D001787</t>
  </si>
  <si>
    <t>O01665</t>
  </si>
  <si>
    <t>M001788</t>
  </si>
  <si>
    <t>D001788</t>
  </si>
  <si>
    <t>O01666</t>
  </si>
  <si>
    <t>M001789</t>
  </si>
  <si>
    <t>D001789</t>
  </si>
  <si>
    <t>O01667</t>
  </si>
  <si>
    <t>M001790</t>
  </si>
  <si>
    <t>D001790</t>
  </si>
  <si>
    <t>O01668</t>
  </si>
  <si>
    <t>M001791</t>
  </si>
  <si>
    <t>D001791</t>
  </si>
  <si>
    <t>O01669</t>
  </si>
  <si>
    <t>M001792</t>
  </si>
  <si>
    <t>D001792</t>
  </si>
  <si>
    <t>O01670</t>
  </si>
  <si>
    <t>M001793</t>
  </si>
  <si>
    <t>D001793</t>
  </si>
  <si>
    <t>O01671</t>
  </si>
  <si>
    <t>M001794</t>
  </si>
  <si>
    <t>D001794</t>
  </si>
  <si>
    <t>O01672</t>
  </si>
  <si>
    <t>M001795</t>
  </si>
  <si>
    <t>D001795</t>
  </si>
  <si>
    <t>O01673</t>
  </si>
  <si>
    <t>M001796</t>
  </si>
  <si>
    <t>D001796</t>
  </si>
  <si>
    <t>O01674</t>
  </si>
  <si>
    <t>M001797</t>
  </si>
  <si>
    <t>D001797</t>
  </si>
  <si>
    <t>O01675</t>
  </si>
  <si>
    <t>M001798</t>
  </si>
  <si>
    <t>D001798</t>
  </si>
  <si>
    <t>O01676</t>
  </si>
  <si>
    <t>M001799</t>
  </si>
  <si>
    <t>D001799</t>
  </si>
  <si>
    <t>O01677</t>
  </si>
  <si>
    <t>M001800</t>
  </si>
  <si>
    <t>D001800</t>
  </si>
  <si>
    <t>O01678</t>
  </si>
  <si>
    <t>M001801</t>
  </si>
  <si>
    <t>D001801</t>
  </si>
  <si>
    <t>O01679</t>
  </si>
  <si>
    <t>M001802</t>
  </si>
  <si>
    <t>D001802</t>
  </si>
  <si>
    <t>O01680</t>
  </si>
  <si>
    <t>M001803</t>
  </si>
  <si>
    <t>D001803</t>
  </si>
  <si>
    <t>O01681</t>
  </si>
  <si>
    <t>M001804</t>
  </si>
  <si>
    <t>D001804</t>
  </si>
  <si>
    <t>O01682</t>
  </si>
  <si>
    <t>M001805</t>
  </si>
  <si>
    <t>D001805</t>
  </si>
  <si>
    <t>O01683</t>
  </si>
  <si>
    <t>M001806</t>
  </si>
  <si>
    <t>D001806</t>
  </si>
  <si>
    <t>O01684</t>
  </si>
  <si>
    <t>M001807</t>
  </si>
  <si>
    <t>D001807</t>
  </si>
  <si>
    <t>O01685</t>
  </si>
  <si>
    <t>M001808</t>
  </si>
  <si>
    <t>D001808</t>
  </si>
  <si>
    <t>O01686</t>
  </si>
  <si>
    <t>M001809</t>
  </si>
  <si>
    <t>D001809</t>
  </si>
  <si>
    <t>O01687</t>
  </si>
  <si>
    <t>M001810</t>
  </si>
  <si>
    <t>D001810</t>
  </si>
  <si>
    <t>O01688</t>
  </si>
  <si>
    <t>M001811</t>
  </si>
  <si>
    <t>D001811</t>
  </si>
  <si>
    <t>O01689</t>
  </si>
  <si>
    <t>M001812</t>
  </si>
  <si>
    <t>D001812</t>
  </si>
  <si>
    <t>O01690</t>
  </si>
  <si>
    <t>M001813</t>
  </si>
  <si>
    <t>D001813</t>
  </si>
  <si>
    <t>O01691</t>
  </si>
  <si>
    <t>M001814</t>
  </si>
  <si>
    <t>D001814</t>
  </si>
  <si>
    <t>O01692</t>
  </si>
  <si>
    <t>M001815</t>
  </si>
  <si>
    <t>D001815</t>
  </si>
  <si>
    <t>O01693</t>
  </si>
  <si>
    <t>M001816</t>
  </si>
  <si>
    <t>D001816</t>
  </si>
  <si>
    <t>O01694</t>
  </si>
  <si>
    <t>M001817</t>
  </si>
  <si>
    <t>D001817</t>
  </si>
  <si>
    <t>O01695</t>
  </si>
  <si>
    <t>M001818</t>
  </si>
  <si>
    <t>D001818</t>
  </si>
  <si>
    <t>O01696</t>
  </si>
  <si>
    <t>M001819</t>
  </si>
  <si>
    <t>D001819</t>
  </si>
  <si>
    <t>O01697</t>
  </si>
  <si>
    <t>M001820</t>
  </si>
  <si>
    <t>D001820</t>
  </si>
  <si>
    <t>O01698</t>
  </si>
  <si>
    <t>M001821</t>
  </si>
  <si>
    <t>D001821</t>
  </si>
  <si>
    <t>O01699</t>
  </si>
  <si>
    <t>M001822</t>
  </si>
  <si>
    <t>D001822</t>
  </si>
  <si>
    <t>O01700</t>
  </si>
  <si>
    <t>M001823</t>
  </si>
  <si>
    <t>D001823</t>
  </si>
  <si>
    <t>O01701</t>
  </si>
  <si>
    <t>M001824</t>
  </si>
  <si>
    <t>D001824</t>
  </si>
  <si>
    <t>O01702</t>
  </si>
  <si>
    <t>M001825</t>
  </si>
  <si>
    <t>D001825</t>
  </si>
  <si>
    <t>O01703</t>
  </si>
  <si>
    <t>M001826</t>
  </si>
  <si>
    <t>D001826</t>
  </si>
  <si>
    <t>O01704</t>
  </si>
  <si>
    <t>M001827</t>
  </si>
  <si>
    <t>D001827</t>
  </si>
  <si>
    <t>O01705</t>
  </si>
  <si>
    <t>M001828</t>
  </si>
  <si>
    <t>D001828</t>
  </si>
  <si>
    <t>O01706</t>
  </si>
  <si>
    <t>M001829</t>
  </si>
  <si>
    <t>D001829</t>
  </si>
  <si>
    <t>O01707</t>
  </si>
  <si>
    <t>M001830</t>
  </si>
  <si>
    <t>D001830</t>
  </si>
  <si>
    <t>O01708</t>
  </si>
  <si>
    <t>M001831</t>
  </si>
  <si>
    <t>D001831</t>
  </si>
  <si>
    <t>O01709</t>
  </si>
  <si>
    <t>M001832</t>
  </si>
  <si>
    <t>D001832</t>
  </si>
  <si>
    <t>O01710</t>
  </si>
  <si>
    <t>M001833</t>
  </si>
  <si>
    <t>D001833</t>
  </si>
  <si>
    <t>O01711</t>
  </si>
  <si>
    <t>M001834</t>
  </si>
  <si>
    <t>D001834</t>
  </si>
  <si>
    <t>O01712</t>
  </si>
  <si>
    <t>M001835</t>
  </si>
  <si>
    <t>D001835</t>
  </si>
  <si>
    <t>O01713</t>
  </si>
  <si>
    <t>M001836</t>
  </si>
  <si>
    <t>D001836</t>
  </si>
  <si>
    <t>O01714</t>
  </si>
  <si>
    <t>M001837</t>
  </si>
  <si>
    <t>D001837</t>
  </si>
  <si>
    <t>O01715</t>
  </si>
  <si>
    <t>M001838</t>
  </si>
  <si>
    <t>D001838</t>
  </si>
  <si>
    <t>O01716</t>
  </si>
  <si>
    <t>M001839</t>
  </si>
  <si>
    <t>D001839</t>
  </si>
  <si>
    <t>O01717</t>
  </si>
  <si>
    <t>M001840</t>
  </si>
  <si>
    <t>D001840</t>
  </si>
  <si>
    <t>O01718</t>
  </si>
  <si>
    <t>M001841</t>
  </si>
  <si>
    <t>D001841</t>
  </si>
  <si>
    <t>O01719</t>
  </si>
  <si>
    <t>M001842</t>
  </si>
  <si>
    <t>D001842</t>
  </si>
  <si>
    <t>O01720</t>
  </si>
  <si>
    <t>M001843</t>
  </si>
  <si>
    <t>D001843</t>
  </si>
  <si>
    <t>O01721</t>
  </si>
  <si>
    <t>M001844</t>
  </si>
  <si>
    <t>D001844</t>
  </si>
  <si>
    <t>O01722</t>
  </si>
  <si>
    <t>M001845</t>
  </si>
  <si>
    <t>D001845</t>
  </si>
  <si>
    <t>O01723</t>
  </si>
  <si>
    <t>M001846</t>
  </si>
  <si>
    <t>D001846</t>
  </si>
  <si>
    <t>O01724</t>
  </si>
  <si>
    <t>M001847</t>
  </si>
  <si>
    <t>D001847</t>
  </si>
  <si>
    <t>O01725</t>
  </si>
  <si>
    <t>M001848</t>
  </si>
  <si>
    <t>D001848</t>
  </si>
  <si>
    <t>O01726</t>
  </si>
  <si>
    <t>M001849</t>
  </si>
  <si>
    <t>D001849</t>
  </si>
  <si>
    <t>O01727</t>
  </si>
  <si>
    <t>M001850</t>
  </si>
  <si>
    <t>D001850</t>
  </si>
  <si>
    <t>O01728</t>
  </si>
  <si>
    <t>M001851</t>
  </si>
  <si>
    <t>D001851</t>
  </si>
  <si>
    <t>O01729</t>
  </si>
  <si>
    <t>M001852</t>
  </si>
  <si>
    <t>D001852</t>
  </si>
  <si>
    <t>O01731</t>
  </si>
  <si>
    <t>M001853</t>
  </si>
  <si>
    <t>D001853</t>
  </si>
  <si>
    <t>O01732</t>
  </si>
  <si>
    <t>M001854</t>
  </si>
  <si>
    <t>D001854</t>
  </si>
  <si>
    <t>O01733</t>
  </si>
  <si>
    <t>M001855</t>
  </si>
  <si>
    <t>D001855</t>
  </si>
  <si>
    <t>O01734</t>
  </si>
  <si>
    <t>M001856</t>
  </si>
  <si>
    <t>D001856</t>
  </si>
  <si>
    <t>O01735</t>
  </si>
  <si>
    <t>M001857</t>
  </si>
  <si>
    <t>D001857</t>
  </si>
  <si>
    <t>O01736</t>
  </si>
  <si>
    <t>M001858</t>
  </si>
  <si>
    <t>D001858</t>
  </si>
  <si>
    <t>O01737</t>
  </si>
  <si>
    <t>M001859</t>
  </si>
  <si>
    <t>D001859</t>
  </si>
  <si>
    <t>O01738</t>
  </si>
  <si>
    <t>M001860</t>
  </si>
  <si>
    <t>D001860</t>
  </si>
  <si>
    <t>M001861</t>
  </si>
  <si>
    <t>D001861</t>
  </si>
  <si>
    <t>O01739</t>
  </si>
  <si>
    <t>M001862</t>
  </si>
  <si>
    <t>D001862</t>
  </si>
  <si>
    <t>O01740</t>
  </si>
  <si>
    <t>M001863</t>
  </si>
  <si>
    <t>D001863</t>
  </si>
  <si>
    <t>O01741</t>
  </si>
  <si>
    <t>M001864</t>
  </si>
  <si>
    <t>D001864</t>
  </si>
  <si>
    <t>O01743</t>
  </si>
  <si>
    <t>M001865</t>
  </si>
  <si>
    <t>D001865</t>
  </si>
  <si>
    <t>O01744</t>
  </si>
  <si>
    <t>M001866</t>
  </si>
  <si>
    <t>D001866</t>
  </si>
  <si>
    <t>O01745</t>
  </si>
  <si>
    <t>M001867</t>
  </si>
  <si>
    <t>D001867</t>
  </si>
  <si>
    <t>O01746</t>
  </si>
  <si>
    <t>M001868</t>
  </si>
  <si>
    <t>D001868</t>
  </si>
  <si>
    <t>O01747</t>
  </si>
  <si>
    <t>M001869</t>
  </si>
  <si>
    <t>D001869</t>
  </si>
  <si>
    <t>O01748</t>
  </si>
  <si>
    <t>M001870</t>
  </si>
  <si>
    <t>D001870</t>
  </si>
  <si>
    <t>O01749</t>
  </si>
  <si>
    <t>M001871</t>
  </si>
  <si>
    <t>D001871</t>
  </si>
  <si>
    <t>O01750</t>
  </si>
  <si>
    <t>M001872</t>
  </si>
  <si>
    <t>D001872</t>
  </si>
  <si>
    <t>O01751</t>
  </si>
  <si>
    <t>M001873</t>
  </si>
  <si>
    <t>D001873</t>
  </si>
  <si>
    <t>O01752</t>
  </si>
  <si>
    <t>M001874</t>
  </si>
  <si>
    <t>D001874</t>
  </si>
  <si>
    <t>O01754</t>
  </si>
  <si>
    <t>M001875</t>
  </si>
  <si>
    <t>D001875</t>
  </si>
  <si>
    <t>O01755</t>
  </si>
  <si>
    <t>M001876</t>
  </si>
  <si>
    <t>D001876</t>
  </si>
  <si>
    <t>O01756</t>
  </si>
  <si>
    <t>M001877</t>
  </si>
  <si>
    <t>D001877</t>
  </si>
  <si>
    <t>O01757</t>
  </si>
  <si>
    <t>M001878</t>
  </si>
  <si>
    <t>D001878</t>
  </si>
  <si>
    <t>O01758</t>
  </si>
  <si>
    <t>M001879</t>
  </si>
  <si>
    <t>D001879</t>
  </si>
  <si>
    <t>O01759</t>
  </si>
  <si>
    <t>M001880</t>
  </si>
  <si>
    <t>D001880</t>
  </si>
  <si>
    <t>O01760</t>
  </si>
  <si>
    <t>M001881</t>
  </si>
  <si>
    <t>D001881</t>
  </si>
  <si>
    <t>O01761</t>
  </si>
  <si>
    <t>M001882</t>
  </si>
  <si>
    <t>D001882</t>
  </si>
  <si>
    <t>O01762</t>
  </si>
  <si>
    <t>M001883</t>
  </si>
  <si>
    <t>D001883</t>
  </si>
  <si>
    <t>O01764</t>
  </si>
  <si>
    <t>M001884</t>
  </si>
  <si>
    <t>D001884</t>
  </si>
  <si>
    <t>O01765</t>
  </si>
  <si>
    <t>M001885</t>
  </si>
  <si>
    <t>D001885</t>
  </si>
  <si>
    <t>O01766</t>
  </si>
  <si>
    <t>M001886</t>
  </si>
  <si>
    <t>D001886</t>
  </si>
  <si>
    <t>M001887</t>
  </si>
  <si>
    <t>D001887</t>
  </si>
  <si>
    <t>O01767</t>
  </si>
  <si>
    <t>M001888</t>
  </si>
  <si>
    <t>D001888</t>
  </si>
  <si>
    <t>O01768</t>
  </si>
  <si>
    <t>M001889</t>
  </si>
  <si>
    <t>D001889</t>
  </si>
  <si>
    <t>M001890</t>
  </si>
  <si>
    <t>D001890</t>
  </si>
  <si>
    <t>O01769</t>
  </si>
  <si>
    <t>M001891</t>
  </si>
  <si>
    <t>D001891</t>
  </si>
  <si>
    <t>O01770</t>
  </si>
  <si>
    <t>M001892</t>
  </si>
  <si>
    <t>D001892</t>
  </si>
  <si>
    <t>O01771</t>
  </si>
  <si>
    <t>M001893</t>
  </si>
  <si>
    <t>D001893</t>
  </si>
  <si>
    <t>O01772</t>
  </si>
  <si>
    <t>M001894</t>
  </si>
  <si>
    <t>D001894</t>
  </si>
  <si>
    <t>M001895</t>
  </si>
  <si>
    <t>D001895</t>
  </si>
  <si>
    <t>O01773</t>
  </si>
  <si>
    <t>M001896</t>
  </si>
  <si>
    <t>D001896</t>
  </si>
  <si>
    <t>O01774</t>
  </si>
  <si>
    <t>M001897</t>
  </si>
  <si>
    <t>D001897</t>
  </si>
  <si>
    <t>O01775</t>
  </si>
  <si>
    <t>M001898</t>
  </si>
  <si>
    <t>D001898</t>
  </si>
  <si>
    <t>O01776</t>
  </si>
  <si>
    <t>M001899</t>
  </si>
  <si>
    <t>D001899</t>
  </si>
  <si>
    <t>O01777</t>
  </si>
  <si>
    <t>M001900</t>
  </si>
  <si>
    <t>D001900</t>
  </si>
  <si>
    <t>O01778</t>
  </si>
  <si>
    <t>M001901</t>
  </si>
  <si>
    <t>D001901</t>
  </si>
  <si>
    <t>O01779</t>
  </si>
  <si>
    <t>M001902</t>
  </si>
  <si>
    <t>D001902</t>
  </si>
  <si>
    <t>O01781</t>
  </si>
  <si>
    <t>M001903</t>
  </si>
  <si>
    <t>D001903</t>
  </si>
  <si>
    <t>O01782</t>
  </si>
  <si>
    <t>M001904</t>
  </si>
  <si>
    <t>D001904</t>
  </si>
  <si>
    <t>O01783</t>
  </si>
  <si>
    <t>M001905</t>
  </si>
  <si>
    <t>D001905</t>
  </si>
  <si>
    <t>O01784</t>
  </si>
  <si>
    <t>M001906</t>
  </si>
  <si>
    <t>D001906</t>
  </si>
  <si>
    <t>O01785</t>
  </si>
  <si>
    <t>M001907</t>
  </si>
  <si>
    <t>D001907</t>
  </si>
  <si>
    <t>O01786</t>
  </si>
  <si>
    <t>M001908</t>
  </si>
  <si>
    <t>D001908</t>
  </si>
  <si>
    <t>O01787</t>
  </si>
  <si>
    <t>M001909</t>
  </si>
  <si>
    <t>D001909</t>
  </si>
  <si>
    <t>O01788</t>
  </si>
  <si>
    <t>M001910</t>
  </si>
  <si>
    <t>D001910</t>
  </si>
  <si>
    <t>O01789</t>
  </si>
  <si>
    <t>M001911</t>
  </si>
  <si>
    <t>D001911</t>
  </si>
  <si>
    <t>O01790</t>
  </si>
  <si>
    <t>M001912</t>
  </si>
  <si>
    <t>D001912</t>
  </si>
  <si>
    <t>O01791</t>
  </si>
  <si>
    <t>M001913</t>
  </si>
  <si>
    <t>D001913</t>
  </si>
  <si>
    <t>O01792</t>
  </si>
  <si>
    <t>M001914</t>
  </si>
  <si>
    <t>D001914</t>
  </si>
  <si>
    <t>O01794</t>
  </si>
  <si>
    <t>M001915</t>
  </si>
  <si>
    <t>D001915</t>
  </si>
  <si>
    <t>O01795</t>
  </si>
  <si>
    <t>M001916</t>
  </si>
  <si>
    <t>D001916</t>
  </si>
  <si>
    <t>O01796</t>
  </si>
  <si>
    <t>M001917</t>
  </si>
  <si>
    <t>D001917</t>
  </si>
  <si>
    <t>M001918</t>
  </si>
  <si>
    <t>D001918</t>
  </si>
  <si>
    <t>O01797</t>
  </si>
  <si>
    <t>M001919</t>
  </si>
  <si>
    <t>D001919</t>
  </si>
  <si>
    <t>O01798</t>
  </si>
  <si>
    <t>M001920</t>
  </si>
  <si>
    <t>D001920</t>
  </si>
  <si>
    <t>O01799</t>
  </si>
  <si>
    <t>M001921</t>
  </si>
  <si>
    <t>D001921</t>
  </si>
  <si>
    <t>O01800</t>
  </si>
  <si>
    <t>M001922</t>
  </si>
  <si>
    <t>D001922</t>
  </si>
  <si>
    <t>O01801</t>
  </si>
  <si>
    <t>M001923</t>
  </si>
  <si>
    <t>D001923</t>
  </si>
  <si>
    <t>O01802</t>
  </si>
  <si>
    <t>M001924</t>
  </si>
  <si>
    <t>D001924</t>
  </si>
  <si>
    <t>O01803</t>
  </si>
  <si>
    <t>M001925</t>
  </si>
  <si>
    <t>D001925</t>
  </si>
  <si>
    <t>O01804</t>
  </si>
  <si>
    <t>M001926</t>
  </si>
  <si>
    <t>D001926</t>
  </si>
  <si>
    <t>O01805</t>
  </si>
  <si>
    <t>M001927</t>
  </si>
  <si>
    <t>D001927</t>
  </si>
  <si>
    <t>O01806</t>
  </si>
  <si>
    <t>M001928</t>
  </si>
  <si>
    <t>D001928</t>
  </si>
  <si>
    <t>O01807</t>
  </si>
  <si>
    <t>M001929</t>
  </si>
  <si>
    <t>D001929</t>
  </si>
  <si>
    <t>O01808</t>
  </si>
  <si>
    <t>M001930</t>
  </si>
  <si>
    <t>D001930</t>
  </si>
  <si>
    <t>O01809</t>
  </si>
  <si>
    <t>M001931</t>
  </si>
  <si>
    <t>D001931</t>
  </si>
  <si>
    <t>O01810</t>
  </si>
  <si>
    <t>M001932</t>
  </si>
  <si>
    <t>D001932</t>
  </si>
  <si>
    <t>O01811</t>
  </si>
  <si>
    <t>M001933</t>
  </si>
  <si>
    <t>D001933</t>
  </si>
  <si>
    <t>O01812</t>
  </si>
  <si>
    <t>M001934</t>
  </si>
  <si>
    <t>D001934</t>
  </si>
  <si>
    <t>O01814</t>
  </si>
  <si>
    <t>M001935</t>
  </si>
  <si>
    <t>D001935</t>
  </si>
  <si>
    <t>O01815</t>
  </si>
  <si>
    <t>M001936</t>
  </si>
  <si>
    <t>D001936</t>
  </si>
  <si>
    <t>O01816</t>
  </si>
  <si>
    <t>M001937</t>
  </si>
  <si>
    <t>D001937</t>
  </si>
  <si>
    <t>O01817</t>
  </si>
  <si>
    <t>M001938</t>
  </si>
  <si>
    <t>D001938</t>
  </si>
  <si>
    <t>O01818</t>
  </si>
  <si>
    <t>M001939</t>
  </si>
  <si>
    <t>D001939</t>
  </si>
  <si>
    <t>O01819</t>
  </si>
  <si>
    <t>M001940</t>
  </si>
  <si>
    <t>D001940</t>
  </si>
  <si>
    <t>O01820</t>
  </si>
  <si>
    <t>M001941</t>
  </si>
  <si>
    <t>D001941</t>
  </si>
  <si>
    <t>M001942</t>
  </si>
  <si>
    <t>D001942</t>
  </si>
  <si>
    <t>O01821</t>
  </si>
  <si>
    <t>M001943</t>
  </si>
  <si>
    <t>D001943</t>
  </si>
  <si>
    <t>O01822</t>
  </si>
  <si>
    <t>M001944</t>
  </si>
  <si>
    <t>D001944</t>
  </si>
  <si>
    <t>O01823</t>
  </si>
  <si>
    <t>M001945</t>
  </si>
  <si>
    <t>D001945</t>
  </si>
  <si>
    <t>O01824</t>
  </si>
  <si>
    <t>M001946</t>
  </si>
  <si>
    <t>D001946</t>
  </si>
  <si>
    <t>O01825</t>
  </si>
  <si>
    <t>M001947</t>
  </si>
  <si>
    <t>D001947</t>
  </si>
  <si>
    <t>O01826</t>
  </si>
  <si>
    <t>M001948</t>
  </si>
  <si>
    <t>D001948</t>
  </si>
  <si>
    <t>O01827</t>
  </si>
  <si>
    <t>M001949</t>
  </si>
  <si>
    <t>D001949</t>
  </si>
  <si>
    <t>O01828</t>
  </si>
  <si>
    <t>M001950</t>
  </si>
  <si>
    <t>D001950</t>
  </si>
  <si>
    <t>O01829</t>
  </si>
  <si>
    <t>M001951</t>
  </si>
  <si>
    <t>D001951</t>
  </si>
  <si>
    <t>O01830</t>
  </si>
  <si>
    <t>M001952</t>
  </si>
  <si>
    <t>D001952</t>
  </si>
  <si>
    <t>O01831</t>
  </si>
  <si>
    <t>M001953</t>
  </si>
  <si>
    <t>D001953</t>
  </si>
  <si>
    <t>O01832</t>
  </si>
  <si>
    <t>M001954</t>
  </si>
  <si>
    <t>D001954</t>
  </si>
  <si>
    <t>O01833</t>
  </si>
  <si>
    <t>M001955</t>
  </si>
  <si>
    <t>D001955</t>
  </si>
  <si>
    <t>O01835</t>
  </si>
  <si>
    <t>M001956</t>
  </si>
  <si>
    <t>D001956</t>
  </si>
  <si>
    <t>O01836</t>
  </si>
  <si>
    <t>M001957</t>
  </si>
  <si>
    <t>D001957</t>
  </si>
  <si>
    <t>O01837</t>
  </si>
  <si>
    <t>M001958</t>
  </si>
  <si>
    <t>D001958</t>
  </si>
  <si>
    <t>O01838</t>
  </si>
  <si>
    <t>M001959</t>
  </si>
  <si>
    <t>D001959</t>
  </si>
  <si>
    <t>O01839</t>
  </si>
  <si>
    <t>M001960</t>
  </si>
  <si>
    <t>D001960</t>
  </si>
  <si>
    <t>M001961</t>
  </si>
  <si>
    <t>D001961</t>
  </si>
  <si>
    <t>O01840</t>
  </si>
  <si>
    <t>M001962</t>
  </si>
  <si>
    <t>D001962</t>
  </si>
  <si>
    <t>O01841</t>
  </si>
  <si>
    <t>M001963</t>
  </si>
  <si>
    <t>D001963</t>
  </si>
  <si>
    <t>O01842</t>
  </si>
  <si>
    <t>M001964</t>
  </si>
  <si>
    <t>D001964</t>
  </si>
  <si>
    <t>O01844</t>
  </si>
  <si>
    <t>M001965</t>
  </si>
  <si>
    <t>D001965</t>
  </si>
  <si>
    <t>O01845</t>
  </si>
  <si>
    <t>M001966</t>
  </si>
  <si>
    <t>D001966</t>
  </si>
  <si>
    <t>O01846</t>
  </si>
  <si>
    <t>M001967</t>
  </si>
  <si>
    <t>D001967</t>
  </si>
  <si>
    <t>O01847</t>
  </si>
  <si>
    <t>M001968</t>
  </si>
  <si>
    <t>D001968</t>
  </si>
  <si>
    <t>O01848</t>
  </si>
  <si>
    <t>M001969</t>
  </si>
  <si>
    <t>D001969</t>
  </si>
  <si>
    <t>O01849</t>
  </si>
  <si>
    <t>M001970</t>
  </si>
  <si>
    <t>D001970</t>
  </si>
  <si>
    <t>O01850</t>
  </si>
  <si>
    <t>M001971</t>
  </si>
  <si>
    <t>D001971</t>
  </si>
  <si>
    <t>O01851</t>
  </si>
  <si>
    <t>M001972</t>
  </si>
  <si>
    <t>D001972</t>
  </si>
  <si>
    <t>O01852</t>
  </si>
  <si>
    <t>M001973</t>
  </si>
  <si>
    <t>D001973</t>
  </si>
  <si>
    <t>O01853</t>
  </si>
  <si>
    <t>M001974</t>
  </si>
  <si>
    <t>D001974</t>
  </si>
  <si>
    <t>O01854</t>
  </si>
  <si>
    <t>M001975</t>
  </si>
  <si>
    <t>D001975</t>
  </si>
  <si>
    <t>O01855</t>
  </si>
  <si>
    <t>M001976</t>
  </si>
  <si>
    <t>D001976</t>
  </si>
  <si>
    <t>O01856</t>
  </si>
  <si>
    <t>M001977</t>
  </si>
  <si>
    <t>D001977</t>
  </si>
  <si>
    <t>O01857</t>
  </si>
  <si>
    <t>M001978</t>
  </si>
  <si>
    <t>D001978</t>
  </si>
  <si>
    <t>O01858</t>
  </si>
  <si>
    <t>M001979</t>
  </si>
  <si>
    <t>D001979</t>
  </si>
  <si>
    <t>O01859</t>
  </si>
  <si>
    <t>M001980</t>
  </si>
  <si>
    <t>D001980</t>
  </si>
  <si>
    <t>O01860</t>
  </si>
  <si>
    <t>M001981</t>
  </si>
  <si>
    <t>D001981</t>
  </si>
  <si>
    <t>O01862</t>
  </si>
  <si>
    <t>M001982</t>
  </si>
  <si>
    <t>D001982</t>
  </si>
  <si>
    <t>O01863</t>
  </si>
  <si>
    <t>M001983</t>
  </si>
  <si>
    <t>D001983</t>
  </si>
  <si>
    <t>O01864</t>
  </si>
  <si>
    <t>M001984</t>
  </si>
  <si>
    <t>D001984</t>
  </si>
  <si>
    <t>O01865</t>
  </si>
  <si>
    <t>M001985</t>
  </si>
  <si>
    <t>D001985</t>
  </si>
  <si>
    <t>O01866</t>
  </si>
  <si>
    <t>M001986</t>
  </si>
  <si>
    <t>D001986</t>
  </si>
  <si>
    <t>O01867</t>
  </si>
  <si>
    <t>M001987</t>
  </si>
  <si>
    <t>D001987</t>
  </si>
  <si>
    <t>O01868</t>
  </si>
  <si>
    <t>M001988</t>
  </si>
  <si>
    <t>D001988</t>
  </si>
  <si>
    <t>O01869</t>
  </si>
  <si>
    <t>M001989</t>
  </si>
  <si>
    <t>D001989</t>
  </si>
  <si>
    <t>O01870</t>
  </si>
  <si>
    <t>M001990</t>
  </si>
  <si>
    <t>D001990</t>
  </si>
  <si>
    <t>O01871</t>
  </si>
  <si>
    <t>M001991</t>
  </si>
  <si>
    <t>D001991</t>
  </si>
  <si>
    <t>O01872</t>
  </si>
  <si>
    <t>M001992</t>
  </si>
  <si>
    <t>D001992</t>
  </si>
  <si>
    <t>O01873</t>
  </si>
  <si>
    <t>M001993</t>
  </si>
  <si>
    <t>D001993</t>
  </si>
  <si>
    <t>O01874</t>
  </si>
  <si>
    <t>M001994</t>
  </si>
  <si>
    <t>D001994</t>
  </si>
  <si>
    <t>O01875</t>
  </si>
  <si>
    <t>M001995</t>
  </si>
  <si>
    <t>D001995</t>
  </si>
  <si>
    <t>O01876</t>
  </si>
  <si>
    <t>M001996</t>
  </si>
  <si>
    <t>D001996</t>
  </si>
  <si>
    <t>O01878</t>
  </si>
  <si>
    <t>M001997</t>
  </si>
  <si>
    <t>D001997</t>
  </si>
  <si>
    <t>O01879</t>
  </si>
  <si>
    <t>M001998</t>
  </si>
  <si>
    <t>D001998</t>
  </si>
  <si>
    <t>O01880</t>
  </si>
  <si>
    <t>M001999</t>
  </si>
  <si>
    <t>D001999</t>
  </si>
  <si>
    <t>O01881</t>
  </si>
  <si>
    <t>M002000</t>
  </si>
  <si>
    <t>D002000</t>
  </si>
  <si>
    <t>O01882</t>
  </si>
  <si>
    <t>M002001</t>
  </si>
  <si>
    <t>D002001</t>
  </si>
  <si>
    <t>O01883</t>
  </si>
  <si>
    <t>M002002</t>
  </si>
  <si>
    <t>D002002</t>
  </si>
  <si>
    <t>O01885</t>
  </si>
  <si>
    <t>M002003</t>
  </si>
  <si>
    <t>D002003</t>
  </si>
  <si>
    <t>O01886</t>
  </si>
  <si>
    <t>M002004</t>
  </si>
  <si>
    <t>D002004</t>
  </si>
  <si>
    <t>O01887</t>
  </si>
  <si>
    <t>M002005</t>
  </si>
  <si>
    <t>D002005</t>
  </si>
  <si>
    <t>O01888</t>
  </si>
  <si>
    <t>M002006</t>
  </si>
  <si>
    <t>D002006</t>
  </si>
  <si>
    <t>O01889</t>
  </si>
  <si>
    <t>M002007</t>
  </si>
  <si>
    <t>D002007</t>
  </si>
  <si>
    <t>O01890</t>
  </si>
  <si>
    <t>M002008</t>
  </si>
  <si>
    <t>D002008</t>
  </si>
  <si>
    <t>O01891</t>
  </si>
  <si>
    <t>M002009</t>
  </si>
  <si>
    <t>D002009</t>
  </si>
  <si>
    <t>O01892</t>
  </si>
  <si>
    <t>M002010</t>
  </si>
  <si>
    <t>D002010</t>
  </si>
  <si>
    <t>O01893</t>
  </si>
  <si>
    <t>M002011</t>
  </si>
  <si>
    <t>D002011</t>
  </si>
  <si>
    <t>O01895</t>
  </si>
  <si>
    <t>M002012</t>
  </si>
  <si>
    <t>D002012</t>
  </si>
  <si>
    <t>O01896</t>
  </si>
  <si>
    <t>M002013</t>
  </si>
  <si>
    <t>D002013</t>
  </si>
  <si>
    <t>O01897</t>
  </si>
  <si>
    <t>M002014</t>
  </si>
  <si>
    <t>D002014</t>
  </si>
  <si>
    <t>O01898</t>
  </si>
  <si>
    <t>M002015</t>
  </si>
  <si>
    <t>D002015</t>
  </si>
  <si>
    <t>O01899</t>
  </si>
  <si>
    <t>M002016</t>
  </si>
  <si>
    <t>D002016</t>
  </si>
  <si>
    <t>O01900</t>
  </si>
  <si>
    <t>M002017</t>
  </si>
  <si>
    <t>D002017</t>
  </si>
  <si>
    <t>O01901</t>
  </si>
  <si>
    <t>M002018</t>
  </si>
  <si>
    <t>D002018</t>
  </si>
  <si>
    <t>M002019</t>
  </si>
  <si>
    <t>D002019</t>
  </si>
  <si>
    <t>O01902</t>
  </si>
  <si>
    <t>M002020</t>
  </si>
  <si>
    <t>D002020</t>
  </si>
  <si>
    <t>O01903</t>
  </si>
  <si>
    <t>M002021</t>
  </si>
  <si>
    <t>D002021</t>
  </si>
  <si>
    <t>O01904</t>
  </si>
  <si>
    <t>M002022</t>
  </si>
  <si>
    <t>D002022</t>
  </si>
  <si>
    <t>O01905</t>
  </si>
  <si>
    <t>M002023</t>
  </si>
  <si>
    <t>D002023</t>
  </si>
  <si>
    <t>O01906</t>
  </si>
  <si>
    <t>M002024</t>
  </si>
  <si>
    <t>D002024</t>
  </si>
  <si>
    <t>O01907</t>
  </si>
  <si>
    <t>M002025</t>
  </si>
  <si>
    <t>D002025</t>
  </si>
  <si>
    <t>O01908</t>
  </si>
  <si>
    <t>M002026</t>
  </si>
  <si>
    <t>D002026</t>
  </si>
  <si>
    <t>O01909</t>
  </si>
  <si>
    <t>M002027</t>
  </si>
  <si>
    <t>D002027</t>
  </si>
  <si>
    <t>O01911</t>
  </si>
  <si>
    <t>M002028</t>
  </si>
  <si>
    <t>D002028</t>
  </si>
  <si>
    <t>O01912</t>
  </si>
  <si>
    <t>M002029</t>
  </si>
  <si>
    <t>D002029</t>
  </si>
  <si>
    <t>O01913</t>
  </si>
  <si>
    <t>M002030</t>
  </si>
  <si>
    <t>D002030</t>
  </si>
  <si>
    <t>O01914</t>
  </si>
  <si>
    <t>M002031</t>
  </si>
  <si>
    <t>D002031</t>
  </si>
  <si>
    <t>O01915</t>
  </si>
  <si>
    <t>M002032</t>
  </si>
  <si>
    <t>D002032</t>
  </si>
  <si>
    <t>O01916</t>
  </si>
  <si>
    <t>M002033</t>
  </si>
  <si>
    <t>D002033</t>
  </si>
  <si>
    <t>O01917</t>
  </si>
  <si>
    <t>M002034</t>
  </si>
  <si>
    <t>D002034</t>
  </si>
  <si>
    <t>O01919</t>
  </si>
  <si>
    <t>M002035</t>
  </si>
  <si>
    <t>D002035</t>
  </si>
  <si>
    <t>O01921</t>
  </si>
  <si>
    <t>M002036</t>
  </si>
  <si>
    <t>D002036</t>
  </si>
  <si>
    <t>O01922</t>
  </si>
  <si>
    <t>M002037</t>
  </si>
  <si>
    <t>D002037</t>
  </si>
  <si>
    <t>O01924</t>
  </si>
  <si>
    <t>M002038</t>
  </si>
  <si>
    <t>D002038</t>
  </si>
  <si>
    <t>O01925</t>
  </si>
  <si>
    <t>M002039</t>
  </si>
  <si>
    <t>D002039</t>
  </si>
  <si>
    <t>O01927</t>
  </si>
  <si>
    <t>M002040</t>
  </si>
  <si>
    <t>D002040</t>
  </si>
  <si>
    <t>O01928</t>
  </si>
  <si>
    <t>M002041</t>
  </si>
  <si>
    <t>D002041</t>
  </si>
  <si>
    <t>O01929</t>
  </si>
  <si>
    <t>M002042</t>
  </si>
  <si>
    <t>D002042</t>
  </si>
  <si>
    <t>O01930</t>
  </si>
  <si>
    <t>M002043</t>
  </si>
  <si>
    <t>D002043</t>
  </si>
  <si>
    <t>O01931</t>
  </si>
  <si>
    <t>M002044</t>
  </si>
  <si>
    <t>D002044</t>
  </si>
  <si>
    <t>O01932</t>
  </si>
  <si>
    <t>M002045</t>
  </si>
  <si>
    <t>D002045</t>
  </si>
  <si>
    <t>O01933</t>
  </si>
  <si>
    <t>M002046</t>
  </si>
  <si>
    <t>D002046</t>
  </si>
  <si>
    <t>O01934</t>
  </si>
  <si>
    <t>M002047</t>
  </si>
  <si>
    <t>D002047</t>
  </si>
  <si>
    <t>O01937</t>
  </si>
  <si>
    <t>M002048</t>
  </si>
  <si>
    <t>D002048</t>
  </si>
  <si>
    <t>O01938</t>
  </si>
  <si>
    <t>M002049</t>
  </si>
  <si>
    <t>D002049</t>
  </si>
  <si>
    <t>O01939</t>
  </si>
  <si>
    <t>M002050</t>
  </si>
  <si>
    <t>D002050</t>
  </si>
  <si>
    <t>O01940</t>
  </si>
  <si>
    <t>M002051</t>
  </si>
  <si>
    <t>D002051</t>
  </si>
  <si>
    <t>O01941</t>
  </si>
  <si>
    <t>M002052</t>
  </si>
  <si>
    <t>D002052</t>
  </si>
  <si>
    <t>O01942</t>
  </si>
  <si>
    <t>M002053</t>
  </si>
  <si>
    <t>D002053</t>
  </si>
  <si>
    <t>O01943</t>
  </si>
  <si>
    <t>M002054</t>
  </si>
  <si>
    <t>D002054</t>
  </si>
  <si>
    <t>O01944</t>
  </si>
  <si>
    <t>M002055</t>
  </si>
  <si>
    <t>D002055</t>
  </si>
  <si>
    <t>M002056</t>
  </si>
  <si>
    <t>D002056</t>
  </si>
  <si>
    <t>O01945</t>
  </si>
  <si>
    <t>M002057</t>
  </si>
  <si>
    <t>D002057</t>
  </si>
  <si>
    <t>M002058</t>
  </si>
  <si>
    <t>D002058</t>
  </si>
  <si>
    <t>O01947</t>
  </si>
  <si>
    <t>M002059</t>
  </si>
  <si>
    <t>D002059</t>
  </si>
  <si>
    <t>O01948</t>
  </si>
  <si>
    <t>M002060</t>
  </si>
  <si>
    <t>D002060</t>
  </si>
  <si>
    <t>O01949</t>
  </si>
  <si>
    <t>M002061</t>
  </si>
  <si>
    <t>D002061</t>
  </si>
  <si>
    <t>O01950</t>
  </si>
  <si>
    <t>M002062</t>
  </si>
  <si>
    <t>D002062</t>
  </si>
  <si>
    <t>O01951</t>
  </si>
  <si>
    <t>M002063</t>
  </si>
  <si>
    <t>D002063</t>
  </si>
  <si>
    <t>O01952</t>
  </si>
  <si>
    <t>M002064</t>
  </si>
  <si>
    <t>D002064</t>
  </si>
  <si>
    <t>O01953</t>
  </si>
  <si>
    <t>M002065</t>
  </si>
  <si>
    <t>D002065</t>
  </si>
  <si>
    <t>O01954</t>
  </si>
  <si>
    <t>M002066</t>
  </si>
  <si>
    <t>D002066</t>
  </si>
  <si>
    <t>O01955</t>
  </si>
  <si>
    <t>M002067</t>
  </si>
  <si>
    <t>D002067</t>
  </si>
  <si>
    <t>O01956</t>
  </si>
  <si>
    <t>M002068</t>
  </si>
  <si>
    <t>D002068</t>
  </si>
  <si>
    <t>O01957</t>
  </si>
  <si>
    <t>M002069</t>
  </si>
  <si>
    <t>D002069</t>
  </si>
  <si>
    <t>O01959</t>
  </si>
  <si>
    <t>M002070</t>
  </si>
  <si>
    <t>D002070</t>
  </si>
  <si>
    <t>O01960</t>
  </si>
  <si>
    <t>M002071</t>
  </si>
  <si>
    <t>D002071</t>
  </si>
  <si>
    <t>O01961</t>
  </si>
  <si>
    <t>M002072</t>
  </si>
  <si>
    <t>D002072</t>
  </si>
  <si>
    <t>O01962</t>
  </si>
  <si>
    <t>M002073</t>
  </si>
  <si>
    <t>D002073</t>
  </si>
  <si>
    <t>O01963</t>
  </si>
  <si>
    <t>M002074</t>
  </si>
  <si>
    <t>D002074</t>
  </si>
  <si>
    <t>R0092</t>
  </si>
  <si>
    <t>M002075</t>
  </si>
  <si>
    <t>D002075</t>
  </si>
  <si>
    <t>R0093</t>
  </si>
  <si>
    <t>M002076</t>
  </si>
  <si>
    <t>D002076</t>
  </si>
  <si>
    <t>R0094</t>
  </si>
  <si>
    <t>M002077</t>
  </si>
  <si>
    <t>D002077</t>
  </si>
  <si>
    <t>R0095</t>
  </si>
  <si>
    <t>M002078</t>
  </si>
  <si>
    <t>D002078</t>
  </si>
  <si>
    <t>R0096</t>
  </si>
  <si>
    <t>M002079</t>
  </si>
  <si>
    <t>D002079</t>
  </si>
  <si>
    <t>R0097</t>
  </si>
  <si>
    <t>M002080</t>
  </si>
  <si>
    <t>D002080</t>
  </si>
  <si>
    <t>R0098</t>
  </si>
  <si>
    <t>M002081</t>
  </si>
  <si>
    <t>D002081</t>
  </si>
  <si>
    <t>R0099</t>
  </si>
  <si>
    <t>M002082</t>
  </si>
  <si>
    <t>D002082</t>
  </si>
  <si>
    <t>R0100</t>
  </si>
  <si>
    <t>M002083</t>
  </si>
  <si>
    <t>D002083</t>
  </si>
  <si>
    <t>R0101</t>
  </si>
  <si>
    <t>M002084</t>
  </si>
  <si>
    <t>D002084</t>
  </si>
  <si>
    <t>R0102</t>
  </si>
  <si>
    <t>M002085</t>
  </si>
  <si>
    <t>D002085</t>
  </si>
  <si>
    <t>R0103</t>
  </si>
  <si>
    <t>M002086</t>
  </si>
  <si>
    <t>D002086</t>
  </si>
  <si>
    <t>R0104</t>
  </si>
  <si>
    <t>M002087</t>
  </si>
  <si>
    <t>D002087</t>
  </si>
  <si>
    <t>R0105</t>
  </si>
  <si>
    <t>M002088</t>
  </si>
  <si>
    <t>D002088</t>
  </si>
  <si>
    <t>R0106</t>
  </si>
  <si>
    <t>M002089</t>
  </si>
  <si>
    <t>D002089</t>
  </si>
  <si>
    <t>R0107</t>
  </si>
  <si>
    <t>M002090</t>
  </si>
  <si>
    <t>D002090</t>
  </si>
  <si>
    <t>O01964</t>
  </si>
  <si>
    <t>M002091</t>
  </si>
  <si>
    <t>D002091</t>
  </si>
  <si>
    <t>O01965</t>
  </si>
  <si>
    <t>M002092</t>
  </si>
  <si>
    <t>D002092</t>
  </si>
  <si>
    <t>O01966</t>
  </si>
  <si>
    <t>M002093</t>
  </si>
  <si>
    <t>D002093</t>
  </si>
  <si>
    <t>O01967</t>
  </si>
  <si>
    <t>M002094</t>
  </si>
  <si>
    <t>D002094</t>
  </si>
  <si>
    <t>O01968</t>
  </si>
  <si>
    <t>M002095</t>
  </si>
  <si>
    <t>D002095</t>
  </si>
  <si>
    <t>O01969</t>
  </si>
  <si>
    <t>M002096</t>
  </si>
  <si>
    <t>D002096</t>
  </si>
  <si>
    <t>O01970</t>
  </si>
  <si>
    <t>M002097</t>
  </si>
  <si>
    <t>D002097</t>
  </si>
  <si>
    <t>O01971</t>
  </si>
  <si>
    <t>M002098</t>
  </si>
  <si>
    <t>D002098</t>
  </si>
  <si>
    <t>O01972</t>
  </si>
  <si>
    <t>M002099</t>
  </si>
  <si>
    <t>D002099</t>
  </si>
  <si>
    <t>O01973</t>
  </si>
  <si>
    <t>M002100</t>
  </si>
  <si>
    <t>D002100</t>
  </si>
  <si>
    <t>O01974</t>
  </si>
  <si>
    <t>M002101</t>
  </si>
  <si>
    <t>D002101</t>
  </si>
  <si>
    <t>O01975</t>
  </si>
  <si>
    <t>M002102</t>
  </si>
  <si>
    <t>D002102</t>
  </si>
  <si>
    <t>O01976</t>
  </si>
  <si>
    <t>M002103</t>
  </si>
  <si>
    <t>D002103</t>
  </si>
  <si>
    <t>O01977</t>
  </si>
  <si>
    <t>M002104</t>
  </si>
  <si>
    <t>D002104</t>
  </si>
  <si>
    <t>O01979</t>
  </si>
  <si>
    <t>M002105</t>
  </si>
  <si>
    <t>D002105</t>
  </si>
  <si>
    <t>O01980</t>
  </si>
  <si>
    <t>M002106</t>
  </si>
  <si>
    <t>D002106</t>
  </si>
  <si>
    <t>O01981</t>
  </si>
  <si>
    <t>M002107</t>
  </si>
  <si>
    <t>D002107</t>
  </si>
  <si>
    <t>O01982</t>
  </si>
  <si>
    <t>M002108</t>
  </si>
  <si>
    <t>D002108</t>
  </si>
  <si>
    <t>O01983</t>
  </si>
  <si>
    <t>M002109</t>
  </si>
  <si>
    <t>D002109</t>
  </si>
  <si>
    <t>O01984</t>
  </si>
  <si>
    <t>M002110</t>
  </si>
  <si>
    <t>D002110</t>
  </si>
  <si>
    <t>O01985</t>
  </si>
  <si>
    <t>M002111</t>
  </si>
  <si>
    <t>D002111</t>
  </si>
  <si>
    <t>O01986</t>
  </si>
  <si>
    <t>M002112</t>
  </si>
  <si>
    <t>D002112</t>
  </si>
  <si>
    <t>O01987</t>
  </si>
  <si>
    <t>M002113</t>
  </si>
  <si>
    <t>D002113</t>
  </si>
  <si>
    <t>O01988</t>
  </si>
  <si>
    <t>M002114</t>
  </si>
  <si>
    <t>D002114</t>
  </si>
  <si>
    <t>O01989</t>
  </si>
  <si>
    <t>M002115</t>
  </si>
  <si>
    <t>D002115</t>
  </si>
  <si>
    <t>O01990</t>
  </si>
  <si>
    <t>M002116</t>
  </si>
  <si>
    <t>D002116</t>
  </si>
  <si>
    <t>O01991</t>
  </si>
  <si>
    <t>M002117</t>
  </si>
  <si>
    <t>D002117</t>
  </si>
  <si>
    <t>O01992</t>
  </si>
  <si>
    <t>M002118</t>
  </si>
  <si>
    <t>D002118</t>
  </si>
  <si>
    <t>O01994</t>
  </si>
  <si>
    <t>M002119</t>
  </si>
  <si>
    <t>D002119</t>
  </si>
  <si>
    <t>O01995</t>
  </si>
  <si>
    <t>M002120</t>
  </si>
  <si>
    <t>D002120</t>
  </si>
  <si>
    <t>O01996</t>
  </si>
  <si>
    <t>M002121</t>
  </si>
  <si>
    <t>D002121</t>
  </si>
  <si>
    <t>O01997</t>
  </si>
  <si>
    <t>M002122</t>
  </si>
  <si>
    <t>D002122</t>
  </si>
  <si>
    <t>O01998</t>
  </si>
  <si>
    <t>M002123</t>
  </si>
  <si>
    <t>D002123</t>
  </si>
  <si>
    <t>O01999</t>
  </si>
  <si>
    <t>M002124</t>
  </si>
  <si>
    <t>D002124</t>
  </si>
  <si>
    <t>O02000</t>
  </si>
  <si>
    <t>M002125</t>
  </si>
  <si>
    <t>D002125</t>
  </si>
  <si>
    <t>O02001</t>
  </si>
  <si>
    <t>M002126</t>
  </si>
  <si>
    <t>D002126</t>
  </si>
  <si>
    <t>O02002</t>
  </si>
  <si>
    <t>M002127</t>
  </si>
  <si>
    <t>D002127</t>
  </si>
  <si>
    <t>O02003</t>
  </si>
  <si>
    <t>M002128</t>
  </si>
  <si>
    <t>D002128</t>
  </si>
  <si>
    <t>O02004</t>
  </si>
  <si>
    <t>M002129</t>
  </si>
  <si>
    <t>D002129</t>
  </si>
  <si>
    <t>O02006</t>
  </si>
  <si>
    <t>M002130</t>
  </si>
  <si>
    <t>D002130</t>
  </si>
  <si>
    <t>O02007</t>
  </si>
  <si>
    <t>M002131</t>
  </si>
  <si>
    <t>D002131</t>
  </si>
  <si>
    <t>O02008</t>
  </si>
  <si>
    <t>M002132</t>
  </si>
  <si>
    <t>D002132</t>
  </si>
  <si>
    <t>O02009</t>
  </si>
  <si>
    <t>M002133</t>
  </si>
  <si>
    <t>D002133</t>
  </si>
  <si>
    <t>O02010</t>
  </si>
  <si>
    <t>M002134</t>
  </si>
  <si>
    <t>D002134</t>
  </si>
  <si>
    <t>O02011</t>
  </si>
  <si>
    <t>M002135</t>
  </si>
  <si>
    <t>D002135</t>
  </si>
  <si>
    <t>O02012</t>
  </si>
  <si>
    <t>M002136</t>
  </si>
  <si>
    <t>D002136</t>
  </si>
  <si>
    <t>O02014</t>
  </si>
  <si>
    <t>M002137</t>
  </si>
  <si>
    <t>D002137</t>
  </si>
  <si>
    <t>O02015</t>
  </si>
  <si>
    <t>M002138</t>
  </si>
  <si>
    <t>D002138</t>
  </si>
  <si>
    <t>O02016</t>
  </si>
  <si>
    <t>M002139</t>
  </si>
  <si>
    <t>D002139</t>
  </si>
  <si>
    <t>O02017</t>
  </si>
  <si>
    <t>M002140</t>
  </si>
  <si>
    <t>D002140</t>
  </si>
  <si>
    <t>O02018</t>
  </si>
  <si>
    <t>M002141</t>
  </si>
  <si>
    <t>D002141</t>
  </si>
  <si>
    <t>O02019</t>
  </si>
  <si>
    <t>M002142</t>
  </si>
  <si>
    <t>D002142</t>
  </si>
  <si>
    <t>O02020</t>
  </si>
  <si>
    <t>M002143</t>
  </si>
  <si>
    <t>D002143</t>
  </si>
  <si>
    <t>O02021</t>
  </si>
  <si>
    <t>M002144</t>
  </si>
  <si>
    <t>D002144</t>
  </si>
  <si>
    <t>O02022</t>
  </si>
  <si>
    <t>M002145</t>
  </si>
  <si>
    <t>D002145</t>
  </si>
  <si>
    <t>O02023</t>
  </si>
  <si>
    <t>M002146</t>
  </si>
  <si>
    <t>D002146</t>
  </si>
  <si>
    <t>O02025</t>
  </si>
  <si>
    <t>M002147</t>
  </si>
  <si>
    <t>D002147</t>
  </si>
  <si>
    <t>O02026</t>
  </si>
  <si>
    <t>M002148</t>
  </si>
  <si>
    <t>D002148</t>
  </si>
  <si>
    <t>O02027</t>
  </si>
  <si>
    <t>M002149</t>
  </si>
  <si>
    <t>D002149</t>
  </si>
  <si>
    <t>O02028</t>
  </si>
  <si>
    <t>M002150</t>
  </si>
  <si>
    <t>D002150</t>
  </si>
  <si>
    <t>O02029</t>
  </si>
  <si>
    <t>M002151</t>
  </si>
  <si>
    <t>D002151</t>
  </si>
  <si>
    <t>O02030</t>
  </si>
  <si>
    <t>M002152</t>
  </si>
  <si>
    <t>D002152</t>
  </si>
  <si>
    <t>O02031</t>
  </si>
  <si>
    <t>M002153</t>
  </si>
  <si>
    <t>D002153</t>
  </si>
  <si>
    <t>O02032</t>
  </si>
  <si>
    <t>M002154</t>
  </si>
  <si>
    <t>D002154</t>
  </si>
  <si>
    <t>O02033</t>
  </si>
  <si>
    <t>M002155</t>
  </si>
  <si>
    <t>D002155</t>
  </si>
  <si>
    <t>O02034</t>
  </si>
  <si>
    <t>M002156</t>
  </si>
  <si>
    <t>D002156</t>
  </si>
  <si>
    <t>O02035</t>
  </si>
  <si>
    <t>M002157</t>
  </si>
  <si>
    <t>D002157</t>
  </si>
  <si>
    <t>O02036</t>
  </si>
  <si>
    <t>M002158</t>
  </si>
  <si>
    <t>D002158</t>
  </si>
  <si>
    <t>O02037</t>
  </si>
  <si>
    <t>M002159</t>
  </si>
  <si>
    <t>D002159</t>
  </si>
  <si>
    <t>O02038</t>
  </si>
  <si>
    <t>M002160</t>
  </si>
  <si>
    <t>D002160</t>
  </si>
  <si>
    <t>O02039</t>
  </si>
  <si>
    <t>M002161</t>
  </si>
  <si>
    <t>D002161</t>
  </si>
  <si>
    <t>O02040</t>
  </si>
  <si>
    <t>M002162</t>
  </si>
  <si>
    <t>D002162</t>
  </si>
  <si>
    <t>O02041</t>
  </si>
  <si>
    <t>M002163</t>
  </si>
  <si>
    <t>D002163</t>
  </si>
  <si>
    <t>O02042</t>
  </si>
  <si>
    <t>M002164</t>
  </si>
  <si>
    <t>D002164</t>
  </si>
  <si>
    <t>O02043</t>
  </si>
  <si>
    <t>M002165</t>
  </si>
  <si>
    <t>D002165</t>
  </si>
  <si>
    <t>O02044</t>
  </si>
  <si>
    <t>M002166</t>
  </si>
  <si>
    <t>D002166</t>
  </si>
  <si>
    <t>O02045</t>
  </si>
  <si>
    <t>M002167</t>
  </si>
  <si>
    <t>D002167</t>
  </si>
  <si>
    <t>O02046</t>
  </si>
  <si>
    <t>M002168</t>
  </si>
  <si>
    <t>D002168</t>
  </si>
  <si>
    <t>O02047</t>
  </si>
  <si>
    <t>M002169</t>
  </si>
  <si>
    <t>D002169</t>
  </si>
  <si>
    <t>O02048</t>
  </si>
  <si>
    <t>M002170</t>
  </si>
  <si>
    <t>D002170</t>
  </si>
  <si>
    <t>O02049</t>
  </si>
  <si>
    <t>M002171</t>
  </si>
  <si>
    <t>D002171</t>
  </si>
  <si>
    <t>O02050</t>
  </si>
  <si>
    <t>M002172</t>
  </si>
  <si>
    <t>D002172</t>
  </si>
  <si>
    <t>O02051</t>
  </si>
  <si>
    <t>M002173</t>
  </si>
  <si>
    <t>D002173</t>
  </si>
  <si>
    <t>O02053</t>
  </si>
  <si>
    <t>M002174</t>
  </si>
  <si>
    <t>D002174</t>
  </si>
  <si>
    <t>O02054</t>
  </si>
  <si>
    <t>M002175</t>
  </si>
  <si>
    <t>D002175</t>
  </si>
  <si>
    <t>O02055</t>
  </si>
  <si>
    <t>M002176</t>
  </si>
  <si>
    <t>D002176</t>
  </si>
  <si>
    <t>O02056</t>
  </si>
  <si>
    <t>M002177</t>
  </si>
  <si>
    <t>D002177</t>
  </si>
  <si>
    <t>O02057</t>
  </si>
  <si>
    <t>M002178</t>
  </si>
  <si>
    <t>D002178</t>
  </si>
  <si>
    <t>O02058</t>
  </si>
  <si>
    <t>M002179</t>
  </si>
  <si>
    <t>D002179</t>
  </si>
  <si>
    <t>O02059</t>
  </si>
  <si>
    <t>M002180</t>
  </si>
  <si>
    <t>D002180</t>
  </si>
  <si>
    <t>O02060</t>
  </si>
  <si>
    <t>M002181</t>
  </si>
  <si>
    <t>D002181</t>
  </si>
  <si>
    <t>O02061</t>
  </si>
  <si>
    <t>M002182</t>
  </si>
  <si>
    <t>D002182</t>
  </si>
  <si>
    <t>O02062</t>
  </si>
  <si>
    <t>M002183</t>
  </si>
  <si>
    <t>D002183</t>
  </si>
  <si>
    <t>O02064</t>
  </si>
  <si>
    <t>M002184</t>
  </si>
  <si>
    <t>D002184</t>
  </si>
  <si>
    <t>O02065</t>
  </si>
  <si>
    <t>M002185</t>
  </si>
  <si>
    <t>D002185</t>
  </si>
  <si>
    <t>O02066</t>
  </si>
  <si>
    <t>M002186</t>
  </si>
  <si>
    <t>D002186</t>
  </si>
  <si>
    <t>O02067</t>
  </si>
  <si>
    <t>M002187</t>
  </si>
  <si>
    <t>D002187</t>
  </si>
  <si>
    <t>O02068</t>
  </si>
  <si>
    <t>M002188</t>
  </si>
  <si>
    <t>D002188</t>
  </si>
  <si>
    <t>O02069</t>
  </si>
  <si>
    <t>M002189</t>
  </si>
  <si>
    <t>D002189</t>
  </si>
  <si>
    <t>O02070</t>
  </si>
  <si>
    <t>M002190</t>
  </si>
  <si>
    <t>D002190</t>
  </si>
  <si>
    <t>O02071</t>
  </si>
  <si>
    <t>M002191</t>
  </si>
  <si>
    <t>D002191</t>
  </si>
  <si>
    <t>O02072</t>
  </si>
  <si>
    <t>M002192</t>
  </si>
  <si>
    <t>D002192</t>
  </si>
  <si>
    <t>M002193</t>
  </si>
  <si>
    <t>D002193</t>
  </si>
  <si>
    <t>O02073</t>
  </si>
  <si>
    <t>M002194</t>
  </si>
  <si>
    <t>D002194</t>
  </si>
  <si>
    <t>M002195</t>
  </si>
  <si>
    <t>D002195</t>
  </si>
  <si>
    <t>O02074</t>
  </si>
  <si>
    <t>M002196</t>
  </si>
  <si>
    <t>D002196</t>
  </si>
  <si>
    <t>O02075</t>
  </si>
  <si>
    <t>M002197</t>
  </si>
  <si>
    <t>D002197</t>
  </si>
  <si>
    <t>O02076</t>
  </si>
  <si>
    <t>M002198</t>
  </si>
  <si>
    <t>D002198</t>
  </si>
  <si>
    <t>O02077</t>
  </si>
  <si>
    <t>M002199</t>
  </si>
  <si>
    <t>D002199</t>
  </si>
  <si>
    <t>O02078</t>
  </si>
  <si>
    <t>M002200</t>
  </si>
  <si>
    <t>D002200</t>
  </si>
  <si>
    <t>O02079</t>
  </si>
  <si>
    <t>M002201</t>
  </si>
  <si>
    <t>D002201</t>
  </si>
  <si>
    <t>O02080</t>
  </si>
  <si>
    <t>M002202</t>
  </si>
  <si>
    <t>D002202</t>
  </si>
  <si>
    <t>O02081</t>
  </si>
  <si>
    <t>M002203</t>
  </si>
  <si>
    <t>D002203</t>
  </si>
  <si>
    <t>O02083</t>
  </si>
  <si>
    <t>M002204</t>
  </si>
  <si>
    <t>D002204</t>
  </si>
  <si>
    <t>O02084</t>
  </si>
  <si>
    <t>M002205</t>
  </si>
  <si>
    <t>D002205</t>
  </si>
  <si>
    <t>O02085</t>
  </si>
  <si>
    <t>M002206</t>
  </si>
  <si>
    <t>D002206</t>
  </si>
  <si>
    <t>O02086</t>
  </si>
  <si>
    <t>M002207</t>
  </si>
  <si>
    <t>D002207</t>
  </si>
  <si>
    <t>O02087</t>
  </si>
  <si>
    <t>M002208</t>
  </si>
  <si>
    <t>D002208</t>
  </si>
  <si>
    <t>O02088</t>
  </si>
  <si>
    <t>M002209</t>
  </si>
  <si>
    <t>D002209</t>
  </si>
  <si>
    <t>O02089</t>
  </si>
  <si>
    <t>M002210</t>
  </si>
  <si>
    <t>D002210</t>
  </si>
  <si>
    <t>O02090</t>
  </si>
  <si>
    <t>M002211</t>
  </si>
  <si>
    <t>D002211</t>
  </si>
  <si>
    <t>O02091</t>
  </si>
  <si>
    <t>M002212</t>
  </si>
  <si>
    <t>D002212</t>
  </si>
  <si>
    <t>O02092</t>
  </si>
  <si>
    <t>M002213</t>
  </si>
  <si>
    <t>D002213</t>
  </si>
  <si>
    <t>O02093</t>
  </si>
  <si>
    <t>M002214</t>
  </si>
  <si>
    <t>D002214</t>
  </si>
  <si>
    <t>O02095</t>
  </si>
  <si>
    <t>M002215</t>
  </si>
  <si>
    <t>D002215</t>
  </si>
  <si>
    <t>O02096</t>
  </si>
  <si>
    <t>M002216</t>
  </si>
  <si>
    <t>D002216</t>
  </si>
  <si>
    <t>O02097</t>
  </si>
  <si>
    <t>M002217</t>
  </si>
  <si>
    <t>D002217</t>
  </si>
  <si>
    <t>O02098</t>
  </si>
  <si>
    <t>M002218</t>
  </si>
  <si>
    <t>D002218</t>
  </si>
  <si>
    <t>O02099</t>
  </si>
  <si>
    <t>M002219</t>
  </si>
  <si>
    <t>D002219</t>
  </si>
  <si>
    <t>O02100</t>
  </si>
  <si>
    <t>M002220</t>
  </si>
  <si>
    <t>D002220</t>
  </si>
  <si>
    <t>O02101</t>
  </si>
  <si>
    <t>M002221</t>
  </si>
  <si>
    <t>D002221</t>
  </si>
  <si>
    <t>O02102</t>
  </si>
  <si>
    <t>M002222</t>
  </si>
  <si>
    <t>D002222</t>
  </si>
  <si>
    <t>O02103</t>
  </si>
  <si>
    <t>M002223</t>
  </si>
  <si>
    <t>D002223</t>
  </si>
  <si>
    <t>O02104</t>
  </si>
  <si>
    <t>M002224</t>
  </si>
  <si>
    <t>D002224</t>
  </si>
  <si>
    <t>O02105</t>
  </si>
  <si>
    <t>M002225</t>
  </si>
  <si>
    <t>D002225</t>
  </si>
  <si>
    <t>O02106</t>
  </si>
  <si>
    <t>M002226</t>
  </si>
  <si>
    <t>D002226</t>
  </si>
  <si>
    <t>O02107</t>
  </si>
  <si>
    <t>M002227</t>
  </si>
  <si>
    <t>D002227</t>
  </si>
  <si>
    <t>O02108</t>
  </si>
  <si>
    <t>M002228</t>
  </si>
  <si>
    <t>D002228</t>
  </si>
  <si>
    <t>O02109</t>
  </si>
  <si>
    <t>M002229</t>
  </si>
  <si>
    <t>D002229</t>
  </si>
  <si>
    <t>O02110</t>
  </si>
  <si>
    <t>M002230</t>
  </si>
  <si>
    <t>D002230</t>
  </si>
  <si>
    <t>O02111</t>
  </si>
  <si>
    <t>M002231</t>
  </si>
  <si>
    <t>D002231</t>
  </si>
  <si>
    <t>O02112</t>
  </si>
  <si>
    <t>M002232</t>
  </si>
  <si>
    <t>D002232</t>
  </si>
  <si>
    <t>O02113</t>
  </si>
  <si>
    <t>M002233</t>
  </si>
  <si>
    <t>D002233</t>
  </si>
  <si>
    <t>O02114</t>
  </si>
  <si>
    <t>M002234</t>
  </si>
  <si>
    <t>D002234</t>
  </si>
  <si>
    <t>O02115</t>
  </si>
  <si>
    <t>M002235</t>
  </si>
  <si>
    <t>D002235</t>
  </si>
  <si>
    <t>O02116</t>
  </si>
  <si>
    <t>M002236</t>
  </si>
  <si>
    <t>D002236</t>
  </si>
  <si>
    <t>O02118</t>
  </si>
  <si>
    <t>M002237</t>
  </si>
  <si>
    <t>D002237</t>
  </si>
  <si>
    <t>O02119</t>
  </si>
  <si>
    <t>M002238</t>
  </si>
  <si>
    <t>D002238</t>
  </si>
  <si>
    <t>O02120</t>
  </si>
  <si>
    <t>M002239</t>
  </si>
  <si>
    <t>D002239</t>
  </si>
  <si>
    <t>O02121</t>
  </si>
  <si>
    <t>M002240</t>
  </si>
  <si>
    <t>D002240</t>
  </si>
  <si>
    <t>O02122</t>
  </si>
  <si>
    <t>M002241</t>
  </si>
  <si>
    <t>D002241</t>
  </si>
  <si>
    <t>O02123</t>
  </si>
  <si>
    <t>M002242</t>
  </si>
  <si>
    <t>D002242</t>
  </si>
  <si>
    <t>O02124</t>
  </si>
  <si>
    <t>M002243</t>
  </si>
  <si>
    <t>D002243</t>
  </si>
  <si>
    <t>O02125</t>
  </si>
  <si>
    <t>M002244</t>
  </si>
  <si>
    <t>D002244</t>
  </si>
  <si>
    <t>O02126</t>
  </si>
  <si>
    <t>M002245</t>
  </si>
  <si>
    <t>D002245</t>
  </si>
  <si>
    <t>M002246</t>
  </si>
  <si>
    <t>D002246</t>
  </si>
  <si>
    <t>O02127</t>
  </si>
  <si>
    <t>M002247</t>
  </si>
  <si>
    <t>D002247</t>
  </si>
  <si>
    <t>O02128</t>
  </si>
  <si>
    <t>M002248</t>
  </si>
  <si>
    <t>D002248</t>
  </si>
  <si>
    <t>O02129</t>
  </si>
  <si>
    <t>M002249</t>
  </si>
  <si>
    <t>D002249</t>
  </si>
  <si>
    <t>O02130</t>
  </si>
  <si>
    <t>M002250</t>
  </si>
  <si>
    <t>D002250</t>
  </si>
  <si>
    <t>O02132</t>
  </si>
  <si>
    <t>M002251</t>
  </si>
  <si>
    <t>D002251</t>
  </si>
  <si>
    <t>O02133</t>
  </si>
  <si>
    <t>M002252</t>
  </si>
  <si>
    <t>D002252</t>
  </si>
  <si>
    <t>O02134</t>
  </si>
  <si>
    <t>M002253</t>
  </si>
  <si>
    <t>D002253</t>
  </si>
  <si>
    <t>O02135</t>
  </si>
  <si>
    <t>M002254</t>
  </si>
  <si>
    <t>D002254</t>
  </si>
  <si>
    <t>O02136</t>
  </si>
  <si>
    <t>M002255</t>
  </si>
  <si>
    <t>D002255</t>
  </si>
  <si>
    <t>O02137</t>
  </si>
  <si>
    <t>M002256</t>
  </si>
  <si>
    <t>D002256</t>
  </si>
  <si>
    <t>O02138</t>
  </si>
  <si>
    <t>M002257</t>
  </si>
  <si>
    <t>D002257</t>
  </si>
  <si>
    <t>O02139</t>
  </si>
  <si>
    <t>M002258</t>
  </si>
  <si>
    <t>D002258</t>
  </si>
  <si>
    <t>M002259</t>
  </si>
  <si>
    <t>D002259</t>
  </si>
  <si>
    <t>O02140</t>
  </si>
  <si>
    <t>M002260</t>
  </si>
  <si>
    <t>D002260</t>
  </si>
  <si>
    <t>O02141</t>
  </si>
  <si>
    <t>M002261</t>
  </si>
  <si>
    <t>D002261</t>
  </si>
  <si>
    <t>O02142</t>
  </si>
  <si>
    <t>M002262</t>
  </si>
  <si>
    <t>D002262</t>
  </si>
  <si>
    <t>O02143</t>
  </si>
  <si>
    <t>M002263</t>
  </si>
  <si>
    <t>D002263</t>
  </si>
  <si>
    <t>O02144</t>
  </si>
  <si>
    <t>M002264</t>
  </si>
  <si>
    <t>D002264</t>
  </si>
  <si>
    <t>O02145</t>
  </si>
  <si>
    <t>M002265</t>
  </si>
  <si>
    <t>D002265</t>
  </si>
  <si>
    <t>M002266</t>
  </si>
  <si>
    <t>D002266</t>
  </si>
  <si>
    <t>O02146</t>
  </si>
  <si>
    <t>M002267</t>
  </si>
  <si>
    <t>D002267</t>
  </si>
  <si>
    <t>O02147</t>
  </si>
  <si>
    <t>M002268</t>
  </si>
  <si>
    <t>D002268</t>
  </si>
  <si>
    <t>M002269</t>
  </si>
  <si>
    <t>D002269</t>
  </si>
  <si>
    <t>O02148</t>
  </si>
  <si>
    <t>M002270</t>
  </si>
  <si>
    <t>D002270</t>
  </si>
  <si>
    <t>O02149</t>
  </si>
  <si>
    <t>M002271</t>
  </si>
  <si>
    <t>D002271</t>
  </si>
  <si>
    <t>O02150</t>
  </si>
  <si>
    <t>M002272</t>
  </si>
  <si>
    <t>D002272</t>
  </si>
  <si>
    <t>O02151</t>
  </si>
  <si>
    <t>M002273</t>
  </si>
  <si>
    <t>D002273</t>
  </si>
  <si>
    <t>O02152</t>
  </si>
  <si>
    <t>M002274</t>
  </si>
  <si>
    <t>D002274</t>
  </si>
  <si>
    <t>O02153</t>
  </si>
  <si>
    <t>M002275</t>
  </si>
  <si>
    <t>D002275</t>
  </si>
  <si>
    <t>O02154</t>
  </si>
  <si>
    <t>M002276</t>
  </si>
  <si>
    <t>D002276</t>
  </si>
  <si>
    <t>O02155</t>
  </si>
  <si>
    <t>M002277</t>
  </si>
  <si>
    <t>D002277</t>
  </si>
  <si>
    <t>O02156</t>
  </si>
  <si>
    <t>M002278</t>
  </si>
  <si>
    <t>D002278</t>
  </si>
  <si>
    <t>O02157</t>
  </si>
  <si>
    <t>M002279</t>
  </si>
  <si>
    <t>D002279</t>
  </si>
  <si>
    <t>O02158</t>
  </si>
  <si>
    <t>M002280</t>
  </si>
  <si>
    <t>D002280</t>
  </si>
  <si>
    <t>O02159</t>
  </si>
  <si>
    <t>M002281</t>
  </si>
  <si>
    <t>D002281</t>
  </si>
  <si>
    <t>O02160</t>
  </si>
  <si>
    <t>M002282</t>
  </si>
  <si>
    <t>D002282</t>
  </si>
  <si>
    <t>O02161</t>
  </si>
  <si>
    <t>M002283</t>
  </si>
  <si>
    <t>D002283</t>
  </si>
  <si>
    <t>O02162</t>
  </si>
  <si>
    <t>M002284</t>
  </si>
  <si>
    <t>D002284</t>
  </si>
  <si>
    <t>O02163</t>
  </si>
  <si>
    <t>M002285</t>
  </si>
  <si>
    <t>D002285</t>
  </si>
  <si>
    <t>O02164</t>
  </si>
  <si>
    <t>M002286</t>
  </si>
  <si>
    <t>D002286</t>
  </si>
  <si>
    <t>O02165</t>
  </si>
  <si>
    <t>M002287</t>
  </si>
  <si>
    <t>D002287</t>
  </si>
  <si>
    <t>O02166</t>
  </si>
  <si>
    <t>M002288</t>
  </si>
  <si>
    <t>D002288</t>
  </si>
  <si>
    <t>O02167</t>
  </si>
  <si>
    <t>M002289</t>
  </si>
  <si>
    <t>D002289</t>
  </si>
  <si>
    <t>O02168</t>
  </si>
  <si>
    <t>M002290</t>
  </si>
  <si>
    <t>D002290</t>
  </si>
  <si>
    <t>O02169</t>
  </si>
  <si>
    <t>M002291</t>
  </si>
  <si>
    <t>D002291</t>
  </si>
  <si>
    <t>O02170</t>
  </si>
  <si>
    <t>M002292</t>
  </si>
  <si>
    <t>D002292</t>
  </si>
  <si>
    <t>O02171</t>
  </si>
  <si>
    <t>M002293</t>
  </si>
  <si>
    <t>D002293</t>
  </si>
  <si>
    <t>O02172</t>
  </si>
  <si>
    <t>M002294</t>
  </si>
  <si>
    <t>D002294</t>
  </si>
  <si>
    <t>O02174</t>
  </si>
  <si>
    <t>M002295</t>
  </si>
  <si>
    <t>D002295</t>
  </si>
  <si>
    <t>O02175</t>
  </si>
  <si>
    <t>M002296</t>
  </si>
  <si>
    <t>D002296</t>
  </si>
  <si>
    <t>O02176</t>
  </si>
  <si>
    <t>M002297</t>
  </si>
  <si>
    <t>D002297</t>
  </si>
  <si>
    <t>O02177</t>
  </si>
  <si>
    <t>M002298</t>
  </si>
  <si>
    <t>D002298</t>
  </si>
  <si>
    <t>O02178</t>
  </si>
  <si>
    <t>M002299</t>
  </si>
  <si>
    <t>D002299</t>
  </si>
  <si>
    <t>O02179</t>
  </si>
  <si>
    <t>M002300</t>
  </si>
  <si>
    <t>D002300</t>
  </si>
  <si>
    <t>O02180</t>
  </si>
  <si>
    <t>M002301</t>
  </si>
  <si>
    <t>D002301</t>
  </si>
  <si>
    <t>O02181</t>
  </si>
  <si>
    <t>M002302</t>
  </si>
  <si>
    <t>D002302</t>
  </si>
  <si>
    <t>O02182</t>
  </si>
  <si>
    <t>M002303</t>
  </si>
  <si>
    <t>D002303</t>
  </si>
  <si>
    <t>O02183</t>
  </si>
  <si>
    <t>M002304</t>
  </si>
  <si>
    <t>D002304</t>
  </si>
  <si>
    <t>O02184</t>
  </si>
  <si>
    <t>M002305</t>
  </si>
  <si>
    <t>D002305</t>
  </si>
  <si>
    <t>O02185</t>
  </si>
  <si>
    <t>M002306</t>
  </si>
  <si>
    <t>D002306</t>
  </si>
  <si>
    <t>O02186</t>
  </si>
  <si>
    <t>M002307</t>
  </si>
  <si>
    <t>D002307</t>
  </si>
  <si>
    <t>O02187</t>
  </si>
  <si>
    <t>M002308</t>
  </si>
  <si>
    <t>D002308</t>
  </si>
  <si>
    <t>O02189</t>
  </si>
  <si>
    <t>M002309</t>
  </si>
  <si>
    <t>D002309</t>
  </si>
  <si>
    <t>O02190</t>
  </si>
  <si>
    <t>M002310</t>
  </si>
  <si>
    <t>D002310</t>
  </si>
  <si>
    <t>M002311</t>
  </si>
  <si>
    <t>D002311</t>
  </si>
  <si>
    <t>O02191</t>
  </si>
  <si>
    <t>M002312</t>
  </si>
  <si>
    <t>D002312</t>
  </si>
  <si>
    <t>O02192</t>
  </si>
  <si>
    <t>M002313</t>
  </si>
  <si>
    <t>D002313</t>
  </si>
  <si>
    <t>O02193</t>
  </si>
  <si>
    <t>M002314</t>
  </si>
  <si>
    <t>D002314</t>
  </si>
  <si>
    <t>O02194</t>
  </si>
  <si>
    <t>M002315</t>
  </si>
  <si>
    <t>D002315</t>
  </si>
  <si>
    <t>O02195</t>
  </si>
  <si>
    <t>M002316</t>
  </si>
  <si>
    <t>D002316</t>
  </si>
  <si>
    <t>O02196</t>
  </si>
  <si>
    <t>M002317</t>
  </si>
  <si>
    <t>D002317</t>
  </si>
  <si>
    <t>O02197</t>
  </si>
  <si>
    <t>M002318</t>
  </si>
  <si>
    <t>D002318</t>
  </si>
  <si>
    <t>O02198</t>
  </si>
  <si>
    <t>M002319</t>
  </si>
  <si>
    <t>D002319</t>
  </si>
  <si>
    <t>O02199</t>
  </si>
  <si>
    <t>M002320</t>
  </si>
  <si>
    <t>D002320</t>
  </si>
  <si>
    <t>O02200</t>
  </si>
  <si>
    <t>M002321</t>
  </si>
  <si>
    <t>D002321</t>
  </si>
  <si>
    <t>O02201</t>
  </si>
  <si>
    <t>M002322</t>
  </si>
  <si>
    <t>D002322</t>
  </si>
  <si>
    <t>O02202</t>
  </si>
  <si>
    <t>M002323</t>
  </si>
  <si>
    <t>D002323</t>
  </si>
  <si>
    <t>O02203</t>
  </si>
  <si>
    <t>M002324</t>
  </si>
  <si>
    <t>D002324</t>
  </si>
  <si>
    <t>O02204</t>
  </si>
  <si>
    <t>M002325</t>
  </si>
  <si>
    <t>D002325</t>
  </si>
  <si>
    <t>O02205</t>
  </si>
  <si>
    <t>M002326</t>
  </si>
  <si>
    <t>D002326</t>
  </si>
  <si>
    <t>O02206</t>
  </si>
  <si>
    <t>M002327</t>
  </si>
  <si>
    <t>D002327</t>
  </si>
  <si>
    <t>O02208</t>
  </si>
  <si>
    <t>M002328</t>
  </si>
  <si>
    <t>D002328</t>
  </si>
  <si>
    <t>O02209</t>
  </si>
  <si>
    <t>M002329</t>
  </si>
  <si>
    <t>D002329</t>
  </si>
  <si>
    <t>O02210</t>
  </si>
  <si>
    <t>M002330</t>
  </si>
  <si>
    <t>D002330</t>
  </si>
  <si>
    <t>O02211</t>
  </si>
  <si>
    <t>M002331</t>
  </si>
  <si>
    <t>D002331</t>
  </si>
  <si>
    <t>O02212</t>
  </si>
  <si>
    <t>M002332</t>
  </si>
  <si>
    <t>D002332</t>
  </si>
  <si>
    <t>O02213</t>
  </si>
  <si>
    <t>M002333</t>
  </si>
  <si>
    <t>D002333</t>
  </si>
  <si>
    <t>O02214</t>
  </si>
  <si>
    <t>M002334</t>
  </si>
  <si>
    <t>D002334</t>
  </si>
  <si>
    <t>O02215</t>
  </si>
  <si>
    <t>M002335</t>
  </si>
  <si>
    <t>D002335</t>
  </si>
  <si>
    <t>O02217</t>
  </si>
  <si>
    <t>M002336</t>
  </si>
  <si>
    <t>D002336</t>
  </si>
  <si>
    <t>O02218</t>
  </si>
  <si>
    <t>M002337</t>
  </si>
  <si>
    <t>D002337</t>
  </si>
  <si>
    <t>O02219</t>
  </si>
  <si>
    <t>M002338</t>
  </si>
  <si>
    <t>D002338</t>
  </si>
  <si>
    <t>O02220</t>
  </si>
  <si>
    <t>M002339</t>
  </si>
  <si>
    <t>D002339</t>
  </si>
  <si>
    <t>O02221</t>
  </si>
  <si>
    <t>M002340</t>
  </si>
  <si>
    <t>D002340</t>
  </si>
  <si>
    <t>O02222</t>
  </si>
  <si>
    <t>M002341</t>
  </si>
  <si>
    <t>D002341</t>
  </si>
  <si>
    <t>O02223</t>
  </si>
  <si>
    <t>M002342</t>
  </si>
  <si>
    <t>D002342</t>
  </si>
  <si>
    <t>O02224</t>
  </si>
  <si>
    <t>M002343</t>
  </si>
  <si>
    <t>D002343</t>
  </si>
  <si>
    <t>O02225</t>
  </si>
  <si>
    <t>M002344</t>
  </si>
  <si>
    <t>D002344</t>
  </si>
  <si>
    <t>O02226</t>
  </si>
  <si>
    <t>M002345</t>
  </si>
  <si>
    <t>D002345</t>
  </si>
  <si>
    <t>O02227</t>
  </si>
  <si>
    <t>M002346</t>
  </si>
  <si>
    <t>D002346</t>
  </si>
  <si>
    <t>O02228</t>
  </si>
  <si>
    <t>M002347</t>
  </si>
  <si>
    <t>D002347</t>
  </si>
  <si>
    <t>O02229</t>
  </si>
  <si>
    <t>M002348</t>
  </si>
  <si>
    <t>D002348</t>
  </si>
  <si>
    <t>O02230</t>
  </si>
  <si>
    <t>M002349</t>
  </si>
  <si>
    <t>D002349</t>
  </si>
  <si>
    <t>O02231</t>
  </si>
  <si>
    <t>M002350</t>
  </si>
  <si>
    <t>D002350</t>
  </si>
  <si>
    <t>O02232</t>
  </si>
  <si>
    <t>M002351</t>
  </si>
  <si>
    <t>D002351</t>
  </si>
  <si>
    <t>O02234</t>
  </si>
  <si>
    <t>M002352</t>
  </si>
  <si>
    <t>D002352</t>
  </si>
  <si>
    <t>O02235</t>
  </si>
  <si>
    <t>M002353</t>
  </si>
  <si>
    <t>D002353</t>
  </si>
  <si>
    <t>O02236</t>
  </si>
  <si>
    <t>M002354</t>
  </si>
  <si>
    <t>D002354</t>
  </si>
  <si>
    <t>O02237</t>
  </si>
  <si>
    <t>M002355</t>
  </si>
  <si>
    <t>D002355</t>
  </si>
  <si>
    <t>O02238</t>
  </si>
  <si>
    <t>M002356</t>
  </si>
  <si>
    <t>D002356</t>
  </si>
  <si>
    <t>O02239</t>
  </si>
  <si>
    <t>M002357</t>
  </si>
  <si>
    <t>D002357</t>
  </si>
  <si>
    <t>O02240</t>
  </si>
  <si>
    <t>M002358</t>
  </si>
  <si>
    <t>D002358</t>
  </si>
  <si>
    <t>O02241</t>
  </si>
  <si>
    <t>M002359</t>
  </si>
  <si>
    <t>D002359</t>
  </si>
  <si>
    <t>O02242</t>
  </si>
  <si>
    <t>M002360</t>
  </si>
  <si>
    <t>D002360</t>
  </si>
  <si>
    <t>O02243</t>
  </si>
  <si>
    <t>M002361</t>
  </si>
  <si>
    <t>D002361</t>
  </si>
  <si>
    <t>O02245</t>
  </si>
  <si>
    <t>M002362</t>
  </si>
  <si>
    <t>D002362</t>
  </si>
  <si>
    <t>O02246</t>
  </si>
  <si>
    <t>M002363</t>
  </si>
  <si>
    <t>D002363</t>
  </si>
  <si>
    <t>O02247</t>
  </si>
  <si>
    <t>M002364</t>
  </si>
  <si>
    <t>D002364</t>
  </si>
  <si>
    <t>O02248</t>
  </si>
  <si>
    <t>M002365</t>
  </si>
  <si>
    <t>D002365</t>
  </si>
  <si>
    <t>O02249</t>
  </si>
  <si>
    <t>M002366</t>
  </si>
  <si>
    <t>D002366</t>
  </si>
  <si>
    <t>O02250</t>
  </si>
  <si>
    <t>M002367</t>
  </si>
  <si>
    <t>D002367</t>
  </si>
  <si>
    <t>O02251</t>
  </si>
  <si>
    <t>M002368</t>
  </si>
  <si>
    <t>D002368</t>
  </si>
  <si>
    <t>O02252</t>
  </si>
  <si>
    <t>M002369</t>
  </si>
  <si>
    <t>D002369</t>
  </si>
  <si>
    <t>O02254</t>
  </si>
  <si>
    <t>M002370</t>
  </si>
  <si>
    <t>D002370</t>
  </si>
  <si>
    <t>O02255</t>
  </si>
  <si>
    <t>M002371</t>
  </si>
  <si>
    <t>D002371</t>
  </si>
  <si>
    <t>O02256</t>
  </si>
  <si>
    <t>M002372</t>
  </si>
  <si>
    <t>D002372</t>
  </si>
  <si>
    <t>O02257</t>
  </si>
  <si>
    <t>M002373</t>
  </si>
  <si>
    <t>D002373</t>
  </si>
  <si>
    <t>O02258</t>
  </si>
  <si>
    <t>M002374</t>
  </si>
  <si>
    <t>D002374</t>
  </si>
  <si>
    <t>O02259</t>
  </si>
  <si>
    <t>M002375</t>
  </si>
  <si>
    <t>D002375</t>
  </si>
  <si>
    <t>O02260</t>
  </si>
  <si>
    <t>M002376</t>
  </si>
  <si>
    <t>D002376</t>
  </si>
  <si>
    <t>O02261</t>
  </si>
  <si>
    <t>M002377</t>
  </si>
  <si>
    <t>D002377</t>
  </si>
  <si>
    <t>O02263</t>
  </si>
  <si>
    <t>M002378</t>
  </si>
  <si>
    <t>D002378</t>
  </si>
  <si>
    <t>O02264</t>
  </si>
  <si>
    <t>M002379</t>
  </si>
  <si>
    <t>D002379</t>
  </si>
  <si>
    <t>O02265</t>
  </si>
  <si>
    <t>M002380</t>
  </si>
  <si>
    <t>D002380</t>
  </si>
  <si>
    <t>O02266</t>
  </si>
  <si>
    <t>M002381</t>
  </si>
  <si>
    <t>D002381</t>
  </si>
  <si>
    <t>O02267</t>
  </si>
  <si>
    <t>M002382</t>
  </si>
  <si>
    <t>D002382</t>
  </si>
  <si>
    <t>O02268</t>
  </si>
  <si>
    <t>M002383</t>
  </si>
  <si>
    <t>D002383</t>
  </si>
  <si>
    <t>O02269</t>
  </si>
  <si>
    <t>M002384</t>
  </si>
  <si>
    <t>D002384</t>
  </si>
  <si>
    <t>O02270</t>
  </si>
  <si>
    <t>M002385</t>
  </si>
  <si>
    <t>D002385</t>
  </si>
  <si>
    <t>O02271</t>
  </si>
  <si>
    <t>M002386</t>
  </si>
  <si>
    <t>D002386</t>
  </si>
  <si>
    <t>O02272</t>
  </si>
  <si>
    <t>M002387</t>
  </si>
  <si>
    <t>D002387</t>
  </si>
  <si>
    <t>O02273</t>
  </si>
  <si>
    <t>M002388</t>
  </si>
  <si>
    <t>D002388</t>
  </si>
  <si>
    <t>O02274</t>
  </si>
  <si>
    <t>M002389</t>
  </si>
  <si>
    <t>D002389</t>
  </si>
  <si>
    <t>O02275</t>
  </si>
  <si>
    <t>M002390</t>
  </si>
  <si>
    <t>D002390</t>
  </si>
  <si>
    <t>O02276</t>
  </si>
  <si>
    <t>M002391</t>
  </si>
  <si>
    <t>D002391</t>
  </si>
  <si>
    <t>O02277</t>
  </si>
  <si>
    <t>M002392</t>
  </si>
  <si>
    <t>D002392</t>
  </si>
  <si>
    <t>O02278</t>
  </si>
  <si>
    <t>M002393</t>
  </si>
  <si>
    <t>D002393</t>
  </si>
  <si>
    <t>O02279</t>
  </si>
  <si>
    <t>M002394</t>
  </si>
  <si>
    <t>D002394</t>
  </si>
  <si>
    <t>O02280</t>
  </si>
  <si>
    <t>M002395</t>
  </si>
  <si>
    <t>D002395</t>
  </si>
  <si>
    <t>O02281</t>
  </si>
  <si>
    <t>M002396</t>
  </si>
  <si>
    <t>D002396</t>
  </si>
  <si>
    <t>O02282</t>
  </si>
  <si>
    <t>M002397</t>
  </si>
  <si>
    <t>D002397</t>
  </si>
  <si>
    <t>O02283</t>
  </si>
  <si>
    <t>M002398</t>
  </si>
  <si>
    <t>D002398</t>
  </si>
  <si>
    <t>O02285</t>
  </si>
  <si>
    <t>M002399</t>
  </si>
  <si>
    <t>D002399</t>
  </si>
  <si>
    <t>O02286</t>
  </si>
  <si>
    <t>M002400</t>
  </si>
  <si>
    <t>D002400</t>
  </si>
  <si>
    <t>O02287</t>
  </si>
  <si>
    <t>M002401</t>
  </si>
  <si>
    <t>D002401</t>
  </si>
  <si>
    <t>O02288</t>
  </si>
  <si>
    <t>M002402</t>
  </si>
  <si>
    <t>D002402</t>
  </si>
  <si>
    <t>O02289</t>
  </si>
  <si>
    <t>M002403</t>
  </si>
  <si>
    <t>D002403</t>
  </si>
  <si>
    <t>O02290</t>
  </si>
  <si>
    <t>M002404</t>
  </si>
  <si>
    <t>D002404</t>
  </si>
  <si>
    <t>O02291</t>
  </si>
  <si>
    <t>M002405</t>
  </si>
  <si>
    <t>D002405</t>
  </si>
  <si>
    <t>O02292</t>
  </si>
  <si>
    <t>M002406</t>
  </si>
  <si>
    <t>D002406</t>
  </si>
  <si>
    <t>O02293</t>
  </si>
  <si>
    <t>M002407</t>
  </si>
  <si>
    <t>D002407</t>
  </si>
  <si>
    <t>O02294</t>
  </si>
  <si>
    <t>M002408</t>
  </si>
  <si>
    <t>D002408</t>
  </si>
  <si>
    <t>O02296</t>
  </si>
  <si>
    <t>M002409</t>
  </si>
  <si>
    <t>D002409</t>
  </si>
  <si>
    <t>O02297</t>
  </si>
  <si>
    <t>M002410</t>
  </si>
  <si>
    <t>D002410</t>
  </si>
  <si>
    <t>O02298</t>
  </si>
  <si>
    <t>M002411</t>
  </si>
  <si>
    <t>D002411</t>
  </si>
  <si>
    <t>O02299</t>
  </si>
  <si>
    <t>M002412</t>
  </si>
  <si>
    <t>D002412</t>
  </si>
  <si>
    <t>O02300</t>
  </si>
  <si>
    <t>M002413</t>
  </si>
  <si>
    <t>D002413</t>
  </si>
  <si>
    <t>O02301</t>
  </si>
  <si>
    <t>M002414</t>
  </si>
  <si>
    <t>D002414</t>
  </si>
  <si>
    <t>O02302</t>
  </si>
  <si>
    <t>M002415</t>
  </si>
  <si>
    <t>D002415</t>
  </si>
  <si>
    <t>O02303</t>
  </si>
  <si>
    <t>M002416</t>
  </si>
  <si>
    <t>D002416</t>
  </si>
  <si>
    <t>O02304</t>
  </si>
  <si>
    <t>M002417</t>
  </si>
  <si>
    <t>D002417</t>
  </si>
  <si>
    <t>O02306</t>
  </si>
  <si>
    <t>M002418</t>
  </si>
  <si>
    <t>D002418</t>
  </si>
  <si>
    <t>O02307</t>
  </si>
  <si>
    <t>M002419</t>
  </si>
  <si>
    <t>D002419</t>
  </si>
  <si>
    <t>O02308</t>
  </si>
  <si>
    <t>M002420</t>
  </si>
  <si>
    <t>D002420</t>
  </si>
  <si>
    <t>O02309</t>
  </si>
  <si>
    <t>M002421</t>
  </si>
  <si>
    <t>D002421</t>
  </si>
  <si>
    <t>O02310</t>
  </si>
  <si>
    <t>M002422</t>
  </si>
  <si>
    <t>D002422</t>
  </si>
  <si>
    <t>O02311</t>
  </si>
  <si>
    <t>M002423</t>
  </si>
  <si>
    <t>D002423</t>
  </si>
  <si>
    <t>O02313</t>
  </si>
  <si>
    <t>M002424</t>
  </si>
  <si>
    <t>D002424</t>
  </si>
  <si>
    <t>O02314</t>
  </si>
  <si>
    <t>M002425</t>
  </si>
  <si>
    <t>D002425</t>
  </si>
  <si>
    <t>O02315</t>
  </si>
  <si>
    <t>M002426</t>
  </si>
  <si>
    <t>D002426</t>
  </si>
  <si>
    <t>O02316</t>
  </si>
  <si>
    <t>M002427</t>
  </si>
  <si>
    <t>D002427</t>
  </si>
  <si>
    <t>O02317</t>
  </si>
  <si>
    <t>M002428</t>
  </si>
  <si>
    <t>D002428</t>
  </si>
  <si>
    <t>O02318</t>
  </si>
  <si>
    <t>M002429</t>
  </si>
  <si>
    <t>D002429</t>
  </si>
  <si>
    <t>O02319</t>
  </si>
  <si>
    <t>M002430</t>
  </si>
  <si>
    <t>D002430</t>
  </si>
  <si>
    <t>O02320</t>
  </si>
  <si>
    <t>M002431</t>
  </si>
  <si>
    <t>D002431</t>
  </si>
  <si>
    <t>O02321</t>
  </si>
  <si>
    <t>M002432</t>
  </si>
  <si>
    <t>D002432</t>
  </si>
  <si>
    <t>O02322</t>
  </si>
  <si>
    <t>M002433</t>
  </si>
  <si>
    <t>D002433</t>
  </si>
  <si>
    <t>R0108</t>
  </si>
  <si>
    <t>M002434</t>
  </si>
  <si>
    <t>D002434</t>
  </si>
  <si>
    <t>R0109</t>
  </si>
  <si>
    <t>M002435</t>
  </si>
  <si>
    <t>D002435</t>
  </si>
  <si>
    <t>R0110</t>
  </si>
  <si>
    <t>M002436</t>
  </si>
  <si>
    <t>D002436</t>
  </si>
  <si>
    <t>R0111</t>
  </si>
  <si>
    <t>M002437</t>
  </si>
  <si>
    <t>D002437</t>
  </si>
  <si>
    <t>R0112</t>
  </si>
  <si>
    <t>M002438</t>
  </si>
  <si>
    <t>D002438</t>
  </si>
  <si>
    <t>R0113</t>
  </si>
  <si>
    <t>M002439</t>
  </si>
  <si>
    <t>D002439</t>
  </si>
  <si>
    <t>R0114</t>
  </si>
  <si>
    <t>M002440</t>
  </si>
  <si>
    <t>D002440</t>
  </si>
  <si>
    <t>R0115</t>
  </si>
  <si>
    <t>M002441</t>
  </si>
  <si>
    <t>D002441</t>
  </si>
  <si>
    <t>R0116</t>
  </si>
  <si>
    <t>M002442</t>
  </si>
  <si>
    <t>D002442</t>
  </si>
  <si>
    <t>R0117</t>
  </si>
  <si>
    <t>M002443</t>
  </si>
  <si>
    <t>D002443</t>
  </si>
  <si>
    <t>R0118</t>
  </si>
  <si>
    <t>M002444</t>
  </si>
  <si>
    <t>D002444</t>
  </si>
  <si>
    <t>R0119</t>
  </si>
  <si>
    <t>M002445</t>
  </si>
  <si>
    <t>D002445</t>
  </si>
  <si>
    <t>R0120</t>
  </si>
  <si>
    <t>M002446</t>
  </si>
  <si>
    <t>D002446</t>
  </si>
  <si>
    <t>R0121</t>
  </si>
  <si>
    <t>M002447</t>
  </si>
  <si>
    <t>D002447</t>
  </si>
  <si>
    <t>O02323</t>
  </si>
  <si>
    <t>M002448</t>
  </si>
  <si>
    <t>D002448</t>
  </si>
  <si>
    <t>O02324</t>
  </si>
  <si>
    <t>M002449</t>
  </si>
  <si>
    <t>D002449</t>
  </si>
  <si>
    <t>O02325</t>
  </si>
  <si>
    <t>M002450</t>
  </si>
  <si>
    <t>D002450</t>
  </si>
  <si>
    <t>O02326</t>
  </si>
  <si>
    <t>M002451</t>
  </si>
  <si>
    <t>D002451</t>
  </si>
  <si>
    <t>O02327</t>
  </si>
  <si>
    <t>M002452</t>
  </si>
  <si>
    <t>D002452</t>
  </si>
  <si>
    <t>O02329</t>
  </si>
  <si>
    <t>M002453</t>
  </si>
  <si>
    <t>D002453</t>
  </si>
  <si>
    <t>O02330</t>
  </si>
  <si>
    <t>M002454</t>
  </si>
  <si>
    <t>D002454</t>
  </si>
  <si>
    <t>O02331</t>
  </si>
  <si>
    <t>M002455</t>
  </si>
  <si>
    <t>D002455</t>
  </si>
  <si>
    <t>O02332</t>
  </si>
  <si>
    <t>M002456</t>
  </si>
  <si>
    <t>D002456</t>
  </si>
  <si>
    <t>O02333</t>
  </si>
  <si>
    <t>M002457</t>
  </si>
  <si>
    <t>D002457</t>
  </si>
  <si>
    <t>O02334</t>
  </si>
  <si>
    <t>M002458</t>
  </si>
  <si>
    <t>D002458</t>
  </si>
  <si>
    <t>O02335</t>
  </si>
  <si>
    <t>M002459</t>
  </si>
  <si>
    <t>D002459</t>
  </si>
  <si>
    <t>O02336</t>
  </si>
  <si>
    <t>M002460</t>
  </si>
  <si>
    <t>D002460</t>
  </si>
  <si>
    <t>M002461</t>
  </si>
  <si>
    <t>D002461</t>
  </si>
  <si>
    <t>O02337</t>
  </si>
  <si>
    <t>M002462</t>
  </si>
  <si>
    <t>D002462</t>
  </si>
  <si>
    <t>O02338</t>
  </si>
  <si>
    <t>M002463</t>
  </si>
  <si>
    <t>D002463</t>
  </si>
  <si>
    <t>O02339</t>
  </si>
  <si>
    <t>M002464</t>
  </si>
  <si>
    <t>D002464</t>
  </si>
  <si>
    <t>O02340</t>
  </si>
  <si>
    <t>M002465</t>
  </si>
  <si>
    <t>D002465</t>
  </si>
  <si>
    <t>O02341</t>
  </si>
  <si>
    <t>M002466</t>
  </si>
  <si>
    <t>D002466</t>
  </si>
  <si>
    <t>O02342</t>
  </si>
  <si>
    <t>M002467</t>
  </si>
  <si>
    <t>D002467</t>
  </si>
  <si>
    <t>O02343</t>
  </si>
  <si>
    <t>M002468</t>
  </si>
  <si>
    <t>D002468</t>
  </si>
  <si>
    <t>O02345</t>
  </si>
  <si>
    <t>M002469</t>
  </si>
  <si>
    <t>D002469</t>
  </si>
  <si>
    <t>O02346</t>
  </si>
  <si>
    <t>M002470</t>
  </si>
  <si>
    <t>D002470</t>
  </si>
  <si>
    <t>M002471</t>
  </si>
  <si>
    <t>D002471</t>
  </si>
  <si>
    <t>O02347</t>
  </si>
  <si>
    <t>M002472</t>
  </si>
  <si>
    <t>D002472</t>
  </si>
  <si>
    <t>O02348</t>
  </si>
  <si>
    <t>M002473</t>
  </si>
  <si>
    <t>D002473</t>
  </si>
  <si>
    <t>O02349</t>
  </si>
  <si>
    <t>M002474</t>
  </si>
  <si>
    <t>D002474</t>
  </si>
  <si>
    <t>M002475</t>
  </si>
  <si>
    <t>D002475</t>
  </si>
  <si>
    <t>O02350</t>
  </si>
  <si>
    <t>M002476</t>
  </si>
  <si>
    <t>D002476</t>
  </si>
  <si>
    <t>O02351</t>
  </si>
  <si>
    <t>M002477</t>
  </si>
  <si>
    <t>D002477</t>
  </si>
  <si>
    <t>O02352</t>
  </si>
  <si>
    <t>M002478</t>
  </si>
  <si>
    <t>D002478</t>
  </si>
  <si>
    <t>O02353</t>
  </si>
  <si>
    <t>M002479</t>
  </si>
  <si>
    <t>D002479</t>
  </si>
  <si>
    <t>O02354</t>
  </si>
  <si>
    <t>M002480</t>
  </si>
  <si>
    <t>D002480</t>
  </si>
  <si>
    <t>O02355</t>
  </si>
  <si>
    <t>M002481</t>
  </si>
  <si>
    <t>D002481</t>
  </si>
  <si>
    <t>O02356</t>
  </si>
  <si>
    <t>M002482</t>
  </si>
  <si>
    <t>D002482</t>
  </si>
  <si>
    <t>O02357</t>
  </si>
  <si>
    <t>M002483</t>
  </si>
  <si>
    <t>D002483</t>
  </si>
  <si>
    <t>O02358</t>
  </si>
  <si>
    <t>M002484</t>
  </si>
  <si>
    <t>D002484</t>
  </si>
  <si>
    <t>O02359</t>
  </si>
  <si>
    <t>M002485</t>
  </si>
  <si>
    <t>D002485</t>
  </si>
  <si>
    <t>O02360</t>
  </si>
  <si>
    <t>M002486</t>
  </si>
  <si>
    <t>D002486</t>
  </si>
  <si>
    <t>O02362</t>
  </si>
  <si>
    <t>M002487</t>
  </si>
  <si>
    <t>D002487</t>
  </si>
  <si>
    <t>O02363</t>
  </si>
  <si>
    <t>M002488</t>
  </si>
  <si>
    <t>D002488</t>
  </si>
  <si>
    <t>O02364</t>
  </si>
  <si>
    <t>M002489</t>
  </si>
  <si>
    <t>D002489</t>
  </si>
  <si>
    <t>O02365</t>
  </si>
  <si>
    <t>M002490</t>
  </si>
  <si>
    <t>D002490</t>
  </si>
  <si>
    <t>O02366</t>
  </si>
  <si>
    <t>M002491</t>
  </si>
  <si>
    <t>D002491</t>
  </si>
  <si>
    <t>O02367</t>
  </si>
  <si>
    <t>M002492</t>
  </si>
  <si>
    <t>D002492</t>
  </si>
  <si>
    <t>O02368</t>
  </si>
  <si>
    <t>M002493</t>
  </si>
  <si>
    <t>D002493</t>
  </si>
  <si>
    <t>O02369</t>
  </si>
  <si>
    <t>M002494</t>
  </si>
  <si>
    <t>D002494</t>
  </si>
  <si>
    <t>O02370</t>
  </si>
  <si>
    <t>M002495</t>
  </si>
  <si>
    <t>D002495</t>
  </si>
  <si>
    <t>O02371</t>
  </si>
  <si>
    <t>M002496</t>
  </si>
  <si>
    <t>D002496</t>
  </si>
  <si>
    <t>O02372</t>
  </si>
  <si>
    <t>M002497</t>
  </si>
  <si>
    <t>D002497</t>
  </si>
  <si>
    <t>O02373</t>
  </si>
  <si>
    <t>M002498</t>
  </si>
  <si>
    <t>D002498</t>
  </si>
  <si>
    <t>O02374</t>
  </si>
  <si>
    <t>M002499</t>
  </si>
  <si>
    <t>D002499</t>
  </si>
  <si>
    <t>O02375</t>
  </si>
  <si>
    <t>M002500</t>
  </si>
  <si>
    <t>D002500</t>
  </si>
  <si>
    <t>O02376</t>
  </si>
  <si>
    <t>M002501</t>
  </si>
  <si>
    <t>D002501</t>
  </si>
  <si>
    <t>O02377</t>
  </si>
  <si>
    <t>M002502</t>
  </si>
  <si>
    <t>D002502</t>
  </si>
  <si>
    <t>O02378</t>
  </si>
  <si>
    <t>M002503</t>
  </si>
  <si>
    <t>D002503</t>
  </si>
  <si>
    <t>O02380</t>
  </si>
  <si>
    <t>M002504</t>
  </si>
  <si>
    <t>D002504</t>
  </si>
  <si>
    <t>O02381</t>
  </si>
  <si>
    <t>M002505</t>
  </si>
  <si>
    <t>D002505</t>
  </si>
  <si>
    <t>O02382</t>
  </si>
  <si>
    <t>M002506</t>
  </si>
  <si>
    <t>D002506</t>
  </si>
  <si>
    <t>O02383</t>
  </si>
  <si>
    <t>M002507</t>
  </si>
  <si>
    <t>D002507</t>
  </si>
  <si>
    <t>O02384</t>
  </si>
  <si>
    <t>M002508</t>
  </si>
  <si>
    <t>D002508</t>
  </si>
  <si>
    <t>O02385</t>
  </si>
  <si>
    <t>M002509</t>
  </si>
  <si>
    <t>D002509</t>
  </si>
  <si>
    <t>O02386</t>
  </si>
  <si>
    <t>M002510</t>
  </si>
  <si>
    <t>D002510</t>
  </si>
  <si>
    <t>O02387</t>
  </si>
  <si>
    <t>M002511</t>
  </si>
  <si>
    <t>D002511</t>
  </si>
  <si>
    <t>O02388</t>
  </si>
  <si>
    <t>M002512</t>
  </si>
  <si>
    <t>D002512</t>
  </si>
  <si>
    <t>O02389</t>
  </si>
  <si>
    <t>M002513</t>
  </si>
  <si>
    <t>D002513</t>
  </si>
  <si>
    <t>O02390</t>
  </si>
  <si>
    <t>M002514</t>
  </si>
  <si>
    <t>D002514</t>
  </si>
  <si>
    <t>O02391</t>
  </si>
  <si>
    <t>M002515</t>
  </si>
  <si>
    <t>D002515</t>
  </si>
  <si>
    <t>O02392</t>
  </si>
  <si>
    <t>M002516</t>
  </si>
  <si>
    <t>D002516</t>
  </si>
  <si>
    <t>O02393</t>
  </si>
  <si>
    <t>M002517</t>
  </si>
  <si>
    <t>D002517</t>
  </si>
  <si>
    <t>O02394</t>
  </si>
  <si>
    <t>M002518</t>
  </si>
  <si>
    <t>D002518</t>
  </si>
  <si>
    <t>O02395</t>
  </si>
  <si>
    <t>M002519</t>
  </si>
  <si>
    <t>D002519</t>
  </si>
  <si>
    <t>O02396</t>
  </si>
  <si>
    <t>M002520</t>
  </si>
  <si>
    <t>D002520</t>
  </si>
  <si>
    <t>O02397</t>
  </si>
  <si>
    <t>M002521</t>
  </si>
  <si>
    <t>D002521</t>
  </si>
  <si>
    <t>O02399</t>
  </si>
  <si>
    <t>M002522</t>
  </si>
  <si>
    <t>D002522</t>
  </si>
  <si>
    <t>O02400</t>
  </si>
  <si>
    <t>M002523</t>
  </si>
  <si>
    <t>D002523</t>
  </si>
  <si>
    <t>O02401</t>
  </si>
  <si>
    <t>M002524</t>
  </si>
  <si>
    <t>D002524</t>
  </si>
  <si>
    <t>O02402</t>
  </si>
  <si>
    <t>M002525</t>
  </si>
  <si>
    <t>D002525</t>
  </si>
  <si>
    <t>M002526</t>
  </si>
  <si>
    <t>D002526</t>
  </si>
  <si>
    <t>O02403</t>
  </si>
  <si>
    <t>M002527</t>
  </si>
  <si>
    <t>D002527</t>
  </si>
  <si>
    <t>O02404</t>
  </si>
  <si>
    <t>M002528</t>
  </si>
  <si>
    <t>D002528</t>
  </si>
  <si>
    <t>O02405</t>
  </si>
  <si>
    <t>M002529</t>
  </si>
  <si>
    <t>D002529</t>
  </si>
  <si>
    <t>O02407</t>
  </si>
  <si>
    <t>M002530</t>
  </si>
  <si>
    <t>D002530</t>
  </si>
  <si>
    <t>O02408</t>
  </si>
  <si>
    <t>M002531</t>
  </si>
  <si>
    <t>D002531</t>
  </si>
  <si>
    <t>O02409</t>
  </si>
  <si>
    <t>M002532</t>
  </si>
  <si>
    <t>D002532</t>
  </si>
  <si>
    <t>O02410</t>
  </si>
  <si>
    <t>M002533</t>
  </si>
  <si>
    <t>D002533</t>
  </si>
  <si>
    <t>O02411</t>
  </si>
  <si>
    <t>M002534</t>
  </si>
  <si>
    <t>D002534</t>
  </si>
  <si>
    <t>O02412</t>
  </si>
  <si>
    <t>M002535</t>
  </si>
  <si>
    <t>D002535</t>
  </si>
  <si>
    <t>O02413</t>
  </si>
  <si>
    <t>M002536</t>
  </si>
  <si>
    <t>D002536</t>
  </si>
  <si>
    <t>O02414</t>
  </si>
  <si>
    <t>M002537</t>
  </si>
  <si>
    <t>D002537</t>
  </si>
  <si>
    <t>O02415</t>
  </si>
  <si>
    <t>M002538</t>
  </si>
  <si>
    <t>D002538</t>
  </si>
  <si>
    <t>O02416</t>
  </si>
  <si>
    <t>M002539</t>
  </si>
  <si>
    <t>D002539</t>
  </si>
  <si>
    <t>O02417</t>
  </si>
  <si>
    <t>M002540</t>
  </si>
  <si>
    <t>D002540</t>
  </si>
  <si>
    <t>O02418</t>
  </si>
  <si>
    <t>M002541</t>
  </si>
  <si>
    <t>D002541</t>
  </si>
  <si>
    <t>O02419</t>
  </si>
  <si>
    <t>M002542</t>
  </si>
  <si>
    <t>D002542</t>
  </si>
  <si>
    <t>O02420</t>
  </si>
  <si>
    <t>M002543</t>
  </si>
  <si>
    <t>D002543</t>
  </si>
  <si>
    <t>O02421</t>
  </si>
  <si>
    <t>M002544</t>
  </si>
  <si>
    <t>D002544</t>
  </si>
  <si>
    <t>O02422</t>
  </si>
  <si>
    <t>M002545</t>
  </si>
  <si>
    <t>D002545</t>
  </si>
  <si>
    <t>O02423</t>
  </si>
  <si>
    <t>M002546</t>
  </si>
  <si>
    <t>D002546</t>
  </si>
  <si>
    <t>O02424</t>
  </si>
  <si>
    <t>M002547</t>
  </si>
  <si>
    <t>D002547</t>
  </si>
  <si>
    <t>O02425</t>
  </si>
  <si>
    <t>M002548</t>
  </si>
  <si>
    <t>D002548</t>
  </si>
  <si>
    <t>O02426</t>
  </si>
  <si>
    <t>M002549</t>
  </si>
  <si>
    <t>D002549</t>
  </si>
  <si>
    <t>O02427</t>
  </si>
  <si>
    <t>M002550</t>
  </si>
  <si>
    <t>D002550</t>
  </si>
  <si>
    <t>O02428</t>
  </si>
  <si>
    <t>M002551</t>
  </si>
  <si>
    <t>D002551</t>
  </si>
  <si>
    <t>O02429</t>
  </si>
  <si>
    <t>M002552</t>
  </si>
  <si>
    <t>D002552</t>
  </si>
  <si>
    <t>O02430</t>
  </si>
  <si>
    <t>M002553</t>
  </si>
  <si>
    <t>D002553</t>
  </si>
  <si>
    <t>O02431</t>
  </si>
  <si>
    <t>M002554</t>
  </si>
  <si>
    <t>D002554</t>
  </si>
  <si>
    <t>O02432</t>
  </si>
  <si>
    <t>M002555</t>
  </si>
  <si>
    <t>D002555</t>
  </si>
  <si>
    <t>O02433</t>
  </si>
  <si>
    <t>M002556</t>
  </si>
  <si>
    <t>D002556</t>
  </si>
  <si>
    <t>O02434</t>
  </si>
  <si>
    <t>M002557</t>
  </si>
  <si>
    <t>D002557</t>
  </si>
  <si>
    <t>M002558</t>
  </si>
  <si>
    <t>D002558</t>
  </si>
  <si>
    <t>O02436</t>
  </si>
  <si>
    <t>M002559</t>
  </si>
  <si>
    <t>D002559</t>
  </si>
  <si>
    <t>O02437</t>
  </si>
  <si>
    <t>M002560</t>
  </si>
  <si>
    <t>D002560</t>
  </si>
  <si>
    <t>O02438</t>
  </si>
  <si>
    <t>M002561</t>
  </si>
  <si>
    <t>D002561</t>
  </si>
  <si>
    <t>O02439</t>
  </si>
  <si>
    <t>M002562</t>
  </si>
  <si>
    <t>D002562</t>
  </si>
  <si>
    <t>O02440</t>
  </si>
  <si>
    <t>M002563</t>
  </si>
  <si>
    <t>D002563</t>
  </si>
  <si>
    <t>O02441</t>
  </si>
  <si>
    <t>M002564</t>
  </si>
  <si>
    <t>D002564</t>
  </si>
  <si>
    <t>M002565</t>
  </si>
  <si>
    <t>D002565</t>
  </si>
  <si>
    <t>O02442</t>
  </si>
  <si>
    <t>M002566</t>
  </si>
  <si>
    <t>D002566</t>
  </si>
  <si>
    <t>O02443</t>
  </si>
  <si>
    <t>M002567</t>
  </si>
  <si>
    <t>D002567</t>
  </si>
  <si>
    <t>O02444</t>
  </si>
  <si>
    <t>M002568</t>
  </si>
  <si>
    <t>D002568</t>
  </si>
  <si>
    <t>O02446</t>
  </si>
  <si>
    <t>M002569</t>
  </si>
  <si>
    <t>D002569</t>
  </si>
  <si>
    <t>O02447</t>
  </si>
  <si>
    <t>M002570</t>
  </si>
  <si>
    <t>D002570</t>
  </si>
  <si>
    <t>O02448</t>
  </si>
  <si>
    <t>M002571</t>
  </si>
  <si>
    <t>D002571</t>
  </si>
  <si>
    <t>O02449</t>
  </si>
  <si>
    <t>M002572</t>
  </si>
  <si>
    <t>D002572</t>
  </si>
  <si>
    <t>O02450</t>
  </si>
  <si>
    <t>M002573</t>
  </si>
  <si>
    <t>D002573</t>
  </si>
  <si>
    <t>O02452</t>
  </si>
  <si>
    <t>M002574</t>
  </si>
  <si>
    <t>D002574</t>
  </si>
  <si>
    <t>O02453</t>
  </si>
  <si>
    <t>M002575</t>
  </si>
  <si>
    <t>D002575</t>
  </si>
  <si>
    <t>O02454</t>
  </si>
  <si>
    <t>M002576</t>
  </si>
  <si>
    <t>D002576</t>
  </si>
  <si>
    <t>O02455</t>
  </si>
  <si>
    <t>M002577</t>
  </si>
  <si>
    <t>D002577</t>
  </si>
  <si>
    <t>O02456</t>
  </si>
  <si>
    <t>M002578</t>
  </si>
  <si>
    <t>D002578</t>
  </si>
  <si>
    <t>O02457</t>
  </si>
  <si>
    <t>M002579</t>
  </si>
  <si>
    <t>D002579</t>
  </si>
  <si>
    <t>O02458</t>
  </si>
  <si>
    <t>M002580</t>
  </si>
  <si>
    <t>D002580</t>
  </si>
  <si>
    <t>O02459</t>
  </si>
  <si>
    <t>M002581</t>
  </si>
  <si>
    <t>D002581</t>
  </si>
  <si>
    <t>O02460</t>
  </si>
  <si>
    <t>M002582</t>
  </si>
  <si>
    <t>D002582</t>
  </si>
  <si>
    <t>O02461</t>
  </si>
  <si>
    <t>M002583</t>
  </si>
  <si>
    <t>D002583</t>
  </si>
  <si>
    <t>O02462</t>
  </si>
  <si>
    <t>M002584</t>
  </si>
  <si>
    <t>D002584</t>
  </si>
  <si>
    <t>O02463</t>
  </si>
  <si>
    <t>M002585</t>
  </si>
  <si>
    <t>D002585</t>
  </si>
  <si>
    <t>O02464</t>
  </si>
  <si>
    <t>M002586</t>
  </si>
  <si>
    <t>D002586</t>
  </si>
  <si>
    <t>O02465</t>
  </si>
  <si>
    <t>M002587</t>
  </si>
  <si>
    <t>D002587</t>
  </si>
  <si>
    <t>O02466</t>
  </si>
  <si>
    <t>M002588</t>
  </si>
  <si>
    <t>D002588</t>
  </si>
  <si>
    <t>O02467</t>
  </si>
  <si>
    <t>M002589</t>
  </si>
  <si>
    <t>D002589</t>
  </si>
  <si>
    <t>O02468</t>
  </si>
  <si>
    <t>M002590</t>
  </si>
  <si>
    <t>D002590</t>
  </si>
  <si>
    <t>O02469</t>
  </si>
  <si>
    <t>M002591</t>
  </si>
  <si>
    <t>D002591</t>
  </si>
  <si>
    <t>O02470</t>
  </si>
  <si>
    <t>M002592</t>
  </si>
  <si>
    <t>D002592</t>
  </si>
  <si>
    <t>O02471</t>
  </si>
  <si>
    <t>M002593</t>
  </si>
  <si>
    <t>D002593</t>
  </si>
  <si>
    <t>O02472</t>
  </si>
  <si>
    <t>M002594</t>
  </si>
  <si>
    <t>D002594</t>
  </si>
  <si>
    <t>O02473</t>
  </si>
  <si>
    <t>M002595</t>
  </si>
  <si>
    <t>D002595</t>
  </si>
  <si>
    <t>O02474</t>
  </si>
  <si>
    <t>M002596</t>
  </si>
  <si>
    <t>D002596</t>
  </si>
  <si>
    <t>O02475</t>
  </si>
  <si>
    <t>M002597</t>
  </si>
  <si>
    <t>D002597</t>
  </si>
  <si>
    <t>O02476</t>
  </si>
  <si>
    <t>M002598</t>
  </si>
  <si>
    <t>D002598</t>
  </si>
  <si>
    <t>O02477</t>
  </si>
  <si>
    <t>M002599</t>
  </si>
  <si>
    <t>D002599</t>
  </si>
  <si>
    <t>O02478</t>
  </si>
  <si>
    <t>M002600</t>
  </si>
  <si>
    <t>D002600</t>
  </si>
  <si>
    <t>O02479</t>
  </si>
  <si>
    <t>M002601</t>
  </si>
  <si>
    <t>D002601</t>
  </si>
  <si>
    <t>O02480</t>
  </si>
  <si>
    <t>M002602</t>
  </si>
  <si>
    <t>D002602</t>
  </si>
  <si>
    <t>O02481</t>
  </si>
  <si>
    <t>M002603</t>
  </si>
  <si>
    <t>D002603</t>
  </si>
  <si>
    <t>O02482</t>
  </si>
  <si>
    <t>M002604</t>
  </si>
  <si>
    <t>D002604</t>
  </si>
  <si>
    <t>O02484</t>
  </si>
  <si>
    <t>M002605</t>
  </si>
  <si>
    <t>D002605</t>
  </si>
  <si>
    <t>O02485</t>
  </si>
  <si>
    <t>M002606</t>
  </si>
  <si>
    <t>D002606</t>
  </si>
  <si>
    <t>O02486</t>
  </si>
  <si>
    <t>M002607</t>
  </si>
  <si>
    <t>D002607</t>
  </si>
  <si>
    <t>O02487</t>
  </si>
  <si>
    <t>M002608</t>
  </si>
  <si>
    <t>D002608</t>
  </si>
  <si>
    <t>O02488</t>
  </si>
  <si>
    <t>M002609</t>
  </si>
  <si>
    <t>D002609</t>
  </si>
  <si>
    <t>O02489</t>
  </si>
  <si>
    <t>M002610</t>
  </si>
  <si>
    <t>D002610</t>
  </si>
  <si>
    <t>O02490</t>
  </si>
  <si>
    <t>M002611</t>
  </si>
  <si>
    <t>D002611</t>
  </si>
  <si>
    <t>O02491</t>
  </si>
  <si>
    <t>M002612</t>
  </si>
  <si>
    <t>D002612</t>
  </si>
  <si>
    <t>O02492</t>
  </si>
  <si>
    <t>M002613</t>
  </si>
  <si>
    <t>D002613</t>
  </si>
  <si>
    <t>O02493</t>
  </si>
  <si>
    <t>M002614</t>
  </si>
  <si>
    <t>D002614</t>
  </si>
  <si>
    <t>O02494</t>
  </si>
  <si>
    <t>M002615</t>
  </si>
  <si>
    <t>D002615</t>
  </si>
  <si>
    <t>O02495</t>
  </si>
  <si>
    <t>M002616</t>
  </si>
  <si>
    <t>D002616</t>
  </si>
  <si>
    <t>O02496</t>
  </si>
  <si>
    <t>M002617</t>
  </si>
  <si>
    <t>D002617</t>
  </si>
  <si>
    <t>O02498</t>
  </si>
  <si>
    <t>M002618</t>
  </si>
  <si>
    <t>D002618</t>
  </si>
  <si>
    <t>O02499</t>
  </si>
  <si>
    <t>M002619</t>
  </si>
  <si>
    <t>D002619</t>
  </si>
  <si>
    <t>O02500</t>
  </si>
  <si>
    <t>M002620</t>
  </si>
  <si>
    <t>D002620</t>
  </si>
  <si>
    <t>O02501</t>
  </si>
  <si>
    <t>M002621</t>
  </si>
  <si>
    <t>D002621</t>
  </si>
  <si>
    <t>O02502</t>
  </si>
  <si>
    <t>M002622</t>
  </si>
  <si>
    <t>D002622</t>
  </si>
  <si>
    <t>O02503</t>
  </si>
  <si>
    <t>M002623</t>
  </si>
  <si>
    <t>D002623</t>
  </si>
  <si>
    <t>O02504</t>
  </si>
  <si>
    <t>M002624</t>
  </si>
  <si>
    <t>D002624</t>
  </si>
  <si>
    <t>M002625</t>
  </si>
  <si>
    <t>D002625</t>
  </si>
  <si>
    <t>O02505</t>
  </si>
  <si>
    <t>M002626</t>
  </si>
  <si>
    <t>D002626</t>
  </si>
  <si>
    <t>O02506</t>
  </si>
  <si>
    <t>M002627</t>
  </si>
  <si>
    <t>D002627</t>
  </si>
  <si>
    <t>O02508</t>
  </si>
  <si>
    <t>M002628</t>
  </si>
  <si>
    <t>D002628</t>
  </si>
  <si>
    <t>O02509</t>
  </si>
  <si>
    <t>M002629</t>
  </si>
  <si>
    <t>D002629</t>
  </si>
  <si>
    <t>O02510</t>
  </si>
  <si>
    <t>M002630</t>
  </si>
  <si>
    <t>D002630</t>
  </si>
  <si>
    <t>O02511</t>
  </si>
  <si>
    <t>M002631</t>
  </si>
  <si>
    <t>D002631</t>
  </si>
  <si>
    <t>O02512</t>
  </si>
  <si>
    <t>M002632</t>
  </si>
  <si>
    <t>D002632</t>
  </si>
  <si>
    <t>O02513</t>
  </si>
  <si>
    <t>M002633</t>
  </si>
  <si>
    <t>D002633</t>
  </si>
  <si>
    <t>O02514</t>
  </si>
  <si>
    <t>M002634</t>
  </si>
  <si>
    <t>D002634</t>
  </si>
  <si>
    <t>O02515</t>
  </si>
  <si>
    <t>M002635</t>
  </si>
  <si>
    <t>D002635</t>
  </si>
  <si>
    <t>O02516</t>
  </si>
  <si>
    <t>M002636</t>
  </si>
  <si>
    <t>D002636</t>
  </si>
  <si>
    <t>M002637</t>
  </si>
  <si>
    <t>D002637</t>
  </si>
  <si>
    <t>O02517</t>
  </si>
  <si>
    <t>M002638</t>
  </si>
  <si>
    <t>D002638</t>
  </si>
  <si>
    <t>O02518</t>
  </si>
  <si>
    <t>M002639</t>
  </si>
  <si>
    <t>D002639</t>
  </si>
  <si>
    <t>O02519</t>
  </si>
  <si>
    <t>M002640</t>
  </si>
  <si>
    <t>D002640</t>
  </si>
  <si>
    <t>O02520</t>
  </si>
  <si>
    <t>M002641</t>
  </si>
  <si>
    <t>D002641</t>
  </si>
  <si>
    <t>O02521</t>
  </si>
  <si>
    <t>M002642</t>
  </si>
  <si>
    <t>D002642</t>
  </si>
  <si>
    <t>O02522</t>
  </si>
  <si>
    <t>M002643</t>
  </si>
  <si>
    <t>D002643</t>
  </si>
  <si>
    <t>O02523</t>
  </si>
  <si>
    <t>M002644</t>
  </si>
  <si>
    <t>D002644</t>
  </si>
  <si>
    <t>O02524</t>
  </si>
  <si>
    <t>M002645</t>
  </si>
  <si>
    <t>D002645</t>
  </si>
  <si>
    <t>O02525</t>
  </si>
  <si>
    <t>M002646</t>
  </si>
  <si>
    <t>D002646</t>
  </si>
  <si>
    <t>O02526</t>
  </si>
  <si>
    <t>M002647</t>
  </si>
  <si>
    <t>D002647</t>
  </si>
  <si>
    <t>O02527</t>
  </si>
  <si>
    <t>M002648</t>
  </si>
  <si>
    <t>D002648</t>
  </si>
  <si>
    <t>O02528</t>
  </si>
  <si>
    <t>M002649</t>
  </si>
  <si>
    <t>D002649</t>
  </si>
  <si>
    <t>O02529</t>
  </si>
  <si>
    <t>M002650</t>
  </si>
  <si>
    <t>D002650</t>
  </si>
  <si>
    <t>O02530</t>
  </si>
  <si>
    <t>M002651</t>
  </si>
  <si>
    <t>D002651</t>
  </si>
  <si>
    <t>O02532</t>
  </si>
  <si>
    <t>M002652</t>
  </si>
  <si>
    <t>D002652</t>
  </si>
  <si>
    <t>O02533</t>
  </si>
  <si>
    <t>M002653</t>
  </si>
  <si>
    <t>D002653</t>
  </si>
  <si>
    <t>O02534</t>
  </si>
  <si>
    <t>M002654</t>
  </si>
  <si>
    <t>D002654</t>
  </si>
  <si>
    <t>O02535</t>
  </si>
  <si>
    <t>M002655</t>
  </si>
  <si>
    <t>D002655</t>
  </si>
  <si>
    <t>O02536</t>
  </si>
  <si>
    <t>M002656</t>
  </si>
  <si>
    <t>D002656</t>
  </si>
  <si>
    <t>O02537</t>
  </si>
  <si>
    <t>M002657</t>
  </si>
  <si>
    <t>D002657</t>
  </si>
  <si>
    <t>M002658</t>
  </si>
  <si>
    <t>D002658</t>
  </si>
  <si>
    <t>O02538</t>
  </si>
  <si>
    <t>M002659</t>
  </si>
  <si>
    <t>D002659</t>
  </si>
  <si>
    <t>O02539</t>
  </si>
  <si>
    <t>M002660</t>
  </si>
  <si>
    <t>D002660</t>
  </si>
  <si>
    <t>O02540</t>
  </si>
  <si>
    <t>M002661</t>
  </si>
  <si>
    <t>D002661</t>
  </si>
  <si>
    <t>O02541</t>
  </si>
  <si>
    <t>M002662</t>
  </si>
  <si>
    <t>D002662</t>
  </si>
  <si>
    <t>O02543</t>
  </si>
  <si>
    <t>M002663</t>
  </si>
  <si>
    <t>D002663</t>
  </si>
  <si>
    <t>O02544</t>
  </si>
  <si>
    <t>M002664</t>
  </si>
  <si>
    <t>D002664</t>
  </si>
  <si>
    <t>O02545</t>
  </si>
  <si>
    <t>M002665</t>
  </si>
  <si>
    <t>D002665</t>
  </si>
  <si>
    <t>O02546</t>
  </si>
  <si>
    <t>M002666</t>
  </si>
  <si>
    <t>D002666</t>
  </si>
  <si>
    <t>O02547</t>
  </si>
  <si>
    <t>M002667</t>
  </si>
  <si>
    <t>D002667</t>
  </si>
  <si>
    <t>M002668</t>
  </si>
  <si>
    <t>D002668</t>
  </si>
  <si>
    <t>O02548</t>
  </si>
  <si>
    <t>M002669</t>
  </si>
  <si>
    <t>D002669</t>
  </si>
  <si>
    <t>O02549</t>
  </si>
  <si>
    <t>M002670</t>
  </si>
  <si>
    <t>D002670</t>
  </si>
  <si>
    <t>O02550</t>
  </si>
  <si>
    <t>M002671</t>
  </si>
  <si>
    <t>D002671</t>
  </si>
  <si>
    <t>O02551</t>
  </si>
  <si>
    <t>M002672</t>
  </si>
  <si>
    <t>D002672</t>
  </si>
  <si>
    <t>M002673</t>
  </si>
  <si>
    <t>D002673</t>
  </si>
  <si>
    <t>O02552</t>
  </si>
  <si>
    <t>M002674</t>
  </si>
  <si>
    <t>D002674</t>
  </si>
  <si>
    <t>O02553</t>
  </si>
  <si>
    <t>M002675</t>
  </si>
  <si>
    <t>D002675</t>
  </si>
  <si>
    <t>O02555</t>
  </si>
  <si>
    <t>M002676</t>
  </si>
  <si>
    <t>D002676</t>
  </si>
  <si>
    <t>O02556</t>
  </si>
  <si>
    <t>M002677</t>
  </si>
  <si>
    <t>D002677</t>
  </si>
  <si>
    <t>O02557</t>
  </si>
  <si>
    <t>M002678</t>
  </si>
  <si>
    <t>D002678</t>
  </si>
  <si>
    <t>O02558</t>
  </si>
  <si>
    <t>M002679</t>
  </si>
  <si>
    <t>D002679</t>
  </si>
  <si>
    <t>O02559</t>
  </si>
  <si>
    <t>M002680</t>
  </si>
  <si>
    <t>D002680</t>
  </si>
  <si>
    <t>O02560</t>
  </si>
  <si>
    <t>M002681</t>
  </si>
  <si>
    <t>D002681</t>
  </si>
  <si>
    <t>O02561</t>
  </si>
  <si>
    <t>M002682</t>
  </si>
  <si>
    <t>D002682</t>
  </si>
  <si>
    <t>O02562</t>
  </si>
  <si>
    <t>M002683</t>
  </si>
  <si>
    <t>D002683</t>
  </si>
  <si>
    <t>O02563</t>
  </si>
  <si>
    <t>M002684</t>
  </si>
  <si>
    <t>D002684</t>
  </si>
  <si>
    <t>O02564</t>
  </si>
  <si>
    <t>M002685</t>
  </si>
  <si>
    <t>D002685</t>
  </si>
  <si>
    <t>O02565</t>
  </si>
  <si>
    <t>M002686</t>
  </si>
  <si>
    <t>D002686</t>
  </si>
  <si>
    <t>O02566</t>
  </si>
  <si>
    <t>M002687</t>
  </si>
  <si>
    <t>D002687</t>
  </si>
  <si>
    <t>O02567</t>
  </si>
  <si>
    <t>M002688</t>
  </si>
  <si>
    <t>D002688</t>
  </si>
  <si>
    <t>O02568</t>
  </si>
  <si>
    <t>M002689</t>
  </si>
  <si>
    <t>D002689</t>
  </si>
  <si>
    <t>O02569</t>
  </si>
  <si>
    <t>M002690</t>
  </si>
  <si>
    <t>D002690</t>
  </si>
  <si>
    <t>O02570</t>
  </si>
  <si>
    <t>M002691</t>
  </si>
  <si>
    <t>D002691</t>
  </si>
  <si>
    <t>O02571</t>
  </si>
  <si>
    <t>M002692</t>
  </si>
  <si>
    <t>D002692</t>
  </si>
  <si>
    <t>O02572</t>
  </si>
  <si>
    <t>M002693</t>
  </si>
  <si>
    <t>D002693</t>
  </si>
  <si>
    <t>O02573</t>
  </si>
  <si>
    <t>M002694</t>
  </si>
  <si>
    <t>D002694</t>
  </si>
  <si>
    <t>O02574</t>
  </si>
  <si>
    <t>M002695</t>
  </si>
  <si>
    <t>D002695</t>
  </si>
  <si>
    <t>O02575</t>
  </si>
  <si>
    <t>M002696</t>
  </si>
  <si>
    <t>D002696</t>
  </si>
  <si>
    <t>O02576</t>
  </si>
  <si>
    <t>M002697</t>
  </si>
  <si>
    <t>D002697</t>
  </si>
  <si>
    <t>O02577</t>
  </si>
  <si>
    <t>M002698</t>
  </si>
  <si>
    <t>D002698</t>
  </si>
  <si>
    <t>O02578</t>
  </si>
  <si>
    <t>M002699</t>
  </si>
  <si>
    <t>D002699</t>
  </si>
  <si>
    <t>O02579</t>
  </si>
  <si>
    <t>M002700</t>
  </si>
  <si>
    <t>D002700</t>
  </si>
  <si>
    <t>O02580</t>
  </si>
  <si>
    <t>M002701</t>
  </si>
  <si>
    <t>D002701</t>
  </si>
  <si>
    <t>O02581</t>
  </si>
  <si>
    <t>M002702</t>
  </si>
  <si>
    <t>D002702</t>
  </si>
  <si>
    <t>O02582</t>
  </si>
  <si>
    <t>M002703</t>
  </si>
  <si>
    <t>D002703</t>
  </si>
  <si>
    <t>O02583</t>
  </si>
  <si>
    <t>M002704</t>
  </si>
  <si>
    <t>D002704</t>
  </si>
  <si>
    <t>O02584</t>
  </si>
  <si>
    <t>M002705</t>
  </si>
  <si>
    <t>D002705</t>
  </si>
  <si>
    <t>O02586</t>
  </si>
  <si>
    <t>M002706</t>
  </si>
  <si>
    <t>D002706</t>
  </si>
  <si>
    <t>O02587</t>
  </si>
  <si>
    <t>M002707</t>
  </si>
  <si>
    <t>D002707</t>
  </si>
  <si>
    <t>O02588</t>
  </si>
  <si>
    <t>M002708</t>
  </si>
  <si>
    <t>D002708</t>
  </si>
  <si>
    <t>O02589</t>
  </si>
  <si>
    <t>M002709</t>
  </si>
  <si>
    <t>D002709</t>
  </si>
  <si>
    <t>O02590</t>
  </si>
  <si>
    <t>M002710</t>
  </si>
  <si>
    <t>D002710</t>
  </si>
  <si>
    <t>M002711</t>
  </si>
  <si>
    <t>D002711</t>
  </si>
  <si>
    <t>O02591</t>
  </si>
  <si>
    <t>M002712</t>
  </si>
  <si>
    <t>D002712</t>
  </si>
  <si>
    <t>O02592</t>
  </si>
  <si>
    <t>M002713</t>
  </si>
  <si>
    <t>D002713</t>
  </si>
  <si>
    <t>O02593</t>
  </si>
  <si>
    <t>M002714</t>
  </si>
  <si>
    <t>D002714</t>
  </si>
  <si>
    <t>O02594</t>
  </si>
  <si>
    <t>M002715</t>
  </si>
  <si>
    <t>D002715</t>
  </si>
  <si>
    <t>O02596</t>
  </si>
  <si>
    <t>M002716</t>
  </si>
  <si>
    <t>D002716</t>
  </si>
  <si>
    <t>O02597</t>
  </si>
  <si>
    <t>M002717</t>
  </si>
  <si>
    <t>D002717</t>
  </si>
  <si>
    <t>O02598</t>
  </si>
  <si>
    <t>M002718</t>
  </si>
  <si>
    <t>D002718</t>
  </si>
  <si>
    <t>O02599</t>
  </si>
  <si>
    <t>M002719</t>
  </si>
  <si>
    <t>D002719</t>
  </si>
  <si>
    <t>O02600</t>
  </si>
  <si>
    <t>M002720</t>
  </si>
  <si>
    <t>D002720</t>
  </si>
  <si>
    <t>O02601</t>
  </si>
  <si>
    <t>M002721</t>
  </si>
  <si>
    <t>D002721</t>
  </si>
  <si>
    <t>O02602</t>
  </si>
  <si>
    <t>M002722</t>
  </si>
  <si>
    <t>D002722</t>
  </si>
  <si>
    <t>O02603</t>
  </si>
  <si>
    <t>M002723</t>
  </si>
  <si>
    <t>D002723</t>
  </si>
  <si>
    <t>O02604</t>
  </si>
  <si>
    <t>M002724</t>
  </si>
  <si>
    <t>D002724</t>
  </si>
  <si>
    <t>O02605</t>
  </si>
  <si>
    <t>M002725</t>
  </si>
  <si>
    <t>D002725</t>
  </si>
  <si>
    <t>O02606</t>
  </si>
  <si>
    <t>M002726</t>
  </si>
  <si>
    <t>D002726</t>
  </si>
  <si>
    <t>O02607</t>
  </si>
  <si>
    <t>M002727</t>
  </si>
  <si>
    <t>D002727</t>
  </si>
  <si>
    <t>O02608</t>
  </si>
  <si>
    <t>M002728</t>
  </si>
  <si>
    <t>D002728</t>
  </si>
  <si>
    <t>O02609</t>
  </si>
  <si>
    <t>M002729</t>
  </si>
  <si>
    <t>D002729</t>
  </si>
  <si>
    <t>O02611</t>
  </si>
  <si>
    <t>M002730</t>
  </si>
  <si>
    <t>D002730</t>
  </si>
  <si>
    <t>O02612</t>
  </si>
  <si>
    <t>M002731</t>
  </si>
  <si>
    <t>D002731</t>
  </si>
  <si>
    <t>O02613</t>
  </si>
  <si>
    <t>M002732</t>
  </si>
  <si>
    <t>D002732</t>
  </si>
  <si>
    <t>O02614</t>
  </si>
  <si>
    <t>M002733</t>
  </si>
  <si>
    <t>D002733</t>
  </si>
  <si>
    <t>O02615</t>
  </si>
  <si>
    <t>M002734</t>
  </si>
  <si>
    <t>D002734</t>
  </si>
  <si>
    <t>O02616</t>
  </si>
  <si>
    <t>M002735</t>
  </si>
  <si>
    <t>D002735</t>
  </si>
  <si>
    <t>O02617</t>
  </si>
  <si>
    <t>M002736</t>
  </si>
  <si>
    <t>D002736</t>
  </si>
  <si>
    <t>O02618</t>
  </si>
  <si>
    <t>M002737</t>
  </si>
  <si>
    <t>D002737</t>
  </si>
  <si>
    <t>O02619</t>
  </si>
  <si>
    <t>M002738</t>
  </si>
  <si>
    <t>D002738</t>
  </si>
  <si>
    <t>O02620</t>
  </si>
  <si>
    <t>M002739</t>
  </si>
  <si>
    <t>D002739</t>
  </si>
  <si>
    <t>O02621</t>
  </si>
  <si>
    <t>M002740</t>
  </si>
  <si>
    <t>D002740</t>
  </si>
  <si>
    <t>O02622</t>
  </si>
  <si>
    <t>M002741</t>
  </si>
  <si>
    <t>D002741</t>
  </si>
  <si>
    <t>O02624</t>
  </si>
  <si>
    <t>M002742</t>
  </si>
  <si>
    <t>D002742</t>
  </si>
  <si>
    <t>O02625</t>
  </si>
  <si>
    <t>M002743</t>
  </si>
  <si>
    <t>D002743</t>
  </si>
  <si>
    <t>O02626</t>
  </si>
  <si>
    <t>M002744</t>
  </si>
  <si>
    <t>D002744</t>
  </si>
  <si>
    <t>O02627</t>
  </si>
  <si>
    <t>M002745</t>
  </si>
  <si>
    <t>D002745</t>
  </si>
  <si>
    <t>O02628</t>
  </si>
  <si>
    <t>M002746</t>
  </si>
  <si>
    <t>D002746</t>
  </si>
  <si>
    <t>O02629</t>
  </si>
  <si>
    <t>M002747</t>
  </si>
  <si>
    <t>D002747</t>
  </si>
  <si>
    <t>O02630</t>
  </si>
  <si>
    <t>M002748</t>
  </si>
  <si>
    <t>D002748</t>
  </si>
  <si>
    <t>O02631</t>
  </si>
  <si>
    <t>M002749</t>
  </si>
  <si>
    <t>D002749</t>
  </si>
  <si>
    <t>O02632</t>
  </si>
  <si>
    <t>M002750</t>
  </si>
  <si>
    <t>D002750</t>
  </si>
  <si>
    <t>O02634</t>
  </si>
  <si>
    <t>M002751</t>
  </si>
  <si>
    <t>D002751</t>
  </si>
  <si>
    <t>O02635</t>
  </si>
  <si>
    <t>M002752</t>
  </si>
  <si>
    <t>D002752</t>
  </si>
  <si>
    <t>O02636</t>
  </si>
  <si>
    <t>M002753</t>
  </si>
  <si>
    <t>D002753</t>
  </si>
  <si>
    <t>O02637</t>
  </si>
  <si>
    <t>M002754</t>
  </si>
  <si>
    <t>D002754</t>
  </si>
  <si>
    <t>O02638</t>
  </si>
  <si>
    <t>M002755</t>
  </si>
  <si>
    <t>D002755</t>
  </si>
  <si>
    <t>O02639</t>
  </si>
  <si>
    <t>M002756</t>
  </si>
  <si>
    <t>D002756</t>
  </si>
  <si>
    <t>O02640</t>
  </si>
  <si>
    <t>M002757</t>
  </si>
  <si>
    <t>D002757</t>
  </si>
  <si>
    <t>O02641</t>
  </si>
  <si>
    <t>M002758</t>
  </si>
  <si>
    <t>D002758</t>
  </si>
  <si>
    <t>O02644</t>
  </si>
  <si>
    <t>M002759</t>
  </si>
  <si>
    <t>D002759</t>
  </si>
  <si>
    <t>O02645</t>
  </si>
  <si>
    <t>M002760</t>
  </si>
  <si>
    <t>D002760</t>
  </si>
  <si>
    <t>O02646</t>
  </si>
  <si>
    <t>M002761</t>
  </si>
  <si>
    <t>D002761</t>
  </si>
  <si>
    <t>O02647</t>
  </si>
  <si>
    <t>M002762</t>
  </si>
  <si>
    <t>D002762</t>
  </si>
  <si>
    <t>O02648</t>
  </si>
  <si>
    <t>M002763</t>
  </si>
  <si>
    <t>D002763</t>
  </si>
  <si>
    <t>M002764</t>
  </si>
  <si>
    <t>D002764</t>
  </si>
  <si>
    <t>O02649</t>
  </si>
  <si>
    <t>M002765</t>
  </si>
  <si>
    <t>D002765</t>
  </si>
  <si>
    <t>O02650</t>
  </si>
  <si>
    <t>M002766</t>
  </si>
  <si>
    <t>D002766</t>
  </si>
  <si>
    <t>O02651</t>
  </si>
  <si>
    <t>M002767</t>
  </si>
  <si>
    <t>D002767</t>
  </si>
  <si>
    <t>O02652</t>
  </si>
  <si>
    <t>M002768</t>
  </si>
  <si>
    <t>D002768</t>
  </si>
  <si>
    <t>R0122</t>
  </si>
  <si>
    <t>M002769</t>
  </si>
  <si>
    <t>D002769</t>
  </si>
  <si>
    <t>R0123</t>
  </si>
  <si>
    <t>M002770</t>
  </si>
  <si>
    <t>D002770</t>
  </si>
  <si>
    <t>R0124</t>
  </si>
  <si>
    <t>M002771</t>
  </si>
  <si>
    <t>D002771</t>
  </si>
  <si>
    <t>R0125</t>
  </si>
  <si>
    <t>M002772</t>
  </si>
  <si>
    <t>D002772</t>
  </si>
  <si>
    <t>R0126</t>
  </si>
  <si>
    <t>M002773</t>
  </si>
  <si>
    <t>D002773</t>
  </si>
  <si>
    <t>R0127</t>
  </si>
  <si>
    <t>M002774</t>
  </si>
  <si>
    <t>D002774</t>
  </si>
  <si>
    <t>R0128</t>
  </si>
  <si>
    <t>M002775</t>
  </si>
  <si>
    <t>D002775</t>
  </si>
  <si>
    <t>R0129</t>
  </si>
  <si>
    <t>M002776</t>
  </si>
  <si>
    <t>D002776</t>
  </si>
  <si>
    <t>R0130</t>
  </si>
  <si>
    <t>M002777</t>
  </si>
  <si>
    <t>D002777</t>
  </si>
  <si>
    <t>R0131</t>
  </si>
  <si>
    <t>M002778</t>
  </si>
  <si>
    <t>D002778</t>
  </si>
  <si>
    <t>R0132</t>
  </si>
  <si>
    <t>M002779</t>
  </si>
  <si>
    <t>D002779</t>
  </si>
  <si>
    <t>O02653</t>
  </si>
  <si>
    <t>M002780</t>
  </si>
  <si>
    <t>D002780</t>
  </si>
  <si>
    <t>O02654</t>
  </si>
  <si>
    <t>M002781</t>
  </si>
  <si>
    <t>D002781</t>
  </si>
  <si>
    <t>O02655</t>
  </si>
  <si>
    <t>M002782</t>
  </si>
  <si>
    <t>D002782</t>
  </si>
  <si>
    <t>O02656</t>
  </si>
  <si>
    <t>M002783</t>
  </si>
  <si>
    <t>D002783</t>
  </si>
  <si>
    <t>O02657</t>
  </si>
  <si>
    <t>M002784</t>
  </si>
  <si>
    <t>D002784</t>
  </si>
  <si>
    <t>O02658</t>
  </si>
  <si>
    <t>M002785</t>
  </si>
  <si>
    <t>D002785</t>
  </si>
  <si>
    <t>O02659</t>
  </si>
  <si>
    <t>M002786</t>
  </si>
  <si>
    <t>D002786</t>
  </si>
  <si>
    <t>O02660</t>
  </si>
  <si>
    <t>M002787</t>
  </si>
  <si>
    <t>D002787</t>
  </si>
  <si>
    <t>O02661</t>
  </si>
  <si>
    <t>M002788</t>
  </si>
  <si>
    <t>D002788</t>
  </si>
  <si>
    <t>O02662</t>
  </si>
  <si>
    <t>M002789</t>
  </si>
  <si>
    <t>D002789</t>
  </si>
  <si>
    <t>O02663</t>
  </si>
  <si>
    <t>M002790</t>
  </si>
  <si>
    <t>D002790</t>
  </si>
  <si>
    <t>O02664</t>
  </si>
  <si>
    <t>M002791</t>
  </si>
  <si>
    <t>D002791</t>
  </si>
  <si>
    <t>O02665</t>
  </si>
  <si>
    <t>M002792</t>
  </si>
  <si>
    <t>D002792</t>
  </si>
  <si>
    <t>O02666</t>
  </si>
  <si>
    <t>M002793</t>
  </si>
  <si>
    <t>D002793</t>
  </si>
  <si>
    <t>O02667</t>
  </si>
  <si>
    <t>M002794</t>
  </si>
  <si>
    <t>D002794</t>
  </si>
  <si>
    <t>O02668</t>
  </si>
  <si>
    <t>M002795</t>
  </si>
  <si>
    <t>D002795</t>
  </si>
  <si>
    <t>O02669</t>
  </si>
  <si>
    <t>M002796</t>
  </si>
  <si>
    <t>D002796</t>
  </si>
  <si>
    <t>O02670</t>
  </si>
  <si>
    <t>M002797</t>
  </si>
  <si>
    <t>D002797</t>
  </si>
  <si>
    <t>O02671</t>
  </si>
  <si>
    <t>M002798</t>
  </si>
  <si>
    <t>D002798</t>
  </si>
  <si>
    <t>O02672</t>
  </si>
  <si>
    <t>M002799</t>
  </si>
  <si>
    <t>D002799</t>
  </si>
  <si>
    <t>O02673</t>
  </si>
  <si>
    <t>M002800</t>
  </si>
  <si>
    <t>D002800</t>
  </si>
  <si>
    <t>O02674</t>
  </si>
  <si>
    <t>M002801</t>
  </si>
  <si>
    <t>D002801</t>
  </si>
  <si>
    <t>O02675</t>
  </si>
  <si>
    <t>M002802</t>
  </si>
  <si>
    <t>D002802</t>
  </si>
  <si>
    <t>O02676</t>
  </si>
  <si>
    <t>M002803</t>
  </si>
  <si>
    <t>D002803</t>
  </si>
  <si>
    <t>O02677</t>
  </si>
  <si>
    <t>M002804</t>
  </si>
  <si>
    <t>D002804</t>
  </si>
  <si>
    <t>O02678</t>
  </si>
  <si>
    <t>M002805</t>
  </si>
  <si>
    <t>D002805</t>
  </si>
  <si>
    <t>O02679</t>
  </si>
  <si>
    <t>M002806</t>
  </si>
  <si>
    <t>D002806</t>
  </si>
  <si>
    <t>O02680</t>
  </si>
  <si>
    <t>M002807</t>
  </si>
  <si>
    <t>D002807</t>
  </si>
  <si>
    <t>O02681</t>
  </si>
  <si>
    <t>M002808</t>
  </si>
  <si>
    <t>D002808</t>
  </si>
  <si>
    <t>O02682</t>
  </si>
  <si>
    <t>M002809</t>
  </si>
  <si>
    <t>D002809</t>
  </si>
  <si>
    <t>O02683</t>
  </si>
  <si>
    <t>M002810</t>
  </si>
  <si>
    <t>D002810</t>
  </si>
  <si>
    <t>O02684</t>
  </si>
  <si>
    <t>M002811</t>
  </si>
  <si>
    <t>D002811</t>
  </si>
  <si>
    <t>O02685</t>
  </si>
  <si>
    <t>M002812</t>
  </si>
  <si>
    <t>D002812</t>
  </si>
  <si>
    <t>O02686</t>
  </si>
  <si>
    <t>M002813</t>
  </si>
  <si>
    <t>D002813</t>
  </si>
  <si>
    <t>O02687</t>
  </si>
  <si>
    <t>M002814</t>
  </si>
  <si>
    <t>D002814</t>
  </si>
  <si>
    <t>O02688</t>
  </si>
  <si>
    <t>M002815</t>
  </si>
  <si>
    <t>D002815</t>
  </si>
  <si>
    <t>O02689</t>
  </si>
  <si>
    <t>M002816</t>
  </si>
  <si>
    <t>D002816</t>
  </si>
  <si>
    <t>O02690</t>
  </si>
  <si>
    <t>M002817</t>
  </si>
  <si>
    <t>D002817</t>
  </si>
  <si>
    <t>O02691</t>
  </si>
  <si>
    <t>M002818</t>
  </si>
  <si>
    <t>D002818</t>
  </si>
  <si>
    <t>O02692</t>
  </si>
  <si>
    <t>M002819</t>
  </si>
  <si>
    <t>D002819</t>
  </si>
  <si>
    <t>O02693</t>
  </si>
  <si>
    <t>M002820</t>
  </si>
  <si>
    <t>D002820</t>
  </si>
  <si>
    <t>O02694</t>
  </si>
  <si>
    <t>M002821</t>
  </si>
  <si>
    <t>D002821</t>
  </si>
  <si>
    <t>O02695</t>
  </si>
  <si>
    <t>M002822</t>
  </si>
  <si>
    <t>D002822</t>
  </si>
  <si>
    <t>O02696</t>
  </si>
  <si>
    <t>M002823</t>
  </si>
  <si>
    <t>D002823</t>
  </si>
  <si>
    <t>O02697</t>
  </si>
  <si>
    <t>M002824</t>
  </si>
  <si>
    <t>D002824</t>
  </si>
  <si>
    <t>O02698</t>
  </si>
  <si>
    <t>M002825</t>
  </si>
  <si>
    <t>D002825</t>
  </si>
  <si>
    <t>O02699</t>
  </si>
  <si>
    <t>M002826</t>
  </si>
  <si>
    <t>D002826</t>
  </si>
  <si>
    <t>M002827</t>
  </si>
  <si>
    <t>D002827</t>
  </si>
  <si>
    <t>O02700</t>
  </si>
  <si>
    <t>M002828</t>
  </si>
  <si>
    <t>D002828</t>
  </si>
  <si>
    <t>O02701</t>
  </si>
  <si>
    <t>M002829</t>
  </si>
  <si>
    <t>D002829</t>
  </si>
  <si>
    <t>O02702</t>
  </si>
  <si>
    <t>M002830</t>
  </si>
  <si>
    <t>D002830</t>
  </si>
  <si>
    <t>O02703</t>
  </si>
  <si>
    <t>M002831</t>
  </si>
  <si>
    <t>D002831</t>
  </si>
  <si>
    <t>O02704</t>
  </si>
  <si>
    <t>M002832</t>
  </si>
  <si>
    <t>D002832</t>
  </si>
  <si>
    <t>O02705</t>
  </si>
  <si>
    <t>M002833</t>
  </si>
  <si>
    <t>D002833</t>
  </si>
  <si>
    <t>O02706</t>
  </si>
  <si>
    <t>M002834</t>
  </si>
  <si>
    <t>D002834</t>
  </si>
  <si>
    <t>O02707</t>
  </si>
  <si>
    <t>M002835</t>
  </si>
  <si>
    <t>D002835</t>
  </si>
  <si>
    <t>O02708</t>
  </si>
  <si>
    <t>M002836</t>
  </si>
  <si>
    <t>D002836</t>
  </si>
  <si>
    <t>O02709</t>
  </si>
  <si>
    <t>M002837</t>
  </si>
  <si>
    <t>D002837</t>
  </si>
  <si>
    <t>O02710</t>
  </si>
  <si>
    <t>M002838</t>
  </si>
  <si>
    <t>D002838</t>
  </si>
  <si>
    <t>O02711</t>
  </si>
  <si>
    <t>M002839</t>
  </si>
  <si>
    <t>D002839</t>
  </si>
  <si>
    <t>O02712</t>
  </si>
  <si>
    <t>M002840</t>
  </si>
  <si>
    <t>D002840</t>
  </si>
  <si>
    <t>O02713</t>
  </si>
  <si>
    <t>M002841</t>
  </si>
  <si>
    <t>D002841</t>
  </si>
  <si>
    <t>O02714</t>
  </si>
  <si>
    <t>M002842</t>
  </si>
  <si>
    <t>D002842</t>
  </si>
  <si>
    <t>O02715</t>
  </si>
  <si>
    <t>M002843</t>
  </si>
  <si>
    <t>D002843</t>
  </si>
  <si>
    <t>O02716</t>
  </si>
  <si>
    <t>M002844</t>
  </si>
  <si>
    <t>D002844</t>
  </si>
  <si>
    <t>O02717</t>
  </si>
  <si>
    <t>M002845</t>
  </si>
  <si>
    <t>D002845</t>
  </si>
  <si>
    <t>O02718</t>
  </si>
  <si>
    <t>M002846</t>
  </si>
  <si>
    <t>D002846</t>
  </si>
  <si>
    <t>O02719</t>
  </si>
  <si>
    <t>M002847</t>
  </si>
  <si>
    <t>D002847</t>
  </si>
  <si>
    <t>O02720</t>
  </si>
  <si>
    <t>M002848</t>
  </si>
  <si>
    <t>D002848</t>
  </si>
  <si>
    <t>O02721</t>
  </si>
  <si>
    <t>M002849</t>
  </si>
  <si>
    <t>D002849</t>
  </si>
  <si>
    <t>O02722</t>
  </si>
  <si>
    <t>M002850</t>
  </si>
  <si>
    <t>D002850</t>
  </si>
  <si>
    <t>O02723</t>
  </si>
  <si>
    <t>M002851</t>
  </si>
  <si>
    <t>D002851</t>
  </si>
  <si>
    <t>O02724</t>
  </si>
  <si>
    <t>M002852</t>
  </si>
  <si>
    <t>D002852</t>
  </si>
  <si>
    <t>O02725</t>
  </si>
  <si>
    <t>M002853</t>
  </si>
  <si>
    <t>D002853</t>
  </si>
  <si>
    <t>O02726</t>
  </si>
  <si>
    <t>M002854</t>
  </si>
  <si>
    <t>D002854</t>
  </si>
  <si>
    <t>O02727</t>
  </si>
  <si>
    <t>M002855</t>
  </si>
  <si>
    <t>D002855</t>
  </si>
  <si>
    <t>O02728</t>
  </si>
  <si>
    <t>M002856</t>
  </si>
  <si>
    <t>D002856</t>
  </si>
  <si>
    <t>O02729</t>
  </si>
  <si>
    <t>M002857</t>
  </si>
  <si>
    <t>D002857</t>
  </si>
  <si>
    <t>O02730</t>
  </si>
  <si>
    <t>M002858</t>
  </si>
  <si>
    <t>D002858</t>
  </si>
  <si>
    <t>O02731</t>
  </si>
  <si>
    <t>M002859</t>
  </si>
  <si>
    <t>D002859</t>
  </si>
  <si>
    <t>O02732</t>
  </si>
  <si>
    <t>M002860</t>
  </si>
  <si>
    <t>D002860</t>
  </si>
  <si>
    <t>O02733</t>
  </si>
  <si>
    <t>M002861</t>
  </si>
  <si>
    <t>D002861</t>
  </si>
  <si>
    <t>O02734</t>
  </si>
  <si>
    <t>M002862</t>
  </si>
  <si>
    <t>D002862</t>
  </si>
  <si>
    <t>O02735</t>
  </si>
  <si>
    <t>M002863</t>
  </si>
  <si>
    <t>D002863</t>
  </si>
  <si>
    <t>O02736</t>
  </si>
  <si>
    <t>M002864</t>
  </si>
  <si>
    <t>D002864</t>
  </si>
  <si>
    <t>O02737</t>
  </si>
  <si>
    <t>M002865</t>
  </si>
  <si>
    <t>D002865</t>
  </si>
  <si>
    <t>M002866</t>
  </si>
  <si>
    <t>D002866</t>
  </si>
  <si>
    <t>O02738</t>
  </si>
  <si>
    <t>M002867</t>
  </si>
  <si>
    <t>D002867</t>
  </si>
  <si>
    <t>O02739</t>
  </si>
  <si>
    <t>M002868</t>
  </si>
  <si>
    <t>D002868</t>
  </si>
  <si>
    <t>O02740</t>
  </si>
  <si>
    <t>M002869</t>
  </si>
  <si>
    <t>D002869</t>
  </si>
  <si>
    <t>O02741</t>
  </si>
  <si>
    <t>M002870</t>
  </si>
  <si>
    <t>D002870</t>
  </si>
  <si>
    <t>O02742</t>
  </si>
  <si>
    <t>M002871</t>
  </si>
  <si>
    <t>D002871</t>
  </si>
  <si>
    <t>O02743</t>
  </si>
  <si>
    <t>M002872</t>
  </si>
  <si>
    <t>D002872</t>
  </si>
  <si>
    <t>O02744</t>
  </si>
  <si>
    <t>M002873</t>
  </si>
  <si>
    <t>D002873</t>
  </si>
  <si>
    <t>O02745</t>
  </si>
  <si>
    <t>M002874</t>
  </si>
  <si>
    <t>D002874</t>
  </si>
  <si>
    <t>O02746</t>
  </si>
  <si>
    <t>M002875</t>
  </si>
  <si>
    <t>D002875</t>
  </si>
  <si>
    <t>O02747</t>
  </si>
  <si>
    <t>M002876</t>
  </si>
  <si>
    <t>D002876</t>
  </si>
  <si>
    <t>O02748</t>
  </si>
  <si>
    <t>M002877</t>
  </si>
  <si>
    <t>D002877</t>
  </si>
  <si>
    <t>O02749</t>
  </si>
  <si>
    <t>M002878</t>
  </si>
  <si>
    <t>D002878</t>
  </si>
  <si>
    <t>O02750</t>
  </si>
  <si>
    <t>M002879</t>
  </si>
  <si>
    <t>D002879</t>
  </si>
  <si>
    <t>O02751</t>
  </si>
  <si>
    <t>M002880</t>
  </si>
  <si>
    <t>D002880</t>
  </si>
  <si>
    <t>O02752</t>
  </si>
  <si>
    <t>M002881</t>
  </si>
  <si>
    <t>D002881</t>
  </si>
  <si>
    <t>O02753</t>
  </si>
  <si>
    <t>M002882</t>
  </si>
  <si>
    <t>D002882</t>
  </si>
  <si>
    <t>O02754</t>
  </si>
  <si>
    <t>M002883</t>
  </si>
  <si>
    <t>D002883</t>
  </si>
  <si>
    <t>O02755</t>
  </si>
  <si>
    <t>M002884</t>
  </si>
  <si>
    <t>D002884</t>
  </si>
  <si>
    <t>O02756</t>
  </si>
  <si>
    <t>M002885</t>
  </si>
  <si>
    <t>D002885</t>
  </si>
  <si>
    <t>O02757</t>
  </si>
  <si>
    <t>M002886</t>
  </si>
  <si>
    <t>D002886</t>
  </si>
  <si>
    <t>O02758</t>
  </si>
  <si>
    <t>M002887</t>
  </si>
  <si>
    <t>D002887</t>
  </si>
  <si>
    <t>O02759</t>
  </si>
  <si>
    <t>M002888</t>
  </si>
  <si>
    <t>D002888</t>
  </si>
  <si>
    <t>O02760</t>
  </si>
  <si>
    <t>M002889</t>
  </si>
  <si>
    <t>D002889</t>
  </si>
  <si>
    <t>O02761</t>
  </si>
  <si>
    <t>M002890</t>
  </si>
  <si>
    <t>D002890</t>
  </si>
  <si>
    <t>O02762</t>
  </si>
  <si>
    <t>M002891</t>
  </si>
  <si>
    <t>D002891</t>
  </si>
  <si>
    <t>O02763</t>
  </si>
  <si>
    <t>M002892</t>
  </si>
  <si>
    <t>D002892</t>
  </si>
  <si>
    <t>O02764</t>
  </si>
  <si>
    <t>M002893</t>
  </si>
  <si>
    <t>D002893</t>
  </si>
  <si>
    <t>O02765</t>
  </si>
  <si>
    <t>M002894</t>
  </si>
  <si>
    <t>D002894</t>
  </si>
  <si>
    <t>O02766</t>
  </si>
  <si>
    <t>M002895</t>
  </si>
  <si>
    <t>D002895</t>
  </si>
  <si>
    <t>O02767</t>
  </si>
  <si>
    <t>M002896</t>
  </si>
  <si>
    <t>D002896</t>
  </si>
  <si>
    <t>O02768</t>
  </si>
  <si>
    <t>M002897</t>
  </si>
  <si>
    <t>D002897</t>
  </si>
  <si>
    <t>O02769</t>
  </si>
  <si>
    <t>M002898</t>
  </si>
  <si>
    <t>D002898</t>
  </si>
  <si>
    <t>O02770</t>
  </si>
  <si>
    <t>M002899</t>
  </si>
  <si>
    <t>D002899</t>
  </si>
  <si>
    <t>O02771</t>
  </si>
  <si>
    <t>M002900</t>
  </si>
  <si>
    <t>D002900</t>
  </si>
  <si>
    <t>O02772</t>
  </si>
  <si>
    <t>M002901</t>
  </si>
  <si>
    <t>D002901</t>
  </si>
  <si>
    <t>O02773</t>
  </si>
  <si>
    <t>M002902</t>
  </si>
  <si>
    <t>D002902</t>
  </si>
  <si>
    <t>O02774</t>
  </si>
  <si>
    <t>M002903</t>
  </si>
  <si>
    <t>D002903</t>
  </si>
  <si>
    <t>O02775</t>
  </si>
  <si>
    <t>M002904</t>
  </si>
  <si>
    <t>D002904</t>
  </si>
  <si>
    <t>O02776</t>
  </si>
  <si>
    <t>M002905</t>
  </si>
  <si>
    <t>D002905</t>
  </si>
  <si>
    <t>M002906</t>
  </si>
  <si>
    <t>D002906</t>
  </si>
  <si>
    <t>O02777</t>
  </si>
  <si>
    <t>M002907</t>
  </si>
  <si>
    <t>D002907</t>
  </si>
  <si>
    <t>O02778</t>
  </si>
  <si>
    <t>M002908</t>
  </si>
  <si>
    <t>D002908</t>
  </si>
  <si>
    <t>O02779</t>
  </si>
  <si>
    <t>M002909</t>
  </si>
  <si>
    <t>D002909</t>
  </si>
  <si>
    <t>O02780</t>
  </si>
  <si>
    <t>M002910</t>
  </si>
  <si>
    <t>D002910</t>
  </si>
  <si>
    <t>O02781</t>
  </si>
  <si>
    <t>M002911</t>
  </si>
  <si>
    <t>D002911</t>
  </si>
  <si>
    <t>O02782</t>
  </si>
  <si>
    <t>M002912</t>
  </si>
  <si>
    <t>D002912</t>
  </si>
  <si>
    <t>O02783</t>
  </si>
  <si>
    <t>M002913</t>
  </si>
  <si>
    <t>D002913</t>
  </si>
  <si>
    <t>O02784</t>
  </si>
  <si>
    <t>M002914</t>
  </si>
  <si>
    <t>D002914</t>
  </si>
  <si>
    <t>O02785</t>
  </si>
  <si>
    <t>M002915</t>
  </si>
  <si>
    <t>D002915</t>
  </si>
  <si>
    <t>O02786</t>
  </si>
  <si>
    <t>M002916</t>
  </si>
  <si>
    <t>D002916</t>
  </si>
  <si>
    <t>O02787</t>
  </si>
  <si>
    <t>M002917</t>
  </si>
  <si>
    <t>D002917</t>
  </si>
  <si>
    <t>O02788</t>
  </si>
  <si>
    <t>M002918</t>
  </si>
  <si>
    <t>D002918</t>
  </si>
  <si>
    <t>O02789</t>
  </si>
  <si>
    <t>M002919</t>
  </si>
  <si>
    <t>D002919</t>
  </si>
  <si>
    <t>O02790</t>
  </si>
  <si>
    <t>M002920</t>
  </si>
  <si>
    <t>D002920</t>
  </si>
  <si>
    <t>O02791</t>
  </si>
  <si>
    <t>M002921</t>
  </si>
  <si>
    <t>D002921</t>
  </si>
  <si>
    <t>O02792</t>
  </si>
  <si>
    <t>M002922</t>
  </si>
  <si>
    <t>D002922</t>
  </si>
  <si>
    <t>O02793</t>
  </si>
  <si>
    <t>M002923</t>
  </si>
  <si>
    <t>D002923</t>
  </si>
  <si>
    <t>O02794</t>
  </si>
  <si>
    <t>M002924</t>
  </si>
  <si>
    <t>D002924</t>
  </si>
  <si>
    <t>O02795</t>
  </si>
  <si>
    <t>M002925</t>
  </si>
  <si>
    <t>D002925</t>
  </si>
  <si>
    <t>O02796</t>
  </si>
  <si>
    <t>M002926</t>
  </si>
  <si>
    <t>D002926</t>
  </si>
  <si>
    <t>O02797</t>
  </si>
  <si>
    <t>M002927</t>
  </si>
  <si>
    <t>D002927</t>
  </si>
  <si>
    <t>O02798</t>
  </si>
  <si>
    <t>M002928</t>
  </si>
  <si>
    <t>D002928</t>
  </si>
  <si>
    <t>O02799</t>
  </si>
  <si>
    <t>M002929</t>
  </si>
  <si>
    <t>D002929</t>
  </si>
  <si>
    <t>O02800</t>
  </si>
  <si>
    <t>M002930</t>
  </si>
  <si>
    <t>D002930</t>
  </si>
  <si>
    <t>O02801</t>
  </si>
  <si>
    <t>M002931</t>
  </si>
  <si>
    <t>D002931</t>
  </si>
  <si>
    <t>O02802</t>
  </si>
  <si>
    <t>M002932</t>
  </si>
  <si>
    <t>D002932</t>
  </si>
  <si>
    <t>O02803</t>
  </si>
  <si>
    <t>M002933</t>
  </si>
  <si>
    <t>D002933</t>
  </si>
  <si>
    <t>O02804</t>
  </si>
  <si>
    <t>M002934</t>
  </si>
  <si>
    <t>D002934</t>
  </si>
  <si>
    <t>O02805</t>
  </si>
  <si>
    <t>M002935</t>
  </si>
  <si>
    <t>D002935</t>
  </si>
  <si>
    <t>O02806</t>
  </si>
  <si>
    <t>M002936</t>
  </si>
  <si>
    <t>D002936</t>
  </si>
  <si>
    <t>O02807</t>
  </si>
  <si>
    <t>M002937</t>
  </si>
  <si>
    <t>D002937</t>
  </si>
  <si>
    <t>O02808</t>
  </si>
  <si>
    <t>M002938</t>
  </si>
  <si>
    <t>D002938</t>
  </si>
  <si>
    <t>O02809</t>
  </si>
  <si>
    <t>M002939</t>
  </si>
  <si>
    <t>D002939</t>
  </si>
  <si>
    <t>O02810</t>
  </si>
  <si>
    <t>M002940</t>
  </si>
  <si>
    <t>D002940</t>
  </si>
  <si>
    <t>O02811</t>
  </si>
  <si>
    <t>M002941</t>
  </si>
  <si>
    <t>D002941</t>
  </si>
  <si>
    <t>O02812</t>
  </si>
  <si>
    <t>M002942</t>
  </si>
  <si>
    <t>D002942</t>
  </si>
  <si>
    <t>M002943</t>
  </si>
  <si>
    <t>D002943</t>
  </si>
  <si>
    <t>O02813</t>
  </si>
  <si>
    <t>M002944</t>
  </si>
  <si>
    <t>D002944</t>
  </si>
  <si>
    <t>O02814</t>
  </si>
  <si>
    <t>M002945</t>
  </si>
  <si>
    <t>D002945</t>
  </si>
  <si>
    <t>O02815</t>
  </si>
  <si>
    <t>M002946</t>
  </si>
  <si>
    <t>D002946</t>
  </si>
  <si>
    <t>O02816</t>
  </si>
  <si>
    <t>M002947</t>
  </si>
  <si>
    <t>D002947</t>
  </si>
  <si>
    <t>O02817</t>
  </si>
  <si>
    <t>M002948</t>
  </si>
  <si>
    <t>D002948</t>
  </si>
  <si>
    <t>O02818</t>
  </si>
  <si>
    <t>M002949</t>
  </si>
  <si>
    <t>D002949</t>
  </si>
  <si>
    <t>O02819</t>
  </si>
  <si>
    <t>M002950</t>
  </si>
  <si>
    <t>D002950</t>
  </si>
  <si>
    <t>O02820</t>
  </si>
  <si>
    <t>M002951</t>
  </si>
  <si>
    <t>D002951</t>
  </si>
  <si>
    <t>O02821</t>
  </si>
  <si>
    <t>M002952</t>
  </si>
  <si>
    <t>D002952</t>
  </si>
  <si>
    <t>O02822</t>
  </si>
  <si>
    <t>M002953</t>
  </si>
  <si>
    <t>D002953</t>
  </si>
  <si>
    <t>O02823</t>
  </si>
  <si>
    <t>M002954</t>
  </si>
  <si>
    <t>D002954</t>
  </si>
  <si>
    <t>O02824</t>
  </si>
  <si>
    <t>M002955</t>
  </si>
  <si>
    <t>D002955</t>
  </si>
  <si>
    <t>O02825</t>
  </si>
  <si>
    <t>M002956</t>
  </si>
  <si>
    <t>D002956</t>
  </si>
  <si>
    <t>O02826</t>
  </si>
  <si>
    <t>M002957</t>
  </si>
  <si>
    <t>D002957</t>
  </si>
  <si>
    <t>O02827</t>
  </si>
  <si>
    <t>M002958</t>
  </si>
  <si>
    <t>D002958</t>
  </si>
  <si>
    <t>O02828</t>
  </si>
  <si>
    <t>M002959</t>
  </si>
  <si>
    <t>D002959</t>
  </si>
  <si>
    <t>O02829</t>
  </si>
  <si>
    <t>M002960</t>
  </si>
  <si>
    <t>D002960</t>
  </si>
  <si>
    <t>O02830</t>
  </si>
  <si>
    <t>M002961</t>
  </si>
  <si>
    <t>D002961</t>
  </si>
  <si>
    <t>O02831</t>
  </si>
  <si>
    <t>M002962</t>
  </si>
  <si>
    <t>D002962</t>
  </si>
  <si>
    <t>O02832</t>
  </si>
  <si>
    <t>M002963</t>
  </si>
  <si>
    <t>D002963</t>
  </si>
  <si>
    <t>O02833</t>
  </si>
  <si>
    <t>M002964</t>
  </si>
  <si>
    <t>D002964</t>
  </si>
  <si>
    <t>O02834</t>
  </si>
  <si>
    <t>M002965</t>
  </si>
  <si>
    <t>D002965</t>
  </si>
  <si>
    <t>O02835</t>
  </si>
  <si>
    <t>M002966</t>
  </si>
  <si>
    <t>D002966</t>
  </si>
  <si>
    <t>O02836</t>
  </si>
  <si>
    <t>M002967</t>
  </si>
  <si>
    <t>D002967</t>
  </si>
  <si>
    <t>O02837</t>
  </si>
  <si>
    <t>M002968</t>
  </si>
  <si>
    <t>D002968</t>
  </si>
  <si>
    <t>O02838</t>
  </si>
  <si>
    <t>M002969</t>
  </si>
  <si>
    <t>D002969</t>
  </si>
  <si>
    <t>O02839</t>
  </si>
  <si>
    <t>M002970</t>
  </si>
  <si>
    <t>D002970</t>
  </si>
  <si>
    <t>O02840</t>
  </si>
  <si>
    <t>M002971</t>
  </si>
  <si>
    <t>D002971</t>
  </si>
  <si>
    <t>O02841</t>
  </si>
  <si>
    <t>M002972</t>
  </si>
  <si>
    <t>D002972</t>
  </si>
  <si>
    <t>O02842</t>
  </si>
  <si>
    <t>M002973</t>
  </si>
  <si>
    <t>D002973</t>
  </si>
  <si>
    <t>O02843</t>
  </si>
  <si>
    <t>M002974</t>
  </si>
  <si>
    <t>D002974</t>
  </si>
  <si>
    <t>O02844</t>
  </si>
  <si>
    <t>M002975</t>
  </si>
  <si>
    <t>D002975</t>
  </si>
  <si>
    <t>O02845</t>
  </si>
  <si>
    <t>M002976</t>
  </si>
  <si>
    <t>D002976</t>
  </si>
  <si>
    <t>O02846</t>
  </si>
  <si>
    <t>M002977</t>
  </si>
  <si>
    <t>D002977</t>
  </si>
  <si>
    <t>O02847</t>
  </si>
  <si>
    <t>M002978</t>
  </si>
  <si>
    <t>D002978</t>
  </si>
  <si>
    <t>O02848</t>
  </si>
  <si>
    <t>M002979</t>
  </si>
  <si>
    <t>D002979</t>
  </si>
  <si>
    <t>O02849</t>
  </si>
  <si>
    <t>M002980</t>
  </si>
  <si>
    <t>D002980</t>
  </si>
  <si>
    <t>O02850</t>
  </si>
  <si>
    <t>M002981</t>
  </si>
  <si>
    <t>D002981</t>
  </si>
  <si>
    <t>O02851</t>
  </si>
  <si>
    <t>M002982</t>
  </si>
  <si>
    <t>D002982</t>
  </si>
  <si>
    <t>O02852</t>
  </si>
  <si>
    <t>M002983</t>
  </si>
  <si>
    <t>D002983</t>
  </si>
  <si>
    <t>O02853</t>
  </si>
  <si>
    <t>M002984</t>
  </si>
  <si>
    <t>D002984</t>
  </si>
  <si>
    <t>O02854</t>
  </si>
  <si>
    <t>M002985</t>
  </si>
  <si>
    <t>D002985</t>
  </si>
  <si>
    <t>O02855</t>
  </si>
  <si>
    <t>M002986</t>
  </si>
  <si>
    <t>D002986</t>
  </si>
  <si>
    <t>O02856</t>
  </si>
  <si>
    <t>M002987</t>
  </si>
  <si>
    <t>D002987</t>
  </si>
  <si>
    <t>O02857</t>
  </si>
  <si>
    <t>M002988</t>
  </si>
  <si>
    <t>D002988</t>
  </si>
  <si>
    <t>O02858</t>
  </si>
  <si>
    <t>M002989</t>
  </si>
  <si>
    <t>D002989</t>
  </si>
  <si>
    <t>O02859</t>
  </si>
  <si>
    <t>M002990</t>
  </si>
  <si>
    <t>D002990</t>
  </si>
  <si>
    <t>O02860</t>
  </si>
  <si>
    <t>M002991</t>
  </si>
  <si>
    <t>D002991</t>
  </si>
  <si>
    <t>O02861</t>
  </si>
  <si>
    <t>M002992</t>
  </si>
  <si>
    <t>D002992</t>
  </si>
  <si>
    <t>O02862</t>
  </si>
  <si>
    <t>M002993</t>
  </si>
  <si>
    <t>D002993</t>
  </si>
  <si>
    <t>O02863</t>
  </si>
  <si>
    <t>M002994</t>
  </si>
  <si>
    <t>D002994</t>
  </si>
  <si>
    <t>O02864</t>
  </si>
  <si>
    <t>M002995</t>
  </si>
  <si>
    <t>D002995</t>
  </si>
  <si>
    <t>O02865</t>
  </si>
  <si>
    <t>M002996</t>
  </si>
  <si>
    <t>D002996</t>
  </si>
  <si>
    <t>O02866</t>
  </si>
  <si>
    <t>M002997</t>
  </si>
  <si>
    <t>D002997</t>
  </si>
  <si>
    <t>O02867</t>
  </si>
  <si>
    <t>M002998</t>
  </si>
  <si>
    <t>D002998</t>
  </si>
  <si>
    <t>O02868</t>
  </si>
  <si>
    <t>M002999</t>
  </si>
  <si>
    <t>D002999</t>
  </si>
  <si>
    <t>O02869</t>
  </si>
  <si>
    <t>M003000</t>
  </si>
  <si>
    <t>D003000</t>
  </si>
  <si>
    <t>O02870</t>
  </si>
  <si>
    <t>M003001</t>
  </si>
  <si>
    <t>D003001</t>
  </si>
  <si>
    <t>O02871</t>
  </si>
  <si>
    <t>M003002</t>
  </si>
  <si>
    <t>D003002</t>
  </si>
  <si>
    <t>M003003</t>
  </si>
  <si>
    <t>D003003</t>
  </si>
  <si>
    <t>O02872</t>
  </si>
  <si>
    <t>M003004</t>
  </si>
  <si>
    <t>D003004</t>
  </si>
  <si>
    <t>O02873</t>
  </si>
  <si>
    <t>M003005</t>
  </si>
  <si>
    <t>D003005</t>
  </si>
  <si>
    <t>O02874</t>
  </si>
  <si>
    <t>M003006</t>
  </si>
  <si>
    <t>D003006</t>
  </si>
  <si>
    <t>O02875</t>
  </si>
  <si>
    <t>M003007</t>
  </si>
  <si>
    <t>D003007</t>
  </si>
  <si>
    <t>O02876</t>
  </si>
  <si>
    <t>M003008</t>
  </si>
  <si>
    <t>D003008</t>
  </si>
  <si>
    <t>O02877</t>
  </si>
  <si>
    <t>M003009</t>
  </si>
  <si>
    <t>D003009</t>
  </si>
  <si>
    <t>O02878</t>
  </si>
  <si>
    <t>M003010</t>
  </si>
  <si>
    <t>D003010</t>
  </si>
  <si>
    <t>O02879</t>
  </si>
  <si>
    <t>M003011</t>
  </si>
  <si>
    <t>D003011</t>
  </si>
  <si>
    <t>O02880</t>
  </si>
  <si>
    <t>M003012</t>
  </si>
  <si>
    <t>D003012</t>
  </si>
  <si>
    <t>O02881</t>
  </si>
  <si>
    <t>M003013</t>
  </si>
  <si>
    <t>D003013</t>
  </si>
  <si>
    <t>O02882</t>
  </si>
  <si>
    <t>M003014</t>
  </si>
  <si>
    <t>D003014</t>
  </si>
  <si>
    <t>O02883</t>
  </si>
  <si>
    <t>M003015</t>
  </si>
  <si>
    <t>D003015</t>
  </si>
  <si>
    <t>O02884</t>
  </si>
  <si>
    <t>M003016</t>
  </si>
  <si>
    <t>D003016</t>
  </si>
  <si>
    <t>O02885</t>
  </si>
  <si>
    <t>M003017</t>
  </si>
  <si>
    <t>D003017</t>
  </si>
  <si>
    <t>O02886</t>
  </si>
  <si>
    <t>M003018</t>
  </si>
  <si>
    <t>D003018</t>
  </si>
  <si>
    <t>O02887</t>
  </si>
  <si>
    <t>M003019</t>
  </si>
  <si>
    <t>D003019</t>
  </si>
  <si>
    <t>O02888</t>
  </si>
  <si>
    <t>M003020</t>
  </si>
  <si>
    <t>D003020</t>
  </si>
  <si>
    <t>O02889</t>
  </si>
  <si>
    <t>M003021</t>
  </si>
  <si>
    <t>D003021</t>
  </si>
  <si>
    <t>O02890</t>
  </si>
  <si>
    <t>M003022</t>
  </si>
  <si>
    <t>D003022</t>
  </si>
  <si>
    <t>O02891</t>
  </si>
  <si>
    <t>M003023</t>
  </si>
  <si>
    <t>D003023</t>
  </si>
  <si>
    <t>O02892</t>
  </si>
  <si>
    <t>M003024</t>
  </si>
  <si>
    <t>D003024</t>
  </si>
  <si>
    <t>O02893</t>
  </si>
  <si>
    <t>M003025</t>
  </si>
  <si>
    <t>D003025</t>
  </si>
  <si>
    <t>O02894</t>
  </si>
  <si>
    <t>M003026</t>
  </si>
  <si>
    <t>D003026</t>
  </si>
  <si>
    <t>O02895</t>
  </si>
  <si>
    <t>M003027</t>
  </si>
  <si>
    <t>D003027</t>
  </si>
  <si>
    <t>O02896</t>
  </si>
  <si>
    <t>M003028</t>
  </si>
  <si>
    <t>D003028</t>
  </si>
  <si>
    <t>O02897</t>
  </si>
  <si>
    <t>M003029</t>
  </si>
  <si>
    <t>D003029</t>
  </si>
  <si>
    <t>O02898</t>
  </si>
  <si>
    <t>M003030</t>
  </si>
  <si>
    <t>D003030</t>
  </si>
  <si>
    <t>O02899</t>
  </si>
  <si>
    <t>M003031</t>
  </si>
  <si>
    <t>D003031</t>
  </si>
  <si>
    <t>O02900</t>
  </si>
  <si>
    <t>M003032</t>
  </si>
  <si>
    <t>D003032</t>
  </si>
  <si>
    <t>O02901</t>
  </si>
  <si>
    <t>M003033</t>
  </si>
  <si>
    <t>D003033</t>
  </si>
  <si>
    <t>O02902</t>
  </si>
  <si>
    <t>M003034</t>
  </si>
  <si>
    <t>D003034</t>
  </si>
  <si>
    <t>O02903</t>
  </si>
  <si>
    <t>M003035</t>
  </si>
  <si>
    <t>D003035</t>
  </si>
  <si>
    <t>O02904</t>
  </si>
  <si>
    <t>M003036</t>
  </si>
  <si>
    <t>D003036</t>
  </si>
  <si>
    <t>O02905</t>
  </si>
  <si>
    <t>M003037</t>
  </si>
  <si>
    <t>D003037</t>
  </si>
  <si>
    <t>O02906</t>
  </si>
  <si>
    <t>M003038</t>
  </si>
  <si>
    <t>D003038</t>
  </si>
  <si>
    <t>O02907</t>
  </si>
  <si>
    <t>M003039</t>
  </si>
  <si>
    <t>D003039</t>
  </si>
  <si>
    <t>O02908</t>
  </si>
  <si>
    <t>M003040</t>
  </si>
  <si>
    <t>D003040</t>
  </si>
  <si>
    <t>O02909</t>
  </si>
  <si>
    <t>M003041</t>
  </si>
  <si>
    <t>D003041</t>
  </si>
  <si>
    <t>O02910</t>
  </si>
  <si>
    <t>M003042</t>
  </si>
  <si>
    <t>D003042</t>
  </si>
  <si>
    <t>O02912</t>
  </si>
  <si>
    <t>M003043</t>
  </si>
  <si>
    <t>D003043</t>
  </si>
  <si>
    <t>O02913</t>
  </si>
  <si>
    <t>M003044</t>
  </si>
  <si>
    <t>D003044</t>
  </si>
  <si>
    <t>O02914</t>
  </si>
  <si>
    <t>M003045</t>
  </si>
  <si>
    <t>D003045</t>
  </si>
  <si>
    <t>O02915</t>
  </si>
  <si>
    <t>M003046</t>
  </si>
  <si>
    <t>D003046</t>
  </si>
  <si>
    <t>O02916</t>
  </si>
  <si>
    <t>M003047</t>
  </si>
  <si>
    <t>D003047</t>
  </si>
  <si>
    <t>M003048</t>
  </si>
  <si>
    <t>D003048</t>
  </si>
  <si>
    <t>O02917</t>
  </si>
  <si>
    <t>M003049</t>
  </si>
  <si>
    <t>D003049</t>
  </si>
  <si>
    <t>O02918</t>
  </si>
  <si>
    <t>M003050</t>
  </si>
  <si>
    <t>D003050</t>
  </si>
  <si>
    <t>O02919</t>
  </si>
  <si>
    <t>M003051</t>
  </si>
  <si>
    <t>D003051</t>
  </si>
  <si>
    <t>O02920</t>
  </si>
  <si>
    <t>M003052</t>
  </si>
  <si>
    <t>D003052</t>
  </si>
  <si>
    <t>O02922</t>
  </si>
  <si>
    <t>M003053</t>
  </si>
  <si>
    <t>D003053</t>
  </si>
  <si>
    <t>O02923</t>
  </si>
  <si>
    <t>M003054</t>
  </si>
  <si>
    <t>D003054</t>
  </si>
  <si>
    <t>O02924</t>
  </si>
  <si>
    <t>M003055</t>
  </si>
  <si>
    <t>D003055</t>
  </si>
  <si>
    <t>O02925</t>
  </si>
  <si>
    <t>M003056</t>
  </si>
  <si>
    <t>D003056</t>
  </si>
  <si>
    <t>O02926</t>
  </si>
  <si>
    <t>M003057</t>
  </si>
  <si>
    <t>D003057</t>
  </si>
  <si>
    <t>O02928</t>
  </si>
  <si>
    <t>M003058</t>
  </si>
  <si>
    <t>D003058</t>
  </si>
  <si>
    <t>O02929</t>
  </si>
  <si>
    <t>M003059</t>
  </si>
  <si>
    <t>D003059</t>
  </si>
  <si>
    <t>O02930</t>
  </si>
  <si>
    <t>M003060</t>
  </si>
  <si>
    <t>D003060</t>
  </si>
  <si>
    <t>O02931</t>
  </si>
  <si>
    <t>M003061</t>
  </si>
  <si>
    <t>D003061</t>
  </si>
  <si>
    <t>O02932</t>
  </si>
  <si>
    <t>M003062</t>
  </si>
  <si>
    <t>D003062</t>
  </si>
  <si>
    <t>O02933</t>
  </si>
  <si>
    <t>M003063</t>
  </si>
  <si>
    <t>D003063</t>
  </si>
  <si>
    <t>O02934</t>
  </si>
  <si>
    <t>M003064</t>
  </si>
  <si>
    <t>D003064</t>
  </si>
  <si>
    <t>O02935</t>
  </si>
  <si>
    <t>M003065</t>
  </si>
  <si>
    <t>D003065</t>
  </si>
  <si>
    <t>O02936</t>
  </si>
  <si>
    <t>M003066</t>
  </si>
  <si>
    <t>D003066</t>
  </si>
  <si>
    <t>O02937</t>
  </si>
  <si>
    <t>M003067</t>
  </si>
  <si>
    <t>D003067</t>
  </si>
  <si>
    <t>O02939</t>
  </si>
  <si>
    <t>M003068</t>
  </si>
  <si>
    <t>D003068</t>
  </si>
  <si>
    <t>O02940</t>
  </si>
  <si>
    <t>M003069</t>
  </si>
  <si>
    <t>D003069</t>
  </si>
  <si>
    <t>O02941</t>
  </si>
  <si>
    <t>M003070</t>
  </si>
  <si>
    <t>D003070</t>
  </si>
  <si>
    <t>O02942</t>
  </si>
  <si>
    <t>M003071</t>
  </si>
  <si>
    <t>D003071</t>
  </si>
  <si>
    <t>O02943</t>
  </si>
  <si>
    <t>M003072</t>
  </si>
  <si>
    <t>D003072</t>
  </si>
  <si>
    <t>O02944</t>
  </si>
  <si>
    <t>M003073</t>
  </si>
  <si>
    <t>D003073</t>
  </si>
  <si>
    <t>O02945</t>
  </si>
  <si>
    <t>M003074</t>
  </si>
  <si>
    <t>D003074</t>
  </si>
  <si>
    <t>O02946</t>
  </si>
  <si>
    <t>M003075</t>
  </si>
  <si>
    <t>D003075</t>
  </si>
  <si>
    <t>O02947</t>
  </si>
  <si>
    <t>M003076</t>
  </si>
  <si>
    <t>D003076</t>
  </si>
  <si>
    <t>O02948</t>
  </si>
  <si>
    <t>M003077</t>
  </si>
  <si>
    <t>D003077</t>
  </si>
  <si>
    <t>O02949</t>
  </si>
  <si>
    <t>M003078</t>
  </si>
  <si>
    <t>D003078</t>
  </si>
  <si>
    <t>O02950</t>
  </si>
  <si>
    <t>M003079</t>
  </si>
  <si>
    <t>D003079</t>
  </si>
  <si>
    <t>O02951</t>
  </si>
  <si>
    <t>M003080</t>
  </si>
  <si>
    <t>D003080</t>
  </si>
  <si>
    <t>O02952</t>
  </si>
  <si>
    <t>M003081</t>
  </si>
  <si>
    <t>D003081</t>
  </si>
  <si>
    <t>O02953</t>
  </si>
  <si>
    <t>M003082</t>
  </si>
  <si>
    <t>D003082</t>
  </si>
  <si>
    <t>O02954</t>
  </si>
  <si>
    <t>M003083</t>
  </si>
  <si>
    <t>D003083</t>
  </si>
  <si>
    <t>O02955</t>
  </si>
  <si>
    <t>M003084</t>
  </si>
  <si>
    <t>D003084</t>
  </si>
  <si>
    <t>O02956</t>
  </si>
  <si>
    <t>M003085</t>
  </si>
  <si>
    <t>D003085</t>
  </si>
  <si>
    <t>O02957</t>
  </si>
  <si>
    <t>M003086</t>
  </si>
  <si>
    <t>D003086</t>
  </si>
  <si>
    <t>O02958</t>
  </si>
  <si>
    <t>M003087</t>
  </si>
  <si>
    <t>D003087</t>
  </si>
  <si>
    <t>O02959</t>
  </si>
  <si>
    <t>M003088</t>
  </si>
  <si>
    <t>D003088</t>
  </si>
  <si>
    <t>O02960</t>
  </si>
  <si>
    <t>M003089</t>
  </si>
  <si>
    <t>D003089</t>
  </si>
  <si>
    <t>M003090</t>
  </si>
  <si>
    <t>D003090</t>
  </si>
  <si>
    <t>O02961</t>
  </si>
  <si>
    <t>M003091</t>
  </si>
  <si>
    <t>D003091</t>
  </si>
  <si>
    <t>O02962</t>
  </si>
  <si>
    <t>M003092</t>
  </si>
  <si>
    <t>D003092</t>
  </si>
  <si>
    <t>O02964</t>
  </si>
  <si>
    <t>M003093</t>
  </si>
  <si>
    <t>D003093</t>
  </si>
  <si>
    <t>O02966</t>
  </si>
  <si>
    <t>M003094</t>
  </si>
  <si>
    <t>D003094</t>
  </si>
  <si>
    <t>O02967</t>
  </si>
  <si>
    <t>M003095</t>
  </si>
  <si>
    <t>D003095</t>
  </si>
  <si>
    <t>O02968</t>
  </si>
  <si>
    <t>M003096</t>
  </si>
  <si>
    <t>D003096</t>
  </si>
  <si>
    <t>O02969</t>
  </si>
  <si>
    <t>M003097</t>
  </si>
  <si>
    <t>D003097</t>
  </si>
  <si>
    <t>O02970</t>
  </si>
  <si>
    <t>M003098</t>
  </si>
  <si>
    <t>D003098</t>
  </si>
  <si>
    <t>O02972</t>
  </si>
  <si>
    <t>M003099</t>
  </si>
  <si>
    <t>D003099</t>
  </si>
  <si>
    <t>O02973</t>
  </si>
  <si>
    <t>M003100</t>
  </si>
  <si>
    <t>D003100</t>
  </si>
  <si>
    <t>O02974</t>
  </si>
  <si>
    <t>M003101</t>
  </si>
  <si>
    <t>D003101</t>
  </si>
  <si>
    <t>O02975</t>
  </si>
  <si>
    <t>M003102</t>
  </si>
  <si>
    <t>D003102</t>
  </si>
  <si>
    <t>O02976</t>
  </si>
  <si>
    <t>M003103</t>
  </si>
  <si>
    <t>D003103</t>
  </si>
  <si>
    <t>O02977</t>
  </si>
  <si>
    <t>M003104</t>
  </si>
  <si>
    <t>D003104</t>
  </si>
  <si>
    <t>O02978</t>
  </si>
  <si>
    <t>M003105</t>
  </si>
  <si>
    <t>D003105</t>
  </si>
  <si>
    <t>O02979</t>
  </si>
  <si>
    <t>M003106</t>
  </si>
  <si>
    <t>D003106</t>
  </si>
  <si>
    <t>R0133</t>
  </si>
  <si>
    <t>M003107</t>
  </si>
  <si>
    <t>D003107</t>
  </si>
  <si>
    <t>R0134</t>
  </si>
  <si>
    <t>M003108</t>
  </si>
  <si>
    <t>D003108</t>
  </si>
  <si>
    <t>R0135</t>
  </si>
  <si>
    <t>M003109</t>
  </si>
  <si>
    <t>D003109</t>
  </si>
  <si>
    <t>R0136</t>
  </si>
  <si>
    <t>M003110</t>
  </si>
  <si>
    <t>D003110</t>
  </si>
  <si>
    <t>R0137</t>
  </si>
  <si>
    <t>M003111</t>
  </si>
  <si>
    <t>D003111</t>
  </si>
  <si>
    <t>R0138</t>
  </si>
  <si>
    <t>M003112</t>
  </si>
  <si>
    <t>D003112</t>
  </si>
  <si>
    <t>R0139</t>
  </si>
  <si>
    <t>M003113</t>
  </si>
  <si>
    <t>D003113</t>
  </si>
  <si>
    <t>R0140</t>
  </si>
  <si>
    <t>M003114</t>
  </si>
  <si>
    <t>D003114</t>
  </si>
  <si>
    <t>R0141</t>
  </si>
  <si>
    <t>M003115</t>
  </si>
  <si>
    <t>D003115</t>
  </si>
  <si>
    <t>R0142</t>
  </si>
  <si>
    <t>M003116</t>
  </si>
  <si>
    <t>D003116</t>
  </si>
  <si>
    <t>R0143</t>
  </si>
  <si>
    <t>M003117</t>
  </si>
  <si>
    <t>D003117</t>
  </si>
  <si>
    <t>R0144</t>
  </si>
  <si>
    <t>M003118</t>
  </si>
  <si>
    <t>D003118</t>
  </si>
  <si>
    <t>R0145</t>
  </si>
  <si>
    <t>M003119</t>
  </si>
  <si>
    <t>D003119</t>
  </si>
  <si>
    <t>R0146</t>
  </si>
  <si>
    <t>M003120</t>
  </si>
  <si>
    <t>D003120</t>
  </si>
  <si>
    <t>R0147</t>
  </si>
  <si>
    <t>M003121</t>
  </si>
  <si>
    <t>D003121</t>
  </si>
  <si>
    <t>R0148</t>
  </si>
  <si>
    <t>M003122</t>
  </si>
  <si>
    <t>D003122</t>
  </si>
  <si>
    <t>R0149</t>
  </si>
  <si>
    <t>M003123</t>
  </si>
  <si>
    <t>D003123</t>
  </si>
  <si>
    <t>R0150</t>
  </si>
  <si>
    <t>M003124</t>
  </si>
  <si>
    <t>D003124</t>
  </si>
  <si>
    <t>R0151</t>
  </si>
  <si>
    <t>M003125</t>
  </si>
  <si>
    <t>D003125</t>
  </si>
  <si>
    <t>O02980</t>
  </si>
  <si>
    <t>M003126</t>
  </si>
  <si>
    <t>D003126</t>
  </si>
  <si>
    <t>O02981</t>
  </si>
  <si>
    <t>M003127</t>
  </si>
  <si>
    <t>D003127</t>
  </si>
  <si>
    <t>O02982</t>
  </si>
  <si>
    <t>M003128</t>
  </si>
  <si>
    <t>D003128</t>
  </si>
  <si>
    <t>O02983</t>
  </si>
  <si>
    <t>M003129</t>
  </si>
  <si>
    <t>D003129</t>
  </si>
  <si>
    <t>O02984</t>
  </si>
  <si>
    <t>M003130</t>
  </si>
  <si>
    <t>D003130</t>
  </si>
  <si>
    <t>O02985</t>
  </si>
  <si>
    <t>M003131</t>
  </si>
  <si>
    <t>D003131</t>
  </si>
  <si>
    <t>O02986</t>
  </si>
  <si>
    <t>M003132</t>
  </si>
  <si>
    <t>D003132</t>
  </si>
  <si>
    <t>O02987</t>
  </si>
  <si>
    <t>M003133</t>
  </si>
  <si>
    <t>D003133</t>
  </si>
  <si>
    <t>O02988</t>
  </si>
  <si>
    <t>M003134</t>
  </si>
  <si>
    <t>D003134</t>
  </si>
  <si>
    <t>O02989</t>
  </si>
  <si>
    <t>M003135</t>
  </si>
  <si>
    <t>D003135</t>
  </si>
  <si>
    <t>O02990</t>
  </si>
  <si>
    <t>M003136</t>
  </si>
  <si>
    <t>D003136</t>
  </si>
  <si>
    <t>O02991</t>
  </si>
  <si>
    <t>M003137</t>
  </si>
  <si>
    <t>D003137</t>
  </si>
  <si>
    <t>O02992</t>
  </si>
  <si>
    <t>M003138</t>
  </si>
  <si>
    <t>D003138</t>
  </si>
  <si>
    <t>O02993</t>
  </si>
  <si>
    <t>M003139</t>
  </si>
  <si>
    <t>D003139</t>
  </si>
  <si>
    <t>O02994</t>
  </si>
  <si>
    <t>M003140</t>
  </si>
  <si>
    <t>D003140</t>
  </si>
  <si>
    <t>O02995</t>
  </si>
  <si>
    <t>M003141</t>
  </si>
  <si>
    <t>D003141</t>
  </si>
  <si>
    <t>O02996</t>
  </si>
  <si>
    <t>M003142</t>
  </si>
  <si>
    <t>D003142</t>
  </si>
  <si>
    <t>O02997</t>
  </si>
  <si>
    <t>M003143</t>
  </si>
  <si>
    <t>D003143</t>
  </si>
  <si>
    <t>O02998</t>
  </si>
  <si>
    <t>M003144</t>
  </si>
  <si>
    <t>D003144</t>
  </si>
  <si>
    <t>O02999</t>
  </si>
  <si>
    <t>M003145</t>
  </si>
  <si>
    <t>D003145</t>
  </si>
  <si>
    <t>O03000</t>
  </si>
  <si>
    <t>M003146</t>
  </si>
  <si>
    <t>D003146</t>
  </si>
  <si>
    <t>O03001</t>
  </si>
  <si>
    <t>M003147</t>
  </si>
  <si>
    <t>D003147</t>
  </si>
  <si>
    <t>O03002</t>
  </si>
  <si>
    <t>M003148</t>
  </si>
  <si>
    <t>D003148</t>
  </si>
  <si>
    <t>O03003</t>
  </si>
  <si>
    <t>M003149</t>
  </si>
  <si>
    <t>D003149</t>
  </si>
  <si>
    <t>O03004</t>
  </si>
  <si>
    <t>M003150</t>
  </si>
  <si>
    <t>D003150</t>
  </si>
  <si>
    <t>O03005</t>
  </si>
  <si>
    <t>M003151</t>
  </si>
  <si>
    <t>D003151</t>
  </si>
  <si>
    <t>O03006</t>
  </si>
  <si>
    <t>M003152</t>
  </si>
  <si>
    <t>D003152</t>
  </si>
  <si>
    <t>O03007</t>
  </si>
  <si>
    <t>M003153</t>
  </si>
  <si>
    <t>D003153</t>
  </si>
  <si>
    <t>O03008</t>
  </si>
  <si>
    <t>M003154</t>
  </si>
  <si>
    <t>D003154</t>
  </si>
  <si>
    <t>O03009</t>
  </si>
  <si>
    <t>M003155</t>
  </si>
  <si>
    <t>D003155</t>
  </si>
  <si>
    <t>O03010</t>
  </si>
  <si>
    <t>M003156</t>
  </si>
  <si>
    <t>D003156</t>
  </si>
  <si>
    <t>O03011</t>
  </si>
  <si>
    <t>M003157</t>
  </si>
  <si>
    <t>D003157</t>
  </si>
  <si>
    <t>O03012</t>
  </si>
  <si>
    <t>M003158</t>
  </si>
  <si>
    <t>D003158</t>
  </si>
  <si>
    <t>O03013</t>
  </si>
  <si>
    <t>M003159</t>
  </si>
  <si>
    <t>D003159</t>
  </si>
  <si>
    <t>M003160</t>
  </si>
  <si>
    <t>D003160</t>
  </si>
  <si>
    <t>O03014</t>
  </si>
  <si>
    <t>M003161</t>
  </si>
  <si>
    <t>D003161</t>
  </si>
  <si>
    <t>O03015</t>
  </si>
  <si>
    <t>M003162</t>
  </si>
  <si>
    <t>D003162</t>
  </si>
  <si>
    <t>O03016</t>
  </si>
  <si>
    <t>M003163</t>
  </si>
  <si>
    <t>D003163</t>
  </si>
  <si>
    <t>O03017</t>
  </si>
  <si>
    <t>M003164</t>
  </si>
  <si>
    <t>D003164</t>
  </si>
  <si>
    <t>M003165</t>
  </si>
  <si>
    <t>D003165</t>
  </si>
  <si>
    <t>O03018</t>
  </si>
  <si>
    <t>M003166</t>
  </si>
  <si>
    <t>D003166</t>
  </si>
  <si>
    <t>O03019</t>
  </si>
  <si>
    <t>M003167</t>
  </si>
  <si>
    <t>D003167</t>
  </si>
  <si>
    <t>O03020</t>
  </si>
  <si>
    <t>M003168</t>
  </si>
  <si>
    <t>D003168</t>
  </si>
  <si>
    <t>O03021</t>
  </si>
  <si>
    <t>M003169</t>
  </si>
  <si>
    <t>D003169</t>
  </si>
  <si>
    <t>O03022</t>
  </si>
  <si>
    <t>M003170</t>
  </si>
  <si>
    <t>D003170</t>
  </si>
  <si>
    <t>O03023</t>
  </si>
  <si>
    <t>M003171</t>
  </si>
  <si>
    <t>D003171</t>
  </si>
  <si>
    <t>O03024</t>
  </si>
  <si>
    <t>M003172</t>
  </si>
  <si>
    <t>D003172</t>
  </si>
  <si>
    <t>O03025</t>
  </si>
  <si>
    <t>M003173</t>
  </si>
  <si>
    <t>D003173</t>
  </si>
  <si>
    <t>O03026</t>
  </si>
  <si>
    <t>M003174</t>
  </si>
  <si>
    <t>D003174</t>
  </si>
  <si>
    <t>O03027</t>
  </si>
  <si>
    <t>M003175</t>
  </si>
  <si>
    <t>D003175</t>
  </si>
  <si>
    <t>O03028</t>
  </si>
  <si>
    <t>M003176</t>
  </si>
  <si>
    <t>D003176</t>
  </si>
  <si>
    <t>O03029</t>
  </si>
  <si>
    <t>M003177</t>
  </si>
  <si>
    <t>D003177</t>
  </si>
  <si>
    <t>O03030</t>
  </si>
  <si>
    <t>M003178</t>
  </si>
  <si>
    <t>D003178</t>
  </si>
  <si>
    <t>O03031</t>
  </si>
  <si>
    <t>M003179</t>
  </si>
  <si>
    <t>D003179</t>
  </si>
  <si>
    <t>O03032</t>
  </si>
  <si>
    <t>M003180</t>
  </si>
  <si>
    <t>D003180</t>
  </si>
  <si>
    <t>O03033</t>
  </si>
  <si>
    <t>M003181</t>
  </si>
  <si>
    <t>D003181</t>
  </si>
  <si>
    <t>O03034</t>
  </si>
  <si>
    <t>M003182</t>
  </si>
  <si>
    <t>D003182</t>
  </si>
  <si>
    <t>O03035</t>
  </si>
  <si>
    <t>M003183</t>
  </si>
  <si>
    <t>D003183</t>
  </si>
  <si>
    <t>O03036</t>
  </si>
  <si>
    <t>M003184</t>
  </si>
  <si>
    <t>D003184</t>
  </si>
  <si>
    <t>O03037</t>
  </si>
  <si>
    <t>M003185</t>
  </si>
  <si>
    <t>D003185</t>
  </si>
  <si>
    <t>O03038</t>
  </si>
  <si>
    <t>M003186</t>
  </si>
  <si>
    <t>D003186</t>
  </si>
  <si>
    <t>O03039</t>
  </si>
  <si>
    <t>M003187</t>
  </si>
  <si>
    <t>D003187</t>
  </si>
  <si>
    <t>O03040</t>
  </si>
  <si>
    <t>M003188</t>
  </si>
  <si>
    <t>D003188</t>
  </si>
  <si>
    <t>O03041</t>
  </si>
  <si>
    <t>M003189</t>
  </si>
  <si>
    <t>D003189</t>
  </si>
  <si>
    <t>O03042</t>
  </si>
  <si>
    <t>M003190</t>
  </si>
  <si>
    <t>D003190</t>
  </si>
  <si>
    <t>O03043</t>
  </si>
  <si>
    <t>M003191</t>
  </si>
  <si>
    <t>D003191</t>
  </si>
  <si>
    <t>O03044</t>
  </si>
  <si>
    <t>M003192</t>
  </si>
  <si>
    <t>D003192</t>
  </si>
  <si>
    <t>O03045</t>
  </si>
  <si>
    <t>M003193</t>
  </si>
  <si>
    <t>D003193</t>
  </si>
  <si>
    <t>O03046</t>
  </si>
  <si>
    <t>M003194</t>
  </si>
  <si>
    <t>D003194</t>
  </si>
  <si>
    <t>O03047</t>
  </si>
  <si>
    <t>M003195</t>
  </si>
  <si>
    <t>D003195</t>
  </si>
  <si>
    <t>O03048</t>
  </si>
  <si>
    <t>M003196</t>
  </si>
  <si>
    <t>D003196</t>
  </si>
  <si>
    <t>O03049</t>
  </si>
  <si>
    <t>M003197</t>
  </si>
  <si>
    <t>D003197</t>
  </si>
  <si>
    <t>O03050</t>
  </si>
  <si>
    <t>M003198</t>
  </si>
  <si>
    <t>D003198</t>
  </si>
  <si>
    <t>O03051</t>
  </si>
  <si>
    <t>M003199</t>
  </si>
  <si>
    <t>D003199</t>
  </si>
  <si>
    <t>O03052</t>
  </si>
  <si>
    <t>M003200</t>
  </si>
  <si>
    <t>D003200</t>
  </si>
  <si>
    <t>O03053</t>
  </si>
  <si>
    <t>M003201</t>
  </si>
  <si>
    <t>D003201</t>
  </si>
  <si>
    <t>M003202</t>
  </si>
  <si>
    <t>D003202</t>
  </si>
  <si>
    <t>O03054</t>
  </si>
  <si>
    <t>M003203</t>
  </si>
  <si>
    <t>D003203</t>
  </si>
  <si>
    <t>O03055</t>
  </si>
  <si>
    <t>M003204</t>
  </si>
  <si>
    <t>D003204</t>
  </si>
  <si>
    <t>O03056</t>
  </si>
  <si>
    <t>M003205</t>
  </si>
  <si>
    <t>D003205</t>
  </si>
  <si>
    <t>O03057</t>
  </si>
  <si>
    <t>M003206</t>
  </si>
  <si>
    <t>D003206</t>
  </si>
  <si>
    <t>O03058</t>
  </si>
  <si>
    <t>M003207</t>
  </si>
  <si>
    <t>D003207</t>
  </si>
  <si>
    <t>O03059</t>
  </si>
  <si>
    <t>M003208</t>
  </si>
  <si>
    <t>D003208</t>
  </si>
  <si>
    <t>O03060</t>
  </si>
  <si>
    <t>M003209</t>
  </si>
  <si>
    <t>D003209</t>
  </si>
  <si>
    <t>O03061</t>
  </si>
  <si>
    <t>M003210</t>
  </si>
  <si>
    <t>D003210</t>
  </si>
  <si>
    <t>O03062</t>
  </si>
  <si>
    <t>M003211</t>
  </si>
  <si>
    <t>D003211</t>
  </si>
  <si>
    <t>O03063</t>
  </si>
  <si>
    <t>M003212</t>
  </si>
  <si>
    <t>D003212</t>
  </si>
  <si>
    <t>O03064</t>
  </si>
  <si>
    <t>M003213</t>
  </si>
  <si>
    <t>D003213</t>
  </si>
  <si>
    <t>O03065</t>
  </si>
  <si>
    <t>M003214</t>
  </si>
  <si>
    <t>D003214</t>
  </si>
  <si>
    <t>O03066</t>
  </si>
  <si>
    <t>M003215</t>
  </si>
  <si>
    <t>D003215</t>
  </si>
  <si>
    <t>O03067</t>
  </si>
  <si>
    <t>M003216</t>
  </si>
  <si>
    <t>D003216</t>
  </si>
  <si>
    <t>M003217</t>
  </si>
  <si>
    <t>D003217</t>
  </si>
  <si>
    <t>O03068</t>
  </si>
  <si>
    <t>M003218</t>
  </si>
  <si>
    <t>D003218</t>
  </si>
  <si>
    <t>O03069</t>
  </si>
  <si>
    <t>M003219</t>
  </si>
  <si>
    <t>D003219</t>
  </si>
  <si>
    <t>O03070</t>
  </si>
  <si>
    <t>M003220</t>
  </si>
  <si>
    <t>D003220</t>
  </si>
  <si>
    <t>O03071</t>
  </si>
  <si>
    <t>M003221</t>
  </si>
  <si>
    <t>D003221</t>
  </si>
  <si>
    <t>O03072</t>
  </si>
  <si>
    <t>M003222</t>
  </si>
  <si>
    <t>D003222</t>
  </si>
  <si>
    <t>O03073</t>
  </si>
  <si>
    <t>M003223</t>
  </si>
  <si>
    <t>D003223</t>
  </si>
  <si>
    <t>O03074</t>
  </si>
  <si>
    <t>M003224</t>
  </si>
  <si>
    <t>D003224</t>
  </si>
  <si>
    <t>M003225</t>
  </si>
  <si>
    <t>D003225</t>
  </si>
  <si>
    <t>O03075</t>
  </si>
  <si>
    <t>M003226</t>
  </si>
  <si>
    <t>D003226</t>
  </si>
  <si>
    <t>O03076</t>
  </si>
  <si>
    <t>M003227</t>
  </si>
  <si>
    <t>D003227</t>
  </si>
  <si>
    <t>O03077</t>
  </si>
  <si>
    <t>M003228</t>
  </si>
  <si>
    <t>D003228</t>
  </si>
  <si>
    <t>O03078</t>
  </si>
  <si>
    <t>M003229</t>
  </si>
  <si>
    <t>D003229</t>
  </si>
  <si>
    <t>O03079</t>
  </si>
  <si>
    <t>M003230</t>
  </si>
  <si>
    <t>D003230</t>
  </si>
  <si>
    <t>O03080</t>
  </si>
  <si>
    <t>M003231</t>
  </si>
  <si>
    <t>D003231</t>
  </si>
  <si>
    <t>O03081</t>
  </si>
  <si>
    <t>M003232</t>
  </si>
  <si>
    <t>D003232</t>
  </si>
  <si>
    <t>O03082</t>
  </si>
  <si>
    <t>M003233</t>
  </si>
  <si>
    <t>D003233</t>
  </si>
  <si>
    <t>O03083</t>
  </si>
  <si>
    <t>M003234</t>
  </si>
  <si>
    <t>D003234</t>
  </si>
  <si>
    <t>O03084</t>
  </si>
  <si>
    <t>M003235</t>
  </si>
  <si>
    <t>D003235</t>
  </si>
  <si>
    <t>O03085</t>
  </si>
  <si>
    <t>M003236</t>
  </si>
  <si>
    <t>D003236</t>
  </si>
  <si>
    <t>O03086</t>
  </si>
  <si>
    <t>M003237</t>
  </si>
  <si>
    <t>D003237</t>
  </si>
  <si>
    <t>O03087</t>
  </si>
  <si>
    <t>M003238</t>
  </si>
  <si>
    <t>D003238</t>
  </si>
  <si>
    <t>O03088</t>
  </si>
  <si>
    <t>M003239</t>
  </si>
  <si>
    <t>D003239</t>
  </si>
  <si>
    <t>O03089</t>
  </si>
  <si>
    <t>M003240</t>
  </si>
  <si>
    <t>D003240</t>
  </si>
  <si>
    <t>O03090</t>
  </si>
  <si>
    <t>M003241</t>
  </si>
  <si>
    <t>D003241</t>
  </si>
  <si>
    <t>O03091</t>
  </si>
  <si>
    <t>M003242</t>
  </si>
  <si>
    <t>D003242</t>
  </si>
  <si>
    <t>O03092</t>
  </si>
  <si>
    <t>M003243</t>
  </si>
  <si>
    <t>D003243</t>
  </si>
  <si>
    <t>O03093</t>
  </si>
  <si>
    <t>M003244</t>
  </si>
  <si>
    <t>D003244</t>
  </si>
  <si>
    <t>O03094</t>
  </si>
  <si>
    <t>M003245</t>
  </si>
  <si>
    <t>D003245</t>
  </si>
  <si>
    <t>O03095</t>
  </si>
  <si>
    <t>M003246</t>
  </si>
  <si>
    <t>D003246</t>
  </si>
  <si>
    <t>O03096</t>
  </si>
  <si>
    <t>M003247</t>
  </si>
  <si>
    <t>D003247</t>
  </si>
  <si>
    <t>O03097</t>
  </si>
  <si>
    <t>M003248</t>
  </si>
  <si>
    <t>D003248</t>
  </si>
  <si>
    <t>O03098</t>
  </si>
  <si>
    <t>M003249</t>
  </si>
  <si>
    <t>D003249</t>
  </si>
  <si>
    <t>O03099</t>
  </si>
  <si>
    <t>M003250</t>
  </si>
  <si>
    <t>D003250</t>
  </si>
  <si>
    <t>O03100</t>
  </si>
  <si>
    <t>M003251</t>
  </si>
  <si>
    <t>D003251</t>
  </si>
  <si>
    <t>O03101</t>
  </si>
  <si>
    <t>M003252</t>
  </si>
  <si>
    <t>D003252</t>
  </si>
  <si>
    <t>O03102</t>
  </si>
  <si>
    <t>M003253</t>
  </si>
  <si>
    <t>D003253</t>
  </si>
  <si>
    <t>O03103</t>
  </si>
  <si>
    <t>M003254</t>
  </si>
  <si>
    <t>D003254</t>
  </si>
  <si>
    <t>O03104</t>
  </si>
  <si>
    <t>M003255</t>
  </si>
  <si>
    <t>D003255</t>
  </si>
  <si>
    <t>O03105</t>
  </si>
  <si>
    <t>M003256</t>
  </si>
  <si>
    <t>D003256</t>
  </si>
  <si>
    <t>O03106</t>
  </si>
  <si>
    <t>M003257</t>
  </si>
  <si>
    <t>D003257</t>
  </si>
  <si>
    <t>O03107</t>
  </si>
  <si>
    <t>M003258</t>
  </si>
  <si>
    <t>D003258</t>
  </si>
  <si>
    <t>O03108</t>
  </si>
  <si>
    <t>M003259</t>
  </si>
  <si>
    <t>D003259</t>
  </si>
  <si>
    <t>O03109</t>
  </si>
  <si>
    <t>M003260</t>
  </si>
  <si>
    <t>D003260</t>
  </si>
  <si>
    <t>O03110</t>
  </si>
  <si>
    <t>M003261</t>
  </si>
  <si>
    <t>D003261</t>
  </si>
  <si>
    <t>O03111</t>
  </si>
  <si>
    <t>M003262</t>
  </si>
  <si>
    <t>D003262</t>
  </si>
  <si>
    <t>O03112</t>
  </si>
  <si>
    <t>M003263</t>
  </si>
  <si>
    <t>D003263</t>
  </si>
  <si>
    <t>O03113</t>
  </si>
  <si>
    <t>M003264</t>
  </si>
  <si>
    <t>D003264</t>
  </si>
  <si>
    <t>O03114</t>
  </si>
  <si>
    <t>M003265</t>
  </si>
  <si>
    <t>D003265</t>
  </si>
  <si>
    <t>O03115</t>
  </si>
  <si>
    <t>M003266</t>
  </si>
  <si>
    <t>D003266</t>
  </si>
  <si>
    <t>O03116</t>
  </si>
  <si>
    <t>M003267</t>
  </si>
  <si>
    <t>D003267</t>
  </si>
  <si>
    <t>O03117</t>
  </si>
  <si>
    <t>M003268</t>
  </si>
  <si>
    <t>D003268</t>
  </si>
  <si>
    <t>O03118</t>
  </si>
  <si>
    <t>M003269</t>
  </si>
  <si>
    <t>D003269</t>
  </si>
  <si>
    <t>O03119</t>
  </si>
  <si>
    <t>M003270</t>
  </si>
  <si>
    <t>D003270</t>
  </si>
  <si>
    <t>O03120</t>
  </si>
  <si>
    <t>M003271</t>
  </si>
  <si>
    <t>D003271</t>
  </si>
  <si>
    <t>O03121</t>
  </si>
  <si>
    <t>M003272</t>
  </si>
  <si>
    <t>D003272</t>
  </si>
  <si>
    <t>O03122</t>
  </si>
  <si>
    <t>M003273</t>
  </si>
  <si>
    <t>D003273</t>
  </si>
  <si>
    <t>O03123</t>
  </si>
  <si>
    <t>M003274</t>
  </si>
  <si>
    <t>D003274</t>
  </si>
  <si>
    <t>O03124</t>
  </si>
  <si>
    <t>M003275</t>
  </si>
  <si>
    <t>D003275</t>
  </si>
  <si>
    <t>O03125</t>
  </si>
  <si>
    <t>M003276</t>
  </si>
  <si>
    <t>D003276</t>
  </si>
  <si>
    <t>O03126</t>
  </si>
  <si>
    <t>M003277</t>
  </si>
  <si>
    <t>D003277</t>
  </si>
  <si>
    <t>O03127</t>
  </si>
  <si>
    <t>M003278</t>
  </si>
  <si>
    <t>D003278</t>
  </si>
  <si>
    <t>O03128</t>
  </si>
  <si>
    <t>M003279</t>
  </si>
  <si>
    <t>D003279</t>
  </si>
  <si>
    <t>O03129</t>
  </si>
  <si>
    <t>M003280</t>
  </si>
  <si>
    <t>D003280</t>
  </si>
  <si>
    <t>O03130</t>
  </si>
  <si>
    <t>M003281</t>
  </si>
  <si>
    <t>D003281</t>
  </si>
  <si>
    <t>O03131</t>
  </si>
  <si>
    <t>M003282</t>
  </si>
  <si>
    <t>D003282</t>
  </si>
  <si>
    <t>O03132</t>
  </si>
  <si>
    <t>M003283</t>
  </si>
  <si>
    <t>D003283</t>
  </si>
  <si>
    <t>O03133</t>
  </si>
  <si>
    <t>M003284</t>
  </si>
  <si>
    <t>D003284</t>
  </si>
  <si>
    <t>O03134</t>
  </si>
  <si>
    <t>M003285</t>
  </si>
  <si>
    <t>D003285</t>
  </si>
  <si>
    <t>O03135</t>
  </si>
  <si>
    <t>M003286</t>
  </si>
  <si>
    <t>D003286</t>
  </si>
  <si>
    <t>O03136</t>
  </si>
  <si>
    <t>M003287</t>
  </si>
  <si>
    <t>D003287</t>
  </si>
  <si>
    <t>O03137</t>
  </si>
  <si>
    <t>M003288</t>
  </si>
  <si>
    <t>D003288</t>
  </si>
  <si>
    <t>O03138</t>
  </si>
  <si>
    <t>M003289</t>
  </si>
  <si>
    <t>D003289</t>
  </si>
  <si>
    <t>O03139</t>
  </si>
  <si>
    <t>M003290</t>
  </si>
  <si>
    <t>D003290</t>
  </si>
  <si>
    <t>O03140</t>
  </si>
  <si>
    <t>M003291</t>
  </si>
  <si>
    <t>D003291</t>
  </si>
  <si>
    <t>O03141</t>
  </si>
  <si>
    <t>M003292</t>
  </si>
  <si>
    <t>D003292</t>
  </si>
  <si>
    <t>O03142</t>
  </si>
  <si>
    <t>M003293</t>
  </si>
  <si>
    <t>D003293</t>
  </si>
  <si>
    <t>O03143</t>
  </si>
  <si>
    <t>M003294</t>
  </si>
  <si>
    <t>D003294</t>
  </si>
  <si>
    <t>O03144</t>
  </si>
  <si>
    <t>M003295</t>
  </si>
  <si>
    <t>D003295</t>
  </si>
  <si>
    <t>O03145</t>
  </si>
  <si>
    <t>M003296</t>
  </si>
  <si>
    <t>D003296</t>
  </si>
  <si>
    <t>O03146</t>
  </si>
  <si>
    <t>M003297</t>
  </si>
  <si>
    <t>D003297</t>
  </si>
  <si>
    <t>O03147</t>
  </si>
  <si>
    <t>M003298</t>
  </si>
  <si>
    <t>D003298</t>
  </si>
  <si>
    <t>O03148</t>
  </si>
  <si>
    <t>M003299</t>
  </si>
  <si>
    <t>D003299</t>
  </si>
  <si>
    <t>O03149</t>
  </si>
  <si>
    <t>M003300</t>
  </si>
  <si>
    <t>D003300</t>
  </si>
  <si>
    <t>O03150</t>
  </si>
  <si>
    <t>M003301</t>
  </si>
  <si>
    <t>D003301</t>
  </si>
  <si>
    <t>O03151</t>
  </si>
  <si>
    <t>M003302</t>
  </si>
  <si>
    <t>D003302</t>
  </si>
  <si>
    <t>O03152</t>
  </si>
  <si>
    <t>M003303</t>
  </si>
  <si>
    <t>D003303</t>
  </si>
  <si>
    <t>O03153</t>
  </si>
  <si>
    <t>M003304</t>
  </si>
  <si>
    <t>D003304</t>
  </si>
  <si>
    <t>O03154</t>
  </si>
  <si>
    <t>M003305</t>
  </si>
  <si>
    <t>D003305</t>
  </si>
  <si>
    <t>M003306</t>
  </si>
  <si>
    <t>D003306</t>
  </si>
  <si>
    <t>O03155</t>
  </si>
  <si>
    <t>M003307</t>
  </si>
  <si>
    <t>D003307</t>
  </si>
  <si>
    <t>O03156</t>
  </si>
  <si>
    <t>M003308</t>
  </si>
  <si>
    <t>D003308</t>
  </si>
  <si>
    <t>O03157</t>
  </si>
  <si>
    <t>M003309</t>
  </si>
  <si>
    <t>D003309</t>
  </si>
  <si>
    <t>O03158</t>
  </si>
  <si>
    <t>M003310</t>
  </si>
  <si>
    <t>D003310</t>
  </si>
  <si>
    <t>O03159</t>
  </si>
  <si>
    <t>M003311</t>
  </si>
  <si>
    <t>D003311</t>
  </si>
  <si>
    <t>O03160</t>
  </si>
  <si>
    <t>M003312</t>
  </si>
  <si>
    <t>D003312</t>
  </si>
  <si>
    <t>O03161</t>
  </si>
  <si>
    <t>M003313</t>
  </si>
  <si>
    <t>D003313</t>
  </si>
  <si>
    <t>O03162</t>
  </si>
  <si>
    <t>M003314</t>
  </si>
  <si>
    <t>D003314</t>
  </si>
  <si>
    <t>M003315</t>
  </si>
  <si>
    <t>D003315</t>
  </si>
  <si>
    <t>O03163</t>
  </si>
  <si>
    <t>M003316</t>
  </si>
  <si>
    <t>D003316</t>
  </si>
  <si>
    <t>O03164</t>
  </si>
  <si>
    <t>M003317</t>
  </si>
  <si>
    <t>D003317</t>
  </si>
  <si>
    <t>O03165</t>
  </si>
  <si>
    <t>M003318</t>
  </si>
  <si>
    <t>D003318</t>
  </si>
  <si>
    <t>O03166</t>
  </si>
  <si>
    <t>M003319</t>
  </si>
  <si>
    <t>D003319</t>
  </si>
  <si>
    <t>O03167</t>
  </si>
  <si>
    <t>M003320</t>
  </si>
  <si>
    <t>D003320</t>
  </si>
  <si>
    <t>O03168</t>
  </si>
  <si>
    <t>M003321</t>
  </si>
  <si>
    <t>D003321</t>
  </si>
  <si>
    <t>O03169</t>
  </si>
  <si>
    <t>M003322</t>
  </si>
  <si>
    <t>D003322</t>
  </si>
  <si>
    <t>O03170</t>
  </si>
  <si>
    <t>M003323</t>
  </si>
  <si>
    <t>D003323</t>
  </si>
  <si>
    <t>O03171</t>
  </si>
  <si>
    <t>M003324</t>
  </si>
  <si>
    <t>D003324</t>
  </si>
  <si>
    <t>O03172</t>
  </si>
  <si>
    <t>M003325</t>
  </si>
  <si>
    <t>D003325</t>
  </si>
  <si>
    <t>O03173</t>
  </si>
  <si>
    <t>M003326</t>
  </si>
  <si>
    <t>D003326</t>
  </si>
  <si>
    <t>O03174</t>
  </si>
  <si>
    <t>M003327</t>
  </si>
  <si>
    <t>D003327</t>
  </si>
  <si>
    <t>O03175</t>
  </si>
  <si>
    <t>M003328</t>
  </si>
  <si>
    <t>D003328</t>
  </si>
  <si>
    <t>O03176</t>
  </si>
  <si>
    <t>M003329</t>
  </si>
  <si>
    <t>D003329</t>
  </si>
  <si>
    <t>O03177</t>
  </si>
  <si>
    <t>M003330</t>
  </si>
  <si>
    <t>D003330</t>
  </si>
  <si>
    <t>O03178</t>
  </si>
  <si>
    <t>M003331</t>
  </si>
  <si>
    <t>D003331</t>
  </si>
  <si>
    <t>O03179</t>
  </si>
  <si>
    <t>M003332</t>
  </si>
  <si>
    <t>D003332</t>
  </si>
  <si>
    <t>O03180</t>
  </si>
  <si>
    <t>M003333</t>
  </si>
  <si>
    <t>D003333</t>
  </si>
  <si>
    <t>O03181</t>
  </si>
  <si>
    <t>M003334</t>
  </si>
  <si>
    <t>D003334</t>
  </si>
  <si>
    <t>O03182</t>
  </si>
  <si>
    <t>M003335</t>
  </si>
  <si>
    <t>D003335</t>
  </si>
  <si>
    <t>M003336</t>
  </si>
  <si>
    <t>D003336</t>
  </si>
  <si>
    <t>O03183</t>
  </si>
  <si>
    <t>M003337</t>
  </si>
  <si>
    <t>D003337</t>
  </si>
  <si>
    <t>O03184</t>
  </si>
  <si>
    <t>M003338</t>
  </si>
  <si>
    <t>D003338</t>
  </si>
  <si>
    <t>O03185</t>
  </si>
  <si>
    <t>M003339</t>
  </si>
  <si>
    <t>D003339</t>
  </si>
  <si>
    <t>M003340</t>
  </si>
  <si>
    <t>D003340</t>
  </si>
  <si>
    <t>O03186</t>
  </si>
  <si>
    <t>M003341</t>
  </si>
  <si>
    <t>D003341</t>
  </si>
  <si>
    <t>O03187</t>
  </si>
  <si>
    <t>M003342</t>
  </si>
  <si>
    <t>D003342</t>
  </si>
  <si>
    <t>O03188</t>
  </si>
  <si>
    <t>M003343</t>
  </si>
  <si>
    <t>D003343</t>
  </si>
  <si>
    <t>O03189</t>
  </si>
  <si>
    <t>M003344</t>
  </si>
  <si>
    <t>D003344</t>
  </si>
  <si>
    <t>O03190</t>
  </si>
  <si>
    <t>M003345</t>
  </si>
  <si>
    <t>D003345</t>
  </si>
  <si>
    <t>O03191</t>
  </si>
  <si>
    <t>M003346</t>
  </si>
  <si>
    <t>D003346</t>
  </si>
  <si>
    <t>O03192</t>
  </si>
  <si>
    <t>M003347</t>
  </si>
  <si>
    <t>D003347</t>
  </si>
  <si>
    <t>O03193</t>
  </si>
  <si>
    <t>M003348</t>
  </si>
  <si>
    <t>D003348</t>
  </si>
  <si>
    <t>O03194</t>
  </si>
  <si>
    <t>M003349</t>
  </si>
  <si>
    <t>D003349</t>
  </si>
  <si>
    <t>O03195</t>
  </si>
  <si>
    <t>M003350</t>
  </si>
  <si>
    <t>D003350</t>
  </si>
  <si>
    <t>O03196</t>
  </si>
  <si>
    <t>M003351</t>
  </si>
  <si>
    <t>D003351</t>
  </si>
  <si>
    <t>O03197</t>
  </si>
  <si>
    <t>M003352</t>
  </si>
  <si>
    <t>D003352</t>
  </si>
  <si>
    <t>O03198</t>
  </si>
  <si>
    <t>M003353</t>
  </si>
  <si>
    <t>D003353</t>
  </si>
  <si>
    <t>O03199</t>
  </si>
  <si>
    <t>M003354</t>
  </si>
  <si>
    <t>D003354</t>
  </si>
  <si>
    <t>O03200</t>
  </si>
  <si>
    <t>M003355</t>
  </si>
  <si>
    <t>D003355</t>
  </si>
  <si>
    <t>O03201</t>
  </si>
  <si>
    <t>M003356</t>
  </si>
  <si>
    <t>D003356</t>
  </si>
  <si>
    <t>O03202</t>
  </si>
  <si>
    <t>M003357</t>
  </si>
  <si>
    <t>D003357</t>
  </si>
  <si>
    <t>O03203</t>
  </si>
  <si>
    <t>M003358</t>
  </si>
  <si>
    <t>D003358</t>
  </si>
  <si>
    <t>O03204</t>
  </si>
  <si>
    <t>M003359</t>
  </si>
  <si>
    <t>D003359</t>
  </si>
  <si>
    <t>O03205</t>
  </si>
  <si>
    <t>M003360</t>
  </si>
  <si>
    <t>D003360</t>
  </si>
  <si>
    <t>O03206</t>
  </si>
  <si>
    <t>M003361</t>
  </si>
  <si>
    <t>D003361</t>
  </si>
  <si>
    <t>O03207</t>
  </si>
  <si>
    <t>M003362</t>
  </si>
  <si>
    <t>D003362</t>
  </si>
  <si>
    <t>O03208</t>
  </si>
  <si>
    <t>M003363</t>
  </si>
  <si>
    <t>D003363</t>
  </si>
  <si>
    <t>O03209</t>
  </si>
  <si>
    <t>M003364</t>
  </si>
  <si>
    <t>D003364</t>
  </si>
  <si>
    <t>O03210</t>
  </si>
  <si>
    <t>M003365</t>
  </si>
  <si>
    <t>D003365</t>
  </si>
  <si>
    <t>O03211</t>
  </si>
  <si>
    <t>M003366</t>
  </si>
  <si>
    <t>D003366</t>
  </si>
  <si>
    <t>O03212</t>
  </si>
  <si>
    <t>M003367</t>
  </si>
  <si>
    <t>D003367</t>
  </si>
  <si>
    <t>O03213</t>
  </si>
  <si>
    <t>M003368</t>
  </si>
  <si>
    <t>D003368</t>
  </si>
  <si>
    <t>O03214</t>
  </si>
  <si>
    <t>M003369</t>
  </si>
  <si>
    <t>D003369</t>
  </si>
  <si>
    <t>O03215</t>
  </si>
  <si>
    <t>M003370</t>
  </si>
  <si>
    <t>D003370</t>
  </si>
  <si>
    <t>O03216</t>
  </si>
  <si>
    <t>M003371</t>
  </si>
  <si>
    <t>D003371</t>
  </si>
  <si>
    <t>O03217</t>
  </si>
  <si>
    <t>M003372</t>
  </si>
  <si>
    <t>D003372</t>
  </si>
  <si>
    <t>O03218</t>
  </si>
  <si>
    <t>M003373</t>
  </si>
  <si>
    <t>D003373</t>
  </si>
  <si>
    <t>O03219</t>
  </si>
  <si>
    <t>M003374</t>
  </si>
  <si>
    <t>D003374</t>
  </si>
  <si>
    <t>O03220</t>
  </si>
  <si>
    <t>M003375</t>
  </si>
  <si>
    <t>D003375</t>
  </si>
  <si>
    <t>O03221</t>
  </si>
  <si>
    <t>M003376</t>
  </si>
  <si>
    <t>D003376</t>
  </si>
  <si>
    <t>O03222</t>
  </si>
  <si>
    <t>M003377</t>
  </si>
  <si>
    <t>D003377</t>
  </si>
  <si>
    <t>O03223</t>
  </si>
  <si>
    <t>M003378</t>
  </si>
  <si>
    <t>D003378</t>
  </si>
  <si>
    <t>O03224</t>
  </si>
  <si>
    <t>M003379</t>
  </si>
  <si>
    <t>D003379</t>
  </si>
  <si>
    <t>O03225</t>
  </si>
  <si>
    <t>M003380</t>
  </si>
  <si>
    <t>D003380</t>
  </si>
  <si>
    <t>O03226</t>
  </si>
  <si>
    <t>M003381</t>
  </si>
  <si>
    <t>D003381</t>
  </si>
  <si>
    <t>O03227</t>
  </si>
  <si>
    <t>M003382</t>
  </si>
  <si>
    <t>D003382</t>
  </si>
  <si>
    <t>O03228</t>
  </si>
  <si>
    <t>M003383</t>
  </si>
  <si>
    <t>D003383</t>
  </si>
  <si>
    <t>O03229</t>
  </si>
  <si>
    <t>M003384</t>
  </si>
  <si>
    <t>D003384</t>
  </si>
  <si>
    <t>O03230</t>
  </si>
  <si>
    <t>M003385</t>
  </si>
  <si>
    <t>D003385</t>
  </si>
  <si>
    <t>O03231</t>
  </si>
  <si>
    <t>M003386</t>
  </si>
  <si>
    <t>D003386</t>
  </si>
  <si>
    <t>O03232</t>
  </si>
  <si>
    <t>M003387</t>
  </si>
  <si>
    <t>D003387</t>
  </si>
  <si>
    <t>O03233</t>
  </si>
  <si>
    <t>M003388</t>
  </si>
  <si>
    <t>D003388</t>
  </si>
  <si>
    <t>O03234</t>
  </si>
  <si>
    <t>M003389</t>
  </si>
  <si>
    <t>D003389</t>
  </si>
  <si>
    <t>O03235</t>
  </si>
  <si>
    <t>M003390</t>
  </si>
  <si>
    <t>D003390</t>
  </si>
  <si>
    <t>O03236</t>
  </si>
  <si>
    <t>M003391</t>
  </si>
  <si>
    <t>D003391</t>
  </si>
  <si>
    <t>O03237</t>
  </si>
  <si>
    <t>M003392</t>
  </si>
  <si>
    <t>D003392</t>
  </si>
  <si>
    <t>O03238</t>
  </si>
  <si>
    <t>M003393</t>
  </si>
  <si>
    <t>D003393</t>
  </si>
  <si>
    <t>O03239</t>
  </si>
  <si>
    <t>M003394</t>
  </si>
  <si>
    <t>D003394</t>
  </si>
  <si>
    <t>O03240</t>
  </si>
  <si>
    <t>M003395</t>
  </si>
  <si>
    <t>D003395</t>
  </si>
  <si>
    <t>O03241</t>
  </si>
  <si>
    <t>M003396</t>
  </si>
  <si>
    <t>D003396</t>
  </si>
  <si>
    <t>O03242</t>
  </si>
  <si>
    <t>M003397</t>
  </si>
  <si>
    <t>D003397</t>
  </si>
  <si>
    <t>O03243</t>
  </si>
  <si>
    <t>M003398</t>
  </si>
  <si>
    <t>D003398</t>
  </si>
  <si>
    <t>O03244</t>
  </si>
  <si>
    <t>M003399</t>
  </si>
  <si>
    <t>D003399</t>
  </si>
  <si>
    <t>O03245</t>
  </si>
  <si>
    <t>M003400</t>
  </si>
  <si>
    <t>D003400</t>
  </si>
  <si>
    <t>O03246</t>
  </si>
  <si>
    <t>M003401</t>
  </si>
  <si>
    <t>D003401</t>
  </si>
  <si>
    <t>O03247</t>
  </si>
  <si>
    <t>M003402</t>
  </si>
  <si>
    <t>D003402</t>
  </si>
  <si>
    <t>O03248</t>
  </si>
  <si>
    <t>M003403</t>
  </si>
  <si>
    <t>D003403</t>
  </si>
  <si>
    <t>O03249</t>
  </si>
  <si>
    <t>M003404</t>
  </si>
  <si>
    <t>D003404</t>
  </si>
  <si>
    <t>O03250</t>
  </si>
  <si>
    <t>M003405</t>
  </si>
  <si>
    <t>D003405</t>
  </si>
  <si>
    <t>O03251</t>
  </si>
  <si>
    <t>M003406</t>
  </si>
  <si>
    <t>D003406</t>
  </si>
  <si>
    <t>O03252</t>
  </si>
  <si>
    <t>M003407</t>
  </si>
  <si>
    <t>D003407</t>
  </si>
  <si>
    <t>O03253</t>
  </si>
  <si>
    <t>M003408</t>
  </si>
  <si>
    <t>D003408</t>
  </si>
  <si>
    <t>O03254</t>
  </si>
  <si>
    <t>M003409</t>
  </si>
  <si>
    <t>D003409</t>
  </si>
  <si>
    <t>O03255</t>
  </si>
  <si>
    <t>M003410</t>
  </si>
  <si>
    <t>D003410</t>
  </si>
  <si>
    <t>O03256</t>
  </si>
  <si>
    <t>M003411</t>
  </si>
  <si>
    <t>D003411</t>
  </si>
  <si>
    <t>O03257</t>
  </si>
  <si>
    <t>M003412</t>
  </si>
  <si>
    <t>D003412</t>
  </si>
  <si>
    <t>O03258</t>
  </si>
  <si>
    <t>M003413</t>
  </si>
  <si>
    <t>D003413</t>
  </si>
  <si>
    <t>O03259</t>
  </si>
  <si>
    <t>M003414</t>
  </si>
  <si>
    <t>D003414</t>
  </si>
  <si>
    <t>O03260</t>
  </si>
  <si>
    <t>M003415</t>
  </si>
  <si>
    <t>D003415</t>
  </si>
  <si>
    <t>O03261</t>
  </si>
  <si>
    <t>M003416</t>
  </si>
  <si>
    <t>D003416</t>
  </si>
  <si>
    <t>O03262</t>
  </si>
  <si>
    <t>M003417</t>
  </si>
  <si>
    <t>D003417</t>
  </si>
  <si>
    <t>O03263</t>
  </si>
  <si>
    <t>M003418</t>
  </si>
  <si>
    <t>D003418</t>
  </si>
  <si>
    <t>O03264</t>
  </si>
  <si>
    <t>M003419</t>
  </si>
  <si>
    <t>D003419</t>
  </si>
  <si>
    <t>O03265</t>
  </si>
  <si>
    <t>M003420</t>
  </si>
  <si>
    <t>D003420</t>
  </si>
  <si>
    <t>O03266</t>
  </si>
  <si>
    <t>M003421</t>
  </si>
  <si>
    <t>D003421</t>
  </si>
  <si>
    <t>O03267</t>
  </si>
  <si>
    <t>M003422</t>
  </si>
  <si>
    <t>D003422</t>
  </si>
  <si>
    <t>O03268</t>
  </si>
  <si>
    <t>M003423</t>
  </si>
  <si>
    <t>D003423</t>
  </si>
  <si>
    <t>O03269</t>
  </si>
  <si>
    <t>M003424</t>
  </si>
  <si>
    <t>D003424</t>
  </si>
  <si>
    <t>O03270</t>
  </si>
  <si>
    <t>M003425</t>
  </si>
  <si>
    <t>D003425</t>
  </si>
  <si>
    <t>O03271</t>
  </si>
  <si>
    <t>M003426</t>
  </si>
  <si>
    <t>D003426</t>
  </si>
  <si>
    <t>O03272</t>
  </si>
  <si>
    <t>M003427</t>
  </si>
  <si>
    <t>D003427</t>
  </si>
  <si>
    <t>O03273</t>
  </si>
  <si>
    <t>M003428</t>
  </si>
  <si>
    <t>D003428</t>
  </si>
  <si>
    <t>O03274</t>
  </si>
  <si>
    <t>M003429</t>
  </si>
  <si>
    <t>D003429</t>
  </si>
  <si>
    <t>O03275</t>
  </si>
  <si>
    <t>M003430</t>
  </si>
  <si>
    <t>D003430</t>
  </si>
  <si>
    <t>O03276</t>
  </si>
  <si>
    <t>M003431</t>
  </si>
  <si>
    <t>D003431</t>
  </si>
  <si>
    <t>O03277</t>
  </si>
  <si>
    <t>M003432</t>
  </si>
  <si>
    <t>D003432</t>
  </si>
  <si>
    <t>O03278</t>
  </si>
  <si>
    <t>M003433</t>
  </si>
  <si>
    <t>D003433</t>
  </si>
  <si>
    <t>O03279</t>
  </si>
  <si>
    <t>M003434</t>
  </si>
  <si>
    <t>D003434</t>
  </si>
  <si>
    <t>O03280</t>
  </si>
  <si>
    <t>M003435</t>
  </si>
  <si>
    <t>D003435</t>
  </si>
  <si>
    <t>O03281</t>
  </si>
  <si>
    <t>M003436</t>
  </si>
  <si>
    <t>D003436</t>
  </si>
  <si>
    <t>O03282</t>
  </si>
  <si>
    <t>M003437</t>
  </si>
  <si>
    <t>D003437</t>
  </si>
  <si>
    <t>O03283</t>
  </si>
  <si>
    <t>M003438</t>
  </si>
  <si>
    <t>D003438</t>
  </si>
  <si>
    <t>O03284</t>
  </si>
  <si>
    <t>M003439</t>
  </si>
  <si>
    <t>D003439</t>
  </si>
  <si>
    <t>O03285</t>
  </si>
  <si>
    <t>M003440</t>
  </si>
  <si>
    <t>D003440</t>
  </si>
  <si>
    <t>O03286</t>
  </si>
  <si>
    <t>M003441</t>
  </si>
  <si>
    <t>D003441</t>
  </si>
  <si>
    <t>O03287</t>
  </si>
  <si>
    <t>M003442</t>
  </si>
  <si>
    <t>D003442</t>
  </si>
  <si>
    <t>O03288</t>
  </si>
  <si>
    <t>M003443</t>
  </si>
  <si>
    <t>D003443</t>
  </si>
  <si>
    <t>O03289</t>
  </si>
  <si>
    <t>M003444</t>
  </si>
  <si>
    <t>D003444</t>
  </si>
  <si>
    <t>M003445</t>
  </si>
  <si>
    <t>D003445</t>
  </si>
  <si>
    <t>O03290</t>
  </si>
  <si>
    <t>M003446</t>
  </si>
  <si>
    <t>D003446</t>
  </si>
  <si>
    <t>O03291</t>
  </si>
  <si>
    <t>M003447</t>
  </si>
  <si>
    <t>D003447</t>
  </si>
  <si>
    <t>O03292</t>
  </si>
  <si>
    <t>M003448</t>
  </si>
  <si>
    <t>D003448</t>
  </si>
  <si>
    <t>O03293</t>
  </si>
  <si>
    <t>M003449</t>
  </si>
  <si>
    <t>D003449</t>
  </si>
  <si>
    <t>O03294</t>
  </si>
  <si>
    <t>M003450</t>
  </si>
  <si>
    <t>D003450</t>
  </si>
  <si>
    <t>O03295</t>
  </si>
  <si>
    <t>M003451</t>
  </si>
  <si>
    <t>D003451</t>
  </si>
  <si>
    <t>O03296</t>
  </si>
  <si>
    <t>M003452</t>
  </si>
  <si>
    <t>D003452</t>
  </si>
  <si>
    <t>O03297</t>
  </si>
  <si>
    <t>M003453</t>
  </si>
  <si>
    <t>D003453</t>
  </si>
  <si>
    <t>O03298</t>
  </si>
  <si>
    <t>M003454</t>
  </si>
  <si>
    <t>D003454</t>
  </si>
  <si>
    <t>O03299</t>
  </si>
  <si>
    <t>M003455</t>
  </si>
  <si>
    <t>D003455</t>
  </si>
  <si>
    <t>O03300</t>
  </si>
  <si>
    <t>M003456</t>
  </si>
  <si>
    <t>D003456</t>
  </si>
  <si>
    <t>R0152</t>
  </si>
  <si>
    <t>M003457</t>
  </si>
  <si>
    <t>D003457</t>
  </si>
  <si>
    <t>R0153</t>
  </si>
  <si>
    <t>M003458</t>
  </si>
  <si>
    <t>D003458</t>
  </si>
  <si>
    <t>R0154</t>
  </si>
  <si>
    <t>M003459</t>
  </si>
  <si>
    <t>D003459</t>
  </si>
  <si>
    <t>R0155</t>
  </si>
  <si>
    <t>M003460</t>
  </si>
  <si>
    <t>D003460</t>
  </si>
  <si>
    <t>R0156</t>
  </si>
  <si>
    <t>M003461</t>
  </si>
  <si>
    <t>D003461</t>
  </si>
  <si>
    <t>R0157</t>
  </si>
  <si>
    <t>M003462</t>
  </si>
  <si>
    <t>D003462</t>
  </si>
  <si>
    <t>R0158</t>
  </si>
  <si>
    <t>M003463</t>
  </si>
  <si>
    <t>D003463</t>
  </si>
  <si>
    <t>R0159</t>
  </si>
  <si>
    <t>M003464</t>
  </si>
  <si>
    <t>D003464</t>
  </si>
  <si>
    <t>R0160</t>
  </si>
  <si>
    <t>M003465</t>
  </si>
  <si>
    <t>D003465</t>
  </si>
  <si>
    <t>R0161</t>
  </si>
  <si>
    <t>M003466</t>
  </si>
  <si>
    <t>D003466</t>
  </si>
  <si>
    <t>R0162</t>
  </si>
  <si>
    <t>M003467</t>
  </si>
  <si>
    <t>D003467</t>
  </si>
  <si>
    <t>R0163</t>
  </si>
  <si>
    <t>M003468</t>
  </si>
  <si>
    <t>D003468</t>
  </si>
  <si>
    <t>O03301</t>
  </si>
  <si>
    <t>M003469</t>
  </si>
  <si>
    <t>D003469</t>
  </si>
  <si>
    <t>O03302</t>
  </si>
  <si>
    <t>M003470</t>
  </si>
  <si>
    <t>D003470</t>
  </si>
  <si>
    <t>O03303</t>
  </si>
  <si>
    <t>M003471</t>
  </si>
  <si>
    <t>D003471</t>
  </si>
  <si>
    <t>O03304</t>
  </si>
  <si>
    <t>M003472</t>
  </si>
  <si>
    <t>D003472</t>
  </si>
  <si>
    <t>O03305</t>
  </si>
  <si>
    <t>M003473</t>
  </si>
  <si>
    <t>D003473</t>
  </si>
  <si>
    <t>O03306</t>
  </si>
  <si>
    <t>M003474</t>
  </si>
  <si>
    <t>D003474</t>
  </si>
  <si>
    <t>O03307</t>
  </si>
  <si>
    <t>M003475</t>
  </si>
  <si>
    <t>D003475</t>
  </si>
  <si>
    <t>O03308</t>
  </si>
  <si>
    <t>M003476</t>
  </si>
  <si>
    <t>D003476</t>
  </si>
  <si>
    <t>O03309</t>
  </si>
  <si>
    <t>M003477</t>
  </si>
  <si>
    <t>D003477</t>
  </si>
  <si>
    <t>O03310</t>
  </si>
  <si>
    <t>M003478</t>
  </si>
  <si>
    <t>D003478</t>
  </si>
  <si>
    <t>O03311</t>
  </si>
  <si>
    <t>M003479</t>
  </si>
  <si>
    <t>D003479</t>
  </si>
  <si>
    <t>O03312</t>
  </si>
  <si>
    <t>M003480</t>
  </si>
  <si>
    <t>D003480</t>
  </si>
  <si>
    <t>O03313</t>
  </si>
  <si>
    <t>M003481</t>
  </si>
  <si>
    <t>D003481</t>
  </si>
  <si>
    <t>O03314</t>
  </si>
  <si>
    <t>M003482</t>
  </si>
  <si>
    <t>D003482</t>
  </si>
  <si>
    <t>O03315</t>
  </si>
  <si>
    <t>M003483</t>
  </si>
  <si>
    <t>D003483</t>
  </si>
  <si>
    <t>O03316</t>
  </si>
  <si>
    <t>M003484</t>
  </si>
  <si>
    <t>D003484</t>
  </si>
  <si>
    <t>O03317</t>
  </si>
  <si>
    <t>M003485</t>
  </si>
  <si>
    <t>D003485</t>
  </si>
  <si>
    <t>O03318</t>
  </si>
  <si>
    <t>M003486</t>
  </si>
  <si>
    <t>D003486</t>
  </si>
  <si>
    <t>O03319</t>
  </si>
  <si>
    <t>M003487</t>
  </si>
  <si>
    <t>D003487</t>
  </si>
  <si>
    <t>O03320</t>
  </si>
  <si>
    <t>M003488</t>
  </si>
  <si>
    <t>D003488</t>
  </si>
  <si>
    <t>O03321</t>
  </si>
  <si>
    <t>M003489</t>
  </si>
  <si>
    <t>D003489</t>
  </si>
  <si>
    <t>O03322</t>
  </si>
  <si>
    <t>M003490</t>
  </si>
  <si>
    <t>D003490</t>
  </si>
  <si>
    <t>O03323</t>
  </si>
  <si>
    <t>M003491</t>
  </si>
  <si>
    <t>D003491</t>
  </si>
  <si>
    <t>O03324</t>
  </si>
  <si>
    <t>M003492</t>
  </si>
  <si>
    <t>D003492</t>
  </si>
  <si>
    <t>O03325</t>
  </si>
  <si>
    <t>M003493</t>
  </si>
  <si>
    <t>D003493</t>
  </si>
  <si>
    <t>O03326</t>
  </si>
  <si>
    <t>M003494</t>
  </si>
  <si>
    <t>D003494</t>
  </si>
  <si>
    <t>O03327</t>
  </si>
  <si>
    <t>M003495</t>
  </si>
  <si>
    <t>D003495</t>
  </si>
  <si>
    <t>O03328</t>
  </si>
  <si>
    <t>M003496</t>
  </si>
  <si>
    <t>D003496</t>
  </si>
  <si>
    <t>O03329</t>
  </si>
  <si>
    <t>M003497</t>
  </si>
  <si>
    <t>D003497</t>
  </si>
  <si>
    <t>O03330</t>
  </si>
  <si>
    <t>M003498</t>
  </si>
  <si>
    <t>D003498</t>
  </si>
  <si>
    <t>O03331</t>
  </si>
  <si>
    <t>M003499</t>
  </si>
  <si>
    <t>D003499</t>
  </si>
  <si>
    <t>O03332</t>
  </si>
  <si>
    <t>M003500</t>
  </si>
  <si>
    <t>D003500</t>
  </si>
  <si>
    <t>O03333</t>
  </si>
  <si>
    <t>M003501</t>
  </si>
  <si>
    <t>D003501</t>
  </si>
  <si>
    <t>O03334</t>
  </si>
  <si>
    <t>M003502</t>
  </si>
  <si>
    <t>D003502</t>
  </si>
  <si>
    <t>O03335</t>
  </si>
  <si>
    <t>M003503</t>
  </si>
  <si>
    <t>D003503</t>
  </si>
  <si>
    <t>O03336</t>
  </si>
  <si>
    <t>M003504</t>
  </si>
  <si>
    <t>D003504</t>
  </si>
  <si>
    <t>O03337</t>
  </si>
  <si>
    <t>M003505</t>
  </si>
  <si>
    <t>D003505</t>
  </si>
  <si>
    <t>O03338</t>
  </si>
  <si>
    <t>M003506</t>
  </si>
  <si>
    <t>D003506</t>
  </si>
  <si>
    <t>O03339</t>
  </si>
  <si>
    <t>M003507</t>
  </si>
  <si>
    <t>D003507</t>
  </si>
  <si>
    <t>O03340</t>
  </si>
  <si>
    <t>M003508</t>
  </si>
  <si>
    <t>D003508</t>
  </si>
  <si>
    <t>O03341</t>
  </si>
  <si>
    <t>M003509</t>
  </si>
  <si>
    <t>D003509</t>
  </si>
  <si>
    <t>M003510</t>
  </si>
  <si>
    <t>D003510</t>
  </si>
  <si>
    <t>O03342</t>
  </si>
  <si>
    <t>M003511</t>
  </si>
  <si>
    <t>D003511</t>
  </si>
  <si>
    <t>O03343</t>
  </si>
  <si>
    <t>M003512</t>
  </si>
  <si>
    <t>D003512</t>
  </si>
  <si>
    <t>O03344</t>
  </si>
  <si>
    <t>M003513</t>
  </si>
  <si>
    <t>D003513</t>
  </si>
  <si>
    <t>O03345</t>
  </si>
  <si>
    <t>M003514</t>
  </si>
  <si>
    <t>D003514</t>
  </si>
  <si>
    <t>O03346</t>
  </si>
  <si>
    <t>M003515</t>
  </si>
  <si>
    <t>D003515</t>
  </si>
  <si>
    <t>O03347</t>
  </si>
  <si>
    <t>M003516</t>
  </si>
  <si>
    <t>D003516</t>
  </si>
  <si>
    <t>O03348</t>
  </si>
  <si>
    <t>M003517</t>
  </si>
  <si>
    <t>D003517</t>
  </si>
  <si>
    <t>O03349</t>
  </si>
  <si>
    <t>M003518</t>
  </si>
  <si>
    <t>D003518</t>
  </si>
  <si>
    <t>O03350</t>
  </si>
  <si>
    <t>M003519</t>
  </si>
  <si>
    <t>D003519</t>
  </si>
  <si>
    <t>O03351</t>
  </si>
  <si>
    <t>M003520</t>
  </si>
  <si>
    <t>D003520</t>
  </si>
  <si>
    <t>O03352</t>
  </si>
  <si>
    <t>M003521</t>
  </si>
  <si>
    <t>D003521</t>
  </si>
  <si>
    <t>O03353</t>
  </si>
  <si>
    <t>M003522</t>
  </si>
  <si>
    <t>D003522</t>
  </si>
  <si>
    <t>O03354</t>
  </si>
  <si>
    <t>M003523</t>
  </si>
  <si>
    <t>D003523</t>
  </si>
  <si>
    <t>O03355</t>
  </si>
  <si>
    <t>M003524</t>
  </si>
  <si>
    <t>D003524</t>
  </si>
  <si>
    <t>O03356</t>
  </si>
  <si>
    <t>M003525</t>
  </si>
  <si>
    <t>D003525</t>
  </si>
  <si>
    <t>O03357</t>
  </si>
  <si>
    <t>M003526</t>
  </si>
  <si>
    <t>D003526</t>
  </si>
  <si>
    <t>O03358</t>
  </si>
  <si>
    <t>M003527</t>
  </si>
  <si>
    <t>D003527</t>
  </si>
  <si>
    <t>O03359</t>
  </si>
  <si>
    <t>M003528</t>
  </si>
  <si>
    <t>D003528</t>
  </si>
  <si>
    <t>O03360</t>
  </si>
  <si>
    <t>M003529</t>
  </si>
  <si>
    <t>D003529</t>
  </si>
  <si>
    <t>O03361</t>
  </si>
  <si>
    <t>M003530</t>
  </si>
  <si>
    <t>D003530</t>
  </si>
  <si>
    <t>O03362</t>
  </si>
  <si>
    <t>M003531</t>
  </si>
  <si>
    <t>D003531</t>
  </si>
  <si>
    <t>O03363</t>
  </si>
  <si>
    <t>M003532</t>
  </si>
  <si>
    <t>D003532</t>
  </si>
  <si>
    <t>O03364</t>
  </si>
  <si>
    <t>M003533</t>
  </si>
  <si>
    <t>D003533</t>
  </si>
  <si>
    <t>O03365</t>
  </si>
  <si>
    <t>M003534</t>
  </si>
  <si>
    <t>D003534</t>
  </si>
  <si>
    <t>O03366</t>
  </si>
  <si>
    <t>M003535</t>
  </si>
  <si>
    <t>D003535</t>
  </si>
  <si>
    <t>M003536</t>
  </si>
  <si>
    <t>D003536</t>
  </si>
  <si>
    <t>O03367</t>
  </si>
  <si>
    <t>M003537</t>
  </si>
  <si>
    <t>D003537</t>
  </si>
  <si>
    <t>O03368</t>
  </si>
  <si>
    <t>M003538</t>
  </si>
  <si>
    <t>D003538</t>
  </si>
  <si>
    <t>O03369</t>
  </si>
  <si>
    <t>M003539</t>
  </si>
  <si>
    <t>D003539</t>
  </si>
  <si>
    <t>O03370</t>
  </si>
  <si>
    <t>M003540</t>
  </si>
  <si>
    <t>D003540</t>
  </si>
  <si>
    <t>O03371</t>
  </si>
  <si>
    <t>M003541</t>
  </si>
  <si>
    <t>D003541</t>
  </si>
  <si>
    <t>O03372</t>
  </si>
  <si>
    <t>M003542</t>
  </si>
  <si>
    <t>D003542</t>
  </si>
  <si>
    <t>O03373</t>
  </si>
  <si>
    <t>M003543</t>
  </si>
  <si>
    <t>D003543</t>
  </si>
  <si>
    <t>O03374</t>
  </si>
  <si>
    <t>M003544</t>
  </si>
  <si>
    <t>D003544</t>
  </si>
  <si>
    <t>O03375</t>
  </si>
  <si>
    <t>M003545</t>
  </si>
  <si>
    <t>D003545</t>
  </si>
  <si>
    <t>O03376</t>
  </si>
  <si>
    <t>M003546</t>
  </si>
  <si>
    <t>D003546</t>
  </si>
  <si>
    <t>O03377</t>
  </si>
  <si>
    <t>M003547</t>
  </si>
  <si>
    <t>D003547</t>
  </si>
  <si>
    <t>O03378</t>
  </si>
  <si>
    <t>M003548</t>
  </si>
  <si>
    <t>D003548</t>
  </si>
  <si>
    <t>O03379</t>
  </si>
  <si>
    <t>M003549</t>
  </si>
  <si>
    <t>D003549</t>
  </si>
  <si>
    <t>O03380</t>
  </si>
  <si>
    <t>M003550</t>
  </si>
  <si>
    <t>D003550</t>
  </si>
  <si>
    <t>O03381</t>
  </si>
  <si>
    <t>M003551</t>
  </si>
  <si>
    <t>D003551</t>
  </si>
  <si>
    <t>O03382</t>
  </si>
  <si>
    <t>M003552</t>
  </si>
  <si>
    <t>D003552</t>
  </si>
  <si>
    <t>O03383</t>
  </si>
  <si>
    <t>M003553</t>
  </si>
  <si>
    <t>D003553</t>
  </si>
  <si>
    <t>O03384</t>
  </si>
  <si>
    <t>M003554</t>
  </si>
  <si>
    <t>D003554</t>
  </si>
  <si>
    <t>O03385</t>
  </si>
  <si>
    <t>M003555</t>
  </si>
  <si>
    <t>D003555</t>
  </si>
  <si>
    <t>O03386</t>
  </si>
  <si>
    <t>M003556</t>
  </si>
  <si>
    <t>D003556</t>
  </si>
  <si>
    <t>O03387</t>
  </si>
  <si>
    <t>M003557</t>
  </si>
  <si>
    <t>D003557</t>
  </si>
  <si>
    <t>O03388</t>
  </si>
  <si>
    <t>M003558</t>
  </si>
  <si>
    <t>D003558</t>
  </si>
  <si>
    <t>O03389</t>
  </si>
  <si>
    <t>M003559</t>
  </si>
  <si>
    <t>D003559</t>
  </si>
  <si>
    <t>O03390</t>
  </si>
  <si>
    <t>M003560</t>
  </si>
  <si>
    <t>D003560</t>
  </si>
  <si>
    <t>O03391</t>
  </si>
  <si>
    <t>M003561</t>
  </si>
  <si>
    <t>D003561</t>
  </si>
  <si>
    <t>O03392</t>
  </si>
  <si>
    <t>M003562</t>
  </si>
  <si>
    <t>D003562</t>
  </si>
  <si>
    <t>O03393</t>
  </si>
  <si>
    <t>M003563</t>
  </si>
  <si>
    <t>D003563</t>
  </si>
  <si>
    <t>O03394</t>
  </si>
  <si>
    <t>M003564</t>
  </si>
  <si>
    <t>D003564</t>
  </si>
  <si>
    <t>O03395</t>
  </si>
  <si>
    <t>M003565</t>
  </si>
  <si>
    <t>D003565</t>
  </si>
  <si>
    <t>O03396</t>
  </si>
  <si>
    <t>M003566</t>
  </si>
  <si>
    <t>D003566</t>
  </si>
  <si>
    <t>O03397</t>
  </si>
  <si>
    <t>M003567</t>
  </si>
  <si>
    <t>D003567</t>
  </si>
  <si>
    <t>O03398</t>
  </si>
  <si>
    <t>M003568</t>
  </si>
  <si>
    <t>D003568</t>
  </si>
  <si>
    <t>O03399</t>
  </si>
  <si>
    <t>M003569</t>
  </si>
  <si>
    <t>D003569</t>
  </si>
  <si>
    <t>O03400</t>
  </si>
  <si>
    <t>M003570</t>
  </si>
  <si>
    <t>D003570</t>
  </si>
  <si>
    <t>O03401</t>
  </si>
  <si>
    <t>M003571</t>
  </si>
  <si>
    <t>D003571</t>
  </si>
  <si>
    <t>O03402</t>
  </si>
  <si>
    <t>M003572</t>
  </si>
  <si>
    <t>D003572</t>
  </si>
  <si>
    <t>O03403</t>
  </si>
  <si>
    <t>M003573</t>
  </si>
  <si>
    <t>D003573</t>
  </si>
  <si>
    <t>O03404</t>
  </si>
  <si>
    <t>M003574</t>
  </si>
  <si>
    <t>D003574</t>
  </si>
  <si>
    <t>O03405</t>
  </si>
  <si>
    <t>M003575</t>
  </si>
  <si>
    <t>D003575</t>
  </si>
  <si>
    <t>M003576</t>
  </si>
  <si>
    <t>D003576</t>
  </si>
  <si>
    <t>O03406</t>
  </si>
  <si>
    <t>M003577</t>
  </si>
  <si>
    <t>D003577</t>
  </si>
  <si>
    <t>O03407</t>
  </si>
  <si>
    <t>M003578</t>
  </si>
  <si>
    <t>D003578</t>
  </si>
  <si>
    <t>O03408</t>
  </si>
  <si>
    <t>M003579</t>
  </si>
  <si>
    <t>D003579</t>
  </si>
  <si>
    <t>O03409</t>
  </si>
  <si>
    <t>M003580</t>
  </si>
  <si>
    <t>D003580</t>
  </si>
  <si>
    <t>O03410</t>
  </si>
  <si>
    <t>M003581</t>
  </si>
  <si>
    <t>D003581</t>
  </si>
  <si>
    <t>O03411</t>
  </si>
  <si>
    <t>M003582</t>
  </si>
  <si>
    <t>D003582</t>
  </si>
  <si>
    <t>O03412</t>
  </si>
  <si>
    <t>M003583</t>
  </si>
  <si>
    <t>D003583</t>
  </si>
  <si>
    <t>O03413</t>
  </si>
  <si>
    <t>M003584</t>
  </si>
  <si>
    <t>D003584</t>
  </si>
  <si>
    <t>O03414</t>
  </si>
  <si>
    <t>M003585</t>
  </si>
  <si>
    <t>D003585</t>
  </si>
  <si>
    <t>O03415</t>
  </si>
  <si>
    <t>M003586</t>
  </si>
  <si>
    <t>D003586</t>
  </si>
  <si>
    <t>M003587</t>
  </si>
  <si>
    <t>D003587</t>
  </si>
  <si>
    <t>O03416</t>
  </si>
  <si>
    <t>M003588</t>
  </si>
  <si>
    <t>D003588</t>
  </si>
  <si>
    <t>O03417</t>
  </si>
  <si>
    <t>M003589</t>
  </si>
  <si>
    <t>D003589</t>
  </si>
  <si>
    <t>O03418</t>
  </si>
  <si>
    <t>M003590</t>
  </si>
  <si>
    <t>D003590</t>
  </si>
  <si>
    <t>O03419</t>
  </si>
  <si>
    <t>M003591</t>
  </si>
  <si>
    <t>D003591</t>
  </si>
  <si>
    <t>O03420</t>
  </si>
  <si>
    <t>M003592</t>
  </si>
  <si>
    <t>D003592</t>
  </si>
  <si>
    <t>O03421</t>
  </si>
  <si>
    <t>M003593</t>
  </si>
  <si>
    <t>D003593</t>
  </si>
  <si>
    <t>O03422</t>
  </si>
  <si>
    <t>M003594</t>
  </si>
  <si>
    <t>D003594</t>
  </si>
  <si>
    <t>O03423</t>
  </si>
  <si>
    <t>M003595</t>
  </si>
  <si>
    <t>D003595</t>
  </si>
  <si>
    <t>O03424</t>
  </si>
  <si>
    <t>M003596</t>
  </si>
  <si>
    <t>D003596</t>
  </si>
  <si>
    <t>O03425</t>
  </si>
  <si>
    <t>M003597</t>
  </si>
  <si>
    <t>D003597</t>
  </si>
  <si>
    <t>O03426</t>
  </si>
  <si>
    <t>M003598</t>
  </si>
  <si>
    <t>D003598</t>
  </si>
  <si>
    <t>O03427</t>
  </si>
  <si>
    <t>M003599</t>
  </si>
  <si>
    <t>D003599</t>
  </si>
  <si>
    <t>O03428</t>
  </si>
  <si>
    <t>M003600</t>
  </si>
  <si>
    <t>D003600</t>
  </si>
  <si>
    <t>O03429</t>
  </si>
  <si>
    <t>M003601</t>
  </si>
  <si>
    <t>D003601</t>
  </si>
  <si>
    <t>O03430</t>
  </si>
  <si>
    <t>M003602</t>
  </si>
  <si>
    <t>D003602</t>
  </si>
  <si>
    <t>M003603</t>
  </si>
  <si>
    <t>D003603</t>
  </si>
  <si>
    <t>O03431</t>
  </si>
  <si>
    <t>M003604</t>
  </si>
  <si>
    <t>D003604</t>
  </si>
  <si>
    <t>O03432</t>
  </si>
  <si>
    <t>M003605</t>
  </si>
  <si>
    <t>D003605</t>
  </si>
  <si>
    <t>O03433</t>
  </si>
  <si>
    <t>M003606</t>
  </si>
  <si>
    <t>D003606</t>
  </si>
  <si>
    <t>O03434</t>
  </si>
  <si>
    <t>M003607</t>
  </si>
  <si>
    <t>D003607</t>
  </si>
  <si>
    <t>O03435</t>
  </si>
  <si>
    <t>M003608</t>
  </si>
  <si>
    <t>D003608</t>
  </si>
  <si>
    <t>O03436</t>
  </si>
  <si>
    <t>M003609</t>
  </si>
  <si>
    <t>D003609</t>
  </si>
  <si>
    <t>O03437</t>
  </si>
  <si>
    <t>M003610</t>
  </si>
  <si>
    <t>D003610</t>
  </si>
  <si>
    <t>O03438</t>
  </si>
  <si>
    <t>M003611</t>
  </si>
  <si>
    <t>D003611</t>
  </si>
  <si>
    <t>O03439</t>
  </si>
  <si>
    <t>M003612</t>
  </si>
  <si>
    <t>D003612</t>
  </si>
  <si>
    <t>O03440</t>
  </si>
  <si>
    <t>M003613</t>
  </si>
  <si>
    <t>D003613</t>
  </si>
  <si>
    <t>O03441</t>
  </si>
  <si>
    <t>M003614</t>
  </si>
  <si>
    <t>D003614</t>
  </si>
  <si>
    <t>O03442</t>
  </si>
  <si>
    <t>M003615</t>
  </si>
  <si>
    <t>D003615</t>
  </si>
  <si>
    <t>O03443</t>
  </si>
  <si>
    <t>M003616</t>
  </si>
  <si>
    <t>D003616</t>
  </si>
  <si>
    <t>O03444</t>
  </si>
  <si>
    <t>M003617</t>
  </si>
  <si>
    <t>D003617</t>
  </si>
  <si>
    <t>O03445</t>
  </si>
  <si>
    <t>M003618</t>
  </si>
  <si>
    <t>D003618</t>
  </si>
  <si>
    <t>O03446</t>
  </si>
  <si>
    <t>M003619</t>
  </si>
  <si>
    <t>D003619</t>
  </si>
  <si>
    <t>O03447</t>
  </si>
  <si>
    <t>M003620</t>
  </si>
  <si>
    <t>D003620</t>
  </si>
  <si>
    <t>O03448</t>
  </si>
  <si>
    <t>M003621</t>
  </si>
  <si>
    <t>D003621</t>
  </si>
  <si>
    <t>O03449</t>
  </si>
  <si>
    <t>M003622</t>
  </si>
  <si>
    <t>D003622</t>
  </si>
  <si>
    <t>O03450</t>
  </si>
  <si>
    <t>M003623</t>
  </si>
  <si>
    <t>D003623</t>
  </si>
  <si>
    <t>O03451</t>
  </si>
  <si>
    <t>M003624</t>
  </si>
  <si>
    <t>D003624</t>
  </si>
  <si>
    <t>O03452</t>
  </si>
  <si>
    <t>M003625</t>
  </si>
  <si>
    <t>D003625</t>
  </si>
  <si>
    <t>O03453</t>
  </si>
  <si>
    <t>M003626</t>
  </si>
  <si>
    <t>D003626</t>
  </si>
  <si>
    <t>O03454</t>
  </si>
  <si>
    <t>M003627</t>
  </si>
  <si>
    <t>D003627</t>
  </si>
  <si>
    <t>O03455</t>
  </si>
  <si>
    <t>M003628</t>
  </si>
  <si>
    <t>D003628</t>
  </si>
  <si>
    <t>O03456</t>
  </si>
  <si>
    <t>M003629</t>
  </si>
  <si>
    <t>D003629</t>
  </si>
  <si>
    <t>O03457</t>
  </si>
  <si>
    <t>M003630</t>
  </si>
  <si>
    <t>D003630</t>
  </si>
  <si>
    <t>O03458</t>
  </si>
  <si>
    <t>M003631</t>
  </si>
  <si>
    <t>D003631</t>
  </si>
  <si>
    <t>O03459</t>
  </si>
  <si>
    <t>M003632</t>
  </si>
  <si>
    <t>D003632</t>
  </si>
  <si>
    <t>O03460</t>
  </si>
  <si>
    <t>M003633</t>
  </si>
  <si>
    <t>D003633</t>
  </si>
  <si>
    <t>O03461</t>
  </si>
  <si>
    <t>M003634</t>
  </si>
  <si>
    <t>D003634</t>
  </si>
  <si>
    <t>O03462</t>
  </si>
  <si>
    <t>M003635</t>
  </si>
  <si>
    <t>D003635</t>
  </si>
  <si>
    <t>O03463</t>
  </si>
  <si>
    <t>M003636</t>
  </si>
  <si>
    <t>D003636</t>
  </si>
  <si>
    <t>O03464</t>
  </si>
  <si>
    <t>M003637</t>
  </si>
  <si>
    <t>D003637</t>
  </si>
  <si>
    <t>O03465</t>
  </si>
  <si>
    <t>M003638</t>
  </si>
  <si>
    <t>D003638</t>
  </si>
  <si>
    <t>O03466</t>
  </si>
  <si>
    <t>M003639</t>
  </si>
  <si>
    <t>D003639</t>
  </si>
  <si>
    <t>O03467</t>
  </si>
  <si>
    <t>M003640</t>
  </si>
  <si>
    <t>D003640</t>
  </si>
  <si>
    <t>O03468</t>
  </si>
  <si>
    <t>M003641</t>
  </si>
  <si>
    <t>D003641</t>
  </si>
  <si>
    <t>O03469</t>
  </si>
  <si>
    <t>M003642</t>
  </si>
  <si>
    <t>D003642</t>
  </si>
  <si>
    <t>O03470</t>
  </si>
  <si>
    <t>M003643</t>
  </si>
  <si>
    <t>D003643</t>
  </si>
  <si>
    <t>O03471</t>
  </si>
  <si>
    <t>M003644</t>
  </si>
  <si>
    <t>D003644</t>
  </si>
  <si>
    <t>O03472</t>
  </si>
  <si>
    <t>M003645</t>
  </si>
  <si>
    <t>D003645</t>
  </si>
  <si>
    <t>O03473</t>
  </si>
  <si>
    <t>M003646</t>
  </si>
  <si>
    <t>D003646</t>
  </si>
  <si>
    <t>O03474</t>
  </si>
  <si>
    <t>M003647</t>
  </si>
  <si>
    <t>D003647</t>
  </si>
  <si>
    <t>O03475</t>
  </si>
  <si>
    <t>M003648</t>
  </si>
  <si>
    <t>D003648</t>
  </si>
  <si>
    <t>O03476</t>
  </si>
  <si>
    <t>M003649</t>
  </si>
  <si>
    <t>D003649</t>
  </si>
  <si>
    <t>O03477</t>
  </si>
  <si>
    <t>M003650</t>
  </si>
  <si>
    <t>D003650</t>
  </si>
  <si>
    <t>O03478</t>
  </si>
  <si>
    <t>M003651</t>
  </si>
  <si>
    <t>D003651</t>
  </si>
  <si>
    <t>O03479</t>
  </si>
  <si>
    <t>M003652</t>
  </si>
  <si>
    <t>D003652</t>
  </si>
  <si>
    <t>O03480</t>
  </si>
  <si>
    <t>M003653</t>
  </si>
  <si>
    <t>D003653</t>
  </si>
  <si>
    <t>O03481</t>
  </si>
  <si>
    <t>M003654</t>
  </si>
  <si>
    <t>D003654</t>
  </si>
  <si>
    <t>O03482</t>
  </si>
  <si>
    <t>M003655</t>
  </si>
  <si>
    <t>D003655</t>
  </si>
  <si>
    <t>O03483</t>
  </si>
  <si>
    <t>M003656</t>
  </si>
  <si>
    <t>D003656</t>
  </si>
  <si>
    <t>O03484</t>
  </si>
  <si>
    <t>M003657</t>
  </si>
  <si>
    <t>D003657</t>
  </si>
  <si>
    <t>O03485</t>
  </si>
  <si>
    <t>M003658</t>
  </si>
  <si>
    <t>D003658</t>
  </si>
  <si>
    <t>O03486</t>
  </si>
  <si>
    <t>M003659</t>
  </si>
  <si>
    <t>D003659</t>
  </si>
  <si>
    <t>O03487</t>
  </si>
  <si>
    <t>M003660</t>
  </si>
  <si>
    <t>D003660</t>
  </si>
  <si>
    <t>O03488</t>
  </si>
  <si>
    <t>M003661</t>
  </si>
  <si>
    <t>D003661</t>
  </si>
  <si>
    <t>O03489</t>
  </si>
  <si>
    <t>M003662</t>
  </si>
  <si>
    <t>D003662</t>
  </si>
  <si>
    <t>O03490</t>
  </si>
  <si>
    <t>M003663</t>
  </si>
  <si>
    <t>D003663</t>
  </si>
  <si>
    <t>O03491</t>
  </si>
  <si>
    <t>M003664</t>
  </si>
  <si>
    <t>D003664</t>
  </si>
  <si>
    <t>O03492</t>
  </si>
  <si>
    <t>M003665</t>
  </si>
  <si>
    <t>D003665</t>
  </si>
  <si>
    <t>O03493</t>
  </si>
  <si>
    <t>M003666</t>
  </si>
  <si>
    <t>D003666</t>
  </si>
  <si>
    <t>O03494</t>
  </si>
  <si>
    <t>M003667</t>
  </si>
  <si>
    <t>D003667</t>
  </si>
  <si>
    <t>O03495</t>
  </si>
  <si>
    <t>M003668</t>
  </si>
  <si>
    <t>D003668</t>
  </si>
  <si>
    <t>O03496</t>
  </si>
  <si>
    <t>M003669</t>
  </si>
  <si>
    <t>D003669</t>
  </si>
  <si>
    <t>O03497</t>
  </si>
  <si>
    <t>M003670</t>
  </si>
  <si>
    <t>D003670</t>
  </si>
  <si>
    <t>O03498</t>
  </si>
  <si>
    <t>M003671</t>
  </si>
  <si>
    <t>D003671</t>
  </si>
  <si>
    <t>O03499</t>
  </si>
  <si>
    <t>M003672</t>
  </si>
  <si>
    <t>D003672</t>
  </si>
  <si>
    <t>O03500</t>
  </si>
  <si>
    <t>M003673</t>
  </si>
  <si>
    <t>D003673</t>
  </si>
  <si>
    <t>O03501</t>
  </si>
  <si>
    <t>M003674</t>
  </si>
  <si>
    <t>D003674</t>
  </si>
  <si>
    <t>O03502</t>
  </si>
  <si>
    <t>M003675</t>
  </si>
  <si>
    <t>D003675</t>
  </si>
  <si>
    <t>O03503</t>
  </si>
  <si>
    <t>M003676</t>
  </si>
  <si>
    <t>D003676</t>
  </si>
  <si>
    <t>O03504</t>
  </si>
  <si>
    <t>M003677</t>
  </si>
  <si>
    <t>D003677</t>
  </si>
  <si>
    <t>O03505</t>
  </si>
  <si>
    <t>M003678</t>
  </si>
  <si>
    <t>D003678</t>
  </si>
  <si>
    <t>O03506</t>
  </si>
  <si>
    <t>M003679</t>
  </si>
  <si>
    <t>D003679</t>
  </si>
  <si>
    <t>M003680</t>
  </si>
  <si>
    <t>D003680</t>
  </si>
  <si>
    <t>O03507</t>
  </si>
  <si>
    <t>M003681</t>
  </si>
  <si>
    <t>D003681</t>
  </si>
  <si>
    <t>O03508</t>
  </si>
  <si>
    <t>M003682</t>
  </si>
  <si>
    <t>D003682</t>
  </si>
  <si>
    <t>O03509</t>
  </si>
  <si>
    <t>M003683</t>
  </si>
  <si>
    <t>D003683</t>
  </si>
  <si>
    <t>O03510</t>
  </si>
  <si>
    <t>M003684</t>
  </si>
  <si>
    <t>D003684</t>
  </si>
  <si>
    <t>O03511</t>
  </si>
  <si>
    <t>M003685</t>
  </si>
  <si>
    <t>D003685</t>
  </si>
  <si>
    <t>O03512</t>
  </si>
  <si>
    <t>M003686</t>
  </si>
  <si>
    <t>D003686</t>
  </si>
  <si>
    <t>O03513</t>
  </si>
  <si>
    <t>M003687</t>
  </si>
  <si>
    <t>D003687</t>
  </si>
  <si>
    <t>O03514</t>
  </si>
  <si>
    <t>M003688</t>
  </si>
  <si>
    <t>D003688</t>
  </si>
  <si>
    <t>M003689</t>
  </si>
  <si>
    <t>D003689</t>
  </si>
  <si>
    <t>O03515</t>
  </si>
  <si>
    <t>M003690</t>
  </si>
  <si>
    <t>D003690</t>
  </si>
  <si>
    <t>O03516</t>
  </si>
  <si>
    <t>M003691</t>
  </si>
  <si>
    <t>D003691</t>
  </si>
  <si>
    <t>O03517</t>
  </si>
  <si>
    <t>M003692</t>
  </si>
  <si>
    <t>D003692</t>
  </si>
  <si>
    <t>O03518</t>
  </si>
  <si>
    <t>M003693</t>
  </si>
  <si>
    <t>D003693</t>
  </si>
  <si>
    <t>O03519</t>
  </si>
  <si>
    <t>M003694</t>
  </si>
  <si>
    <t>D003694</t>
  </si>
  <si>
    <t>O03520</t>
  </si>
  <si>
    <t>M003695</t>
  </si>
  <si>
    <t>D003695</t>
  </si>
  <si>
    <t>O03521</t>
  </si>
  <si>
    <t>M003696</t>
  </si>
  <si>
    <t>D003696</t>
  </si>
  <si>
    <t>O03522</t>
  </si>
  <si>
    <t>M003697</t>
  </si>
  <si>
    <t>D003697</t>
  </si>
  <si>
    <t>O03523</t>
  </si>
  <si>
    <t>M003698</t>
  </si>
  <si>
    <t>D003698</t>
  </si>
  <si>
    <t>O03524</t>
  </si>
  <si>
    <t>M003699</t>
  </si>
  <si>
    <t>D003699</t>
  </si>
  <si>
    <t>O03525</t>
  </si>
  <si>
    <t>M003700</t>
  </si>
  <si>
    <t>D003700</t>
  </si>
  <si>
    <t>O03526</t>
  </si>
  <si>
    <t>M003701</t>
  </si>
  <si>
    <t>D003701</t>
  </si>
  <si>
    <t>O03527</t>
  </si>
  <si>
    <t>M003702</t>
  </si>
  <si>
    <t>D003702</t>
  </si>
  <si>
    <t>O03528</t>
  </si>
  <si>
    <t>M003703</t>
  </si>
  <si>
    <t>D003703</t>
  </si>
  <si>
    <t>O03529</t>
  </si>
  <si>
    <t>M003704</t>
  </si>
  <si>
    <t>D003704</t>
  </si>
  <si>
    <t>O03530</t>
  </si>
  <si>
    <t>M003705</t>
  </si>
  <si>
    <t>D003705</t>
  </si>
  <si>
    <t>O03531</t>
  </si>
  <si>
    <t>M003706</t>
  </si>
  <si>
    <t>D003706</t>
  </si>
  <si>
    <t>O03532</t>
  </si>
  <si>
    <t>M003707</t>
  </si>
  <si>
    <t>D003707</t>
  </si>
  <si>
    <t>O03533</t>
  </si>
  <si>
    <t>M003708</t>
  </si>
  <si>
    <t>D003708</t>
  </si>
  <si>
    <t>O03534</t>
  </si>
  <si>
    <t>M003709</t>
  </si>
  <si>
    <t>D003709</t>
  </si>
  <si>
    <t>O03535</t>
  </si>
  <si>
    <t>M003710</t>
  </si>
  <si>
    <t>D003710</t>
  </si>
  <si>
    <t>O03536</t>
  </si>
  <si>
    <t>M003711</t>
  </si>
  <si>
    <t>D003711</t>
  </si>
  <si>
    <t>O03537</t>
  </si>
  <si>
    <t>M003712</t>
  </si>
  <si>
    <t>D003712</t>
  </si>
  <si>
    <t>O03538</t>
  </si>
  <si>
    <t>M003713</t>
  </si>
  <si>
    <t>D003713</t>
  </si>
  <si>
    <t>O03539</t>
  </si>
  <si>
    <t>M003714</t>
  </si>
  <si>
    <t>D003714</t>
  </si>
  <si>
    <t>O03540</t>
  </si>
  <si>
    <t>M003715</t>
  </si>
  <si>
    <t>D003715</t>
  </si>
  <si>
    <t>O03541</t>
  </si>
  <si>
    <t>M003716</t>
  </si>
  <si>
    <t>D003716</t>
  </si>
  <si>
    <t>O03542</t>
  </si>
  <si>
    <t>M003717</t>
  </si>
  <si>
    <t>D003717</t>
  </si>
  <si>
    <t>O03543</t>
  </si>
  <si>
    <t>M003718</t>
  </si>
  <si>
    <t>D003718</t>
  </si>
  <si>
    <t>O03544</t>
  </si>
  <si>
    <t>M003719</t>
  </si>
  <si>
    <t>D003719</t>
  </si>
  <si>
    <t>O03545</t>
  </si>
  <si>
    <t>M003720</t>
  </si>
  <si>
    <t>D003720</t>
  </si>
  <si>
    <t>O03546</t>
  </si>
  <si>
    <t>M003721</t>
  </si>
  <si>
    <t>D003721</t>
  </si>
  <si>
    <t>O03547</t>
  </si>
  <si>
    <t>M003722</t>
  </si>
  <si>
    <t>D003722</t>
  </si>
  <si>
    <t>O03548</t>
  </si>
  <si>
    <t>M003723</t>
  </si>
  <si>
    <t>D003723</t>
  </si>
  <si>
    <t>O03549</t>
  </si>
  <si>
    <t>M003724</t>
  </si>
  <si>
    <t>D003724</t>
  </si>
  <si>
    <t>O03550</t>
  </si>
  <si>
    <t>M003725</t>
  </si>
  <si>
    <t>D003725</t>
  </si>
  <si>
    <t>O03551</t>
  </si>
  <si>
    <t>M003726</t>
  </si>
  <si>
    <t>D003726</t>
  </si>
  <si>
    <t>O03552</t>
  </si>
  <si>
    <t>M003727</t>
  </si>
  <si>
    <t>D003727</t>
  </si>
  <si>
    <t>O03553</t>
  </si>
  <si>
    <t>M003728</t>
  </si>
  <si>
    <t>D003728</t>
  </si>
  <si>
    <t>O03554</t>
  </si>
  <si>
    <t>M003729</t>
  </si>
  <si>
    <t>D003729</t>
  </si>
  <si>
    <t>O03555</t>
  </si>
  <si>
    <t>M003730</t>
  </si>
  <si>
    <t>D003730</t>
  </si>
  <si>
    <t>M003731</t>
  </si>
  <si>
    <t>D003731</t>
  </si>
  <si>
    <t>O03556</t>
  </si>
  <si>
    <t>M003732</t>
  </si>
  <si>
    <t>D003732</t>
  </si>
  <si>
    <t>O03557</t>
  </si>
  <si>
    <t>M003733</t>
  </si>
  <si>
    <t>D003733</t>
  </si>
  <si>
    <t>O03558</t>
  </si>
  <si>
    <t>M003734</t>
  </si>
  <si>
    <t>D003734</t>
  </si>
  <si>
    <t>O03559</t>
  </si>
  <si>
    <t>M003735</t>
  </si>
  <si>
    <t>D003735</t>
  </si>
  <si>
    <t>O03560</t>
  </si>
  <si>
    <t>M003736</t>
  </si>
  <si>
    <t>D003736</t>
  </si>
  <si>
    <t>O03561</t>
  </si>
  <si>
    <t>M003737</t>
  </si>
  <si>
    <t>D003737</t>
  </si>
  <si>
    <t>O03562</t>
  </si>
  <si>
    <t>M003738</t>
  </si>
  <si>
    <t>D003738</t>
  </si>
  <si>
    <t>O03563</t>
  </si>
  <si>
    <t>M003739</t>
  </si>
  <si>
    <t>D003739</t>
  </si>
  <si>
    <t>O03564</t>
  </si>
  <si>
    <t>M003740</t>
  </si>
  <si>
    <t>D003740</t>
  </si>
  <si>
    <t>O03565</t>
  </si>
  <si>
    <t>M003741</t>
  </si>
  <si>
    <t>D003741</t>
  </si>
  <si>
    <t>O03566</t>
  </si>
  <si>
    <t>M003742</t>
  </si>
  <si>
    <t>D003742</t>
  </si>
  <si>
    <t>O03567</t>
  </si>
  <si>
    <t>M003743</t>
  </si>
  <si>
    <t>D003743</t>
  </si>
  <si>
    <t>O03568</t>
  </si>
  <si>
    <t>M003744</t>
  </si>
  <si>
    <t>D003744</t>
  </si>
  <si>
    <t>O03569</t>
  </si>
  <si>
    <t>M003745</t>
  </si>
  <si>
    <t>D003745</t>
  </si>
  <si>
    <t>O03570</t>
  </si>
  <si>
    <t>M003746</t>
  </si>
  <si>
    <t>D003746</t>
  </si>
  <si>
    <t>O03571</t>
  </si>
  <si>
    <t>M003747</t>
  </si>
  <si>
    <t>D003747</t>
  </si>
  <si>
    <t>O03572</t>
  </si>
  <si>
    <t>M003748</t>
  </si>
  <si>
    <t>D003748</t>
  </si>
  <si>
    <t>O03573</t>
  </si>
  <si>
    <t>M003749</t>
  </si>
  <si>
    <t>D003749</t>
  </si>
  <si>
    <t>O03574</t>
  </si>
  <si>
    <t>M003750</t>
  </si>
  <si>
    <t>D003750</t>
  </si>
  <si>
    <t>O03575</t>
  </si>
  <si>
    <t>M003751</t>
  </si>
  <si>
    <t>D003751</t>
  </si>
  <si>
    <t>O03576</t>
  </si>
  <si>
    <t>M003752</t>
  </si>
  <si>
    <t>D003752</t>
  </si>
  <si>
    <t>O03577</t>
  </si>
  <si>
    <t>M003753</t>
  </si>
  <si>
    <t>D003753</t>
  </si>
  <si>
    <t>O03578</t>
  </si>
  <si>
    <t>M003754</t>
  </si>
  <si>
    <t>D003754</t>
  </si>
  <si>
    <t>O03579</t>
  </si>
  <si>
    <t>M003755</t>
  </si>
  <si>
    <t>D003755</t>
  </si>
  <si>
    <t>O03580</t>
  </si>
  <si>
    <t>M003756</t>
  </si>
  <si>
    <t>D003756</t>
  </si>
  <si>
    <t>O03581</t>
  </si>
  <si>
    <t>M003757</t>
  </si>
  <si>
    <t>D003757</t>
  </si>
  <si>
    <t>O03582</t>
  </si>
  <si>
    <t>M003758</t>
  </si>
  <si>
    <t>D003758</t>
  </si>
  <si>
    <t>O03583</t>
  </si>
  <si>
    <t>M003759</t>
  </si>
  <si>
    <t>D003759</t>
  </si>
  <si>
    <t>O03584</t>
  </si>
  <si>
    <t>M003760</t>
  </si>
  <si>
    <t>D003760</t>
  </si>
  <si>
    <t>O03585</t>
  </si>
  <si>
    <t>M003761</t>
  </si>
  <si>
    <t>D003761</t>
  </si>
  <si>
    <t>O03586</t>
  </si>
  <si>
    <t>M003762</t>
  </si>
  <si>
    <t>D003762</t>
  </si>
  <si>
    <t>O03587</t>
  </si>
  <si>
    <t>M003763</t>
  </si>
  <si>
    <t>D003763</t>
  </si>
  <si>
    <t>O03588</t>
  </si>
  <si>
    <t>M003764</t>
  </si>
  <si>
    <t>D003764</t>
  </si>
  <si>
    <t>O03589</t>
  </si>
  <si>
    <t>M003765</t>
  </si>
  <si>
    <t>D003765</t>
  </si>
  <si>
    <t>O03590</t>
  </si>
  <si>
    <t>M003766</t>
  </si>
  <si>
    <t>D003766</t>
  </si>
  <si>
    <t>O03591</t>
  </si>
  <si>
    <t>M003767</t>
  </si>
  <si>
    <t>D003767</t>
  </si>
  <si>
    <t>O03592</t>
  </si>
  <si>
    <t>M003768</t>
  </si>
  <si>
    <t>D003768</t>
  </si>
  <si>
    <t>O03593</t>
  </si>
  <si>
    <t>M003769</t>
  </si>
  <si>
    <t>D003769</t>
  </si>
  <si>
    <t>O03594</t>
  </si>
  <si>
    <t>M003770</t>
  </si>
  <si>
    <t>D003770</t>
  </si>
  <si>
    <t>O03595</t>
  </si>
  <si>
    <t>M003771</t>
  </si>
  <si>
    <t>D003771</t>
  </si>
  <si>
    <t>O03596</t>
  </si>
  <si>
    <t>M003772</t>
  </si>
  <si>
    <t>D003772</t>
  </si>
  <si>
    <t>O03597</t>
  </si>
  <si>
    <t>M003773</t>
  </si>
  <si>
    <t>D003773</t>
  </si>
  <si>
    <t>O03598</t>
  </si>
  <si>
    <t>M003774</t>
  </si>
  <si>
    <t>D003774</t>
  </si>
  <si>
    <t>O03599</t>
  </si>
  <si>
    <t>M003775</t>
  </si>
  <si>
    <t>D003775</t>
  </si>
  <si>
    <t>O03600</t>
  </si>
  <si>
    <t>M003776</t>
  </si>
  <si>
    <t>D003776</t>
  </si>
  <si>
    <t>O03601</t>
  </si>
  <si>
    <t>M003777</t>
  </si>
  <si>
    <t>D003777</t>
  </si>
  <si>
    <t>O03602</t>
  </si>
  <si>
    <t>M003778</t>
  </si>
  <si>
    <t>D003778</t>
  </si>
  <si>
    <t>O03603</t>
  </si>
  <si>
    <t>M003779</t>
  </si>
  <si>
    <t>D003779</t>
  </si>
  <si>
    <t>O03604</t>
  </si>
  <si>
    <t>M003780</t>
  </si>
  <si>
    <t>D003780</t>
  </si>
  <si>
    <t>O03605</t>
  </si>
  <si>
    <t>M003781</t>
  </si>
  <si>
    <t>D003781</t>
  </si>
  <si>
    <t>O03606</t>
  </si>
  <si>
    <t>M003782</t>
  </si>
  <si>
    <t>D003782</t>
  </si>
  <si>
    <t>O03607</t>
  </si>
  <si>
    <t>M003783</t>
  </si>
  <si>
    <t>D003783</t>
  </si>
  <si>
    <t>M003784</t>
  </si>
  <si>
    <t>D003784</t>
  </si>
  <si>
    <t>O03608</t>
  </si>
  <si>
    <t>M003785</t>
  </si>
  <si>
    <t>D003785</t>
  </si>
  <si>
    <t>O03609</t>
  </si>
  <si>
    <t>M003786</t>
  </si>
  <si>
    <t>D003786</t>
  </si>
  <si>
    <t>O03610</t>
  </si>
  <si>
    <t>M003787</t>
  </si>
  <si>
    <t>D003787</t>
  </si>
  <si>
    <t>O03611</t>
  </si>
  <si>
    <t>M003788</t>
  </si>
  <si>
    <t>D003788</t>
  </si>
  <si>
    <t>O03612</t>
  </si>
  <si>
    <t>M003789</t>
  </si>
  <si>
    <t>D003789</t>
  </si>
  <si>
    <t>O03613</t>
  </si>
  <si>
    <t>M003790</t>
  </si>
  <si>
    <t>D003790</t>
  </si>
  <si>
    <t>O03614</t>
  </si>
  <si>
    <t>M003791</t>
  </si>
  <si>
    <t>D003791</t>
  </si>
  <si>
    <t>O03615</t>
  </si>
  <si>
    <t>M003792</t>
  </si>
  <si>
    <t>D003792</t>
  </si>
  <si>
    <t>O03616</t>
  </si>
  <si>
    <t>M003793</t>
  </si>
  <si>
    <t>D003793</t>
  </si>
  <si>
    <t>O03617</t>
  </si>
  <si>
    <t>M003794</t>
  </si>
  <si>
    <t>D003794</t>
  </si>
  <si>
    <t>O03618</t>
  </si>
  <si>
    <t>M003795</t>
  </si>
  <si>
    <t>D003795</t>
  </si>
  <si>
    <t>O03620</t>
  </si>
  <si>
    <t>M003796</t>
  </si>
  <si>
    <t>D003796</t>
  </si>
  <si>
    <t>O03621</t>
  </si>
  <si>
    <t>M003797</t>
  </si>
  <si>
    <t>D003797</t>
  </si>
  <si>
    <t>O03622</t>
  </si>
  <si>
    <t>M003798</t>
  </si>
  <si>
    <t>D003798</t>
  </si>
  <si>
    <t>O03623</t>
  </si>
  <si>
    <t>M003799</t>
  </si>
  <si>
    <t>D003799</t>
  </si>
  <si>
    <t>R0164</t>
  </si>
  <si>
    <t>M003800</t>
  </si>
  <si>
    <t>D003800</t>
  </si>
  <si>
    <t>R0165</t>
  </si>
  <si>
    <t>M003801</t>
  </si>
  <si>
    <t>D003801</t>
  </si>
  <si>
    <t>R0166</t>
  </si>
  <si>
    <t>M003802</t>
  </si>
  <si>
    <t>D003802</t>
  </si>
  <si>
    <t>R0167</t>
  </si>
  <si>
    <t>M003803</t>
  </si>
  <si>
    <t>D003803</t>
  </si>
  <si>
    <t>R0168</t>
  </si>
  <si>
    <t>M003804</t>
  </si>
  <si>
    <t>D003804</t>
  </si>
  <si>
    <t>R0169</t>
  </si>
  <si>
    <t>M003805</t>
  </si>
  <si>
    <t>D003805</t>
  </si>
  <si>
    <t>R0170</t>
  </si>
  <si>
    <t>M003806</t>
  </si>
  <si>
    <t>D003806</t>
  </si>
  <si>
    <t>R0171</t>
  </si>
  <si>
    <t>M003807</t>
  </si>
  <si>
    <t>D003807</t>
  </si>
  <si>
    <t>R0172</t>
  </si>
  <si>
    <t>M003808</t>
  </si>
  <si>
    <t>D003808</t>
  </si>
  <si>
    <t>R0173</t>
  </si>
  <si>
    <t>M003809</t>
  </si>
  <si>
    <t>D003809</t>
  </si>
  <si>
    <t>R0174</t>
  </si>
  <si>
    <t>M003810</t>
  </si>
  <si>
    <t>D003810</t>
  </si>
  <si>
    <t>R0175</t>
  </si>
  <si>
    <t>M003811</t>
  </si>
  <si>
    <t>D003811</t>
  </si>
  <si>
    <t>R0176</t>
  </si>
  <si>
    <t>M003812</t>
  </si>
  <si>
    <t>D003812</t>
  </si>
  <si>
    <t>R0177</t>
  </si>
  <si>
    <t>M003813</t>
  </si>
  <si>
    <t>D003813</t>
  </si>
  <si>
    <t>O03624</t>
  </si>
  <si>
    <t>M003814</t>
  </si>
  <si>
    <t>D003814</t>
  </si>
  <si>
    <t>O03625</t>
  </si>
  <si>
    <t>M003815</t>
  </si>
  <si>
    <t>D003815</t>
  </si>
  <si>
    <t>O03626</t>
  </si>
  <si>
    <t>M003816</t>
  </si>
  <si>
    <t>D003816</t>
  </si>
  <si>
    <t>O03627</t>
  </si>
  <si>
    <t>M003817</t>
  </si>
  <si>
    <t>D003817</t>
  </si>
  <si>
    <t>O03628</t>
  </si>
  <si>
    <t>M003818</t>
  </si>
  <si>
    <t>D003818</t>
  </si>
  <si>
    <t>O03629</t>
  </si>
  <si>
    <t>M003819</t>
  </si>
  <si>
    <t>D003819</t>
  </si>
  <si>
    <t>M003820</t>
  </si>
  <si>
    <t>D003820</t>
  </si>
  <si>
    <t>O03630</t>
  </si>
  <si>
    <t>M003821</t>
  </si>
  <si>
    <t>D003821</t>
  </si>
  <si>
    <t>O03631</t>
  </si>
  <si>
    <t>M003822</t>
  </si>
  <si>
    <t>D003822</t>
  </si>
  <si>
    <t>O03632</t>
  </si>
  <si>
    <t>M003823</t>
  </si>
  <si>
    <t>D003823</t>
  </si>
  <si>
    <t>O03633</t>
  </si>
  <si>
    <t>M003824</t>
  </si>
  <si>
    <t>D003824</t>
  </si>
  <si>
    <t>O03634</t>
  </si>
  <si>
    <t>M003825</t>
  </si>
  <si>
    <t>D003825</t>
  </si>
  <si>
    <t>M003826</t>
  </si>
  <si>
    <t>D003826</t>
  </si>
  <si>
    <t>O03635</t>
  </si>
  <si>
    <t>M003827</t>
  </si>
  <si>
    <t>D003827</t>
  </si>
  <si>
    <t>O03636</t>
  </si>
  <si>
    <t>M003828</t>
  </si>
  <si>
    <t>D003828</t>
  </si>
  <si>
    <t>M003829</t>
  </si>
  <si>
    <t>D003829</t>
  </si>
  <si>
    <t>O03637</t>
  </si>
  <si>
    <t>M003830</t>
  </si>
  <si>
    <t>D003830</t>
  </si>
  <si>
    <t>O03638</t>
  </si>
  <si>
    <t>M003831</t>
  </si>
  <si>
    <t>D003831</t>
  </si>
  <si>
    <t>O03639</t>
  </si>
  <si>
    <t>M003832</t>
  </si>
  <si>
    <t>D003832</t>
  </si>
  <si>
    <t>O03640</t>
  </si>
  <si>
    <t>M003833</t>
  </si>
  <si>
    <t>D003833</t>
  </si>
  <si>
    <t>O03641</t>
  </si>
  <si>
    <t>M003834</t>
  </si>
  <si>
    <t>D003834</t>
  </si>
  <si>
    <t>O03642</t>
  </si>
  <si>
    <t>M003835</t>
  </si>
  <si>
    <t>D003835</t>
  </si>
  <si>
    <t>O03643</t>
  </si>
  <si>
    <t>M003836</t>
  </si>
  <si>
    <t>D003836</t>
  </si>
  <si>
    <t>O03644</t>
  </si>
  <si>
    <t>M003837</t>
  </si>
  <si>
    <t>D003837</t>
  </si>
  <si>
    <t>O03645</t>
  </si>
  <si>
    <t>M003838</t>
  </si>
  <si>
    <t>D003838</t>
  </si>
  <si>
    <t>O03646</t>
  </si>
  <si>
    <t>M003839</t>
  </si>
  <si>
    <t>D003839</t>
  </si>
  <si>
    <t>O03647</t>
  </si>
  <si>
    <t>M003840</t>
  </si>
  <si>
    <t>D003840</t>
  </si>
  <si>
    <t>O03648</t>
  </si>
  <si>
    <t>M003841</t>
  </si>
  <si>
    <t>D003841</t>
  </si>
  <si>
    <t>O03649</t>
  </si>
  <si>
    <t>M003842</t>
  </si>
  <si>
    <t>D003842</t>
  </si>
  <si>
    <t>O03650</t>
  </si>
  <si>
    <t>M003843</t>
  </si>
  <si>
    <t>D003843</t>
  </si>
  <si>
    <t>M003844</t>
  </si>
  <si>
    <t>D003844</t>
  </si>
  <si>
    <t>O03651</t>
  </si>
  <si>
    <t>M003845</t>
  </si>
  <si>
    <t>D003845</t>
  </si>
  <si>
    <t>O03652</t>
  </si>
  <si>
    <t>M003846</t>
  </si>
  <si>
    <t>D003846</t>
  </si>
  <si>
    <t>O03653</t>
  </si>
  <si>
    <t>M003847</t>
  </si>
  <si>
    <t>D003847</t>
  </si>
  <si>
    <t>O03654</t>
  </si>
  <si>
    <t>M003848</t>
  </si>
  <si>
    <t>D003848</t>
  </si>
  <si>
    <t>O03655</t>
  </si>
  <si>
    <t>M003849</t>
  </si>
  <si>
    <t>D003849</t>
  </si>
  <si>
    <t>O03656</t>
  </si>
  <si>
    <t>M003850</t>
  </si>
  <si>
    <t>D003850</t>
  </si>
  <si>
    <t>O03657</t>
  </si>
  <si>
    <t>M003851</t>
  </si>
  <si>
    <t>D003851</t>
  </si>
  <si>
    <t>O03658</t>
  </si>
  <si>
    <t>M003852</t>
  </si>
  <si>
    <t>D003852</t>
  </si>
  <si>
    <t>O03659</t>
  </si>
  <si>
    <t>M003853</t>
  </si>
  <si>
    <t>D003853</t>
  </si>
  <si>
    <t>O03660</t>
  </si>
  <si>
    <t>M003854</t>
  </si>
  <si>
    <t>D003854</t>
  </si>
  <si>
    <t>O03661</t>
  </si>
  <si>
    <t>M003855</t>
  </si>
  <si>
    <t>D003855</t>
  </si>
  <si>
    <t>O03662</t>
  </si>
  <si>
    <t>M003856</t>
  </si>
  <si>
    <t>D003856</t>
  </si>
  <si>
    <t>O03663</t>
  </si>
  <si>
    <t>M003857</t>
  </si>
  <si>
    <t>D003857</t>
  </si>
  <si>
    <t>O03664</t>
  </si>
  <si>
    <t>M003858</t>
  </si>
  <si>
    <t>D003858</t>
  </si>
  <si>
    <t>O03665</t>
  </si>
  <si>
    <t>M003859</t>
  </si>
  <si>
    <t>D003859</t>
  </si>
  <si>
    <t>O03666</t>
  </si>
  <si>
    <t>M003860</t>
  </si>
  <si>
    <t>D003860</t>
  </si>
  <si>
    <t>O03667</t>
  </si>
  <si>
    <t>M003861</t>
  </si>
  <si>
    <t>D003861</t>
  </si>
  <si>
    <t>O03668</t>
  </si>
  <si>
    <t>M003862</t>
  </si>
  <si>
    <t>D003862</t>
  </si>
  <si>
    <t>O03669</t>
  </si>
  <si>
    <t>M003863</t>
  </si>
  <si>
    <t>D003863</t>
  </si>
  <si>
    <t>O03670</t>
  </si>
  <si>
    <t>M003864</t>
  </si>
  <si>
    <t>D003864</t>
  </si>
  <si>
    <t>O03671</t>
  </si>
  <si>
    <t>M003865</t>
  </si>
  <si>
    <t>D003865</t>
  </si>
  <si>
    <t>O03672</t>
  </si>
  <si>
    <t>M003866</t>
  </si>
  <si>
    <t>D003866</t>
  </si>
  <si>
    <t>O03673</t>
  </si>
  <si>
    <t>M003867</t>
  </si>
  <si>
    <t>D003867</t>
  </si>
  <si>
    <t>O03674</t>
  </si>
  <si>
    <t>M003868</t>
  </si>
  <si>
    <t>D003868</t>
  </si>
  <si>
    <t>O03675</t>
  </si>
  <si>
    <t>M003869</t>
  </si>
  <si>
    <t>D003869</t>
  </si>
  <si>
    <t>O03676</t>
  </si>
  <si>
    <t>M003870</t>
  </si>
  <si>
    <t>D003870</t>
  </si>
  <si>
    <t>O03677</t>
  </si>
  <si>
    <t>M003871</t>
  </si>
  <si>
    <t>D003871</t>
  </si>
  <si>
    <t>O03678</t>
  </si>
  <si>
    <t>M003872</t>
  </si>
  <si>
    <t>D003872</t>
  </si>
  <si>
    <t>O03679</t>
  </si>
  <si>
    <t>M003873</t>
  </si>
  <si>
    <t>D003873</t>
  </si>
  <si>
    <t>O03680</t>
  </si>
  <si>
    <t>M003874</t>
  </si>
  <si>
    <t>D003874</t>
  </si>
  <si>
    <t>O03681</t>
  </si>
  <si>
    <t>M003875</t>
  </si>
  <si>
    <t>D003875</t>
  </si>
  <si>
    <t>O03682</t>
  </si>
  <si>
    <t>M003876</t>
  </si>
  <si>
    <t>D003876</t>
  </si>
  <si>
    <t>O03683</t>
  </si>
  <si>
    <t>M003877</t>
  </si>
  <si>
    <t>D003877</t>
  </si>
  <si>
    <t>O03684</t>
  </si>
  <si>
    <t>M003878</t>
  </si>
  <si>
    <t>D003878</t>
  </si>
  <si>
    <t>O03685</t>
  </si>
  <si>
    <t>M003879</t>
  </si>
  <si>
    <t>D003879</t>
  </si>
  <si>
    <t>O03686</t>
  </si>
  <si>
    <t>M003880</t>
  </si>
  <si>
    <t>D003880</t>
  </si>
  <si>
    <t>O03687</t>
  </si>
  <si>
    <t>M003881</t>
  </si>
  <si>
    <t>D003881</t>
  </si>
  <si>
    <t>O03688</t>
  </si>
  <si>
    <t>M003882</t>
  </si>
  <si>
    <t>D003882</t>
  </si>
  <si>
    <t>O03689</t>
  </si>
  <si>
    <t>M003883</t>
  </si>
  <si>
    <t>D003883</t>
  </si>
  <si>
    <t>O03690</t>
  </si>
  <si>
    <t>M003884</t>
  </si>
  <si>
    <t>D003884</t>
  </si>
  <si>
    <t>O03691</t>
  </si>
  <si>
    <t>M003885</t>
  </si>
  <si>
    <t>D003885</t>
  </si>
  <si>
    <t>O03692</t>
  </si>
  <si>
    <t>M003886</t>
  </si>
  <si>
    <t>D003886</t>
  </si>
  <si>
    <t>O03693</t>
  </si>
  <si>
    <t>M003887</t>
  </si>
  <si>
    <t>D003887</t>
  </si>
  <si>
    <t>O03694</t>
  </si>
  <si>
    <t>M003888</t>
  </si>
  <si>
    <t>D003888</t>
  </si>
  <si>
    <t>O03695</t>
  </si>
  <si>
    <t>M003889</t>
  </si>
  <si>
    <t>D003889</t>
  </si>
  <si>
    <t>O03696</t>
  </si>
  <si>
    <t>M003890</t>
  </si>
  <si>
    <t>D003890</t>
  </si>
  <si>
    <t>O03697</t>
  </si>
  <si>
    <t>M003891</t>
  </si>
  <si>
    <t>D003891</t>
  </si>
  <si>
    <t>O03698</t>
  </si>
  <si>
    <t>M003892</t>
  </si>
  <si>
    <t>D003892</t>
  </si>
  <si>
    <t>O03699</t>
  </si>
  <si>
    <t>M003893</t>
  </si>
  <si>
    <t>D003893</t>
  </si>
  <si>
    <t>O03700</t>
  </si>
  <si>
    <t>M003894</t>
  </si>
  <si>
    <t>D003894</t>
  </si>
  <si>
    <t>O03701</t>
  </si>
  <si>
    <t>M003895</t>
  </si>
  <si>
    <t>D003895</t>
  </si>
  <si>
    <t>O03702</t>
  </si>
  <si>
    <t>M003896</t>
  </si>
  <si>
    <t>D003896</t>
  </si>
  <si>
    <t>O03703</t>
  </si>
  <si>
    <t>M003897</t>
  </si>
  <si>
    <t>D003897</t>
  </si>
  <si>
    <t>O03704</t>
  </si>
  <si>
    <t>M003898</t>
  </si>
  <si>
    <t>D003898</t>
  </si>
  <si>
    <t>O03705</t>
  </si>
  <si>
    <t>M003899</t>
  </si>
  <si>
    <t>D003899</t>
  </si>
  <si>
    <t>O03706</t>
  </si>
  <si>
    <t>M003900</t>
  </si>
  <si>
    <t>D003900</t>
  </si>
  <si>
    <t>O03707</t>
  </si>
  <si>
    <t>M003901</t>
  </si>
  <si>
    <t>D003901</t>
  </si>
  <si>
    <t>O03708</t>
  </si>
  <si>
    <t>M003902</t>
  </si>
  <si>
    <t>D003902</t>
  </si>
  <si>
    <t>O03709</t>
  </si>
  <si>
    <t>M003903</t>
  </si>
  <si>
    <t>D003903</t>
  </si>
  <si>
    <t>O03710</t>
  </si>
  <si>
    <t>M003904</t>
  </si>
  <si>
    <t>D003904</t>
  </si>
  <si>
    <t>O03711</t>
  </si>
  <si>
    <t>M003905</t>
  </si>
  <si>
    <t>D003905</t>
  </si>
  <si>
    <t>O03712</t>
  </si>
  <si>
    <t>M003906</t>
  </si>
  <si>
    <t>D003906</t>
  </si>
  <si>
    <t>O03713</t>
  </si>
  <si>
    <t>M003907</t>
  </si>
  <si>
    <t>D003907</t>
  </si>
  <si>
    <t>O03714</t>
  </si>
  <si>
    <t>M003908</t>
  </si>
  <si>
    <t>D003908</t>
  </si>
  <si>
    <t>O03715</t>
  </si>
  <si>
    <t>M003909</t>
  </si>
  <si>
    <t>D003909</t>
  </si>
  <si>
    <t>O03716</t>
  </si>
  <si>
    <t>M003910</t>
  </si>
  <si>
    <t>D003910</t>
  </si>
  <si>
    <t>O03717</t>
  </si>
  <si>
    <t>M003911</t>
  </si>
  <si>
    <t>D003911</t>
  </si>
  <si>
    <t>O03718</t>
  </si>
  <si>
    <t>M003912</t>
  </si>
  <si>
    <t>D003912</t>
  </si>
  <si>
    <t>O03719</t>
  </si>
  <si>
    <t>M003913</t>
  </si>
  <si>
    <t>D003913</t>
  </si>
  <si>
    <t>O03720</t>
  </si>
  <si>
    <t>M003914</t>
  </si>
  <si>
    <t>D003914</t>
  </si>
  <si>
    <t>O03721</t>
  </si>
  <si>
    <t>M003915</t>
  </si>
  <si>
    <t>D003915</t>
  </si>
  <si>
    <t>O03722</t>
  </si>
  <si>
    <t>M003916</t>
  </si>
  <si>
    <t>D003916</t>
  </si>
  <si>
    <t>O03723</t>
  </si>
  <si>
    <t>M003917</t>
  </si>
  <si>
    <t>D003917</t>
  </si>
  <si>
    <t>O03724</t>
  </si>
  <si>
    <t>M003918</t>
  </si>
  <si>
    <t>D003918</t>
  </si>
  <si>
    <t>O03725</t>
  </si>
  <si>
    <t>M003919</t>
  </si>
  <si>
    <t>D003919</t>
  </si>
  <si>
    <t>O03726</t>
  </si>
  <si>
    <t>M003920</t>
  </si>
  <si>
    <t>D003920</t>
  </si>
  <si>
    <t>O03727</t>
  </si>
  <si>
    <t>M003921</t>
  </si>
  <si>
    <t>D003921</t>
  </si>
  <si>
    <t>O03728</t>
  </si>
  <si>
    <t>M003922</t>
  </si>
  <si>
    <t>D003922</t>
  </si>
  <si>
    <t>O03729</t>
  </si>
  <si>
    <t>M003923</t>
  </si>
  <si>
    <t>D003923</t>
  </si>
  <si>
    <t>O03730</t>
  </si>
  <si>
    <t>M003924</t>
  </si>
  <si>
    <t>D003924</t>
  </si>
  <si>
    <t>O03731</t>
  </si>
  <si>
    <t>M003925</t>
  </si>
  <si>
    <t>D003925</t>
  </si>
  <si>
    <t>O03732</t>
  </si>
  <si>
    <t>M003926</t>
  </si>
  <si>
    <t>D003926</t>
  </si>
  <si>
    <t>O03733</t>
  </si>
  <si>
    <t>M003927</t>
  </si>
  <si>
    <t>D003927</t>
  </si>
  <si>
    <t>O03734</t>
  </si>
  <si>
    <t>M003928</t>
  </si>
  <si>
    <t>D003928</t>
  </si>
  <si>
    <t>O03735</t>
  </si>
  <si>
    <t>M003929</t>
  </si>
  <si>
    <t>D003929</t>
  </si>
  <si>
    <t>O03736</t>
  </si>
  <si>
    <t>M003930</t>
  </si>
  <si>
    <t>D003930</t>
  </si>
  <si>
    <t>O03737</t>
  </si>
  <si>
    <t>M003931</t>
  </si>
  <si>
    <t>D003931</t>
  </si>
  <si>
    <t>O03738</t>
  </si>
  <si>
    <t>M003932</t>
  </si>
  <si>
    <t>D003932</t>
  </si>
  <si>
    <t>O03739</t>
  </si>
  <si>
    <t>M003933</t>
  </si>
  <si>
    <t>D003933</t>
  </si>
  <si>
    <t>O03740</t>
  </si>
  <si>
    <t>M003934</t>
  </si>
  <si>
    <t>D003934</t>
  </si>
  <si>
    <t>O03741</t>
  </si>
  <si>
    <t>M003935</t>
  </si>
  <si>
    <t>D003935</t>
  </si>
  <si>
    <t>O03742</t>
  </si>
  <si>
    <t>M003936</t>
  </si>
  <si>
    <t>D003936</t>
  </si>
  <si>
    <t>O03743</t>
  </si>
  <si>
    <t>M003937</t>
  </si>
  <si>
    <t>D003937</t>
  </si>
  <si>
    <t>M003938</t>
  </si>
  <si>
    <t>D003938</t>
  </si>
  <si>
    <t>O03744</t>
  </si>
  <si>
    <t>M003939</t>
  </si>
  <si>
    <t>D003939</t>
  </si>
  <si>
    <t>O03745</t>
  </si>
  <si>
    <t>M003940</t>
  </si>
  <si>
    <t>D003940</t>
  </si>
  <si>
    <t>O03746</t>
  </si>
  <si>
    <t>M003941</t>
  </si>
  <si>
    <t>D003941</t>
  </si>
  <si>
    <t>O03747</t>
  </si>
  <si>
    <t>M003942</t>
  </si>
  <si>
    <t>D003942</t>
  </si>
  <si>
    <t>O03748</t>
  </si>
  <si>
    <t>M003943</t>
  </si>
  <si>
    <t>D003943</t>
  </si>
  <si>
    <t>O03749</t>
  </si>
  <si>
    <t>M003944</t>
  </si>
  <si>
    <t>D003944</t>
  </si>
  <si>
    <t>O03750</t>
  </si>
  <si>
    <t>M003945</t>
  </si>
  <si>
    <t>D003945</t>
  </si>
  <si>
    <t>O03751</t>
  </si>
  <si>
    <t>M003946</t>
  </si>
  <si>
    <t>D003946</t>
  </si>
  <si>
    <t>O03752</t>
  </si>
  <si>
    <t>M003947</t>
  </si>
  <si>
    <t>D003947</t>
  </si>
  <si>
    <t>O03753</t>
  </si>
  <si>
    <t>M003948</t>
  </si>
  <si>
    <t>D003948</t>
  </si>
  <si>
    <t>O03754</t>
  </si>
  <si>
    <t>M003949</t>
  </si>
  <si>
    <t>D003949</t>
  </si>
  <si>
    <t>O03755</t>
  </si>
  <si>
    <t>M003950</t>
  </si>
  <si>
    <t>D003950</t>
  </si>
  <si>
    <t>O03756</t>
  </si>
  <si>
    <t>M003951</t>
  </si>
  <si>
    <t>D003951</t>
  </si>
  <si>
    <t>O03757</t>
  </si>
  <si>
    <t>M003952</t>
  </si>
  <si>
    <t>D003952</t>
  </si>
  <si>
    <t>O03758</t>
  </si>
  <si>
    <t>M003953</t>
  </si>
  <si>
    <t>D003953</t>
  </si>
  <si>
    <t>O03759</t>
  </si>
  <si>
    <t>M003954</t>
  </si>
  <si>
    <t>D003954</t>
  </si>
  <si>
    <t>O03760</t>
  </si>
  <si>
    <t>M003955</t>
  </si>
  <si>
    <t>D003955</t>
  </si>
  <si>
    <t>O03761</t>
  </si>
  <si>
    <t>M003956</t>
  </si>
  <si>
    <t>D003956</t>
  </si>
  <si>
    <t>O03762</t>
  </si>
  <si>
    <t>M003957</t>
  </si>
  <si>
    <t>D003957</t>
  </si>
  <si>
    <t>O03763</t>
  </si>
  <si>
    <t>M003958</t>
  </si>
  <si>
    <t>D003958</t>
  </si>
  <si>
    <t>O03764</t>
  </si>
  <si>
    <t>M003959</t>
  </si>
  <si>
    <t>D003959</t>
  </si>
  <si>
    <t>O03765</t>
  </si>
  <si>
    <t>M003960</t>
  </si>
  <si>
    <t>D003960</t>
  </si>
  <si>
    <t>M003961</t>
  </si>
  <si>
    <t>D003961</t>
  </si>
  <si>
    <t>O03766</t>
  </si>
  <si>
    <t>M003962</t>
  </si>
  <si>
    <t>D003962</t>
  </si>
  <si>
    <t>O03767</t>
  </si>
  <si>
    <t>M003963</t>
  </si>
  <si>
    <t>D003963</t>
  </si>
  <si>
    <t>M003964</t>
  </si>
  <si>
    <t>D003964</t>
  </si>
  <si>
    <t>O03768</t>
  </si>
  <si>
    <t>M003965</t>
  </si>
  <si>
    <t>D003965</t>
  </si>
  <si>
    <t>O03769</t>
  </si>
  <si>
    <t>M003966</t>
  </si>
  <si>
    <t>D003966</t>
  </si>
  <si>
    <t>O03770</t>
  </si>
  <si>
    <t>M003967</t>
  </si>
  <si>
    <t>D003967</t>
  </si>
  <si>
    <t>O03771</t>
  </si>
  <si>
    <t>M003968</t>
  </si>
  <si>
    <t>D003968</t>
  </si>
  <si>
    <t>O03772</t>
  </si>
  <si>
    <t>M003969</t>
  </si>
  <si>
    <t>D003969</t>
  </si>
  <si>
    <t>O03773</t>
  </si>
  <si>
    <t>M003970</t>
  </si>
  <si>
    <t>D003970</t>
  </si>
  <si>
    <t>O03774</t>
  </si>
  <si>
    <t>M003971</t>
  </si>
  <si>
    <t>D003971</t>
  </si>
  <si>
    <t>O03775</t>
  </si>
  <si>
    <t>M003972</t>
  </si>
  <si>
    <t>D003972</t>
  </si>
  <si>
    <t>O03776</t>
  </si>
  <si>
    <t>M003973</t>
  </si>
  <si>
    <t>D003973</t>
  </si>
  <si>
    <t>O03777</t>
  </si>
  <si>
    <t>M003974</t>
  </si>
  <si>
    <t>D003974</t>
  </si>
  <si>
    <t>O03778</t>
  </si>
  <si>
    <t>M003975</t>
  </si>
  <si>
    <t>D003975</t>
  </si>
  <si>
    <t>O03779</t>
  </si>
  <si>
    <t>M003976</t>
  </si>
  <si>
    <t>D003976</t>
  </si>
  <si>
    <t>O03780</t>
  </si>
  <si>
    <t>M003977</t>
  </si>
  <si>
    <t>D003977</t>
  </si>
  <si>
    <t>O03781</t>
  </si>
  <si>
    <t>M003978</t>
  </si>
  <si>
    <t>D003978</t>
  </si>
  <si>
    <t>O03782</t>
  </si>
  <si>
    <t>M003979</t>
  </si>
  <si>
    <t>D003979</t>
  </si>
  <si>
    <t>O03783</t>
  </si>
  <si>
    <t>M003980</t>
  </si>
  <si>
    <t>D003980</t>
  </si>
  <si>
    <t>O03784</t>
  </si>
  <si>
    <t>M003981</t>
  </si>
  <si>
    <t>D003981</t>
  </si>
  <si>
    <t>O03785</t>
  </si>
  <si>
    <t>M003982</t>
  </si>
  <si>
    <t>D003982</t>
  </si>
  <si>
    <t>O03786</t>
  </si>
  <si>
    <t>M003983</t>
  </si>
  <si>
    <t>D003983</t>
  </si>
  <si>
    <t>O03787</t>
  </si>
  <si>
    <t>M003984</t>
  </si>
  <si>
    <t>D003984</t>
  </si>
  <si>
    <t>O03788</t>
  </si>
  <si>
    <t>M003985</t>
  </si>
  <si>
    <t>D003985</t>
  </si>
  <si>
    <t>O03789</t>
  </si>
  <si>
    <t>M003986</t>
  </si>
  <si>
    <t>D003986</t>
  </si>
  <si>
    <t>O03790</t>
  </si>
  <si>
    <t>M003987</t>
  </si>
  <si>
    <t>D003987</t>
  </si>
  <si>
    <t>O03791</t>
  </si>
  <si>
    <t>M003988</t>
  </si>
  <si>
    <t>D003988</t>
  </si>
  <si>
    <t>O03792</t>
  </si>
  <si>
    <t>M003989</t>
  </si>
  <si>
    <t>D003989</t>
  </si>
  <si>
    <t>O03793</t>
  </si>
  <si>
    <t>M003990</t>
  </si>
  <si>
    <t>D003990</t>
  </si>
  <si>
    <t>O03794</t>
  </si>
  <si>
    <t>M003991</t>
  </si>
  <si>
    <t>D003991</t>
  </si>
  <si>
    <t>O03795</t>
  </si>
  <si>
    <t>M003992</t>
  </si>
  <si>
    <t>D003992</t>
  </si>
  <si>
    <t>O03796</t>
  </si>
  <si>
    <t>M003993</t>
  </si>
  <si>
    <t>D003993</t>
  </si>
  <si>
    <t>O03797</t>
  </si>
  <si>
    <t>M003994</t>
  </si>
  <si>
    <t>D003994</t>
  </si>
  <si>
    <t>O03798</t>
  </si>
  <si>
    <t>M003995</t>
  </si>
  <si>
    <t>D003995</t>
  </si>
  <si>
    <t>O03799</t>
  </si>
  <si>
    <t>M003996</t>
  </si>
  <si>
    <t>D003996</t>
  </si>
  <si>
    <t>O03800</t>
  </si>
  <si>
    <t>M003997</t>
  </si>
  <si>
    <t>D003997</t>
  </si>
  <si>
    <t>O03801</t>
  </si>
  <si>
    <t>M003998</t>
  </si>
  <si>
    <t>D003998</t>
  </si>
  <si>
    <t>O03802</t>
  </si>
  <si>
    <t>M003999</t>
  </si>
  <si>
    <t>D003999</t>
  </si>
  <si>
    <t>M004000</t>
  </si>
  <si>
    <t>D004000</t>
  </si>
  <si>
    <t>O03803</t>
  </si>
  <si>
    <t>M004001</t>
  </si>
  <si>
    <t>D004001</t>
  </si>
  <si>
    <t>O03804</t>
  </si>
  <si>
    <t>M004002</t>
  </si>
  <si>
    <t>D004002</t>
  </si>
  <si>
    <t>O03805</t>
  </si>
  <si>
    <t>M004003</t>
  </si>
  <si>
    <t>D004003</t>
  </si>
  <si>
    <t>O03806</t>
  </si>
  <si>
    <t>M004004</t>
  </si>
  <si>
    <t>D004004</t>
  </si>
  <si>
    <t>O03807</t>
  </si>
  <si>
    <t>M004005</t>
  </si>
  <si>
    <t>D004005</t>
  </si>
  <si>
    <t>O03808</t>
  </si>
  <si>
    <t>M004006</t>
  </si>
  <si>
    <t>D004006</t>
  </si>
  <si>
    <t>O03809</t>
  </si>
  <si>
    <t>M004007</t>
  </si>
  <si>
    <t>D004007</t>
  </si>
  <si>
    <t>O03810</t>
  </si>
  <si>
    <t>M004008</t>
  </si>
  <si>
    <t>D004008</t>
  </si>
  <si>
    <t>O03811</t>
  </si>
  <si>
    <t>M004009</t>
  </si>
  <si>
    <t>D004009</t>
  </si>
  <si>
    <t>O03812</t>
  </si>
  <si>
    <t>M004010</t>
  </si>
  <si>
    <t>D004010</t>
  </si>
  <si>
    <t>O03813</t>
  </si>
  <si>
    <t>M004011</t>
  </si>
  <si>
    <t>D004011</t>
  </si>
  <si>
    <t>O03814</t>
  </si>
  <si>
    <t>M004012</t>
  </si>
  <si>
    <t>D004012</t>
  </si>
  <si>
    <t>O03815</t>
  </si>
  <si>
    <t>M004013</t>
  </si>
  <si>
    <t>D004013</t>
  </si>
  <si>
    <t>O03816</t>
  </si>
  <si>
    <t>M004014</t>
  </si>
  <si>
    <t>D004014</t>
  </si>
  <si>
    <t>O03817</t>
  </si>
  <si>
    <t>M004015</t>
  </si>
  <si>
    <t>D004015</t>
  </si>
  <si>
    <t>O03818</t>
  </si>
  <si>
    <t>M004016</t>
  </si>
  <si>
    <t>D004016</t>
  </si>
  <si>
    <t>O03819</t>
  </si>
  <si>
    <t>M004017</t>
  </si>
  <si>
    <t>D004017</t>
  </si>
  <si>
    <t>O03820</t>
  </si>
  <si>
    <t>M004018</t>
  </si>
  <si>
    <t>D004018</t>
  </si>
  <si>
    <t>O03821</t>
  </si>
  <si>
    <t>M004019</t>
  </si>
  <si>
    <t>D004019</t>
  </si>
  <si>
    <t>O03822</t>
  </si>
  <si>
    <t>M004020</t>
  </si>
  <si>
    <t>D004020</t>
  </si>
  <si>
    <t>O03823</t>
  </si>
  <si>
    <t>M004021</t>
  </si>
  <si>
    <t>D004021</t>
  </si>
  <si>
    <t>M004022</t>
  </si>
  <si>
    <t>D004022</t>
  </si>
  <si>
    <t>O03824</t>
  </si>
  <si>
    <t>M004023</t>
  </si>
  <si>
    <t>D004023</t>
  </si>
  <si>
    <t>O03825</t>
  </si>
  <si>
    <t>M004024</t>
  </si>
  <si>
    <t>D004024</t>
  </si>
  <si>
    <t>O03826</t>
  </si>
  <si>
    <t>M004025</t>
  </si>
  <si>
    <t>D004025</t>
  </si>
  <si>
    <t>O03827</t>
  </si>
  <si>
    <t>M004026</t>
  </si>
  <si>
    <t>D004026</t>
  </si>
  <si>
    <t>O03828</t>
  </si>
  <si>
    <t>M004027</t>
  </si>
  <si>
    <t>D004027</t>
  </si>
  <si>
    <t>O03829</t>
  </si>
  <si>
    <t>M004028</t>
  </si>
  <si>
    <t>D004028</t>
  </si>
  <si>
    <t>O03830</t>
  </si>
  <si>
    <t>M004029</t>
  </si>
  <si>
    <t>D004029</t>
  </si>
  <si>
    <t>O03831</t>
  </si>
  <si>
    <t>M004030</t>
  </si>
  <si>
    <t>D004030</t>
  </si>
  <si>
    <t>O03832</t>
  </si>
  <si>
    <t>M004031</t>
  </si>
  <si>
    <t>D004031</t>
  </si>
  <si>
    <t>O03833</t>
  </si>
  <si>
    <t>M004032</t>
  </si>
  <si>
    <t>D004032</t>
  </si>
  <si>
    <t>O03834</t>
  </si>
  <si>
    <t>M004033</t>
  </si>
  <si>
    <t>D004033</t>
  </si>
  <si>
    <t>O03835</t>
  </si>
  <si>
    <t>M004034</t>
  </si>
  <si>
    <t>D004034</t>
  </si>
  <si>
    <t>O03836</t>
  </si>
  <si>
    <t>M004035</t>
  </si>
  <si>
    <t>D004035</t>
  </si>
  <si>
    <t>O03837</t>
  </si>
  <si>
    <t>M004036</t>
  </si>
  <si>
    <t>D004036</t>
  </si>
  <si>
    <t>O03838</t>
  </si>
  <si>
    <t>M004037</t>
  </si>
  <si>
    <t>D004037</t>
  </si>
  <si>
    <t>O03839</t>
  </si>
  <si>
    <t>M004038</t>
  </si>
  <si>
    <t>D004038</t>
  </si>
  <si>
    <t>O03840</t>
  </si>
  <si>
    <t>M004039</t>
  </si>
  <si>
    <t>D004039</t>
  </si>
  <si>
    <t>O03841</t>
  </si>
  <si>
    <t>M004040</t>
  </si>
  <si>
    <t>D004040</t>
  </si>
  <si>
    <t>O03842</t>
  </si>
  <si>
    <t>M004041</t>
  </si>
  <si>
    <t>D004041</t>
  </si>
  <si>
    <t>O03843</t>
  </si>
  <si>
    <t>M004042</t>
  </si>
  <si>
    <t>D004042</t>
  </si>
  <si>
    <t>O03844</t>
  </si>
  <si>
    <t>M004043</t>
  </si>
  <si>
    <t>D004043</t>
  </si>
  <si>
    <t>O03845</t>
  </si>
  <si>
    <t>M004044</t>
  </si>
  <si>
    <t>D004044</t>
  </si>
  <si>
    <t>O03846</t>
  </si>
  <si>
    <t>M004045</t>
  </si>
  <si>
    <t>D004045</t>
  </si>
  <si>
    <t>O03847</t>
  </si>
  <si>
    <t>M004046</t>
  </si>
  <si>
    <t>D004046</t>
  </si>
  <si>
    <t>O03848</t>
  </si>
  <si>
    <t>M004047</t>
  </si>
  <si>
    <t>D004047</t>
  </si>
  <si>
    <t>O03849</t>
  </si>
  <si>
    <t>M004048</t>
  </si>
  <si>
    <t>D004048</t>
  </si>
  <si>
    <t>O03850</t>
  </si>
  <si>
    <t>M004049</t>
  </si>
  <si>
    <t>D004049</t>
  </si>
  <si>
    <t>O03851</t>
  </si>
  <si>
    <t>M004050</t>
  </si>
  <si>
    <t>D004050</t>
  </si>
  <si>
    <t>O03852</t>
  </si>
  <si>
    <t>M004051</t>
  </si>
  <si>
    <t>D004051</t>
  </si>
  <si>
    <t>O03853</t>
  </si>
  <si>
    <t>M004052</t>
  </si>
  <si>
    <t>D004052</t>
  </si>
  <si>
    <t>O03854</t>
  </si>
  <si>
    <t>M004053</t>
  </si>
  <si>
    <t>D004053</t>
  </si>
  <si>
    <t>O03855</t>
  </si>
  <si>
    <t>M004054</t>
  </si>
  <si>
    <t>D004054</t>
  </si>
  <si>
    <t>O03856</t>
  </si>
  <si>
    <t>M004055</t>
  </si>
  <si>
    <t>D004055</t>
  </si>
  <si>
    <t>O03857</t>
  </si>
  <si>
    <t>M004056</t>
  </si>
  <si>
    <t>D004056</t>
  </si>
  <si>
    <t>O03858</t>
  </si>
  <si>
    <t>M004057</t>
  </si>
  <si>
    <t>D004057</t>
  </si>
  <si>
    <t>O03859</t>
  </si>
  <si>
    <t>M004058</t>
  </si>
  <si>
    <t>D004058</t>
  </si>
  <si>
    <t>O03860</t>
  </si>
  <si>
    <t>M004059</t>
  </si>
  <si>
    <t>D004059</t>
  </si>
  <si>
    <t>O03861</t>
  </si>
  <si>
    <t>M004060</t>
  </si>
  <si>
    <t>D004060</t>
  </si>
  <si>
    <t>O03862</t>
  </si>
  <si>
    <t>M004061</t>
  </si>
  <si>
    <t>D004061</t>
  </si>
  <si>
    <t>O03863</t>
  </si>
  <si>
    <t>M004062</t>
  </si>
  <si>
    <t>D004062</t>
  </si>
  <si>
    <t>O03864</t>
  </si>
  <si>
    <t>M004063</t>
  </si>
  <si>
    <t>D004063</t>
  </si>
  <si>
    <t>O03865</t>
  </si>
  <si>
    <t>M004064</t>
  </si>
  <si>
    <t>D004064</t>
  </si>
  <si>
    <t>O03866</t>
  </si>
  <si>
    <t>M004065</t>
  </si>
  <si>
    <t>D004065</t>
  </si>
  <si>
    <t>O03867</t>
  </si>
  <si>
    <t>M004066</t>
  </si>
  <si>
    <t>D004066</t>
  </si>
  <si>
    <t>O03868</t>
  </si>
  <si>
    <t>M004067</t>
  </si>
  <si>
    <t>D004067</t>
  </si>
  <si>
    <t>O03869</t>
  </si>
  <si>
    <t>M004068</t>
  </si>
  <si>
    <t>D004068</t>
  </si>
  <si>
    <t>O03870</t>
  </si>
  <si>
    <t>M004069</t>
  </si>
  <si>
    <t>D004069</t>
  </si>
  <si>
    <t>O03871</t>
  </si>
  <si>
    <t>M004070</t>
  </si>
  <si>
    <t>D004070</t>
  </si>
  <si>
    <t>O03872</t>
  </si>
  <si>
    <t>M004071</t>
  </si>
  <si>
    <t>D004071</t>
  </si>
  <si>
    <t>O03873</t>
  </si>
  <si>
    <t>M004072</t>
  </si>
  <si>
    <t>D004072</t>
  </si>
  <si>
    <t>O03874</t>
  </si>
  <si>
    <t>M004073</t>
  </si>
  <si>
    <t>D004073</t>
  </si>
  <si>
    <t>O03875</t>
  </si>
  <si>
    <t>M004074</t>
  </si>
  <si>
    <t>D004074</t>
  </si>
  <si>
    <t>O03876</t>
  </si>
  <si>
    <t>M004075</t>
  </si>
  <si>
    <t>D004075</t>
  </si>
  <si>
    <t>O03877</t>
  </si>
  <si>
    <t>M004076</t>
  </si>
  <si>
    <t>D004076</t>
  </si>
  <si>
    <t>O03878</t>
  </si>
  <si>
    <t>M004077</t>
  </si>
  <si>
    <t>D004077</t>
  </si>
  <si>
    <t>O03879</t>
  </si>
  <si>
    <t>M004078</t>
  </si>
  <si>
    <t>D004078</t>
  </si>
  <si>
    <t>O03880</t>
  </si>
  <si>
    <t>M004079</t>
  </si>
  <si>
    <t>D004079</t>
  </si>
  <si>
    <t>O03881</t>
  </si>
  <si>
    <t>M004080</t>
  </si>
  <si>
    <t>D004080</t>
  </si>
  <si>
    <t>O03882</t>
  </si>
  <si>
    <t>M004081</t>
  </si>
  <si>
    <t>D004081</t>
  </si>
  <si>
    <t>O03883</t>
  </si>
  <si>
    <t>M004082</t>
  </si>
  <si>
    <t>D004082</t>
  </si>
  <si>
    <t>O03884</t>
  </si>
  <si>
    <t>M004083</t>
  </si>
  <si>
    <t>D004083</t>
  </si>
  <si>
    <t>O03885</t>
  </si>
  <si>
    <t>M004084</t>
  </si>
  <si>
    <t>D004084</t>
  </si>
  <si>
    <t>O03886</t>
  </si>
  <si>
    <t>M004085</t>
  </si>
  <si>
    <t>D004085</t>
  </si>
  <si>
    <t>M004086</t>
  </si>
  <si>
    <t>D004086</t>
  </si>
  <si>
    <t>O03887</t>
  </si>
  <si>
    <t>M004087</t>
  </si>
  <si>
    <t>D004087</t>
  </si>
  <si>
    <t>O03888</t>
  </si>
  <si>
    <t>M004088</t>
  </si>
  <si>
    <t>D004088</t>
  </si>
  <si>
    <t>O03889</t>
  </si>
  <si>
    <t>M004089</t>
  </si>
  <si>
    <t>D004089</t>
  </si>
  <si>
    <t>O03890</t>
  </si>
  <si>
    <t>M004090</t>
  </si>
  <si>
    <t>D004090</t>
  </si>
  <si>
    <t>O03891</t>
  </si>
  <si>
    <t>M004091</t>
  </si>
  <si>
    <t>D004091</t>
  </si>
  <si>
    <t>O03892</t>
  </si>
  <si>
    <t>M004092</t>
  </si>
  <si>
    <t>D004092</t>
  </si>
  <si>
    <t>O03893</t>
  </si>
  <si>
    <t>M004093</t>
  </si>
  <si>
    <t>D004093</t>
  </si>
  <si>
    <t>O03894</t>
  </si>
  <si>
    <t>M004094</t>
  </si>
  <si>
    <t>D004094</t>
  </si>
  <si>
    <t>O03895</t>
  </si>
  <si>
    <t>M004095</t>
  </si>
  <si>
    <t>D004095</t>
  </si>
  <si>
    <t>O03896</t>
  </si>
  <si>
    <t>M004096</t>
  </si>
  <si>
    <t>D004096</t>
  </si>
  <si>
    <t>O03897</t>
  </si>
  <si>
    <t>M004097</t>
  </si>
  <si>
    <t>D004097</t>
  </si>
  <si>
    <t>O03898</t>
  </si>
  <si>
    <t>M004098</t>
  </si>
  <si>
    <t>D004098</t>
  </si>
  <si>
    <t>O03899</t>
  </si>
  <si>
    <t>M004099</t>
  </si>
  <si>
    <t>D004099</t>
  </si>
  <si>
    <t>O03900</t>
  </si>
  <si>
    <t>M004100</t>
  </si>
  <si>
    <t>D004100</t>
  </si>
  <si>
    <t>O03901</t>
  </si>
  <si>
    <t>M004101</t>
  </si>
  <si>
    <t>D004101</t>
  </si>
  <si>
    <t>M004102</t>
  </si>
  <si>
    <t>D004102</t>
  </si>
  <si>
    <t>O03902</t>
  </si>
  <si>
    <t>M004103</t>
  </si>
  <si>
    <t>D004103</t>
  </si>
  <si>
    <t>O03903</t>
  </si>
  <si>
    <t>M004104</t>
  </si>
  <si>
    <t>D004104</t>
  </si>
  <si>
    <t>O03904</t>
  </si>
  <si>
    <t>M004105</t>
  </si>
  <si>
    <t>D004105</t>
  </si>
  <si>
    <t>O03905</t>
  </si>
  <si>
    <t>M004106</t>
  </si>
  <si>
    <t>D004106</t>
  </si>
  <si>
    <t>O03906</t>
  </si>
  <si>
    <t>M004107</t>
  </si>
  <si>
    <t>D004107</t>
  </si>
  <si>
    <t>O03907</t>
  </si>
  <si>
    <t>M004108</t>
  </si>
  <si>
    <t>D004108</t>
  </si>
  <si>
    <t>O03908</t>
  </si>
  <si>
    <t>M004109</t>
  </si>
  <si>
    <t>D004109</t>
  </si>
  <si>
    <t>O03909</t>
  </si>
  <si>
    <t>M004110</t>
  </si>
  <si>
    <t>D004110</t>
  </si>
  <si>
    <t>O03910</t>
  </si>
  <si>
    <t>M004111</t>
  </si>
  <si>
    <t>D004111</t>
  </si>
  <si>
    <t>O03911</t>
  </si>
  <si>
    <t>M004112</t>
  </si>
  <si>
    <t>D004112</t>
  </si>
  <si>
    <t>O03912</t>
  </si>
  <si>
    <t>M004113</t>
  </si>
  <si>
    <t>D004113</t>
  </si>
  <si>
    <t>O03913</t>
  </si>
  <si>
    <t>M004114</t>
  </si>
  <si>
    <t>D004114</t>
  </si>
  <si>
    <t>O03914</t>
  </si>
  <si>
    <t>M004115</t>
  </si>
  <si>
    <t>D004115</t>
  </si>
  <si>
    <t>O03915</t>
  </si>
  <si>
    <t>M004116</t>
  </si>
  <si>
    <t>D004116</t>
  </si>
  <si>
    <t>O03916</t>
  </si>
  <si>
    <t>M004117</t>
  </si>
  <si>
    <t>D004117</t>
  </si>
  <si>
    <t>O03917</t>
  </si>
  <si>
    <t>M004118</t>
  </si>
  <si>
    <t>D004118</t>
  </si>
  <si>
    <t>O03918</t>
  </si>
  <si>
    <t>M004119</t>
  </si>
  <si>
    <t>D004119</t>
  </si>
  <si>
    <t>O03919</t>
  </si>
  <si>
    <t>M004120</t>
  </si>
  <si>
    <t>D004120</t>
  </si>
  <si>
    <t>M004121</t>
  </si>
  <si>
    <t>D004121</t>
  </si>
  <si>
    <t>O03920</t>
  </si>
  <si>
    <t>M004122</t>
  </si>
  <si>
    <t>D004122</t>
  </si>
  <si>
    <t>O03921</t>
  </si>
  <si>
    <t>M004123</t>
  </si>
  <si>
    <t>D004123</t>
  </si>
  <si>
    <t>O03922</t>
  </si>
  <si>
    <t>M004124</t>
  </si>
  <si>
    <t>D004124</t>
  </si>
  <si>
    <t>O03924</t>
  </si>
  <si>
    <t>M004125</t>
  </si>
  <si>
    <t>D004125</t>
  </si>
  <si>
    <t>O03925</t>
  </si>
  <si>
    <t>M004126</t>
  </si>
  <si>
    <t>D004126</t>
  </si>
  <si>
    <t>O03926</t>
  </si>
  <si>
    <t>M004127</t>
  </si>
  <si>
    <t>D004127</t>
  </si>
  <si>
    <t>O03927</t>
  </si>
  <si>
    <t>M004128</t>
  </si>
  <si>
    <t>D004128</t>
  </si>
  <si>
    <t>M004129</t>
  </si>
  <si>
    <t>D004129</t>
  </si>
  <si>
    <t>O03928</t>
  </si>
  <si>
    <t>M004130</t>
  </si>
  <si>
    <t>D004130</t>
  </si>
  <si>
    <t>M004131</t>
  </si>
  <si>
    <t>D004131</t>
  </si>
  <si>
    <t>O03929</t>
  </si>
  <si>
    <t>M004132</t>
  </si>
  <si>
    <t>D004132</t>
  </si>
  <si>
    <t>O03930</t>
  </si>
  <si>
    <t>M004133</t>
  </si>
  <si>
    <t>D004133</t>
  </si>
  <si>
    <t>O03931</t>
  </si>
  <si>
    <t>M004134</t>
  </si>
  <si>
    <t>D004134</t>
  </si>
  <si>
    <t>O03933</t>
  </si>
  <si>
    <t>M004135</t>
  </si>
  <si>
    <t>D004135</t>
  </si>
  <si>
    <t>O03934</t>
  </si>
  <si>
    <t>M004136</t>
  </si>
  <si>
    <t>D004136</t>
  </si>
  <si>
    <t>O03935</t>
  </si>
  <si>
    <t>M004137</t>
  </si>
  <si>
    <t>D004137</t>
  </si>
  <si>
    <t>O03936</t>
  </si>
  <si>
    <t>M004138</t>
  </si>
  <si>
    <t>D004138</t>
  </si>
  <si>
    <t>O03937</t>
  </si>
  <si>
    <t>M004139</t>
  </si>
  <si>
    <t>D004139</t>
  </si>
  <si>
    <t>O03938</t>
  </si>
  <si>
    <t>M004140</t>
  </si>
  <si>
    <t>D004140</t>
  </si>
  <si>
    <t>O03939</t>
  </si>
  <si>
    <t>M004141</t>
  </si>
  <si>
    <t>D004141</t>
  </si>
  <si>
    <t>O03940</t>
  </si>
  <si>
    <t>M004142</t>
  </si>
  <si>
    <t>D004142</t>
  </si>
  <si>
    <t>O03941</t>
  </si>
  <si>
    <t>M004143</t>
  </si>
  <si>
    <t>D004143</t>
  </si>
  <si>
    <t>O03943</t>
  </si>
  <si>
    <t>M004144</t>
  </si>
  <si>
    <t>D004144</t>
  </si>
  <si>
    <t>O03944</t>
  </si>
  <si>
    <t>M004145</t>
  </si>
  <si>
    <t>D004145</t>
  </si>
  <si>
    <t>O03945</t>
  </si>
  <si>
    <t>M004146</t>
  </si>
  <si>
    <t>D004146</t>
  </si>
  <si>
    <t>O03946</t>
  </si>
  <si>
    <t>M004147</t>
  </si>
  <si>
    <t>D004147</t>
  </si>
  <si>
    <t>O03947</t>
  </si>
  <si>
    <t>M004148</t>
  </si>
  <si>
    <t>D004148</t>
  </si>
  <si>
    <t>O03948</t>
  </si>
  <si>
    <t>M004149</t>
  </si>
  <si>
    <t>D004149</t>
  </si>
  <si>
    <t>O03949</t>
  </si>
  <si>
    <t>M004150</t>
  </si>
  <si>
    <t>D004150</t>
  </si>
  <si>
    <t>O03950</t>
  </si>
  <si>
    <t>M004151</t>
  </si>
  <si>
    <t>D004151</t>
  </si>
  <si>
    <t>O03952</t>
  </si>
  <si>
    <t>M004152</t>
  </si>
  <si>
    <t>D004152</t>
  </si>
  <si>
    <t>O03953</t>
  </si>
  <si>
    <t>M004153</t>
  </si>
  <si>
    <t>D004153</t>
  </si>
  <si>
    <t>O03954</t>
  </si>
  <si>
    <t>M004154</t>
  </si>
  <si>
    <t>D004154</t>
  </si>
  <si>
    <t>O03955</t>
  </si>
  <si>
    <t>M004155</t>
  </si>
  <si>
    <t>D004155</t>
  </si>
  <si>
    <t>O03956</t>
  </si>
  <si>
    <t>M004156</t>
  </si>
  <si>
    <t>D004156</t>
  </si>
  <si>
    <t>O03957</t>
  </si>
  <si>
    <t>M004157</t>
  </si>
  <si>
    <t>D004157</t>
  </si>
  <si>
    <t>O03958</t>
  </si>
  <si>
    <t>M004158</t>
  </si>
  <si>
    <t>D004158</t>
  </si>
  <si>
    <t>O03959</t>
  </si>
  <si>
    <t>M004159</t>
  </si>
  <si>
    <t>D004159</t>
  </si>
  <si>
    <t>O03960</t>
  </si>
  <si>
    <t>M004160</t>
  </si>
  <si>
    <t>D004160</t>
  </si>
  <si>
    <t>O03961</t>
  </si>
  <si>
    <t>M004161</t>
  </si>
  <si>
    <t>D004161</t>
  </si>
  <si>
    <t>O03962</t>
  </si>
  <si>
    <t>M004162</t>
  </si>
  <si>
    <t>D004162</t>
  </si>
  <si>
    <t>O03963</t>
  </si>
  <si>
    <t>M004163</t>
  </si>
  <si>
    <t>D004163</t>
  </si>
  <si>
    <t>R0178</t>
  </si>
  <si>
    <t>M004164</t>
  </si>
  <si>
    <t>D004164</t>
  </si>
  <si>
    <t>R0179</t>
  </si>
  <si>
    <t>M004165</t>
  </si>
  <si>
    <t>D004165</t>
  </si>
  <si>
    <t>R0180</t>
  </si>
  <si>
    <t>M004166</t>
  </si>
  <si>
    <t>D004166</t>
  </si>
  <si>
    <t>R0181</t>
  </si>
  <si>
    <t>M004167</t>
  </si>
  <si>
    <t>D004167</t>
  </si>
  <si>
    <t>R0182</t>
  </si>
  <si>
    <t>M004168</t>
  </si>
  <si>
    <t>D004168</t>
  </si>
  <si>
    <t>R0183</t>
  </si>
  <si>
    <t>M004169</t>
  </si>
  <si>
    <t>D004169</t>
  </si>
  <si>
    <t>R0184</t>
  </si>
  <si>
    <t>M004170</t>
  </si>
  <si>
    <t>D004170</t>
  </si>
  <si>
    <t>R0185</t>
  </si>
  <si>
    <t>M004171</t>
  </si>
  <si>
    <t>D004171</t>
  </si>
  <si>
    <t>R0186</t>
  </si>
  <si>
    <t>M004172</t>
  </si>
  <si>
    <t>D004172</t>
  </si>
  <si>
    <t>R0187</t>
  </si>
  <si>
    <t>M004173</t>
  </si>
  <si>
    <t>D004173</t>
  </si>
  <si>
    <t>R0188</t>
  </si>
  <si>
    <t>M004174</t>
  </si>
  <si>
    <t>D004174</t>
  </si>
  <si>
    <t>R0189</t>
  </si>
  <si>
    <t>M004175</t>
  </si>
  <si>
    <t>D004175</t>
  </si>
  <si>
    <t>R0190</t>
  </si>
  <si>
    <t>M004176</t>
  </si>
  <si>
    <t>D004176</t>
  </si>
  <si>
    <t>R0191</t>
  </si>
  <si>
    <t>M004177</t>
  </si>
  <si>
    <t>D004177</t>
  </si>
  <si>
    <t>R0192</t>
  </si>
  <si>
    <t>M004178</t>
  </si>
  <si>
    <t>D004178</t>
  </si>
  <si>
    <t>R0193</t>
  </si>
  <si>
    <t>M004179</t>
  </si>
  <si>
    <t>D004179</t>
  </si>
  <si>
    <t>R0194</t>
  </si>
  <si>
    <t>M004180</t>
  </si>
  <si>
    <t>D004180</t>
  </si>
  <si>
    <t>O03964</t>
  </si>
  <si>
    <t>M004181</t>
  </si>
  <si>
    <t>D004181</t>
  </si>
  <si>
    <t>O03965</t>
  </si>
  <si>
    <t>M004182</t>
  </si>
  <si>
    <t>D004182</t>
  </si>
  <si>
    <t>O03966</t>
  </si>
  <si>
    <t>M004183</t>
  </si>
  <si>
    <t>D004183</t>
  </si>
  <si>
    <t>O03967</t>
  </si>
  <si>
    <t>M004184</t>
  </si>
  <si>
    <t>D004184</t>
  </si>
  <si>
    <t>O03968</t>
  </si>
  <si>
    <t>M004185</t>
  </si>
  <si>
    <t>D004185</t>
  </si>
  <si>
    <t>O03969</t>
  </si>
  <si>
    <t>M004186</t>
  </si>
  <si>
    <t>D004186</t>
  </si>
  <si>
    <t>O03970</t>
  </si>
  <si>
    <t>M004187</t>
  </si>
  <si>
    <t>D004187</t>
  </si>
  <si>
    <t>O03971</t>
  </si>
  <si>
    <t>M004188</t>
  </si>
  <si>
    <t>D004188</t>
  </si>
  <si>
    <t>O03972</t>
  </si>
  <si>
    <t>M004189</t>
  </si>
  <si>
    <t>D004189</t>
  </si>
  <si>
    <t>O03973</t>
  </si>
  <si>
    <t>M004190</t>
  </si>
  <si>
    <t>D004190</t>
  </si>
  <si>
    <t>O03974</t>
  </si>
  <si>
    <t>M004191</t>
  </si>
  <si>
    <t>D004191</t>
  </si>
  <si>
    <t>O03975</t>
  </si>
  <si>
    <t>M004192</t>
  </si>
  <si>
    <t>D004192</t>
  </si>
  <si>
    <t>O03976</t>
  </si>
  <si>
    <t>M004193</t>
  </si>
  <si>
    <t>D004193</t>
  </si>
  <si>
    <t>O03977</t>
  </si>
  <si>
    <t>M004194</t>
  </si>
  <si>
    <t>D004194</t>
  </si>
  <si>
    <t>O03978</t>
  </si>
  <si>
    <t>M004195</t>
  </si>
  <si>
    <t>D004195</t>
  </si>
  <si>
    <t>O03979</t>
  </si>
  <si>
    <t>M004196</t>
  </si>
  <si>
    <t>D004196</t>
  </si>
  <si>
    <t>O03980</t>
  </si>
  <si>
    <t>M004197</t>
  </si>
  <si>
    <t>D004197</t>
  </si>
  <si>
    <t>O03981</t>
  </si>
  <si>
    <t>M004198</t>
  </si>
  <si>
    <t>D004198</t>
  </si>
  <si>
    <t>O03982</t>
  </si>
  <si>
    <t>M004199</t>
  </si>
  <si>
    <t>D004199</t>
  </si>
  <si>
    <t>O03983</t>
  </si>
  <si>
    <t>M004200</t>
  </si>
  <si>
    <t>D004200</t>
  </si>
  <si>
    <t>O03984</t>
  </si>
  <si>
    <t>M004201</t>
  </si>
  <si>
    <t>D004201</t>
  </si>
  <si>
    <t>O03985</t>
  </si>
  <si>
    <t>M004202</t>
  </si>
  <si>
    <t>D004202</t>
  </si>
  <si>
    <t>O03986</t>
  </si>
  <si>
    <t>M004203</t>
  </si>
  <si>
    <t>D004203</t>
  </si>
  <si>
    <t>O03987</t>
  </si>
  <si>
    <t>M004204</t>
  </si>
  <si>
    <t>D004204</t>
  </si>
  <si>
    <t>O03988</t>
  </si>
  <si>
    <t>M004205</t>
  </si>
  <si>
    <t>D004205</t>
  </si>
  <si>
    <t>O03989</t>
  </si>
  <si>
    <t>M004206</t>
  </si>
  <si>
    <t>D004206</t>
  </si>
  <si>
    <t>O03990</t>
  </si>
  <si>
    <t>M004207</t>
  </si>
  <si>
    <t>D004207</t>
  </si>
  <si>
    <t>O03991</t>
  </si>
  <si>
    <t>M004208</t>
  </si>
  <si>
    <t>D004208</t>
  </si>
  <si>
    <t>O03992</t>
  </si>
  <si>
    <t>M004209</t>
  </si>
  <si>
    <t>D004209</t>
  </si>
  <si>
    <t>O03993</t>
  </si>
  <si>
    <t>M004210</t>
  </si>
  <si>
    <t>D004210</t>
  </si>
  <si>
    <t>O03994</t>
  </si>
  <si>
    <t>M004211</t>
  </si>
  <si>
    <t>D004211</t>
  </si>
  <si>
    <t>O03995</t>
  </si>
  <si>
    <t>M004212</t>
  </si>
  <si>
    <t>D004212</t>
  </si>
  <si>
    <t>O03996</t>
  </si>
  <si>
    <t>M004213</t>
  </si>
  <si>
    <t>D004213</t>
  </si>
  <si>
    <t>O03997</t>
  </si>
  <si>
    <t>M004214</t>
  </si>
  <si>
    <t>D004214</t>
  </si>
  <si>
    <t>O03998</t>
  </si>
  <si>
    <t>M004215</t>
  </si>
  <si>
    <t>D004215</t>
  </si>
  <si>
    <t>O03999</t>
  </si>
  <si>
    <t>M004216</t>
  </si>
  <si>
    <t>D004216</t>
  </si>
  <si>
    <t>O04000</t>
  </si>
  <si>
    <t>M004217</t>
  </si>
  <si>
    <t>D004217</t>
  </si>
  <si>
    <t>O04001</t>
  </si>
  <si>
    <t>M004218</t>
  </si>
  <si>
    <t>D004218</t>
  </si>
  <si>
    <t>O04002</t>
  </si>
  <si>
    <t>M004219</t>
  </si>
  <si>
    <t>D004219</t>
  </si>
  <si>
    <t>O04003</t>
  </si>
  <si>
    <t>M004220</t>
  </si>
  <si>
    <t>D004220</t>
  </si>
  <si>
    <t>O04004</t>
  </si>
  <si>
    <t>M004221</t>
  </si>
  <si>
    <t>D004221</t>
  </si>
  <si>
    <t>O04005</t>
  </si>
  <si>
    <t>M004222</t>
  </si>
  <si>
    <t>D004222</t>
  </si>
  <si>
    <t>O04006</t>
  </si>
  <si>
    <t>M004223</t>
  </si>
  <si>
    <t>D004223</t>
  </si>
  <si>
    <t>O04007</t>
  </si>
  <si>
    <t>M004224</t>
  </si>
  <si>
    <t>D004224</t>
  </si>
  <si>
    <t>O04008</t>
  </si>
  <si>
    <t>M004225</t>
  </si>
  <si>
    <t>D004225</t>
  </si>
  <si>
    <t>O04009</t>
  </si>
  <si>
    <t>M004226</t>
  </si>
  <si>
    <t>D004226</t>
  </si>
  <si>
    <t>O04010</t>
  </si>
  <si>
    <t>M004227</t>
  </si>
  <si>
    <t>D004227</t>
  </si>
  <si>
    <t>O04011</t>
  </si>
  <si>
    <t>M004228</t>
  </si>
  <si>
    <t>D004228</t>
  </si>
  <si>
    <t>O04012</t>
  </si>
  <si>
    <t>M004229</t>
  </si>
  <si>
    <t>D004229</t>
  </si>
  <si>
    <t>O04013</t>
  </si>
  <si>
    <t>M004230</t>
  </si>
  <si>
    <t>D004230</t>
  </si>
  <si>
    <t>O04014</t>
  </si>
  <si>
    <t>M004231</t>
  </si>
  <si>
    <t>D004231</t>
  </si>
  <si>
    <t>O04015</t>
  </si>
  <si>
    <t>M004232</t>
  </si>
  <si>
    <t>D004232</t>
  </si>
  <si>
    <t>O04016</t>
  </si>
  <si>
    <t>M004233</t>
  </si>
  <si>
    <t>D004233</t>
  </si>
  <si>
    <t>O04017</t>
  </si>
  <si>
    <t>M004234</t>
  </si>
  <si>
    <t>D004234</t>
  </si>
  <si>
    <t>O04018</t>
  </si>
  <si>
    <t>M004235</t>
  </si>
  <si>
    <t>D004235</t>
  </si>
  <si>
    <t>O04019</t>
  </si>
  <si>
    <t>M004236</t>
  </si>
  <si>
    <t>D004236</t>
  </si>
  <si>
    <t>O04020</t>
  </si>
  <si>
    <t>M004237</t>
  </si>
  <si>
    <t>D004237</t>
  </si>
  <si>
    <t>O04021</t>
  </si>
  <si>
    <t>M004238</t>
  </si>
  <si>
    <t>D004238</t>
  </si>
  <si>
    <t>O04022</t>
  </si>
  <si>
    <t>M004239</t>
  </si>
  <si>
    <t>D004239</t>
  </si>
  <si>
    <t>O04023</t>
  </si>
  <si>
    <t>M004240</t>
  </si>
  <si>
    <t>D004240</t>
  </si>
  <si>
    <t>O04024</t>
  </si>
  <si>
    <t>M004241</t>
  </si>
  <si>
    <t>D004241</t>
  </si>
  <si>
    <t>O04025</t>
  </si>
  <si>
    <t>M004242</t>
  </si>
  <si>
    <t>D004242</t>
  </si>
  <si>
    <t>O04026</t>
  </si>
  <si>
    <t>M004243</t>
  </si>
  <si>
    <t>D004243</t>
  </si>
  <si>
    <t>O04027</t>
  </si>
  <si>
    <t>M004244</t>
  </si>
  <si>
    <t>D004244</t>
  </si>
  <si>
    <t>O04028</t>
  </si>
  <si>
    <t>M004245</t>
  </si>
  <si>
    <t>D004245</t>
  </si>
  <si>
    <t>O04029</t>
  </si>
  <si>
    <t>M004246</t>
  </si>
  <si>
    <t>D004246</t>
  </si>
  <si>
    <t>O04030</t>
  </si>
  <si>
    <t>M004247</t>
  </si>
  <si>
    <t>D004247</t>
  </si>
  <si>
    <t>O04031</t>
  </si>
  <si>
    <t>M004248</t>
  </si>
  <si>
    <t>D004248</t>
  </si>
  <si>
    <t>O04032</t>
  </si>
  <si>
    <t>M004249</t>
  </si>
  <si>
    <t>D004249</t>
  </si>
  <si>
    <t>O04033</t>
  </si>
  <si>
    <t>M004250</t>
  </si>
  <si>
    <t>D004250</t>
  </si>
  <si>
    <t>O04034</t>
  </si>
  <si>
    <t>M004251</t>
  </si>
  <si>
    <t>D004251</t>
  </si>
  <si>
    <t>O04035</t>
  </si>
  <si>
    <t>M004252</t>
  </si>
  <si>
    <t>D004252</t>
  </si>
  <si>
    <t>O04036</t>
  </si>
  <si>
    <t>M004253</t>
  </si>
  <si>
    <t>D004253</t>
  </si>
  <si>
    <t>O04037</t>
  </si>
  <si>
    <t>M004254</t>
  </si>
  <si>
    <t>D004254</t>
  </si>
  <si>
    <t>O04038</t>
  </si>
  <si>
    <t>M004255</t>
  </si>
  <si>
    <t>D004255</t>
  </si>
  <si>
    <t>O04039</t>
  </si>
  <si>
    <t>M004256</t>
  </si>
  <si>
    <t>D004256</t>
  </si>
  <si>
    <t>O04040</t>
  </si>
  <si>
    <t>M004257</t>
  </si>
  <si>
    <t>D004257</t>
  </si>
  <si>
    <t>O04041</t>
  </si>
  <si>
    <t>M004258</t>
  </si>
  <si>
    <t>D004258</t>
  </si>
  <si>
    <t>O04042</t>
  </si>
  <si>
    <t>M004259</t>
  </si>
  <si>
    <t>D004259</t>
  </si>
  <si>
    <t>O04043</t>
  </si>
  <si>
    <t>M004260</t>
  </si>
  <si>
    <t>D004260</t>
  </si>
  <si>
    <t>O04044</t>
  </si>
  <si>
    <t>M004261</t>
  </si>
  <si>
    <t>D004261</t>
  </si>
  <si>
    <t>O04045</t>
  </si>
  <si>
    <t>M004262</t>
  </si>
  <si>
    <t>D004262</t>
  </si>
  <si>
    <t>O04046</t>
  </si>
  <si>
    <t>M004263</t>
  </si>
  <si>
    <t>D004263</t>
  </si>
  <si>
    <t>O04047</t>
  </si>
  <si>
    <t>M004264</t>
  </si>
  <si>
    <t>D004264</t>
  </si>
  <si>
    <t>O04048</t>
  </si>
  <si>
    <t>M004265</t>
  </si>
  <si>
    <t>D004265</t>
  </si>
  <si>
    <t>O04049</t>
  </si>
  <si>
    <t>M004266</t>
  </si>
  <si>
    <t>D004266</t>
  </si>
  <si>
    <t>O04050</t>
  </si>
  <si>
    <t>M004267</t>
  </si>
  <si>
    <t>D004267</t>
  </si>
  <si>
    <t>O04051</t>
  </si>
  <si>
    <t>M004268</t>
  </si>
  <si>
    <t>D004268</t>
  </si>
  <si>
    <t>O04052</t>
  </si>
  <si>
    <t>M004269</t>
  </si>
  <si>
    <t>D004269</t>
  </si>
  <si>
    <t>O04053</t>
  </si>
  <si>
    <t>M004270</t>
  </si>
  <si>
    <t>D004270</t>
  </si>
  <si>
    <t>O04054</t>
  </si>
  <si>
    <t>M004271</t>
  </si>
  <si>
    <t>D004271</t>
  </si>
  <si>
    <t>O04055</t>
  </si>
  <si>
    <t>M004272</t>
  </si>
  <si>
    <t>D004272</t>
  </si>
  <si>
    <t>O04056</t>
  </si>
  <si>
    <t>M004273</t>
  </si>
  <si>
    <t>D004273</t>
  </si>
  <si>
    <t>O04057</t>
  </si>
  <si>
    <t>M004274</t>
  </si>
  <si>
    <t>D004274</t>
  </si>
  <si>
    <t>O04058</t>
  </si>
  <si>
    <t>M004275</t>
  </si>
  <si>
    <t>D004275</t>
  </si>
  <si>
    <t>O04059</t>
  </si>
  <si>
    <t>M004276</t>
  </si>
  <si>
    <t>D004276</t>
  </si>
  <si>
    <t>O04060</t>
  </si>
  <si>
    <t>M004277</t>
  </si>
  <si>
    <t>D004277</t>
  </si>
  <si>
    <t>O04061</t>
  </si>
  <si>
    <t>M004278</t>
  </si>
  <si>
    <t>D004278</t>
  </si>
  <si>
    <t>O04062</t>
  </si>
  <si>
    <t>M004279</t>
  </si>
  <si>
    <t>D004279</t>
  </si>
  <si>
    <t>O04063</t>
  </si>
  <si>
    <t>M004280</t>
  </si>
  <si>
    <t>D004280</t>
  </si>
  <si>
    <t>O04064</t>
  </si>
  <si>
    <t>M004281</t>
  </si>
  <si>
    <t>D004281</t>
  </si>
  <si>
    <t>O04065</t>
  </si>
  <si>
    <t>M004282</t>
  </si>
  <si>
    <t>D004282</t>
  </si>
  <si>
    <t>O04066</t>
  </si>
  <si>
    <t>M004283</t>
  </si>
  <si>
    <t>D004283</t>
  </si>
  <si>
    <t>O04067</t>
  </si>
  <si>
    <t>M004284</t>
  </si>
  <si>
    <t>D004284</t>
  </si>
  <si>
    <t>O04068</t>
  </si>
  <si>
    <t>M004285</t>
  </si>
  <si>
    <t>D004285</t>
  </si>
  <si>
    <t>O04069</t>
  </si>
  <si>
    <t>M004286</t>
  </si>
  <si>
    <t>D004286</t>
  </si>
  <si>
    <t>O04070</t>
  </si>
  <si>
    <t>M004287</t>
  </si>
  <si>
    <t>D004287</t>
  </si>
  <si>
    <t>O04071</t>
  </si>
  <si>
    <t>M004288</t>
  </si>
  <si>
    <t>D004288</t>
  </si>
  <si>
    <t>O04072</t>
  </si>
  <si>
    <t>M004289</t>
  </si>
  <si>
    <t>D004289</t>
  </si>
  <si>
    <t>O04073</t>
  </si>
  <si>
    <t>M004290</t>
  </si>
  <si>
    <t>D004290</t>
  </si>
  <si>
    <t>O04074</t>
  </si>
  <si>
    <t>M004291</t>
  </si>
  <si>
    <t>D004291</t>
  </si>
  <si>
    <t>O04075</t>
  </si>
  <si>
    <t>M004292</t>
  </si>
  <si>
    <t>D004292</t>
  </si>
  <si>
    <t>O04076</t>
  </si>
  <si>
    <t>M004293</t>
  </si>
  <si>
    <t>D004293</t>
  </si>
  <si>
    <t>O04077</t>
  </si>
  <si>
    <t>M004294</t>
  </si>
  <si>
    <t>D004294</t>
  </si>
  <si>
    <t>O04078</t>
  </si>
  <si>
    <t>M004295</t>
  </si>
  <si>
    <t>D004295</t>
  </si>
  <si>
    <t>O04079</t>
  </si>
  <si>
    <t>M004296</t>
  </si>
  <si>
    <t>D004296</t>
  </si>
  <si>
    <t>O04080</t>
  </si>
  <si>
    <t>M004297</t>
  </si>
  <si>
    <t>D004297</t>
  </si>
  <si>
    <t>O04081</t>
  </si>
  <si>
    <t>M004298</t>
  </si>
  <si>
    <t>D004298</t>
  </si>
  <si>
    <t>O04082</t>
  </si>
  <si>
    <t>M004299</t>
  </si>
  <si>
    <t>D004299</t>
  </si>
  <si>
    <t>M004300</t>
  </si>
  <si>
    <t>D004300</t>
  </si>
  <si>
    <t>O04083</t>
  </si>
  <si>
    <t>M004301</t>
  </si>
  <si>
    <t>D004301</t>
  </si>
  <si>
    <t>O04084</t>
  </si>
  <si>
    <t>M004302</t>
  </si>
  <si>
    <t>D004302</t>
  </si>
  <si>
    <t>O04085</t>
  </si>
  <si>
    <t>M004303</t>
  </si>
  <si>
    <t>D004303</t>
  </si>
  <si>
    <t>O04086</t>
  </si>
  <si>
    <t>M004304</t>
  </si>
  <si>
    <t>D004304</t>
  </si>
  <si>
    <t>O04087</t>
  </si>
  <si>
    <t>M004305</t>
  </si>
  <si>
    <t>D004305</t>
  </si>
  <si>
    <t>O04088</t>
  </si>
  <si>
    <t>M004306</t>
  </si>
  <si>
    <t>D004306</t>
  </si>
  <si>
    <t>O04089</t>
  </si>
  <si>
    <t>M004307</t>
  </si>
  <si>
    <t>D004307</t>
  </si>
  <si>
    <t>O04090</t>
  </si>
  <si>
    <t>M004308</t>
  </si>
  <si>
    <t>D004308</t>
  </si>
  <si>
    <t>O04091</t>
  </si>
  <si>
    <t>M004309</t>
  </si>
  <si>
    <t>D004309</t>
  </si>
  <si>
    <t>O04092</t>
  </si>
  <si>
    <t>M004310</t>
  </si>
  <si>
    <t>D004310</t>
  </si>
  <si>
    <t>O04093</t>
  </si>
  <si>
    <t>M004311</t>
  </si>
  <si>
    <t>D004311</t>
  </si>
  <si>
    <t>O04094</t>
  </si>
  <si>
    <t>M004312</t>
  </si>
  <si>
    <t>D004312</t>
  </si>
  <si>
    <t>O04095</t>
  </si>
  <si>
    <t>M004313</t>
  </si>
  <si>
    <t>D004313</t>
  </si>
  <si>
    <t>O04096</t>
  </si>
  <si>
    <t>M004314</t>
  </si>
  <si>
    <t>D004314</t>
  </si>
  <si>
    <t>O04097</t>
  </si>
  <si>
    <t>M004315</t>
  </si>
  <si>
    <t>D004315</t>
  </si>
  <si>
    <t>O04098</t>
  </si>
  <si>
    <t>M004316</t>
  </si>
  <si>
    <t>D004316</t>
  </si>
  <si>
    <t>O04099</t>
  </si>
  <si>
    <t>M004317</t>
  </si>
  <si>
    <t>D004317</t>
  </si>
  <si>
    <t>O04100</t>
  </si>
  <si>
    <t>M004318</t>
  </si>
  <si>
    <t>D004318</t>
  </si>
  <si>
    <t>O04101</t>
  </si>
  <si>
    <t>M004319</t>
  </si>
  <si>
    <t>D004319</t>
  </si>
  <si>
    <t>O04102</t>
  </si>
  <si>
    <t>M004320</t>
  </si>
  <si>
    <t>D004320</t>
  </si>
  <si>
    <t>O04103</t>
  </si>
  <si>
    <t>M004321</t>
  </si>
  <si>
    <t>D004321</t>
  </si>
  <si>
    <t>O04104</t>
  </si>
  <si>
    <t>M004322</t>
  </si>
  <si>
    <t>D004322</t>
  </si>
  <si>
    <t>O04105</t>
  </si>
  <si>
    <t>M004323</t>
  </si>
  <si>
    <t>D004323</t>
  </si>
  <si>
    <t>O04106</t>
  </si>
  <si>
    <t>M004324</t>
  </si>
  <si>
    <t>D004324</t>
  </si>
  <si>
    <t>M004325</t>
  </si>
  <si>
    <t>D004325</t>
  </si>
  <si>
    <t>O04107</t>
  </si>
  <si>
    <t>M004326</t>
  </si>
  <si>
    <t>D004326</t>
  </si>
  <si>
    <t>O04108</t>
  </si>
  <si>
    <t>M004327</t>
  </si>
  <si>
    <t>D004327</t>
  </si>
  <si>
    <t>O04109</t>
  </si>
  <si>
    <t>M004328</t>
  </si>
  <si>
    <t>D004328</t>
  </si>
  <si>
    <t>O04110</t>
  </si>
  <si>
    <t>M004329</t>
  </si>
  <si>
    <t>D004329</t>
  </si>
  <si>
    <t>O04111</t>
  </si>
  <si>
    <t>M004330</t>
  </si>
  <si>
    <t>D004330</t>
  </si>
  <si>
    <t>O04112</t>
  </si>
  <si>
    <t>M004331</t>
  </si>
  <si>
    <t>D004331</t>
  </si>
  <si>
    <t>O04113</t>
  </si>
  <si>
    <t>M004332</t>
  </si>
  <si>
    <t>D004332</t>
  </si>
  <si>
    <t>O04114</t>
  </si>
  <si>
    <t>M004333</t>
  </si>
  <si>
    <t>D004333</t>
  </si>
  <si>
    <t>O04115</t>
  </si>
  <si>
    <t>M004334</t>
  </si>
  <si>
    <t>D004334</t>
  </si>
  <si>
    <t>O04116</t>
  </si>
  <si>
    <t>M004335</t>
  </si>
  <si>
    <t>D004335</t>
  </si>
  <si>
    <t>O04117</t>
  </si>
  <si>
    <t>M004336</t>
  </si>
  <si>
    <t>D004336</t>
  </si>
  <si>
    <t>O04118</t>
  </si>
  <si>
    <t>M004337</t>
  </si>
  <si>
    <t>D004337</t>
  </si>
  <si>
    <t>O04119</t>
  </si>
  <si>
    <t>M004338</t>
  </si>
  <si>
    <t>D004338</t>
  </si>
  <si>
    <t>O04120</t>
  </si>
  <si>
    <t>M004339</t>
  </si>
  <si>
    <t>D004339</t>
  </si>
  <si>
    <t>O04121</t>
  </si>
  <si>
    <t>M004340</t>
  </si>
  <si>
    <t>D004340</t>
  </si>
  <si>
    <t>O04122</t>
  </si>
  <si>
    <t>M004341</t>
  </si>
  <si>
    <t>D004341</t>
  </si>
  <si>
    <t>O04123</t>
  </si>
  <si>
    <t>M004342</t>
  </si>
  <si>
    <t>D004342</t>
  </si>
  <si>
    <t>O04124</t>
  </si>
  <si>
    <t>M004343</t>
  </si>
  <si>
    <t>D004343</t>
  </si>
  <si>
    <t>O04125</t>
  </si>
  <si>
    <t>M004344</t>
  </si>
  <si>
    <t>D004344</t>
  </si>
  <si>
    <t>O04126</t>
  </si>
  <si>
    <t>M004345</t>
  </si>
  <si>
    <t>D004345</t>
  </si>
  <si>
    <t>O04127</t>
  </si>
  <si>
    <t>M004346</t>
  </si>
  <si>
    <t>D004346</t>
  </si>
  <si>
    <t>O04128</t>
  </si>
  <si>
    <t>M004347</t>
  </si>
  <si>
    <t>D004347</t>
  </si>
  <si>
    <t>O04129</t>
  </si>
  <si>
    <t>M004348</t>
  </si>
  <si>
    <t>D004348</t>
  </si>
  <si>
    <t>O04130</t>
  </si>
  <si>
    <t>M004349</t>
  </si>
  <si>
    <t>D004349</t>
  </si>
  <si>
    <t>O04131</t>
  </si>
  <si>
    <t>M004350</t>
  </si>
  <si>
    <t>D004350</t>
  </si>
  <si>
    <t>O04132</t>
  </si>
  <si>
    <t>M004351</t>
  </si>
  <si>
    <t>D004351</t>
  </si>
  <si>
    <t>O04133</t>
  </si>
  <si>
    <t>M004352</t>
  </si>
  <si>
    <t>D004352</t>
  </si>
  <si>
    <t>O04134</t>
  </si>
  <si>
    <t>M004353</t>
  </si>
  <si>
    <t>D004353</t>
  </si>
  <si>
    <t>O04135</t>
  </si>
  <si>
    <t>M004354</t>
  </si>
  <si>
    <t>D004354</t>
  </si>
  <si>
    <t>O04136</t>
  </si>
  <si>
    <t>M004355</t>
  </si>
  <si>
    <t>D004355</t>
  </si>
  <si>
    <t>O04137</t>
  </si>
  <si>
    <t>M004356</t>
  </si>
  <si>
    <t>D004356</t>
  </si>
  <si>
    <t>O04138</t>
  </si>
  <si>
    <t>M004357</t>
  </si>
  <si>
    <t>D004357</t>
  </si>
  <si>
    <t>O04139</t>
  </si>
  <si>
    <t>M004358</t>
  </si>
  <si>
    <t>D004358</t>
  </si>
  <si>
    <t>O04140</t>
  </si>
  <si>
    <t>M004359</t>
  </si>
  <si>
    <t>D004359</t>
  </si>
  <si>
    <t>O04141</t>
  </si>
  <si>
    <t>M004360</t>
  </si>
  <si>
    <t>D004360</t>
  </si>
  <si>
    <t>O04142</t>
  </si>
  <si>
    <t>M004361</t>
  </si>
  <si>
    <t>D004361</t>
  </si>
  <si>
    <t>O04143</t>
  </si>
  <si>
    <t>M004362</t>
  </si>
  <si>
    <t>D004362</t>
  </si>
  <si>
    <t>O04144</t>
  </si>
  <si>
    <t>M004363</t>
  </si>
  <si>
    <t>D004363</t>
  </si>
  <si>
    <t>O04145</t>
  </si>
  <si>
    <t>M004364</t>
  </si>
  <si>
    <t>D004364</t>
  </si>
  <si>
    <t>O04146</t>
  </si>
  <si>
    <t>M004365</t>
  </si>
  <si>
    <t>D004365</t>
  </si>
  <si>
    <t>O04147</t>
  </si>
  <si>
    <t>M004366</t>
  </si>
  <si>
    <t>D004366</t>
  </si>
  <si>
    <t>O04148</t>
  </si>
  <si>
    <t>M004367</t>
  </si>
  <si>
    <t>D004367</t>
  </si>
  <si>
    <t>O04149</t>
  </si>
  <si>
    <t>M004368</t>
  </si>
  <si>
    <t>D004368</t>
  </si>
  <si>
    <t>O04150</t>
  </si>
  <si>
    <t>M004369</t>
  </si>
  <si>
    <t>D004369</t>
  </si>
  <si>
    <t>O04151</t>
  </si>
  <si>
    <t>M004370</t>
  </si>
  <si>
    <t>D004370</t>
  </si>
  <si>
    <t>O04152</t>
  </si>
  <si>
    <t>M004371</t>
  </si>
  <si>
    <t>D004371</t>
  </si>
  <si>
    <t>O04153</t>
  </si>
  <si>
    <t>M004372</t>
  </si>
  <si>
    <t>D004372</t>
  </si>
  <si>
    <t>O04154</t>
  </si>
  <si>
    <t>M004373</t>
  </si>
  <si>
    <t>D004373</t>
  </si>
  <si>
    <t>O04155</t>
  </si>
  <si>
    <t>M004374</t>
  </si>
  <si>
    <t>D004374</t>
  </si>
  <si>
    <t>O04156</t>
  </si>
  <si>
    <t>M004375</t>
  </si>
  <si>
    <t>D004375</t>
  </si>
  <si>
    <t>O04157</t>
  </si>
  <si>
    <t>M004376</t>
  </si>
  <si>
    <t>D004376</t>
  </si>
  <si>
    <t>O04158</t>
  </si>
  <si>
    <t>M004377</t>
  </si>
  <si>
    <t>D004377</t>
  </si>
  <si>
    <t>O04159</t>
  </si>
  <si>
    <t>M004378</t>
  </si>
  <si>
    <t>D004378</t>
  </si>
  <si>
    <t>O04160</t>
  </si>
  <si>
    <t>M004379</t>
  </si>
  <si>
    <t>D004379</t>
  </si>
  <si>
    <t>O04161</t>
  </si>
  <si>
    <t>M004380</t>
  </si>
  <si>
    <t>D004380</t>
  </si>
  <si>
    <t>O04162</t>
  </si>
  <si>
    <t>M004381</t>
  </si>
  <si>
    <t>D004381</t>
  </si>
  <si>
    <t>O04163</t>
  </si>
  <si>
    <t>M004382</t>
  </si>
  <si>
    <t>D004382</t>
  </si>
  <si>
    <t>O04164</t>
  </si>
  <si>
    <t>M004383</t>
  </si>
  <si>
    <t>D004383</t>
  </si>
  <si>
    <t>O04165</t>
  </si>
  <si>
    <t>M004384</t>
  </si>
  <si>
    <t>D004384</t>
  </si>
  <si>
    <t>O04166</t>
  </si>
  <si>
    <t>M004385</t>
  </si>
  <si>
    <t>D004385</t>
  </si>
  <si>
    <t>O04167</t>
  </si>
  <si>
    <t>M004386</t>
  </si>
  <si>
    <t>D004386</t>
  </si>
  <si>
    <t>O04168</t>
  </si>
  <si>
    <t>M004387</t>
  </si>
  <si>
    <t>D004387</t>
  </si>
  <si>
    <t>O04169</t>
  </si>
  <si>
    <t>M004388</t>
  </si>
  <si>
    <t>D004388</t>
  </si>
  <si>
    <t>O04170</t>
  </si>
  <si>
    <t>M004389</t>
  </si>
  <si>
    <t>D004389</t>
  </si>
  <si>
    <t>O04171</t>
  </si>
  <si>
    <t>M004390</t>
  </si>
  <si>
    <t>D004390</t>
  </si>
  <si>
    <t>O04172</t>
  </si>
  <si>
    <t>M004391</t>
  </si>
  <si>
    <t>D004391</t>
  </si>
  <si>
    <t>O04173</t>
  </si>
  <si>
    <t>M004392</t>
  </si>
  <si>
    <t>D004392</t>
  </si>
  <si>
    <t>O04174</t>
  </si>
  <si>
    <t>M004393</t>
  </si>
  <si>
    <t>D004393</t>
  </si>
  <si>
    <t>O04175</t>
  </si>
  <si>
    <t>M004394</t>
  </si>
  <si>
    <t>D004394</t>
  </si>
  <si>
    <t>O04176</t>
  </si>
  <si>
    <t>M004395</t>
  </si>
  <si>
    <t>D004395</t>
  </si>
  <si>
    <t>O04177</t>
  </si>
  <si>
    <t>M004396</t>
  </si>
  <si>
    <t>D004396</t>
  </si>
  <si>
    <t>O04178</t>
  </si>
  <si>
    <t>M004397</t>
  </si>
  <si>
    <t>D004397</t>
  </si>
  <si>
    <t>O04179</t>
  </si>
  <si>
    <t>M004398</t>
  </si>
  <si>
    <t>D004398</t>
  </si>
  <si>
    <t>O04180</t>
  </si>
  <si>
    <t>M004399</t>
  </si>
  <si>
    <t>D004399</t>
  </si>
  <si>
    <t>O04181</t>
  </si>
  <si>
    <t>M004400</t>
  </si>
  <si>
    <t>D004400</t>
  </si>
  <si>
    <t>O04182</t>
  </si>
  <si>
    <t>M004401</t>
  </si>
  <si>
    <t>D004401</t>
  </si>
  <si>
    <t>O04183</t>
  </si>
  <si>
    <t>M004402</t>
  </si>
  <si>
    <t>D004402</t>
  </si>
  <si>
    <t>O04184</t>
  </si>
  <si>
    <t>M004403</t>
  </si>
  <si>
    <t>D004403</t>
  </si>
  <si>
    <t>O04185</t>
  </si>
  <si>
    <t>M004404</t>
  </si>
  <si>
    <t>D004404</t>
  </si>
  <si>
    <t>O04186</t>
  </si>
  <si>
    <t>M004405</t>
  </si>
  <si>
    <t>D004405</t>
  </si>
  <si>
    <t>O04187</t>
  </si>
  <si>
    <t>M004406</t>
  </si>
  <si>
    <t>D004406</t>
  </si>
  <si>
    <t>O04188</t>
  </si>
  <si>
    <t>M004407</t>
  </si>
  <si>
    <t>D004407</t>
  </si>
  <si>
    <t>O04189</t>
  </si>
  <si>
    <t>M004408</t>
  </si>
  <si>
    <t>D004408</t>
  </si>
  <si>
    <t>O04190</t>
  </si>
  <si>
    <t>M004409</t>
  </si>
  <si>
    <t>D004409</t>
  </si>
  <si>
    <t>O04191</t>
  </si>
  <si>
    <t>M004410</t>
  </si>
  <si>
    <t>D004410</t>
  </si>
  <si>
    <t>O04192</t>
  </si>
  <si>
    <t>M004411</t>
  </si>
  <si>
    <t>D004411</t>
  </si>
  <si>
    <t>O04193</t>
  </si>
  <si>
    <t>M004412</t>
  </si>
  <si>
    <t>D004412</t>
  </si>
  <si>
    <t>O04194</t>
  </si>
  <si>
    <t>M004413</t>
  </si>
  <si>
    <t>D004413</t>
  </si>
  <si>
    <t>O04195</t>
  </si>
  <si>
    <t>M004414</t>
  </si>
  <si>
    <t>D004414</t>
  </si>
  <si>
    <t>O04196</t>
  </si>
  <si>
    <t>M004415</t>
  </si>
  <si>
    <t>D004415</t>
  </si>
  <si>
    <t>O04197</t>
  </si>
  <si>
    <t>M004416</t>
  </si>
  <si>
    <t>D004416</t>
  </si>
  <si>
    <t>O04198</t>
  </si>
  <si>
    <t>M004417</t>
  </si>
  <si>
    <t>D004417</t>
  </si>
  <si>
    <t>O04199</t>
  </si>
  <si>
    <t>M004418</t>
  </si>
  <si>
    <t>D004418</t>
  </si>
  <si>
    <t>O04200</t>
  </si>
  <si>
    <t>M004419</t>
  </si>
  <si>
    <t>D004419</t>
  </si>
  <si>
    <t>M004420</t>
  </si>
  <si>
    <t>D004420</t>
  </si>
  <si>
    <t>O04201</t>
  </si>
  <si>
    <t>M004421</t>
  </si>
  <si>
    <t>D004421</t>
  </si>
  <si>
    <t>O04202</t>
  </si>
  <si>
    <t>M004422</t>
  </si>
  <si>
    <t>D004422</t>
  </si>
  <si>
    <t>O04203</t>
  </si>
  <si>
    <t>M004423</t>
  </si>
  <si>
    <t>D004423</t>
  </si>
  <si>
    <t>O04204</t>
  </si>
  <si>
    <t>M004424</t>
  </si>
  <si>
    <t>D004424</t>
  </si>
  <si>
    <t>O04205</t>
  </si>
  <si>
    <t>M004425</t>
  </si>
  <si>
    <t>D004425</t>
  </si>
  <si>
    <t>O04206</t>
  </si>
  <si>
    <t>M004426</t>
  </si>
  <si>
    <t>D004426</t>
  </si>
  <si>
    <t>O04207</t>
  </si>
  <si>
    <t>M004427</t>
  </si>
  <si>
    <t>D004427</t>
  </si>
  <si>
    <t>M004428</t>
  </si>
  <si>
    <t>D004428</t>
  </si>
  <si>
    <t>O04208</t>
  </si>
  <si>
    <t>M004429</t>
  </si>
  <si>
    <t>D004429</t>
  </si>
  <si>
    <t>O04209</t>
  </si>
  <si>
    <t>M004430</t>
  </si>
  <si>
    <t>D004430</t>
  </si>
  <si>
    <t>O04210</t>
  </si>
  <si>
    <t>M004431</t>
  </si>
  <si>
    <t>D004431</t>
  </si>
  <si>
    <t>O04211</t>
  </si>
  <si>
    <t>M004432</t>
  </si>
  <si>
    <t>D004432</t>
  </si>
  <si>
    <t>O04212</t>
  </si>
  <si>
    <t>M004433</t>
  </si>
  <si>
    <t>D004433</t>
  </si>
  <si>
    <t>M004434</t>
  </si>
  <si>
    <t>D004434</t>
  </si>
  <si>
    <t>O04213</t>
  </si>
  <si>
    <t>M004435</t>
  </si>
  <si>
    <t>D004435</t>
  </si>
  <si>
    <t>O04214</t>
  </si>
  <si>
    <t>M004436</t>
  </si>
  <si>
    <t>D004436</t>
  </si>
  <si>
    <t>O04215</t>
  </si>
  <si>
    <t>M004437</t>
  </si>
  <si>
    <t>D004437</t>
  </si>
  <si>
    <t>O04216</t>
  </si>
  <si>
    <t>M004438</t>
  </si>
  <si>
    <t>D004438</t>
  </si>
  <si>
    <t>O04217</t>
  </si>
  <si>
    <t>M004439</t>
  </si>
  <si>
    <t>D004439</t>
  </si>
  <si>
    <t>O04218</t>
  </si>
  <si>
    <t>M004440</t>
  </si>
  <si>
    <t>D004440</t>
  </si>
  <si>
    <t>O04219</t>
  </si>
  <si>
    <t>M004441</t>
  </si>
  <si>
    <t>D004441</t>
  </si>
  <si>
    <t>O04220</t>
  </si>
  <si>
    <t>M004442</t>
  </si>
  <si>
    <t>D004442</t>
  </si>
  <si>
    <t>O04221</t>
  </si>
  <si>
    <t>M004443</t>
  </si>
  <si>
    <t>D004443</t>
  </si>
  <si>
    <t>O04222</t>
  </si>
  <si>
    <t>M004444</t>
  </si>
  <si>
    <t>D004444</t>
  </si>
  <si>
    <t>O04223</t>
  </si>
  <si>
    <t>M004445</t>
  </si>
  <si>
    <t>D004445</t>
  </si>
  <si>
    <t>O04224</t>
  </si>
  <si>
    <t>M004446</t>
  </si>
  <si>
    <t>D004446</t>
  </si>
  <si>
    <t>O04225</t>
  </si>
  <si>
    <t>M004447</t>
  </si>
  <si>
    <t>D004447</t>
  </si>
  <si>
    <t>O04226</t>
  </si>
  <si>
    <t>M004448</t>
  </si>
  <si>
    <t>D004448</t>
  </si>
  <si>
    <t>O04227</t>
  </si>
  <si>
    <t>M004449</t>
  </si>
  <si>
    <t>D004449</t>
  </si>
  <si>
    <t>M004450</t>
  </si>
  <si>
    <t>D004450</t>
  </si>
  <si>
    <t>O04228</t>
  </si>
  <si>
    <t>M004451</t>
  </si>
  <si>
    <t>D004451</t>
  </si>
  <si>
    <t>O04229</t>
  </si>
  <si>
    <t>M004452</t>
  </si>
  <si>
    <t>D004452</t>
  </si>
  <si>
    <t>O04230</t>
  </si>
  <si>
    <t>M004453</t>
  </si>
  <si>
    <t>D004453</t>
  </si>
  <si>
    <t>O04231</t>
  </si>
  <si>
    <t>M004454</t>
  </si>
  <si>
    <t>D004454</t>
  </si>
  <si>
    <t>O04232</t>
  </si>
  <si>
    <t>M004455</t>
  </si>
  <si>
    <t>D004455</t>
  </si>
  <si>
    <t>O04233</t>
  </si>
  <si>
    <t>M004456</t>
  </si>
  <si>
    <t>D004456</t>
  </si>
  <si>
    <t>O04234</t>
  </si>
  <si>
    <t>M004457</t>
  </si>
  <si>
    <t>D004457</t>
  </si>
  <si>
    <t>O04235</t>
  </si>
  <si>
    <t>M004458</t>
  </si>
  <si>
    <t>D004458</t>
  </si>
  <si>
    <t>O04236</t>
  </si>
  <si>
    <t>M004459</t>
  </si>
  <si>
    <t>D004459</t>
  </si>
  <si>
    <t>O04237</t>
  </si>
  <si>
    <t>M004460</t>
  </si>
  <si>
    <t>D004460</t>
  </si>
  <si>
    <t>O04238</t>
  </si>
  <si>
    <t>M004461</t>
  </si>
  <si>
    <t>D004461</t>
  </si>
  <si>
    <t>O04239</t>
  </si>
  <si>
    <t>M004462</t>
  </si>
  <si>
    <t>D004462</t>
  </si>
  <si>
    <t>O04240</t>
  </si>
  <si>
    <t>M004463</t>
  </si>
  <si>
    <t>D004463</t>
  </si>
  <si>
    <t>O04241</t>
  </si>
  <si>
    <t>M004464</t>
  </si>
  <si>
    <t>D004464</t>
  </si>
  <si>
    <t>O04242</t>
  </si>
  <si>
    <t>M004465</t>
  </si>
  <si>
    <t>D004465</t>
  </si>
  <si>
    <t>O04243</t>
  </si>
  <si>
    <t>M004466</t>
  </si>
  <si>
    <t>D004466</t>
  </si>
  <si>
    <t>O04244</t>
  </si>
  <si>
    <t>M004467</t>
  </si>
  <si>
    <t>D004467</t>
  </si>
  <si>
    <t>O04245</t>
  </si>
  <si>
    <t>M004468</t>
  </si>
  <si>
    <t>D004468</t>
  </si>
  <si>
    <t>O04246</t>
  </si>
  <si>
    <t>M004469</t>
  </si>
  <si>
    <t>D004469</t>
  </si>
  <si>
    <t>O04247</t>
  </si>
  <si>
    <t>M004470</t>
  </si>
  <si>
    <t>D004470</t>
  </si>
  <si>
    <t>M004471</t>
  </si>
  <si>
    <t>D004471</t>
  </si>
  <si>
    <t>O04248</t>
  </si>
  <si>
    <t>M004472</t>
  </si>
  <si>
    <t>D004472</t>
  </si>
  <si>
    <t>O04249</t>
  </si>
  <si>
    <t>M004473</t>
  </si>
  <si>
    <t>D004473</t>
  </si>
  <si>
    <t>O04250</t>
  </si>
  <si>
    <t>M004474</t>
  </si>
  <si>
    <t>D004474</t>
  </si>
  <si>
    <t>O04251</t>
  </si>
  <si>
    <t>M004475</t>
  </si>
  <si>
    <t>D004475</t>
  </si>
  <si>
    <t>O04252</t>
  </si>
  <si>
    <t>M004476</t>
  </si>
  <si>
    <t>D004476</t>
  </si>
  <si>
    <t>O04253</t>
  </si>
  <si>
    <t>M004477</t>
  </si>
  <si>
    <t>D004477</t>
  </si>
  <si>
    <t>O04254</t>
  </si>
  <si>
    <t>M004478</t>
  </si>
  <si>
    <t>D004478</t>
  </si>
  <si>
    <t>M004479</t>
  </si>
  <si>
    <t>D004479</t>
  </si>
  <si>
    <t>O04255</t>
  </si>
  <si>
    <t>M004480</t>
  </si>
  <si>
    <t>D004480</t>
  </si>
  <si>
    <t>O04256</t>
  </si>
  <si>
    <t>M004481</t>
  </si>
  <si>
    <t>D004481</t>
  </si>
  <si>
    <t>O04257</t>
  </si>
  <si>
    <t>M004482</t>
  </si>
  <si>
    <t>D004482</t>
  </si>
  <si>
    <t>O04258</t>
  </si>
  <si>
    <t>M004483</t>
  </si>
  <si>
    <t>D004483</t>
  </si>
  <si>
    <t>O04259</t>
  </si>
  <si>
    <t>M004484</t>
  </si>
  <si>
    <t>D004484</t>
  </si>
  <si>
    <t>O04260</t>
  </si>
  <si>
    <t>M004485</t>
  </si>
  <si>
    <t>D004485</t>
  </si>
  <si>
    <t>O04261</t>
  </si>
  <si>
    <t>M004486</t>
  </si>
  <si>
    <t>D004486</t>
  </si>
  <si>
    <t>O04262</t>
  </si>
  <si>
    <t>M004487</t>
  </si>
  <si>
    <t>D004487</t>
  </si>
  <si>
    <t>O04263</t>
  </si>
  <si>
    <t>M004488</t>
  </si>
  <si>
    <t>D004488</t>
  </si>
  <si>
    <t>M004489</t>
  </si>
  <si>
    <t>D004489</t>
  </si>
  <si>
    <t>O04264</t>
  </si>
  <si>
    <t>count_line_id</t>
  </si>
  <si>
    <t>count_time</t>
  </si>
  <si>
    <t>book_qty_snapshot</t>
  </si>
  <si>
    <t>first_count_qty</t>
  </si>
  <si>
    <t>recount_qty</t>
  </si>
  <si>
    <t>investigation_status</t>
  </si>
  <si>
    <t>C0001</t>
  </si>
  <si>
    <t>OPEN</t>
  </si>
  <si>
    <t>C0002</t>
  </si>
  <si>
    <t>MATCHED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</si>
  <si>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</si>
  <si>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</si>
  <si>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</si>
  <si>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</si>
  <si>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</si>
  <si>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</si>
  <si>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</si>
  <si>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</si>
  <si>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</si>
  <si>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</si>
  <si>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</si>
  <si>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</si>
  <si>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</si>
  <si>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</si>
  <si>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</si>
  <si>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</si>
  <si>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</si>
  <si>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</si>
  <si>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</si>
  <si>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</si>
  <si>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</si>
  <si>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</si>
  <si>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</si>
  <si>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</si>
  <si>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</si>
  <si>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</si>
  <si>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</si>
  <si>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</si>
  <si>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</si>
  <si>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</si>
  <si>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</si>
  <si>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</si>
  <si>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</si>
  <si>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</si>
  <si>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</si>
  <si>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</si>
  <si>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</si>
  <si>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</si>
  <si>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</si>
  <si>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</si>
  <si>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</si>
  <si>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</si>
  <si>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</si>
  <si>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</si>
  <si>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</si>
  <si>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</si>
  <si>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</si>
  <si>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</si>
  <si>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</si>
  <si>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</si>
  <si>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</si>
  <si>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</si>
  <si>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</si>
  <si>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</si>
  <si>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</si>
  <si>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</si>
  <si>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</si>
  <si>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</si>
  <si>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</si>
  <si>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</si>
  <si>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</si>
  <si>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</si>
  <si>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</si>
  <si>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</si>
  <si>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</si>
  <si>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</si>
  <si>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</si>
  <si>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</si>
  <si>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</si>
  <si>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</si>
  <si>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</si>
  <si>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</si>
  <si>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</si>
  <si>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</si>
  <si>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</si>
  <si>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</si>
  <si>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</si>
  <si>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</si>
  <si>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</si>
  <si>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</si>
  <si>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</si>
  <si>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</si>
  <si>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</si>
  <si>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</si>
  <si>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</si>
  <si>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</si>
  <si>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</si>
  <si>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</si>
  <si>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</si>
  <si>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</si>
  <si>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</si>
  <si>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</si>
  <si>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</si>
  <si>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</si>
  <si>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</si>
  <si>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</si>
  <si>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</si>
  <si>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</si>
  <si>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</si>
  <si>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</si>
  <si>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</si>
  <si>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</si>
  <si>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</si>
  <si>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</si>
  <si>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</si>
  <si>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</si>
  <si>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</si>
  <si>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</si>
  <si>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</si>
  <si>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</si>
  <si>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</si>
  <si>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</si>
  <si>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</si>
  <si>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</si>
  <si>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</si>
  <si>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</si>
  <si>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</si>
  <si>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</si>
  <si>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</si>
  <si>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</si>
  <si>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</si>
  <si>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</si>
  <si>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</si>
  <si>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</si>
  <si>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</si>
  <si>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</si>
  <si>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</si>
  <si>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</si>
  <si>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</si>
  <si>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</si>
  <si>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</si>
  <si>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</si>
  <si>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</si>
  <si>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</si>
  <si>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</si>
  <si>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</si>
  <si>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</si>
  <si>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</si>
  <si>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</si>
  <si>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</si>
  <si>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</si>
  <si>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</si>
  <si>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</si>
  <si>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</si>
  <si>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</si>
  <si>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</si>
  <si>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</si>
  <si>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</si>
  <si>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</si>
  <si>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</si>
  <si>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</si>
  <si>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</si>
  <si>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</si>
  <si>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</si>
  <si>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</si>
  <si>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</si>
  <si>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</si>
  <si>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</si>
  <si>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</si>
  <si>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</si>
  <si>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</si>
  <si>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</si>
  <si>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</si>
  <si>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</si>
  <si>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</si>
  <si>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</si>
  <si>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</si>
  <si>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</si>
  <si>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</si>
  <si>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</si>
  <si>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</si>
  <si>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</si>
  <si>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</si>
  <si>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</si>
  <si>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</si>
  <si>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</si>
  <si>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</si>
  <si>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</si>
  <si>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</si>
  <si>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</si>
  <si>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</si>
  <si>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</si>
  <si>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</si>
  <si>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</si>
  <si>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</si>
  <si>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</si>
  <si>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</si>
  <si>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</si>
  <si>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</si>
  <si>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</si>
  <si>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</si>
  <si>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</si>
  <si>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</si>
  <si>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</si>
  <si>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批次编号</t>
    <phoneticPr fontId="1" type="noConversion"/>
  </si>
  <si>
    <t>SKU</t>
    <phoneticPr fontId="1" type="noConversion"/>
  </si>
  <si>
    <t>商品名称</t>
    <phoneticPr fontId="1" type="noConversion"/>
  </si>
  <si>
    <t>货位</t>
    <phoneticPr fontId="1" type="noConversion"/>
  </si>
  <si>
    <t>到期日</t>
    <phoneticPr fontId="1" type="noConversion"/>
  </si>
  <si>
    <t>质量状态</t>
    <phoneticPr fontId="1" type="noConversion"/>
  </si>
  <si>
    <t>期初数量</t>
    <phoneticPr fontId="1" type="noConversion"/>
  </si>
  <si>
    <t>入库数量</t>
    <phoneticPr fontId="1" type="noConversion"/>
  </si>
  <si>
    <t>出库数量</t>
    <phoneticPr fontId="1" type="noConversion"/>
  </si>
  <si>
    <t>期末库存</t>
    <phoneticPr fontId="1" type="noConversion"/>
  </si>
  <si>
    <t>B0002</t>
    <phoneticPr fontId="1" type="noConversion"/>
  </si>
  <si>
    <t>B0207</t>
    <phoneticPr fontId="1" type="noConversion"/>
  </si>
  <si>
    <t>单价</t>
    <phoneticPr fontId="1" type="noConversion"/>
  </si>
  <si>
    <t>库存金额</t>
    <phoneticPr fontId="1" type="noConversion"/>
  </si>
  <si>
    <t>剩余有效天数</t>
    <phoneticPr fontId="1" type="noConversion"/>
  </si>
  <si>
    <t>临期预警天数</t>
    <phoneticPr fontId="1" type="noConversion"/>
  </si>
  <si>
    <t>库存状态</t>
    <phoneticPr fontId="1" type="noConversion"/>
  </si>
  <si>
    <t>可出库数量</t>
    <phoneticPr fontId="1" type="noConversion"/>
  </si>
  <si>
    <t>行标签</t>
  </si>
  <si>
    <t>冻结待检</t>
  </si>
  <si>
    <t>临期</t>
  </si>
  <si>
    <t>无库存</t>
  </si>
  <si>
    <t>已到期/过期</t>
  </si>
  <si>
    <t>正常</t>
  </si>
  <si>
    <t>总计</t>
  </si>
  <si>
    <t>求和项:库存金额</t>
  </si>
  <si>
    <t>统计日期：2026-09-06</t>
    <phoneticPr fontId="1" type="noConversion"/>
  </si>
  <si>
    <t xml:space="preserve"> 金额单位：元</t>
    <phoneticPr fontId="1" type="noConversion"/>
  </si>
  <si>
    <t>盘点差异</t>
    <phoneticPr fontId="1" type="noConversion"/>
  </si>
  <si>
    <t>盘点结果</t>
    <phoneticPr fontId="1" type="noConversion"/>
  </si>
  <si>
    <t>差异金额</t>
    <phoneticPr fontId="1" type="noConversion"/>
  </si>
  <si>
    <t>平均库存</t>
    <phoneticPr fontId="1" type="noConversion"/>
  </si>
  <si>
    <t>90天出库量</t>
    <phoneticPr fontId="1" type="noConversion"/>
  </si>
  <si>
    <t>周转次数</t>
    <phoneticPr fontId="1" type="noConversion"/>
  </si>
  <si>
    <t>周转天数</t>
    <phoneticPr fontId="1" type="noConversion"/>
  </si>
  <si>
    <t>order_id</t>
  </si>
  <si>
    <t>order_time</t>
  </si>
  <si>
    <t>store_id</t>
  </si>
  <si>
    <t>requested_qty</t>
  </si>
  <si>
    <t>promised_ship_time</t>
  </si>
  <si>
    <t>actual_ship_time</t>
  </si>
  <si>
    <t>ORD000S1</t>
  </si>
  <si>
    <t>S1</t>
  </si>
  <si>
    <t>ORD000S2</t>
  </si>
  <si>
    <t>S2</t>
  </si>
  <si>
    <t>ORD000S3</t>
  </si>
  <si>
    <t>S3</t>
  </si>
  <si>
    <t>ORD000S4</t>
  </si>
  <si>
    <t>S4</t>
  </si>
  <si>
    <t>ORD000S5</t>
  </si>
  <si>
    <t>S5</t>
  </si>
  <si>
    <t>ORD001S1</t>
  </si>
  <si>
    <t>ORD001S2</t>
  </si>
  <si>
    <t>ORD001S3</t>
  </si>
  <si>
    <t>ORD001S4</t>
  </si>
  <si>
    <t>ORD001S5</t>
  </si>
  <si>
    <t>ORD002S1</t>
  </si>
  <si>
    <t>ORD002S2</t>
  </si>
  <si>
    <t>ORD002S3</t>
  </si>
  <si>
    <t>ORD002S4</t>
  </si>
  <si>
    <t>ORD002S5</t>
  </si>
  <si>
    <t>ORD003S1</t>
  </si>
  <si>
    <t>ORD003S2</t>
  </si>
  <si>
    <t>ORD003S3</t>
  </si>
  <si>
    <t>ORD003S4</t>
  </si>
  <si>
    <t>ORD003S5</t>
  </si>
  <si>
    <t>ORD004S1</t>
  </si>
  <si>
    <t>ORD004S2</t>
  </si>
  <si>
    <t>ORD004S3</t>
  </si>
  <si>
    <t>ORD004S4</t>
  </si>
  <si>
    <t>ORD004S5</t>
  </si>
  <si>
    <t>ORD005S1</t>
  </si>
  <si>
    <t>ORD005S2</t>
  </si>
  <si>
    <t>ORD005S3</t>
  </si>
  <si>
    <t>ORD005S4</t>
  </si>
  <si>
    <t>ORD005S5</t>
  </si>
  <si>
    <t>ORD006S1</t>
  </si>
  <si>
    <t>ORD006S2</t>
  </si>
  <si>
    <t>O00286</t>
  </si>
  <si>
    <t>ORD006S3</t>
  </si>
  <si>
    <t>O00300</t>
  </si>
  <si>
    <t>ORD006S4</t>
  </si>
  <si>
    <t>ORD006S5</t>
  </si>
  <si>
    <t>O00325</t>
  </si>
  <si>
    <t>ORD007S1</t>
  </si>
  <si>
    <t>ORD007S2</t>
  </si>
  <si>
    <t>ORD007S3</t>
  </si>
  <si>
    <t>ORD007S4</t>
  </si>
  <si>
    <t>ORD007S5</t>
  </si>
  <si>
    <t>ORD008S1</t>
  </si>
  <si>
    <t>ORD008S2</t>
  </si>
  <si>
    <t>ORD008S3</t>
  </si>
  <si>
    <t>ORD008S4</t>
  </si>
  <si>
    <t>ORD008S5</t>
  </si>
  <si>
    <t>ORD009S1</t>
  </si>
  <si>
    <t>ORD009S2</t>
  </si>
  <si>
    <t>ORD009S3</t>
  </si>
  <si>
    <t>ORD009S4</t>
  </si>
  <si>
    <t>ORD009S5</t>
  </si>
  <si>
    <t>ORD010S1</t>
  </si>
  <si>
    <t>ORD010S2</t>
  </si>
  <si>
    <t>ORD010S3</t>
  </si>
  <si>
    <t>ORD010S4</t>
  </si>
  <si>
    <t>ORD010S5</t>
  </si>
  <si>
    <t>ORD011S1</t>
  </si>
  <si>
    <t>ORD011S2</t>
  </si>
  <si>
    <t>ORD011S3</t>
  </si>
  <si>
    <t>ORD011S4</t>
  </si>
  <si>
    <t>ORD011S5</t>
  </si>
  <si>
    <t>ORD012S1</t>
  </si>
  <si>
    <t>ORD012S2</t>
  </si>
  <si>
    <t>ORD012S3</t>
  </si>
  <si>
    <t>O00593</t>
  </si>
  <si>
    <t>ORD012S4</t>
  </si>
  <si>
    <t>O00606</t>
  </si>
  <si>
    <t>ORD012S5</t>
  </si>
  <si>
    <t>O00614</t>
  </si>
  <si>
    <t>O00621</t>
  </si>
  <si>
    <t>ORD013S1</t>
  </si>
  <si>
    <t>O00622</t>
  </si>
  <si>
    <t>ORD013S2</t>
  </si>
  <si>
    <t>ORD013S3</t>
  </si>
  <si>
    <t>O00635</t>
  </si>
  <si>
    <t>ORD013S4</t>
  </si>
  <si>
    <t>O00645</t>
  </si>
  <si>
    <t>O00651</t>
  </si>
  <si>
    <t>ORD013S5</t>
  </si>
  <si>
    <t>O00652</t>
  </si>
  <si>
    <t>ORD014S1</t>
  </si>
  <si>
    <t>ORD014S2</t>
  </si>
  <si>
    <t>ORD014S3</t>
  </si>
  <si>
    <t>ORD014S4</t>
  </si>
  <si>
    <t>ORD014S5</t>
  </si>
  <si>
    <t>ORD015S1</t>
  </si>
  <si>
    <t>ORD015S2</t>
  </si>
  <si>
    <t>ORD015S3</t>
  </si>
  <si>
    <t>ORD015S4</t>
  </si>
  <si>
    <t>ORD015S5</t>
  </si>
  <si>
    <t>ORD016S1</t>
  </si>
  <si>
    <t>ORD016S2</t>
  </si>
  <si>
    <t>ORD016S3</t>
  </si>
  <si>
    <t>ORD016S4</t>
  </si>
  <si>
    <t>ORD016S5</t>
  </si>
  <si>
    <t>ORD017S1</t>
  </si>
  <si>
    <t>ORD017S2</t>
  </si>
  <si>
    <t>ORD017S3</t>
  </si>
  <si>
    <t>ORD017S4</t>
  </si>
  <si>
    <t>ORD017S5</t>
  </si>
  <si>
    <t>ORD018S1</t>
  </si>
  <si>
    <t>ORD018S2</t>
  </si>
  <si>
    <t>ORD018S3</t>
  </si>
  <si>
    <t>ORD018S4</t>
  </si>
  <si>
    <t>ORD018S5</t>
  </si>
  <si>
    <t>ORD019S1</t>
  </si>
  <si>
    <t>ORD019S2</t>
  </si>
  <si>
    <t>ORD019S3</t>
  </si>
  <si>
    <t>ORD019S4</t>
  </si>
  <si>
    <t>ORD019S5</t>
  </si>
  <si>
    <t>ORD020S1</t>
  </si>
  <si>
    <t>ORD020S2</t>
  </si>
  <si>
    <t>ORD020S3</t>
  </si>
  <si>
    <t>ORD020S4</t>
  </si>
  <si>
    <t>ORD020S5</t>
  </si>
  <si>
    <t>ORD021S1</t>
  </si>
  <si>
    <t>ORD021S2</t>
  </si>
  <si>
    <t>ORD021S3</t>
  </si>
  <si>
    <t>ORD021S4</t>
  </si>
  <si>
    <t>ORD021S5</t>
  </si>
  <si>
    <t>ORD022S1</t>
  </si>
  <si>
    <t>ORD022S2</t>
  </si>
  <si>
    <t>ORD022S3</t>
  </si>
  <si>
    <t>ORD022S4</t>
  </si>
  <si>
    <t>ORD022S5</t>
  </si>
  <si>
    <t>ORD023S1</t>
  </si>
  <si>
    <t>ORD023S2</t>
  </si>
  <si>
    <t>ORD023S3</t>
  </si>
  <si>
    <t>ORD023S4</t>
  </si>
  <si>
    <t>ORD023S5</t>
  </si>
  <si>
    <t>ORD024S1</t>
  </si>
  <si>
    <t>ORD024S2</t>
  </si>
  <si>
    <t>ORD024S3</t>
  </si>
  <si>
    <t>ORD024S4</t>
  </si>
  <si>
    <t>ORD024S5</t>
  </si>
  <si>
    <t>ORD025S1</t>
  </si>
  <si>
    <t>ORD025S2</t>
  </si>
  <si>
    <t>ORD025S3</t>
  </si>
  <si>
    <t>ORD025S4</t>
  </si>
  <si>
    <t>ORD025S5</t>
  </si>
  <si>
    <t>ORD026S1</t>
  </si>
  <si>
    <t>ORD026S2</t>
  </si>
  <si>
    <t>ORD026S3</t>
  </si>
  <si>
    <t>ORD026S4</t>
  </si>
  <si>
    <t>ORD026S5</t>
  </si>
  <si>
    <t>ORD027S1</t>
  </si>
  <si>
    <t>ORD027S2</t>
  </si>
  <si>
    <t>ORD027S3</t>
  </si>
  <si>
    <t>ORD027S4</t>
  </si>
  <si>
    <t>ORD027S5</t>
  </si>
  <si>
    <t>ORD028S1</t>
  </si>
  <si>
    <t>ORD028S2</t>
  </si>
  <si>
    <t>ORD028S3</t>
  </si>
  <si>
    <t>ORD028S4</t>
  </si>
  <si>
    <t>ORD028S5</t>
  </si>
  <si>
    <t>ORD029S1</t>
  </si>
  <si>
    <t>O01360</t>
  </si>
  <si>
    <t>ORD029S2</t>
  </si>
  <si>
    <t>O01372</t>
  </si>
  <si>
    <t>ORD029S3</t>
  </si>
  <si>
    <t>O01382</t>
  </si>
  <si>
    <t>ORD029S4</t>
  </si>
  <si>
    <t>O01391</t>
  </si>
  <si>
    <t>ORD029S5</t>
  </si>
  <si>
    <t>ORD030S1</t>
  </si>
  <si>
    <t>O01410</t>
  </si>
  <si>
    <t>ORD030S2</t>
  </si>
  <si>
    <t>ORD030S3</t>
  </si>
  <si>
    <t>ORD030S4</t>
  </si>
  <si>
    <t>O01431</t>
  </si>
  <si>
    <t>ORD030S5</t>
  </si>
  <si>
    <t>O01441</t>
  </si>
  <si>
    <t>ORD031S1</t>
  </si>
  <si>
    <t>O01449</t>
  </si>
  <si>
    <t>ORD031S2</t>
  </si>
  <si>
    <t>O01459</t>
  </si>
  <si>
    <t>ORD031S3</t>
  </si>
  <si>
    <t>O01468</t>
  </si>
  <si>
    <t>ORD031S4</t>
  </si>
  <si>
    <t>O01479</t>
  </si>
  <si>
    <t>ORD031S5</t>
  </si>
  <si>
    <t>O01490</t>
  </si>
  <si>
    <t>ORD032S1</t>
  </si>
  <si>
    <t>O01503</t>
  </si>
  <si>
    <t>ORD032S2</t>
  </si>
  <si>
    <t>O01511</t>
  </si>
  <si>
    <t>ORD032S3</t>
  </si>
  <si>
    <t>O01522</t>
  </si>
  <si>
    <t>ORD032S4</t>
  </si>
  <si>
    <t>O01532</t>
  </si>
  <si>
    <t>ORD032S5</t>
  </si>
  <si>
    <t>ORD033S1</t>
  </si>
  <si>
    <t>ORD033S2</t>
  </si>
  <si>
    <t>ORD033S3</t>
  </si>
  <si>
    <t>O01570</t>
  </si>
  <si>
    <t>ORD033S4</t>
  </si>
  <si>
    <t>O01580</t>
  </si>
  <si>
    <t>ORD033S5</t>
  </si>
  <si>
    <t>ORD034S1</t>
  </si>
  <si>
    <t>ORD034S2</t>
  </si>
  <si>
    <t>ORD034S3</t>
  </si>
  <si>
    <t>O01613</t>
  </si>
  <si>
    <t>ORD034S4</t>
  </si>
  <si>
    <t>O01622</t>
  </si>
  <si>
    <t>ORD034S5</t>
  </si>
  <si>
    <t>ORD035S1</t>
  </si>
  <si>
    <t>ORD035S2</t>
  </si>
  <si>
    <t>ORD035S3</t>
  </si>
  <si>
    <t>ORD035S4</t>
  </si>
  <si>
    <t>ORD035S5</t>
  </si>
  <si>
    <t>ORD036S1</t>
  </si>
  <si>
    <t>ORD036S2</t>
  </si>
  <si>
    <t>ORD036S3</t>
  </si>
  <si>
    <t>ORD036S4</t>
  </si>
  <si>
    <t>ORD036S5</t>
  </si>
  <si>
    <t>O01730</t>
  </si>
  <si>
    <t>ORD037S1</t>
  </si>
  <si>
    <t>O01742</t>
  </si>
  <si>
    <t>ORD037S2</t>
  </si>
  <si>
    <t>O01753</t>
  </si>
  <si>
    <t>ORD037S3</t>
  </si>
  <si>
    <t>O01763</t>
  </si>
  <si>
    <t>ORD037S4</t>
  </si>
  <si>
    <t>ORD037S5</t>
  </si>
  <si>
    <t>O01780</t>
  </si>
  <si>
    <t>ORD038S1</t>
  </si>
  <si>
    <t>O01793</t>
  </si>
  <si>
    <t>ORD038S2</t>
  </si>
  <si>
    <t>ORD038S3</t>
  </si>
  <si>
    <t>O01813</t>
  </si>
  <si>
    <t>ORD038S4</t>
  </si>
  <si>
    <t>ORD038S5</t>
  </si>
  <si>
    <t>O01834</t>
  </si>
  <si>
    <t>ORD039S1</t>
  </si>
  <si>
    <t>O01843</t>
  </si>
  <si>
    <t>ORD039S2</t>
  </si>
  <si>
    <t>ORD039S3</t>
  </si>
  <si>
    <t>O01861</t>
  </si>
  <si>
    <t>ORD039S4</t>
  </si>
  <si>
    <t>ORD039S5</t>
  </si>
  <si>
    <t>O01877</t>
  </si>
  <si>
    <t>ORD040S1</t>
  </si>
  <si>
    <t>O01884</t>
  </si>
  <si>
    <t>ORD040S2</t>
  </si>
  <si>
    <t>ORD040S3</t>
  </si>
  <si>
    <t>O01894</t>
  </si>
  <si>
    <t>ORD040S4</t>
  </si>
  <si>
    <t>O01910</t>
  </si>
  <si>
    <t>ORD040S5</t>
  </si>
  <si>
    <t>O01918</t>
  </si>
  <si>
    <t>ORD041S1</t>
  </si>
  <si>
    <t>O01920</t>
  </si>
  <si>
    <t>O01923</t>
  </si>
  <si>
    <t>ORD041S2</t>
  </si>
  <si>
    <t>O01926</t>
  </si>
  <si>
    <t>O01935</t>
  </si>
  <si>
    <t>ORD041S3</t>
  </si>
  <si>
    <t>O01936</t>
  </si>
  <si>
    <t>O01946</t>
  </si>
  <si>
    <t>ORD041S4</t>
  </si>
  <si>
    <t>ORD041S5</t>
  </si>
  <si>
    <t>O01958</t>
  </si>
  <si>
    <t>ORD042S1</t>
  </si>
  <si>
    <t>ORD042S2</t>
  </si>
  <si>
    <t>O01978</t>
  </si>
  <si>
    <t>ORD042S3</t>
  </si>
  <si>
    <t>ORD042S4</t>
  </si>
  <si>
    <t>O01993</t>
  </si>
  <si>
    <t>ORD042S5</t>
  </si>
  <si>
    <t>O02005</t>
  </si>
  <si>
    <t>ORD043S1</t>
  </si>
  <si>
    <t>O02013</t>
  </si>
  <si>
    <t>ORD043S2</t>
  </si>
  <si>
    <t>O02024</t>
  </si>
  <si>
    <t>ORD043S3</t>
  </si>
  <si>
    <t>ORD043S4</t>
  </si>
  <si>
    <t>ORD043S5</t>
  </si>
  <si>
    <t>O02052</t>
  </si>
  <si>
    <t>ORD044S1</t>
  </si>
  <si>
    <t>O02063</t>
  </si>
  <si>
    <t>ORD044S2</t>
  </si>
  <si>
    <t>ORD044S3</t>
  </si>
  <si>
    <t>O02082</t>
  </si>
  <si>
    <t>ORD044S4</t>
  </si>
  <si>
    <t>O02094</t>
  </si>
  <si>
    <t>ORD044S5</t>
  </si>
  <si>
    <t>ORD045S1</t>
  </si>
  <si>
    <t>O02117</t>
  </si>
  <si>
    <t>ORD045S2</t>
  </si>
  <si>
    <t>O02131</t>
  </si>
  <si>
    <t>ORD045S3</t>
  </si>
  <si>
    <t>ORD045S4</t>
  </si>
  <si>
    <t>ORD045S5</t>
  </si>
  <si>
    <t>ORD046S1</t>
  </si>
  <si>
    <t>O02173</t>
  </si>
  <si>
    <t>ORD046S2</t>
  </si>
  <si>
    <t>O02188</t>
  </si>
  <si>
    <t>ORD046S3</t>
  </si>
  <si>
    <t>ORD046S4</t>
  </si>
  <si>
    <t>O02207</t>
  </si>
  <si>
    <t>ORD046S5</t>
  </si>
  <si>
    <t>O02216</t>
  </si>
  <si>
    <t>ORD047S1</t>
  </si>
  <si>
    <t>O02233</t>
  </si>
  <si>
    <t>ORD047S2</t>
  </si>
  <si>
    <t>O02244</t>
  </si>
  <si>
    <t>ORD047S3</t>
  </si>
  <si>
    <t>O02253</t>
  </si>
  <si>
    <t>ORD047S4</t>
  </si>
  <si>
    <t>O02262</t>
  </si>
  <si>
    <t>ORD047S5</t>
  </si>
  <si>
    <t>ORD048S1</t>
  </si>
  <si>
    <t>O02284</t>
  </si>
  <si>
    <t>ORD048S2</t>
  </si>
  <si>
    <t>O02295</t>
  </si>
  <si>
    <t>ORD048S3</t>
  </si>
  <si>
    <t>O02305</t>
  </si>
  <si>
    <t>ORD048S4</t>
  </si>
  <si>
    <t>O02312</t>
  </si>
  <si>
    <t>ORD048S5</t>
  </si>
  <si>
    <t>ORD049S1</t>
  </si>
  <si>
    <t>O02328</t>
  </si>
  <si>
    <t>ORD049S2</t>
  </si>
  <si>
    <t>ORD049S3</t>
  </si>
  <si>
    <t>O02344</t>
  </si>
  <si>
    <t>ORD049S4</t>
  </si>
  <si>
    <t>ORD049S5</t>
  </si>
  <si>
    <t>O02361</t>
  </si>
  <si>
    <t>ORD050S1</t>
  </si>
  <si>
    <t>ORD050S2</t>
  </si>
  <si>
    <t>O02379</t>
  </si>
  <si>
    <t>ORD050S3</t>
  </si>
  <si>
    <t>ORD050S4</t>
  </si>
  <si>
    <t>O02398</t>
  </si>
  <si>
    <t>ORD050S5</t>
  </si>
  <si>
    <t>O02406</t>
  </si>
  <si>
    <t>ORD051S1</t>
  </si>
  <si>
    <t>ORD051S2</t>
  </si>
  <si>
    <t>ORD051S3</t>
  </si>
  <si>
    <t>O02435</t>
  </si>
  <si>
    <t>ORD051S4</t>
  </si>
  <si>
    <t>O02445</t>
  </si>
  <si>
    <t>ORD051S5</t>
  </si>
  <si>
    <t>O02451</t>
  </si>
  <si>
    <t>ORD052S1</t>
  </si>
  <si>
    <t>ORD052S2</t>
  </si>
  <si>
    <t>ORD052S3</t>
  </si>
  <si>
    <t>O02483</t>
  </si>
  <si>
    <t>ORD052S4</t>
  </si>
  <si>
    <t>O02497</t>
  </si>
  <si>
    <t>ORD052S5</t>
  </si>
  <si>
    <t>O02507</t>
  </si>
  <si>
    <t>ORD053S1</t>
  </si>
  <si>
    <t>ORD053S2</t>
  </si>
  <si>
    <t>ORD053S3</t>
  </si>
  <si>
    <t>O02531</t>
  </si>
  <si>
    <t>ORD053S4</t>
  </si>
  <si>
    <t>O02542</t>
  </si>
  <si>
    <t>ORD053S5</t>
  </si>
  <si>
    <t>O02554</t>
  </si>
  <si>
    <t>ORD054S1</t>
  </si>
  <si>
    <t>ORD054S2</t>
  </si>
  <si>
    <t>ORD054S3</t>
  </si>
  <si>
    <t>O02585</t>
  </si>
  <si>
    <t>ORD054S4</t>
  </si>
  <si>
    <t>O02595</t>
  </si>
  <si>
    <t>ORD054S5</t>
  </si>
  <si>
    <t>ORD055S1</t>
  </si>
  <si>
    <t>O02610</t>
  </si>
  <si>
    <t>ORD055S2</t>
  </si>
  <si>
    <t>O02623</t>
  </si>
  <si>
    <t>ORD055S3</t>
  </si>
  <si>
    <t>O02633</t>
  </si>
  <si>
    <t>ORD055S4</t>
  </si>
  <si>
    <t>O02642</t>
  </si>
  <si>
    <t>ORD055S5</t>
  </si>
  <si>
    <t>O02643</t>
  </si>
  <si>
    <t>ORD056S1</t>
  </si>
  <si>
    <t>ORD056S2</t>
  </si>
  <si>
    <t>ORD056S3</t>
  </si>
  <si>
    <t>ORD056S4</t>
  </si>
  <si>
    <t>ORD056S5</t>
  </si>
  <si>
    <t>ORD057S1</t>
  </si>
  <si>
    <t>ORD057S2</t>
  </si>
  <si>
    <t>ORD057S3</t>
  </si>
  <si>
    <t>ORD057S4</t>
  </si>
  <si>
    <t>ORD057S5</t>
  </si>
  <si>
    <t>ORD058S1</t>
  </si>
  <si>
    <t>ORD058S2</t>
  </si>
  <si>
    <t>ORD058S3</t>
  </si>
  <si>
    <t>ORD058S4</t>
  </si>
  <si>
    <t>ORD058S5</t>
  </si>
  <si>
    <t>ORD059S1</t>
  </si>
  <si>
    <t>ORD059S2</t>
  </si>
  <si>
    <t>ORD059S3</t>
  </si>
  <si>
    <t>ORD059S4</t>
  </si>
  <si>
    <t>ORD059S5</t>
  </si>
  <si>
    <t>ORD060S1</t>
  </si>
  <si>
    <t>ORD060S2</t>
  </si>
  <si>
    <t>ORD060S3</t>
  </si>
  <si>
    <t>ORD060S4</t>
  </si>
  <si>
    <t>ORD060S5</t>
  </si>
  <si>
    <t>ORD061S1</t>
  </si>
  <si>
    <t>ORD061S2</t>
  </si>
  <si>
    <t>ORD061S3</t>
  </si>
  <si>
    <t>O02911</t>
  </si>
  <si>
    <t>ORD061S4</t>
  </si>
  <si>
    <t>O02921</t>
  </si>
  <si>
    <t>O02927</t>
  </si>
  <si>
    <t>ORD061S5</t>
  </si>
  <si>
    <t>ORD062S1</t>
  </si>
  <si>
    <t>O02938</t>
  </si>
  <si>
    <t>ORD062S2</t>
  </si>
  <si>
    <t>ORD062S3</t>
  </si>
  <si>
    <t>O02963</t>
  </si>
  <si>
    <t>ORD062S4</t>
  </si>
  <si>
    <t>O02965</t>
  </si>
  <si>
    <t>ORD062S5</t>
  </si>
  <si>
    <t>O02971</t>
  </si>
  <si>
    <t>ORD063S1</t>
  </si>
  <si>
    <t>ORD063S2</t>
  </si>
  <si>
    <t>ORD063S3</t>
  </si>
  <si>
    <t>ORD063S4</t>
  </si>
  <si>
    <t>ORD063S5</t>
  </si>
  <si>
    <t>ORD064S1</t>
  </si>
  <si>
    <t>ORD064S2</t>
  </si>
  <si>
    <t>ORD064S3</t>
  </si>
  <si>
    <t>ORD064S4</t>
  </si>
  <si>
    <t>ORD064S5</t>
  </si>
  <si>
    <t>ORD065S1</t>
  </si>
  <si>
    <t>ORD065S2</t>
  </si>
  <si>
    <t>ORD065S3</t>
  </si>
  <si>
    <t>ORD065S4</t>
  </si>
  <si>
    <t>ORD065S5</t>
  </si>
  <si>
    <t>ORD066S1</t>
  </si>
  <si>
    <t>ORD066S2</t>
  </si>
  <si>
    <t>ORD066S3</t>
  </si>
  <si>
    <t>ORD066S4</t>
  </si>
  <si>
    <t>ORD066S5</t>
  </si>
  <si>
    <t>ORD067S1</t>
  </si>
  <si>
    <t>ORD067S2</t>
  </si>
  <si>
    <t>ORD067S3</t>
  </si>
  <si>
    <t>ORD067S4</t>
  </si>
  <si>
    <t>ORD067S5</t>
  </si>
  <si>
    <t>ORD068S1</t>
  </si>
  <si>
    <t>ORD068S2</t>
  </si>
  <si>
    <t>ORD068S3</t>
  </si>
  <si>
    <t>ORD068S4</t>
  </si>
  <si>
    <t>ORD068S5</t>
  </si>
  <si>
    <t>ORD069S1</t>
  </si>
  <si>
    <t>ORD069S2</t>
  </si>
  <si>
    <t>ORD069S3</t>
  </si>
  <si>
    <t>ORD069S4</t>
  </si>
  <si>
    <t>ORD069S5</t>
  </si>
  <si>
    <t>ORD070S1</t>
  </si>
  <si>
    <t>ORD070S2</t>
  </si>
  <si>
    <t>ORD070S3</t>
  </si>
  <si>
    <t>ORD070S4</t>
  </si>
  <si>
    <t>ORD070S5</t>
  </si>
  <si>
    <t>ORD071S1</t>
  </si>
  <si>
    <t>ORD071S2</t>
  </si>
  <si>
    <t>ORD071S3</t>
  </si>
  <si>
    <t>ORD071S4</t>
  </si>
  <si>
    <t>ORD071S5</t>
  </si>
  <si>
    <t>ORD072S1</t>
  </si>
  <si>
    <t>ORD072S2</t>
  </si>
  <si>
    <t>ORD072S3</t>
  </si>
  <si>
    <t>ORD072S4</t>
  </si>
  <si>
    <t>ORD072S5</t>
  </si>
  <si>
    <t>ORD073S1</t>
  </si>
  <si>
    <t>ORD073S2</t>
  </si>
  <si>
    <t>ORD073S3</t>
  </si>
  <si>
    <t>ORD073S4</t>
  </si>
  <si>
    <t>ORD073S5</t>
  </si>
  <si>
    <t>ORD074S1</t>
  </si>
  <si>
    <t>ORD074S2</t>
  </si>
  <si>
    <t>ORD074S3</t>
  </si>
  <si>
    <t>ORD074S4</t>
  </si>
  <si>
    <t>ORD074S5</t>
  </si>
  <si>
    <t>ORD075S1</t>
  </si>
  <si>
    <t>ORD075S2</t>
  </si>
  <si>
    <t>ORD075S3</t>
  </si>
  <si>
    <t>ORD075S4</t>
  </si>
  <si>
    <t>ORD075S5</t>
  </si>
  <si>
    <t>ORD076S1</t>
  </si>
  <si>
    <t>ORD076S2</t>
  </si>
  <si>
    <t>ORD076S3</t>
  </si>
  <si>
    <t>ORD076S4</t>
  </si>
  <si>
    <t>ORD076S5</t>
  </si>
  <si>
    <t>O03619</t>
  </si>
  <si>
    <t>ORD077S1</t>
  </si>
  <si>
    <t>ORD077S2</t>
  </si>
  <si>
    <t>ORD077S3</t>
  </si>
  <si>
    <t>ORD077S4</t>
  </si>
  <si>
    <t>ORD077S5</t>
  </si>
  <si>
    <t>ORD078S1</t>
  </si>
  <si>
    <t>ORD078S2</t>
  </si>
  <si>
    <t>ORD078S3</t>
  </si>
  <si>
    <t>ORD078S4</t>
  </si>
  <si>
    <t>ORD078S5</t>
  </si>
  <si>
    <t>ORD079S1</t>
  </si>
  <si>
    <t>ORD079S2</t>
  </si>
  <si>
    <t>ORD079S3</t>
  </si>
  <si>
    <t>ORD079S4</t>
  </si>
  <si>
    <t>ORD079S5</t>
  </si>
  <si>
    <t>ORD080S1</t>
  </si>
  <si>
    <t>ORD080S2</t>
  </si>
  <si>
    <t>ORD080S3</t>
  </si>
  <si>
    <t>ORD080S4</t>
  </si>
  <si>
    <t>ORD080S5</t>
  </si>
  <si>
    <t>ORD081S1</t>
  </si>
  <si>
    <t>ORD081S2</t>
  </si>
  <si>
    <t>ORD081S3</t>
  </si>
  <si>
    <t>ORD081S4</t>
  </si>
  <si>
    <t>ORD081S5</t>
  </si>
  <si>
    <t>ORD082S1</t>
  </si>
  <si>
    <t>ORD082S2</t>
  </si>
  <si>
    <t>ORD082S3</t>
  </si>
  <si>
    <t>ORD082S4</t>
  </si>
  <si>
    <t>ORD082S5</t>
  </si>
  <si>
    <t>ORD083S1</t>
  </si>
  <si>
    <t>ORD083S2</t>
  </si>
  <si>
    <t>O03923</t>
  </si>
  <si>
    <t>ORD083S3</t>
  </si>
  <si>
    <t>O03932</t>
  </si>
  <si>
    <t>ORD083S4</t>
  </si>
  <si>
    <t>O03942</t>
  </si>
  <si>
    <t>ORD083S5</t>
  </si>
  <si>
    <t>O03951</t>
  </si>
  <si>
    <t>ORD084S1</t>
  </si>
  <si>
    <t>ORD084S2</t>
  </si>
  <si>
    <t>ORD084S3</t>
  </si>
  <si>
    <t>ORD084S4</t>
  </si>
  <si>
    <t>ORD084S5</t>
  </si>
  <si>
    <t>ORD085S1</t>
  </si>
  <si>
    <t>ORD085S2</t>
  </si>
  <si>
    <t>ORD085S3</t>
  </si>
  <si>
    <t>ORD085S4</t>
  </si>
  <si>
    <t>ORD085S5</t>
  </si>
  <si>
    <t>ORD086S1</t>
  </si>
  <si>
    <t>ORD086S2</t>
  </si>
  <si>
    <t>ORD086S3</t>
  </si>
  <si>
    <t>ORD086S4</t>
  </si>
  <si>
    <t>ORD086S5</t>
  </si>
  <si>
    <t>ORD087S1</t>
  </si>
  <si>
    <t>ORD087S2</t>
  </si>
  <si>
    <t>ORD087S3</t>
  </si>
  <si>
    <t>ORD087S4</t>
  </si>
  <si>
    <t>ORD087S5</t>
  </si>
  <si>
    <t>ORD088S1</t>
  </si>
  <si>
    <t>ORD088S2</t>
  </si>
  <si>
    <t>ORD088S3</t>
  </si>
  <si>
    <t>ORD088S4</t>
  </si>
  <si>
    <t>ORD088S5</t>
  </si>
  <si>
    <t>ORD089S1</t>
  </si>
  <si>
    <t>ORD089S2</t>
  </si>
  <si>
    <t>ORD089S3</t>
  </si>
  <si>
    <t>ORD089S4</t>
  </si>
  <si>
    <t>ORD089S5</t>
  </si>
  <si>
    <t>store_name</t>
  </si>
  <si>
    <t>demand_factor</t>
  </si>
  <si>
    <t>模拟门店1</t>
  </si>
  <si>
    <t>模拟门店2</t>
  </si>
  <si>
    <t>模拟门店3</t>
  </si>
  <si>
    <t>模拟门店4</t>
  </si>
  <si>
    <t>模拟门店5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</si>
</sst>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0" fontId="0" fillId="0" borderId="0" xfId="0" applyNumberFormat="1"/>
  </cellXfs>
  <cellStyles count="1">
    <cellStyle name="常规" xfId="0" builtinId="0"/>
  </cellStyles>
  <dxfs count="49">
    <dxf>
      <numFmt numFmtId="0" formatCode="General"/>
    </dxf>
    <dxf>
      <numFmt numFmtId="0" formatCode="General"/>
    </dxf>
    <dxf>
      <numFmt numFmtId="27" formatCode="yyyy/m/d\ h:mm"/>
    </dxf>
    <dxf>
      <numFmt numFmtId="27" formatCode="yyyy/m/d\ h:mm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#,##0.00_ "/>
    </dxf>
    <dxf>
      <numFmt numFmtId="176" formatCode="#,##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" refreshedDate="46272.89861921296" createdVersion="8" refreshedVersion="8" minRefreshableVersion="3" recordCount="224" xr:uid="{C53EA112-1FFE-4D1B-AED2-6A77A56875AF}">
  <cacheSource type="worksheet">
    <worksheetSource name="表2"/>
  </cacheSource>
  <cacheFields count="16">
    <cacheField name="批次编号" numFmtId="0">
      <sharedItems/>
    </cacheField>
    <cacheField name="SKU" numFmtId="0">
      <sharedItems/>
    </cacheField>
    <cacheField name="商品名称" numFmtId="0">
      <sharedItems/>
    </cacheField>
    <cacheField name="货位" numFmtId="0">
      <sharedItems/>
    </cacheField>
    <cacheField name="到期日" numFmtId="0">
      <sharedItems containsSemiMixedTypes="0" containsString="0" containsNumber="1" containsInteger="1" minValue="46227" maxValue="46631"/>
    </cacheField>
    <cacheField name="质量状态" numFmtId="0">
      <sharedItems/>
    </cacheField>
    <cacheField name="期初数量" numFmtId="0">
      <sharedItems containsSemiMixedTypes="0" containsString="0" containsNumber="1" containsInteger="1" minValue="0" maxValue="240"/>
    </cacheField>
    <cacheField name="入库数量" numFmtId="0">
      <sharedItems containsSemiMixedTypes="0" containsString="0" containsNumber="1" containsInteger="1" minValue="0" maxValue="100"/>
    </cacheField>
    <cacheField name="出库数量" numFmtId="0">
      <sharedItems containsSemiMixedTypes="0" containsString="0" containsNumber="1" containsInteger="1" minValue="0" maxValue="100"/>
    </cacheField>
    <cacheField name="期末库存" numFmtId="0">
      <sharedItems containsSemiMixedTypes="0" containsString="0" containsNumber="1" containsInteger="1" minValue="0" maxValue="240"/>
    </cacheField>
    <cacheField name="单价" numFmtId="0">
      <sharedItems containsSemiMixedTypes="0" containsString="0" containsNumber="1" minValue="12.46" maxValue="81.96"/>
    </cacheField>
    <cacheField name="库存金额" numFmtId="0">
      <sharedItems containsSemiMixedTypes="0" containsString="0" containsNumber="1" minValue="0" maxValue="11172.400000000001"/>
    </cacheField>
    <cacheField name="剩余有效天数" numFmtId="0">
      <sharedItems containsSemiMixedTypes="0" containsString="0" containsNumber="1" containsInteger="1" minValue="-44" maxValue="360"/>
    </cacheField>
    <cacheField name="临期预警天数" numFmtId="0">
      <sharedItems containsSemiMixedTypes="0" containsString="0" containsNumber="1" containsInteger="1" minValue="30" maxValue="60"/>
    </cacheField>
    <cacheField name="库存状态" numFmtId="0">
      <sharedItems count="5">
        <s v="无库存"/>
        <s v="已到期/过期"/>
        <s v="正常"/>
        <s v="临期"/>
        <s v="冻结待检"/>
      </sharedItems>
    </cacheField>
    <cacheField name="可出库数量" numFmtId="0">
      <sharedItems containsSemiMixedTypes="0" containsString="0" containsNumber="1" containsInteger="1" minValue="0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s v="B0001"/>
    <s v="SKU001"/>
    <s v="茉莉绿茶"/>
    <s v="L001"/>
    <n v="46282"/>
    <s v="RELEASED"/>
    <n v="80"/>
    <n v="0"/>
    <n v="80"/>
    <n v="0"/>
    <n v="79.760000000000005"/>
    <n v="0"/>
    <n v="11"/>
    <n v="30"/>
    <x v="0"/>
    <n v="0"/>
  </r>
  <r>
    <s v="B0002"/>
    <s v="SKU002"/>
    <s v="红茶"/>
    <s v="L002"/>
    <n v="46252"/>
    <s v="RELEASED"/>
    <n v="80"/>
    <n v="0"/>
    <n v="80"/>
    <n v="0"/>
    <n v="78.48"/>
    <n v="0"/>
    <n v="-19"/>
    <n v="30"/>
    <x v="0"/>
    <n v="0"/>
  </r>
  <r>
    <s v="B0003"/>
    <s v="SKU003"/>
    <s v="乌龙茶"/>
    <s v="L003"/>
    <n v="46252"/>
    <s v="RELEASED"/>
    <n v="80"/>
    <n v="0"/>
    <n v="80"/>
    <n v="0"/>
    <n v="41.99"/>
    <n v="0"/>
    <n v="-19"/>
    <n v="30"/>
    <x v="0"/>
    <n v="0"/>
  </r>
  <r>
    <s v="B0004"/>
    <s v="SKU004"/>
    <s v="四季春茶"/>
    <s v="L004"/>
    <n v="46282"/>
    <s v="RELEASED"/>
    <n v="80"/>
    <n v="0"/>
    <n v="80"/>
    <n v="0"/>
    <n v="70.39"/>
    <n v="0"/>
    <n v="11"/>
    <n v="30"/>
    <x v="0"/>
    <n v="0"/>
  </r>
  <r>
    <s v="B0005"/>
    <s v="SKU005"/>
    <s v="桂花乌龙"/>
    <s v="L005"/>
    <n v="46227"/>
    <s v="RELEASED"/>
    <n v="80"/>
    <n v="0"/>
    <n v="80"/>
    <n v="0"/>
    <n v="56.61"/>
    <n v="0"/>
    <n v="-44"/>
    <n v="30"/>
    <x v="0"/>
    <n v="0"/>
  </r>
  <r>
    <s v="B0006"/>
    <s v="SKU006"/>
    <s v="焙火乌龙"/>
    <s v="L006"/>
    <n v="46362"/>
    <s v="RELEASED"/>
    <n v="80"/>
    <n v="0"/>
    <n v="80"/>
    <n v="0"/>
    <n v="30.07"/>
    <n v="0"/>
    <n v="91"/>
    <n v="30"/>
    <x v="0"/>
    <n v="0"/>
  </r>
  <r>
    <s v="B0007"/>
    <s v="SKU007"/>
    <s v="白桃乌龙"/>
    <s v="L007"/>
    <n v="46282"/>
    <s v="RELEASED"/>
    <n v="80"/>
    <n v="0"/>
    <n v="80"/>
    <n v="0"/>
    <n v="30.79"/>
    <n v="0"/>
    <n v="11"/>
    <n v="30"/>
    <x v="0"/>
    <n v="0"/>
  </r>
  <r>
    <s v="B0008"/>
    <s v="SKU008"/>
    <s v="普洱茶"/>
    <s v="L008"/>
    <n v="46227"/>
    <s v="RELEASED"/>
    <n v="80"/>
    <n v="0"/>
    <n v="80"/>
    <n v="0"/>
    <n v="72.540000000000006"/>
    <n v="0"/>
    <n v="-44"/>
    <n v="30"/>
    <x v="0"/>
    <n v="0"/>
  </r>
  <r>
    <s v="B0009"/>
    <s v="SKU009"/>
    <s v="龙井茶"/>
    <s v="L009"/>
    <n v="46282"/>
    <s v="RELEASED"/>
    <n v="80"/>
    <n v="0"/>
    <n v="80"/>
    <n v="0"/>
    <n v="21.12"/>
    <n v="0"/>
    <n v="11"/>
    <n v="30"/>
    <x v="0"/>
    <n v="0"/>
  </r>
  <r>
    <s v="B0010"/>
    <s v="SKU010"/>
    <s v="栀子绿茶"/>
    <s v="L010"/>
    <n v="46242"/>
    <s v="RELEASED"/>
    <n v="80"/>
    <n v="0"/>
    <n v="0"/>
    <n v="80"/>
    <n v="29.05"/>
    <n v="2324"/>
    <n v="-29"/>
    <n v="30"/>
    <x v="1"/>
    <n v="0"/>
  </r>
  <r>
    <s v="B0011"/>
    <s v="SKU011"/>
    <s v="原味糖浆"/>
    <s v="L011"/>
    <n v="46362"/>
    <s v="RELEASED"/>
    <n v="80"/>
    <n v="0"/>
    <n v="80"/>
    <n v="0"/>
    <n v="24.06"/>
    <n v="0"/>
    <n v="91"/>
    <n v="30"/>
    <x v="0"/>
    <n v="0"/>
  </r>
  <r>
    <s v="B0012"/>
    <s v="SKU012"/>
    <s v="黑糖糖浆"/>
    <s v="L012"/>
    <n v="46252"/>
    <s v="RELEASED"/>
    <n v="80"/>
    <n v="0"/>
    <n v="80"/>
    <n v="0"/>
    <n v="77.959999999999994"/>
    <n v="0"/>
    <n v="-19"/>
    <n v="30"/>
    <x v="0"/>
    <n v="0"/>
  </r>
  <r>
    <s v="B0013"/>
    <s v="SKU013"/>
    <s v="香草糖浆"/>
    <s v="L013"/>
    <n v="46252"/>
    <s v="RELEASED"/>
    <n v="80"/>
    <n v="0"/>
    <n v="80"/>
    <n v="0"/>
    <n v="70.63"/>
    <n v="0"/>
    <n v="-19"/>
    <n v="30"/>
    <x v="0"/>
    <n v="0"/>
  </r>
  <r>
    <s v="B0014"/>
    <s v="SKU014"/>
    <s v="焦糖糖浆"/>
    <s v="L014"/>
    <n v="46252"/>
    <s v="RELEASED"/>
    <n v="80"/>
    <n v="0"/>
    <n v="80"/>
    <n v="0"/>
    <n v="70.989999999999995"/>
    <n v="0"/>
    <n v="-19"/>
    <n v="30"/>
    <x v="0"/>
    <n v="0"/>
  </r>
  <r>
    <s v="B0015"/>
    <s v="SKU015"/>
    <s v="果糖浆"/>
    <s v="L015"/>
    <n v="46282"/>
    <s v="RELEASED"/>
    <n v="80"/>
    <n v="0"/>
    <n v="80"/>
    <n v="0"/>
    <n v="53.46"/>
    <n v="0"/>
    <n v="11"/>
    <n v="30"/>
    <x v="0"/>
    <n v="0"/>
  </r>
  <r>
    <s v="B0016"/>
    <s v="SKU016"/>
    <s v="常温椰浆"/>
    <s v="L016"/>
    <n v="46227"/>
    <s v="RELEASED"/>
    <n v="80"/>
    <n v="0"/>
    <n v="80"/>
    <n v="0"/>
    <n v="13.06"/>
    <n v="0"/>
    <n v="-44"/>
    <n v="30"/>
    <x v="0"/>
    <n v="0"/>
  </r>
  <r>
    <s v="B0017"/>
    <s v="SKU017"/>
    <s v="常温椰乳"/>
    <s v="L017"/>
    <n v="46282"/>
    <s v="RELEASED"/>
    <n v="80"/>
    <n v="0"/>
    <n v="80"/>
    <n v="0"/>
    <n v="39.159999999999997"/>
    <n v="0"/>
    <n v="11"/>
    <n v="30"/>
    <x v="0"/>
    <n v="0"/>
  </r>
  <r>
    <s v="B0018"/>
    <s v="SKU018"/>
    <s v="常温燕麦饮"/>
    <s v="L018"/>
    <n v="46282"/>
    <s v="RELEASED"/>
    <n v="80"/>
    <n v="0"/>
    <n v="80"/>
    <n v="0"/>
    <n v="63.65"/>
    <n v="0"/>
    <n v="11"/>
    <n v="30"/>
    <x v="0"/>
    <n v="0"/>
  </r>
  <r>
    <s v="B0019"/>
    <s v="SKU019"/>
    <s v="常温全脂奶"/>
    <s v="L019"/>
    <n v="46227"/>
    <s v="RELEASED"/>
    <n v="80"/>
    <n v="0"/>
    <n v="80"/>
    <n v="0"/>
    <n v="81.96"/>
    <n v="0"/>
    <n v="-44"/>
    <n v="30"/>
    <x v="0"/>
    <n v="0"/>
  </r>
  <r>
    <s v="B0020"/>
    <s v="SKU020"/>
    <s v="常温厚乳"/>
    <s v="L020"/>
    <n v="46282"/>
    <s v="RELEASED"/>
    <n v="80"/>
    <n v="0"/>
    <n v="80"/>
    <n v="0"/>
    <n v="65.56"/>
    <n v="0"/>
    <n v="11"/>
    <n v="30"/>
    <x v="0"/>
    <n v="0"/>
  </r>
  <r>
    <s v="B0021"/>
    <s v="SKU021"/>
    <s v="500ml杯"/>
    <s v="L021"/>
    <n v="46547"/>
    <s v="RELEASED"/>
    <n v="80"/>
    <n v="0"/>
    <n v="80"/>
    <n v="0"/>
    <n v="20.77"/>
    <n v="0"/>
    <n v="276"/>
    <n v="60"/>
    <x v="0"/>
    <n v="0"/>
  </r>
  <r>
    <s v="B0022"/>
    <s v="SKU022"/>
    <s v="700ml杯"/>
    <s v="L022"/>
    <n v="46547"/>
    <s v="RELEASED"/>
    <n v="80"/>
    <n v="0"/>
    <n v="80"/>
    <n v="0"/>
    <n v="16.36"/>
    <n v="0"/>
    <n v="276"/>
    <n v="60"/>
    <x v="0"/>
    <n v="0"/>
  </r>
  <r>
    <s v="B0023"/>
    <s v="SKU023"/>
    <s v="500ml杯盖"/>
    <s v="L023"/>
    <n v="46547"/>
    <s v="RELEASED"/>
    <n v="80"/>
    <n v="0"/>
    <n v="80"/>
    <n v="0"/>
    <n v="12.46"/>
    <n v="0"/>
    <n v="276"/>
    <n v="60"/>
    <x v="0"/>
    <n v="0"/>
  </r>
  <r>
    <s v="B0024"/>
    <s v="SKU024"/>
    <s v="700ml杯盖"/>
    <s v="L024"/>
    <n v="46547"/>
    <s v="RELEASED"/>
    <n v="80"/>
    <n v="0"/>
    <n v="80"/>
    <n v="0"/>
    <n v="19.8"/>
    <n v="0"/>
    <n v="276"/>
    <n v="60"/>
    <x v="0"/>
    <n v="0"/>
  </r>
  <r>
    <s v="B0025"/>
    <s v="SKU025"/>
    <s v="粗吸管"/>
    <s v="L025"/>
    <n v="46547"/>
    <s v="RELEASED"/>
    <n v="80"/>
    <n v="0"/>
    <n v="80"/>
    <n v="0"/>
    <n v="39.42"/>
    <n v="0"/>
    <n v="276"/>
    <n v="60"/>
    <x v="0"/>
    <n v="0"/>
  </r>
  <r>
    <s v="B0026"/>
    <s v="SKU026"/>
    <s v="细吸管"/>
    <s v="L026"/>
    <n v="46547"/>
    <s v="RELEASED"/>
    <n v="80"/>
    <n v="0"/>
    <n v="80"/>
    <n v="0"/>
    <n v="14.19"/>
    <n v="0"/>
    <n v="276"/>
    <n v="60"/>
    <x v="0"/>
    <n v="0"/>
  </r>
  <r>
    <s v="B0027"/>
    <s v="SKU027"/>
    <s v="单杯袋"/>
    <s v="L027"/>
    <n v="46547"/>
    <s v="RELEASED"/>
    <n v="80"/>
    <n v="0"/>
    <n v="80"/>
    <n v="0"/>
    <n v="30.89"/>
    <n v="0"/>
    <n v="276"/>
    <n v="60"/>
    <x v="0"/>
    <n v="0"/>
  </r>
  <r>
    <s v="B0028"/>
    <s v="SKU028"/>
    <s v="双杯袋"/>
    <s v="L028"/>
    <n v="46547"/>
    <s v="RELEASED"/>
    <n v="80"/>
    <n v="0"/>
    <n v="80"/>
    <n v="0"/>
    <n v="55.53"/>
    <n v="0"/>
    <n v="276"/>
    <n v="60"/>
    <x v="0"/>
    <n v="0"/>
  </r>
  <r>
    <s v="B0029"/>
    <s v="SKU029"/>
    <s v="封口膜"/>
    <s v="L029"/>
    <n v="46547"/>
    <s v="RELEASED"/>
    <n v="240"/>
    <n v="0"/>
    <n v="28"/>
    <n v="212"/>
    <n v="52.7"/>
    <n v="11172.400000000001"/>
    <n v="276"/>
    <n v="60"/>
    <x v="2"/>
    <n v="212"/>
  </r>
  <r>
    <s v="B0030"/>
    <s v="SKU030"/>
    <s v="纸巾"/>
    <s v="L030"/>
    <n v="46547"/>
    <s v="RELEASED"/>
    <n v="240"/>
    <n v="0"/>
    <n v="0"/>
    <n v="240"/>
    <n v="27.65"/>
    <n v="6636"/>
    <n v="276"/>
    <n v="60"/>
    <x v="2"/>
    <n v="240"/>
  </r>
  <r>
    <s v="B0031"/>
    <s v="SKU001"/>
    <s v="茉莉绿茶"/>
    <s v="L001"/>
    <n v="46234"/>
    <s v="RELEASED"/>
    <n v="0"/>
    <n v="80"/>
    <n v="80"/>
    <n v="0"/>
    <n v="79.760000000000005"/>
    <n v="0"/>
    <n v="-37"/>
    <n v="30"/>
    <x v="0"/>
    <n v="0"/>
  </r>
  <r>
    <s v="B0032"/>
    <s v="SKU002"/>
    <s v="红茶"/>
    <s v="L002"/>
    <n v="46289"/>
    <s v="RELEASED"/>
    <n v="0"/>
    <n v="81"/>
    <n v="81"/>
    <n v="0"/>
    <n v="78.48"/>
    <n v="0"/>
    <n v="18"/>
    <n v="30"/>
    <x v="0"/>
    <n v="0"/>
  </r>
  <r>
    <s v="B0033"/>
    <s v="SKU003"/>
    <s v="乌龙茶"/>
    <s v="L003"/>
    <n v="46259"/>
    <s v="RELEASED"/>
    <n v="0"/>
    <n v="67"/>
    <n v="67"/>
    <n v="0"/>
    <n v="41.99"/>
    <n v="0"/>
    <n v="-12"/>
    <n v="30"/>
    <x v="0"/>
    <n v="0"/>
  </r>
  <r>
    <s v="B0034"/>
    <s v="SKU004"/>
    <s v="四季春茶"/>
    <s v="L004"/>
    <n v="46259"/>
    <s v="RELEASED"/>
    <n v="0"/>
    <n v="68"/>
    <n v="68"/>
    <n v="0"/>
    <n v="70.39"/>
    <n v="0"/>
    <n v="-12"/>
    <n v="30"/>
    <x v="0"/>
    <n v="0"/>
  </r>
  <r>
    <s v="B0035"/>
    <s v="SKU005"/>
    <s v="桂花乌龙"/>
    <s v="L005"/>
    <n v="46369"/>
    <s v="RELEASED"/>
    <n v="0"/>
    <n v="99"/>
    <n v="99"/>
    <n v="0"/>
    <n v="56.61"/>
    <n v="0"/>
    <n v="98"/>
    <n v="30"/>
    <x v="0"/>
    <n v="0"/>
  </r>
  <r>
    <s v="B0036"/>
    <s v="SKU006"/>
    <s v="焙火乌龙"/>
    <s v="L006"/>
    <n v="46289"/>
    <s v="RELEASED"/>
    <n v="0"/>
    <n v="78"/>
    <n v="78"/>
    <n v="0"/>
    <n v="30.07"/>
    <n v="0"/>
    <n v="18"/>
    <n v="30"/>
    <x v="0"/>
    <n v="0"/>
  </r>
  <r>
    <s v="B0037"/>
    <s v="SKU007"/>
    <s v="白桃乌龙"/>
    <s v="L007"/>
    <n v="46234"/>
    <s v="RELEASED"/>
    <n v="0"/>
    <n v="99"/>
    <n v="99"/>
    <n v="0"/>
    <n v="30.79"/>
    <n v="0"/>
    <n v="-37"/>
    <n v="30"/>
    <x v="0"/>
    <n v="0"/>
  </r>
  <r>
    <s v="B0038"/>
    <s v="SKU008"/>
    <s v="普洱茶"/>
    <s v="L008"/>
    <n v="46234"/>
    <s v="RELEASED"/>
    <n v="0"/>
    <n v="92"/>
    <n v="92"/>
    <n v="0"/>
    <n v="72.540000000000006"/>
    <n v="0"/>
    <n v="-37"/>
    <n v="30"/>
    <x v="0"/>
    <n v="0"/>
  </r>
  <r>
    <s v="B0039"/>
    <s v="SKU009"/>
    <s v="龙井茶"/>
    <s v="L009"/>
    <n v="46259"/>
    <s v="RELEASED"/>
    <n v="0"/>
    <n v="76"/>
    <n v="76"/>
    <n v="0"/>
    <n v="21.12"/>
    <n v="0"/>
    <n v="-12"/>
    <n v="30"/>
    <x v="0"/>
    <n v="0"/>
  </r>
  <r>
    <s v="B0040"/>
    <s v="SKU010"/>
    <s v="栀子绿茶"/>
    <s v="L010"/>
    <n v="46289"/>
    <s v="RELEASED"/>
    <n v="0"/>
    <n v="86"/>
    <n v="0"/>
    <n v="86"/>
    <n v="29.05"/>
    <n v="2498.3000000000002"/>
    <n v="18"/>
    <n v="30"/>
    <x v="3"/>
    <n v="86"/>
  </r>
  <r>
    <s v="B0041"/>
    <s v="SKU011"/>
    <s v="原味糖浆"/>
    <s v="L011"/>
    <n v="46234"/>
    <s v="RELEASED"/>
    <n v="0"/>
    <n v="80"/>
    <n v="80"/>
    <n v="0"/>
    <n v="24.06"/>
    <n v="0"/>
    <n v="-37"/>
    <n v="30"/>
    <x v="0"/>
    <n v="0"/>
  </r>
  <r>
    <s v="B0042"/>
    <s v="SKU012"/>
    <s v="黑糖糖浆"/>
    <s v="L012"/>
    <n v="46369"/>
    <s v="RELEASED"/>
    <n v="0"/>
    <n v="60"/>
    <n v="0"/>
    <n v="60"/>
    <n v="77.959999999999994"/>
    <n v="4677.5999999999995"/>
    <n v="98"/>
    <n v="30"/>
    <x v="2"/>
    <n v="60"/>
  </r>
  <r>
    <s v="B0043"/>
    <s v="SKU013"/>
    <s v="香草糖浆"/>
    <s v="L013"/>
    <n v="46234"/>
    <s v="RELEASED"/>
    <n v="0"/>
    <n v="68"/>
    <n v="68"/>
    <n v="0"/>
    <n v="70.63"/>
    <n v="0"/>
    <n v="-37"/>
    <n v="30"/>
    <x v="0"/>
    <n v="0"/>
  </r>
  <r>
    <s v="B0044"/>
    <s v="SKU014"/>
    <s v="焦糖糖浆"/>
    <s v="L014"/>
    <n v="46259"/>
    <s v="RELEASED"/>
    <n v="0"/>
    <n v="82"/>
    <n v="82"/>
    <n v="0"/>
    <n v="70.989999999999995"/>
    <n v="0"/>
    <n v="-12"/>
    <n v="30"/>
    <x v="0"/>
    <n v="0"/>
  </r>
  <r>
    <s v="B0045"/>
    <s v="SKU015"/>
    <s v="果糖浆"/>
    <s v="L015"/>
    <n v="46234"/>
    <s v="RELEASED"/>
    <n v="0"/>
    <n v="68"/>
    <n v="68"/>
    <n v="0"/>
    <n v="53.46"/>
    <n v="0"/>
    <n v="-37"/>
    <n v="30"/>
    <x v="0"/>
    <n v="0"/>
  </r>
  <r>
    <s v="B0046"/>
    <s v="SKU016"/>
    <s v="常温椰浆"/>
    <s v="L016"/>
    <n v="46369"/>
    <s v="RELEASED"/>
    <n v="0"/>
    <n v="83"/>
    <n v="83"/>
    <n v="0"/>
    <n v="13.06"/>
    <n v="0"/>
    <n v="98"/>
    <n v="30"/>
    <x v="0"/>
    <n v="0"/>
  </r>
  <r>
    <s v="B0047"/>
    <s v="SKU017"/>
    <s v="常温椰乳"/>
    <s v="L017"/>
    <n v="46289"/>
    <s v="RELEASED"/>
    <n v="0"/>
    <n v="92"/>
    <n v="92"/>
    <n v="0"/>
    <n v="39.159999999999997"/>
    <n v="0"/>
    <n v="18"/>
    <n v="30"/>
    <x v="0"/>
    <n v="0"/>
  </r>
  <r>
    <s v="B0048"/>
    <s v="SKU018"/>
    <s v="常温燕麦饮"/>
    <s v="L018"/>
    <n v="46259"/>
    <s v="RELEASED"/>
    <n v="0"/>
    <n v="79"/>
    <n v="79"/>
    <n v="0"/>
    <n v="63.65"/>
    <n v="0"/>
    <n v="-12"/>
    <n v="30"/>
    <x v="0"/>
    <n v="0"/>
  </r>
  <r>
    <s v="B0049"/>
    <s v="SKU019"/>
    <s v="常温全脂奶"/>
    <s v="L019"/>
    <n v="46369"/>
    <s v="RELEASED"/>
    <n v="0"/>
    <n v="99"/>
    <n v="99"/>
    <n v="0"/>
    <n v="81.96"/>
    <n v="0"/>
    <n v="98"/>
    <n v="30"/>
    <x v="0"/>
    <n v="0"/>
  </r>
  <r>
    <s v="B0050"/>
    <s v="SKU020"/>
    <s v="常温厚乳"/>
    <s v="L020"/>
    <n v="46369"/>
    <s v="RELEASED"/>
    <n v="0"/>
    <n v="68"/>
    <n v="55"/>
    <n v="13"/>
    <n v="65.56"/>
    <n v="852.28"/>
    <n v="98"/>
    <n v="30"/>
    <x v="2"/>
    <n v="13"/>
  </r>
  <r>
    <s v="B0051"/>
    <s v="SKU021"/>
    <s v="500ml杯"/>
    <s v="L021"/>
    <n v="46554"/>
    <s v="RELEASED"/>
    <n v="0"/>
    <n v="87"/>
    <n v="87"/>
    <n v="0"/>
    <n v="20.77"/>
    <n v="0"/>
    <n v="283"/>
    <n v="60"/>
    <x v="0"/>
    <n v="0"/>
  </r>
  <r>
    <s v="B0052"/>
    <s v="SKU022"/>
    <s v="700ml杯"/>
    <s v="L022"/>
    <n v="46554"/>
    <s v="RELEASED"/>
    <n v="0"/>
    <n v="84"/>
    <n v="84"/>
    <n v="0"/>
    <n v="16.36"/>
    <n v="0"/>
    <n v="283"/>
    <n v="60"/>
    <x v="0"/>
    <n v="0"/>
  </r>
  <r>
    <s v="B0053"/>
    <s v="SKU023"/>
    <s v="500ml杯盖"/>
    <s v="L023"/>
    <n v="46554"/>
    <s v="RELEASED"/>
    <n v="0"/>
    <n v="78"/>
    <n v="78"/>
    <n v="0"/>
    <n v="12.46"/>
    <n v="0"/>
    <n v="283"/>
    <n v="60"/>
    <x v="0"/>
    <n v="0"/>
  </r>
  <r>
    <s v="B0054"/>
    <s v="SKU024"/>
    <s v="700ml杯盖"/>
    <s v="L024"/>
    <n v="46554"/>
    <s v="RELEASED"/>
    <n v="0"/>
    <n v="74"/>
    <n v="74"/>
    <n v="0"/>
    <n v="19.8"/>
    <n v="0"/>
    <n v="283"/>
    <n v="60"/>
    <x v="0"/>
    <n v="0"/>
  </r>
  <r>
    <s v="B0055"/>
    <s v="SKU025"/>
    <s v="粗吸管"/>
    <s v="L025"/>
    <n v="46554"/>
    <s v="RELEASED"/>
    <n v="0"/>
    <n v="67"/>
    <n v="67"/>
    <n v="0"/>
    <n v="39.42"/>
    <n v="0"/>
    <n v="283"/>
    <n v="60"/>
    <x v="0"/>
    <n v="0"/>
  </r>
  <r>
    <s v="B0056"/>
    <s v="SKU026"/>
    <s v="细吸管"/>
    <s v="L026"/>
    <n v="46554"/>
    <s v="RELEASED"/>
    <n v="0"/>
    <n v="77"/>
    <n v="77"/>
    <n v="0"/>
    <n v="14.19"/>
    <n v="0"/>
    <n v="283"/>
    <n v="60"/>
    <x v="0"/>
    <n v="0"/>
  </r>
  <r>
    <s v="B0057"/>
    <s v="SKU027"/>
    <s v="单杯袋"/>
    <s v="L027"/>
    <n v="46554"/>
    <s v="RELEASED"/>
    <n v="0"/>
    <n v="73"/>
    <n v="73"/>
    <n v="0"/>
    <n v="30.89"/>
    <n v="0"/>
    <n v="283"/>
    <n v="60"/>
    <x v="0"/>
    <n v="0"/>
  </r>
  <r>
    <s v="B0058"/>
    <s v="SKU028"/>
    <s v="双杯袋"/>
    <s v="L028"/>
    <n v="46554"/>
    <s v="RELEASED"/>
    <n v="0"/>
    <n v="71"/>
    <n v="71"/>
    <n v="0"/>
    <n v="55.53"/>
    <n v="0"/>
    <n v="283"/>
    <n v="60"/>
    <x v="0"/>
    <n v="0"/>
  </r>
  <r>
    <s v="B0059"/>
    <s v="SKU001"/>
    <s v="茉莉绿茶"/>
    <s v="L001"/>
    <n v="46376"/>
    <s v="RELEASED"/>
    <n v="0"/>
    <n v="96"/>
    <n v="96"/>
    <n v="0"/>
    <n v="79.760000000000005"/>
    <n v="0"/>
    <n v="105"/>
    <n v="30"/>
    <x v="0"/>
    <n v="0"/>
  </r>
  <r>
    <s v="B0060"/>
    <s v="SKU002"/>
    <s v="红茶"/>
    <s v="L002"/>
    <n v="46376"/>
    <s v="RELEASED"/>
    <n v="0"/>
    <n v="83"/>
    <n v="83"/>
    <n v="0"/>
    <n v="78.48"/>
    <n v="0"/>
    <n v="105"/>
    <n v="30"/>
    <x v="0"/>
    <n v="0"/>
  </r>
  <r>
    <s v="B0061"/>
    <s v="SKU003"/>
    <s v="乌龙茶"/>
    <s v="L003"/>
    <n v="46266"/>
    <s v="RELEASED"/>
    <n v="0"/>
    <n v="85"/>
    <n v="85"/>
    <n v="0"/>
    <n v="41.99"/>
    <n v="0"/>
    <n v="-5"/>
    <n v="30"/>
    <x v="0"/>
    <n v="0"/>
  </r>
  <r>
    <s v="B0062"/>
    <s v="SKU004"/>
    <s v="四季春茶"/>
    <s v="L004"/>
    <n v="46376"/>
    <s v="RELEASED"/>
    <n v="0"/>
    <n v="99"/>
    <n v="99"/>
    <n v="0"/>
    <n v="70.39"/>
    <n v="0"/>
    <n v="105"/>
    <n v="30"/>
    <x v="0"/>
    <n v="0"/>
  </r>
  <r>
    <s v="B0063"/>
    <s v="SKU005"/>
    <s v="桂花乌龙"/>
    <s v="L005"/>
    <n v="46296"/>
    <s v="RELEASED"/>
    <n v="0"/>
    <n v="71"/>
    <n v="71"/>
    <n v="0"/>
    <n v="56.61"/>
    <n v="0"/>
    <n v="25"/>
    <n v="30"/>
    <x v="0"/>
    <n v="0"/>
  </r>
  <r>
    <s v="B0064"/>
    <s v="SKU006"/>
    <s v="焙火乌龙"/>
    <s v="L006"/>
    <n v="46241"/>
    <s v="RELEASED"/>
    <n v="0"/>
    <n v="71"/>
    <n v="71"/>
    <n v="0"/>
    <n v="30.07"/>
    <n v="0"/>
    <n v="-30"/>
    <n v="30"/>
    <x v="0"/>
    <n v="0"/>
  </r>
  <r>
    <s v="B0065"/>
    <s v="SKU009"/>
    <s v="龙井茶"/>
    <s v="L009"/>
    <n v="46241"/>
    <s v="RELEASED"/>
    <n v="0"/>
    <n v="71"/>
    <n v="71"/>
    <n v="0"/>
    <n v="21.12"/>
    <n v="0"/>
    <n v="-30"/>
    <n v="30"/>
    <x v="0"/>
    <n v="0"/>
  </r>
  <r>
    <s v="B0066"/>
    <s v="SKU011"/>
    <s v="原味糖浆"/>
    <s v="L011"/>
    <n v="46376"/>
    <s v="RELEASED"/>
    <n v="0"/>
    <n v="98"/>
    <n v="98"/>
    <n v="0"/>
    <n v="24.06"/>
    <n v="0"/>
    <n v="105"/>
    <n v="30"/>
    <x v="0"/>
    <n v="0"/>
  </r>
  <r>
    <s v="B0067"/>
    <s v="SKU012"/>
    <s v="黑糖糖浆"/>
    <s v="L012"/>
    <n v="46241"/>
    <s v="RELEASED"/>
    <n v="0"/>
    <n v="80"/>
    <n v="80"/>
    <n v="0"/>
    <n v="77.959999999999994"/>
    <n v="0"/>
    <n v="-30"/>
    <n v="30"/>
    <x v="0"/>
    <n v="0"/>
  </r>
  <r>
    <s v="B0068"/>
    <s v="SKU014"/>
    <s v="焦糖糖浆"/>
    <s v="L014"/>
    <n v="46376"/>
    <s v="RELEASED"/>
    <n v="0"/>
    <n v="69"/>
    <n v="0"/>
    <n v="69"/>
    <n v="70.989999999999995"/>
    <n v="4898.3099999999995"/>
    <n v="105"/>
    <n v="30"/>
    <x v="2"/>
    <n v="69"/>
  </r>
  <r>
    <s v="B0069"/>
    <s v="SKU015"/>
    <s v="果糖浆"/>
    <s v="L015"/>
    <n v="46296"/>
    <s v="RELEASED"/>
    <n v="0"/>
    <n v="75"/>
    <n v="75"/>
    <n v="0"/>
    <n v="53.46"/>
    <n v="0"/>
    <n v="25"/>
    <n v="30"/>
    <x v="0"/>
    <n v="0"/>
  </r>
  <r>
    <s v="B0070"/>
    <s v="SKU016"/>
    <s v="常温椰浆"/>
    <s v="L016"/>
    <n v="46376"/>
    <s v="RELEASED"/>
    <n v="0"/>
    <n v="89"/>
    <n v="9"/>
    <n v="80"/>
    <n v="13.06"/>
    <n v="1044.8"/>
    <n v="105"/>
    <n v="30"/>
    <x v="2"/>
    <n v="80"/>
  </r>
  <r>
    <s v="B0071"/>
    <s v="SKU019"/>
    <s v="常温全脂奶"/>
    <s v="L019"/>
    <n v="46296"/>
    <s v="RELEASED"/>
    <n v="0"/>
    <n v="69"/>
    <n v="69"/>
    <n v="0"/>
    <n v="81.96"/>
    <n v="0"/>
    <n v="25"/>
    <n v="30"/>
    <x v="0"/>
    <n v="0"/>
  </r>
  <r>
    <s v="B0072"/>
    <s v="SKU020"/>
    <s v="常温厚乳"/>
    <s v="L020"/>
    <n v="46376"/>
    <s v="RELEASED"/>
    <n v="0"/>
    <n v="76"/>
    <n v="0"/>
    <n v="76"/>
    <n v="65.56"/>
    <n v="4982.5600000000004"/>
    <n v="105"/>
    <n v="30"/>
    <x v="2"/>
    <n v="76"/>
  </r>
  <r>
    <s v="B0073"/>
    <s v="SKU021"/>
    <s v="500ml杯"/>
    <s v="L021"/>
    <n v="46561"/>
    <s v="RELEASED"/>
    <n v="0"/>
    <n v="64"/>
    <n v="64"/>
    <n v="0"/>
    <n v="20.77"/>
    <n v="0"/>
    <n v="290"/>
    <n v="60"/>
    <x v="0"/>
    <n v="0"/>
  </r>
  <r>
    <s v="B0074"/>
    <s v="SKU022"/>
    <s v="700ml杯"/>
    <s v="L022"/>
    <n v="46561"/>
    <s v="RELEASED"/>
    <n v="0"/>
    <n v="72"/>
    <n v="72"/>
    <n v="0"/>
    <n v="16.36"/>
    <n v="0"/>
    <n v="290"/>
    <n v="60"/>
    <x v="0"/>
    <n v="0"/>
  </r>
  <r>
    <s v="B0075"/>
    <s v="SKU023"/>
    <s v="500ml杯盖"/>
    <s v="L023"/>
    <n v="46561"/>
    <s v="RELEASED"/>
    <n v="0"/>
    <n v="84"/>
    <n v="84"/>
    <n v="0"/>
    <n v="12.46"/>
    <n v="0"/>
    <n v="290"/>
    <n v="60"/>
    <x v="0"/>
    <n v="0"/>
  </r>
  <r>
    <s v="B0076"/>
    <s v="SKU024"/>
    <s v="700ml杯盖"/>
    <s v="L024"/>
    <n v="46561"/>
    <s v="RELEASED"/>
    <n v="0"/>
    <n v="77"/>
    <n v="77"/>
    <n v="0"/>
    <n v="19.8"/>
    <n v="0"/>
    <n v="290"/>
    <n v="60"/>
    <x v="0"/>
    <n v="0"/>
  </r>
  <r>
    <s v="B0077"/>
    <s v="SKU025"/>
    <s v="粗吸管"/>
    <s v="L025"/>
    <n v="46561"/>
    <s v="RELEASED"/>
    <n v="0"/>
    <n v="67"/>
    <n v="67"/>
    <n v="0"/>
    <n v="39.42"/>
    <n v="0"/>
    <n v="290"/>
    <n v="60"/>
    <x v="0"/>
    <n v="0"/>
  </r>
  <r>
    <s v="B0078"/>
    <s v="SKU027"/>
    <s v="单杯袋"/>
    <s v="L027"/>
    <n v="46561"/>
    <s v="RELEASED"/>
    <n v="0"/>
    <n v="67"/>
    <n v="67"/>
    <n v="0"/>
    <n v="30.89"/>
    <n v="0"/>
    <n v="290"/>
    <n v="60"/>
    <x v="0"/>
    <n v="0"/>
  </r>
  <r>
    <s v="B0079"/>
    <s v="SKU028"/>
    <s v="双杯袋"/>
    <s v="L028"/>
    <n v="46561"/>
    <s v="RELEASED"/>
    <n v="0"/>
    <n v="91"/>
    <n v="91"/>
    <n v="0"/>
    <n v="55.53"/>
    <n v="0"/>
    <n v="290"/>
    <n v="60"/>
    <x v="0"/>
    <n v="0"/>
  </r>
  <r>
    <s v="B0080"/>
    <s v="SKU001"/>
    <s v="茉莉绿茶"/>
    <s v="L001"/>
    <n v="46383"/>
    <s v="RELEASED"/>
    <n v="0"/>
    <n v="76"/>
    <n v="76"/>
    <n v="0"/>
    <n v="79.760000000000005"/>
    <n v="0"/>
    <n v="112"/>
    <n v="30"/>
    <x v="0"/>
    <n v="0"/>
  </r>
  <r>
    <s v="B0081"/>
    <s v="SKU002"/>
    <s v="红茶"/>
    <s v="L002"/>
    <n v="46383"/>
    <s v="RELEASED"/>
    <n v="0"/>
    <n v="65"/>
    <n v="30"/>
    <n v="35"/>
    <n v="78.48"/>
    <n v="2746.8"/>
    <n v="112"/>
    <n v="30"/>
    <x v="2"/>
    <n v="35"/>
  </r>
  <r>
    <s v="B0082"/>
    <s v="SKU003"/>
    <s v="乌龙茶"/>
    <s v="L003"/>
    <n v="46303"/>
    <s v="RELEASED"/>
    <n v="0"/>
    <n v="86"/>
    <n v="86"/>
    <n v="0"/>
    <n v="41.99"/>
    <n v="0"/>
    <n v="32"/>
    <n v="30"/>
    <x v="0"/>
    <n v="0"/>
  </r>
  <r>
    <s v="B0083"/>
    <s v="SKU004"/>
    <s v="四季春茶"/>
    <s v="L004"/>
    <n v="46248"/>
    <s v="RELEASED"/>
    <n v="0"/>
    <n v="75"/>
    <n v="75"/>
    <n v="0"/>
    <n v="70.39"/>
    <n v="0"/>
    <n v="-23"/>
    <n v="30"/>
    <x v="0"/>
    <n v="0"/>
  </r>
  <r>
    <s v="B0084"/>
    <s v="SKU005"/>
    <s v="桂花乌龙"/>
    <s v="L005"/>
    <n v="46383"/>
    <s v="RELEASED"/>
    <n v="0"/>
    <n v="85"/>
    <n v="85"/>
    <n v="0"/>
    <n v="56.61"/>
    <n v="0"/>
    <n v="112"/>
    <n v="30"/>
    <x v="0"/>
    <n v="0"/>
  </r>
  <r>
    <s v="B0085"/>
    <s v="SKU006"/>
    <s v="焙火乌龙"/>
    <s v="L006"/>
    <n v="46383"/>
    <s v="RELEASED"/>
    <n v="0"/>
    <n v="90"/>
    <n v="90"/>
    <n v="0"/>
    <n v="30.07"/>
    <n v="0"/>
    <n v="112"/>
    <n v="30"/>
    <x v="0"/>
    <n v="0"/>
  </r>
  <r>
    <s v="B0086"/>
    <s v="SKU008"/>
    <s v="普洱茶"/>
    <s v="L008"/>
    <n v="46273"/>
    <s v="RELEASED"/>
    <n v="0"/>
    <n v="92"/>
    <n v="92"/>
    <n v="0"/>
    <n v="72.540000000000006"/>
    <n v="0"/>
    <n v="2"/>
    <n v="30"/>
    <x v="0"/>
    <n v="0"/>
  </r>
  <r>
    <s v="B0087"/>
    <s v="SKU013"/>
    <s v="香草糖浆"/>
    <s v="L013"/>
    <n v="46248"/>
    <s v="RELEASED"/>
    <n v="0"/>
    <n v="63"/>
    <n v="63"/>
    <n v="0"/>
    <n v="70.63"/>
    <n v="0"/>
    <n v="-23"/>
    <n v="30"/>
    <x v="0"/>
    <n v="0"/>
  </r>
  <r>
    <s v="B0088"/>
    <s v="SKU017"/>
    <s v="常温椰乳"/>
    <s v="L017"/>
    <n v="46248"/>
    <s v="RELEASED"/>
    <n v="0"/>
    <n v="95"/>
    <n v="95"/>
    <n v="0"/>
    <n v="39.159999999999997"/>
    <n v="0"/>
    <n v="-23"/>
    <n v="30"/>
    <x v="0"/>
    <n v="0"/>
  </r>
  <r>
    <s v="B0089"/>
    <s v="SKU018"/>
    <s v="常温燕麦饮"/>
    <s v="L018"/>
    <n v="46248"/>
    <s v="RELEASED"/>
    <n v="0"/>
    <n v="76"/>
    <n v="76"/>
    <n v="0"/>
    <n v="63.65"/>
    <n v="0"/>
    <n v="-23"/>
    <n v="30"/>
    <x v="0"/>
    <n v="0"/>
  </r>
  <r>
    <s v="B0090"/>
    <s v="SKU020"/>
    <s v="常温厚乳"/>
    <s v="L020"/>
    <n v="46303"/>
    <s v="RELEASED"/>
    <n v="0"/>
    <n v="96"/>
    <n v="96"/>
    <n v="0"/>
    <n v="65.56"/>
    <n v="0"/>
    <n v="32"/>
    <n v="30"/>
    <x v="0"/>
    <n v="0"/>
  </r>
  <r>
    <s v="B0091"/>
    <s v="SKU025"/>
    <s v="粗吸管"/>
    <s v="L025"/>
    <n v="46568"/>
    <s v="RELEASED"/>
    <n v="0"/>
    <n v="100"/>
    <n v="100"/>
    <n v="0"/>
    <n v="39.42"/>
    <n v="0"/>
    <n v="297"/>
    <n v="60"/>
    <x v="0"/>
    <n v="0"/>
  </r>
  <r>
    <s v="B0092"/>
    <s v="SKU026"/>
    <s v="细吸管"/>
    <s v="L026"/>
    <n v="46568"/>
    <s v="RELEASED"/>
    <n v="0"/>
    <n v="77"/>
    <n v="77"/>
    <n v="0"/>
    <n v="14.19"/>
    <n v="0"/>
    <n v="297"/>
    <n v="60"/>
    <x v="0"/>
    <n v="0"/>
  </r>
  <r>
    <s v="B0093"/>
    <s v="SKU001"/>
    <s v="茉莉绿茶"/>
    <s v="L001"/>
    <n v="46310"/>
    <s v="RELEASED"/>
    <n v="0"/>
    <n v="76"/>
    <n v="76"/>
    <n v="0"/>
    <n v="79.760000000000005"/>
    <n v="0"/>
    <n v="39"/>
    <n v="30"/>
    <x v="0"/>
    <n v="0"/>
  </r>
  <r>
    <s v="B0094"/>
    <s v="SKU002"/>
    <s v="红茶"/>
    <s v="L002"/>
    <n v="46280"/>
    <s v="RELEASED"/>
    <n v="0"/>
    <n v="86"/>
    <n v="86"/>
    <n v="0"/>
    <n v="78.48"/>
    <n v="0"/>
    <n v="9"/>
    <n v="30"/>
    <x v="0"/>
    <n v="0"/>
  </r>
  <r>
    <s v="B0095"/>
    <s v="SKU003"/>
    <s v="乌龙茶"/>
    <s v="L003"/>
    <n v="46255"/>
    <s v="RELEASED"/>
    <n v="0"/>
    <n v="62"/>
    <n v="62"/>
    <n v="0"/>
    <n v="41.99"/>
    <n v="0"/>
    <n v="-16"/>
    <n v="30"/>
    <x v="0"/>
    <n v="0"/>
  </r>
  <r>
    <s v="B0096"/>
    <s v="SKU004"/>
    <s v="四季春茶"/>
    <s v="L004"/>
    <n v="46255"/>
    <s v="RELEASED"/>
    <n v="0"/>
    <n v="87"/>
    <n v="87"/>
    <n v="0"/>
    <n v="70.39"/>
    <n v="0"/>
    <n v="-16"/>
    <n v="30"/>
    <x v="0"/>
    <n v="0"/>
  </r>
  <r>
    <s v="B0097"/>
    <s v="SKU005"/>
    <s v="桂花乌龙"/>
    <s v="L005"/>
    <n v="46390"/>
    <s v="RELEASED"/>
    <n v="0"/>
    <n v="72"/>
    <n v="64"/>
    <n v="8"/>
    <n v="56.61"/>
    <n v="452.88"/>
    <n v="119"/>
    <n v="30"/>
    <x v="2"/>
    <n v="8"/>
  </r>
  <r>
    <s v="B0098"/>
    <s v="SKU006"/>
    <s v="焙火乌龙"/>
    <s v="L006"/>
    <n v="46390"/>
    <s v="HOLD"/>
    <n v="0"/>
    <n v="77"/>
    <n v="0"/>
    <n v="77"/>
    <n v="30.07"/>
    <n v="2315.39"/>
    <n v="119"/>
    <n v="30"/>
    <x v="4"/>
    <n v="0"/>
  </r>
  <r>
    <s v="B0099"/>
    <s v="SKU007"/>
    <s v="白桃乌龙"/>
    <s v="L007"/>
    <n v="46255"/>
    <s v="RELEASED"/>
    <n v="0"/>
    <n v="64"/>
    <n v="64"/>
    <n v="0"/>
    <n v="30.79"/>
    <n v="0"/>
    <n v="-16"/>
    <n v="30"/>
    <x v="0"/>
    <n v="0"/>
  </r>
  <r>
    <s v="B0100"/>
    <s v="SKU009"/>
    <s v="龙井茶"/>
    <s v="L009"/>
    <n v="46280"/>
    <s v="RELEASED"/>
    <n v="0"/>
    <n v="68"/>
    <n v="68"/>
    <n v="0"/>
    <n v="21.12"/>
    <n v="0"/>
    <n v="9"/>
    <n v="30"/>
    <x v="0"/>
    <n v="0"/>
  </r>
  <r>
    <s v="B0101"/>
    <s v="SKU011"/>
    <s v="原味糖浆"/>
    <s v="L011"/>
    <n v="46310"/>
    <s v="RELEASED"/>
    <n v="0"/>
    <n v="63"/>
    <n v="63"/>
    <n v="0"/>
    <n v="24.06"/>
    <n v="0"/>
    <n v="39"/>
    <n v="30"/>
    <x v="0"/>
    <n v="0"/>
  </r>
  <r>
    <s v="B0102"/>
    <s v="SKU012"/>
    <s v="黑糖糖浆"/>
    <s v="L012"/>
    <n v="46280"/>
    <s v="RELEASED"/>
    <n v="0"/>
    <n v="70"/>
    <n v="70"/>
    <n v="0"/>
    <n v="77.959999999999994"/>
    <n v="0"/>
    <n v="9"/>
    <n v="30"/>
    <x v="0"/>
    <n v="0"/>
  </r>
  <r>
    <s v="B0103"/>
    <s v="SKU014"/>
    <s v="焦糖糖浆"/>
    <s v="L014"/>
    <n v="46310"/>
    <s v="RELEASED"/>
    <n v="0"/>
    <n v="69"/>
    <n v="69"/>
    <n v="0"/>
    <n v="70.989999999999995"/>
    <n v="0"/>
    <n v="39"/>
    <n v="30"/>
    <x v="0"/>
    <n v="0"/>
  </r>
  <r>
    <s v="B0104"/>
    <s v="SKU016"/>
    <s v="常温椰浆"/>
    <s v="L016"/>
    <n v="46255"/>
    <s v="RELEASED"/>
    <n v="0"/>
    <n v="60"/>
    <n v="60"/>
    <n v="0"/>
    <n v="13.06"/>
    <n v="0"/>
    <n v="-16"/>
    <n v="30"/>
    <x v="0"/>
    <n v="0"/>
  </r>
  <r>
    <s v="B0105"/>
    <s v="SKU021"/>
    <s v="500ml杯"/>
    <s v="L021"/>
    <n v="46575"/>
    <s v="RELEASED"/>
    <n v="0"/>
    <n v="90"/>
    <n v="90"/>
    <n v="0"/>
    <n v="20.77"/>
    <n v="0"/>
    <n v="304"/>
    <n v="60"/>
    <x v="0"/>
    <n v="0"/>
  </r>
  <r>
    <s v="B0106"/>
    <s v="SKU022"/>
    <s v="700ml杯"/>
    <s v="L022"/>
    <n v="46575"/>
    <s v="RELEASED"/>
    <n v="0"/>
    <n v="63"/>
    <n v="63"/>
    <n v="0"/>
    <n v="16.36"/>
    <n v="0"/>
    <n v="304"/>
    <n v="60"/>
    <x v="0"/>
    <n v="0"/>
  </r>
  <r>
    <s v="B0107"/>
    <s v="SKU024"/>
    <s v="700ml杯盖"/>
    <s v="L024"/>
    <n v="46575"/>
    <s v="RELEASED"/>
    <n v="0"/>
    <n v="92"/>
    <n v="92"/>
    <n v="0"/>
    <n v="19.8"/>
    <n v="0"/>
    <n v="304"/>
    <n v="60"/>
    <x v="0"/>
    <n v="0"/>
  </r>
  <r>
    <s v="B0108"/>
    <s v="SKU027"/>
    <s v="单杯袋"/>
    <s v="L027"/>
    <n v="46575"/>
    <s v="RELEASED"/>
    <n v="0"/>
    <n v="62"/>
    <n v="62"/>
    <n v="0"/>
    <n v="30.89"/>
    <n v="0"/>
    <n v="304"/>
    <n v="60"/>
    <x v="0"/>
    <n v="0"/>
  </r>
  <r>
    <s v="B0109"/>
    <s v="SKU002"/>
    <s v="红茶"/>
    <s v="L002"/>
    <n v="46317"/>
    <s v="RELEASED"/>
    <n v="0"/>
    <n v="98"/>
    <n v="98"/>
    <n v="0"/>
    <n v="78.48"/>
    <n v="0"/>
    <n v="46"/>
    <n v="30"/>
    <x v="0"/>
    <n v="0"/>
  </r>
  <r>
    <s v="B0110"/>
    <s v="SKU003"/>
    <s v="乌龙茶"/>
    <s v="L003"/>
    <n v="46397"/>
    <s v="RELEASED"/>
    <n v="0"/>
    <n v="67"/>
    <n v="67"/>
    <n v="0"/>
    <n v="41.99"/>
    <n v="0"/>
    <n v="126"/>
    <n v="30"/>
    <x v="0"/>
    <n v="0"/>
  </r>
  <r>
    <s v="B0111"/>
    <s v="SKU004"/>
    <s v="四季春茶"/>
    <s v="L004"/>
    <n v="46397"/>
    <s v="RELEASED"/>
    <n v="0"/>
    <n v="87"/>
    <n v="87"/>
    <n v="0"/>
    <n v="70.39"/>
    <n v="0"/>
    <n v="126"/>
    <n v="30"/>
    <x v="0"/>
    <n v="0"/>
  </r>
  <r>
    <s v="B0112"/>
    <s v="SKU005"/>
    <s v="桂花乌龙"/>
    <s v="L005"/>
    <n v="46317"/>
    <s v="RELEASED"/>
    <n v="0"/>
    <n v="93"/>
    <n v="93"/>
    <n v="0"/>
    <n v="56.61"/>
    <n v="0"/>
    <n v="46"/>
    <n v="30"/>
    <x v="0"/>
    <n v="0"/>
  </r>
  <r>
    <s v="B0113"/>
    <s v="SKU006"/>
    <s v="焙火乌龙"/>
    <s v="L006"/>
    <n v="46287"/>
    <s v="RELEASED"/>
    <n v="0"/>
    <n v="78"/>
    <n v="78"/>
    <n v="0"/>
    <n v="30.07"/>
    <n v="0"/>
    <n v="16"/>
    <n v="30"/>
    <x v="0"/>
    <n v="0"/>
  </r>
  <r>
    <s v="B0114"/>
    <s v="SKU007"/>
    <s v="白桃乌龙"/>
    <s v="L007"/>
    <n v="46397"/>
    <s v="RELEASED"/>
    <n v="0"/>
    <n v="64"/>
    <n v="41"/>
    <n v="23"/>
    <n v="30.79"/>
    <n v="708.17"/>
    <n v="126"/>
    <n v="30"/>
    <x v="2"/>
    <n v="23"/>
  </r>
  <r>
    <s v="B0115"/>
    <s v="SKU013"/>
    <s v="香草糖浆"/>
    <s v="L013"/>
    <n v="46287"/>
    <s v="RELEASED"/>
    <n v="0"/>
    <n v="74"/>
    <n v="74"/>
    <n v="0"/>
    <n v="70.63"/>
    <n v="0"/>
    <n v="16"/>
    <n v="30"/>
    <x v="0"/>
    <n v="0"/>
  </r>
  <r>
    <s v="B0116"/>
    <s v="SKU015"/>
    <s v="果糖浆"/>
    <s v="L015"/>
    <n v="46287"/>
    <s v="RELEASED"/>
    <n v="0"/>
    <n v="77"/>
    <n v="77"/>
    <n v="0"/>
    <n v="53.46"/>
    <n v="0"/>
    <n v="16"/>
    <n v="30"/>
    <x v="0"/>
    <n v="0"/>
  </r>
  <r>
    <s v="B0117"/>
    <s v="SKU018"/>
    <s v="常温燕麦饮"/>
    <s v="L018"/>
    <n v="46317"/>
    <s v="RELEASED"/>
    <n v="0"/>
    <n v="76"/>
    <n v="76"/>
    <n v="0"/>
    <n v="63.65"/>
    <n v="0"/>
    <n v="46"/>
    <n v="30"/>
    <x v="0"/>
    <n v="0"/>
  </r>
  <r>
    <s v="B0118"/>
    <s v="SKU019"/>
    <s v="常温全脂奶"/>
    <s v="L019"/>
    <n v="46397"/>
    <s v="RELEASED"/>
    <n v="0"/>
    <n v="69"/>
    <n v="69"/>
    <n v="0"/>
    <n v="81.96"/>
    <n v="0"/>
    <n v="126"/>
    <n v="30"/>
    <x v="0"/>
    <n v="0"/>
  </r>
  <r>
    <s v="B0119"/>
    <s v="SKU022"/>
    <s v="700ml杯"/>
    <s v="L022"/>
    <n v="46582"/>
    <s v="RELEASED"/>
    <n v="0"/>
    <n v="92"/>
    <n v="92"/>
    <n v="0"/>
    <n v="16.36"/>
    <n v="0"/>
    <n v="311"/>
    <n v="60"/>
    <x v="0"/>
    <n v="0"/>
  </r>
  <r>
    <s v="B0120"/>
    <s v="SKU023"/>
    <s v="500ml杯盖"/>
    <s v="L023"/>
    <n v="46582"/>
    <s v="RELEASED"/>
    <n v="0"/>
    <n v="83"/>
    <n v="83"/>
    <n v="0"/>
    <n v="12.46"/>
    <n v="0"/>
    <n v="311"/>
    <n v="60"/>
    <x v="0"/>
    <n v="0"/>
  </r>
  <r>
    <s v="B0121"/>
    <s v="SKU028"/>
    <s v="双杯袋"/>
    <s v="L028"/>
    <n v="46582"/>
    <s v="RELEASED"/>
    <n v="0"/>
    <n v="70"/>
    <n v="70"/>
    <n v="0"/>
    <n v="55.53"/>
    <n v="0"/>
    <n v="311"/>
    <n v="60"/>
    <x v="0"/>
    <n v="0"/>
  </r>
  <r>
    <s v="B0122"/>
    <s v="SKU002"/>
    <s v="红茶"/>
    <s v="L002"/>
    <n v="46324"/>
    <s v="RELEASED"/>
    <n v="0"/>
    <n v="85"/>
    <n v="85"/>
    <n v="0"/>
    <n v="78.48"/>
    <n v="0"/>
    <n v="53"/>
    <n v="30"/>
    <x v="0"/>
    <n v="0"/>
  </r>
  <r>
    <s v="B0123"/>
    <s v="SKU003"/>
    <s v="乌龙茶"/>
    <s v="L003"/>
    <n v="46404"/>
    <s v="RELEASED"/>
    <n v="0"/>
    <n v="99"/>
    <n v="99"/>
    <n v="0"/>
    <n v="41.99"/>
    <n v="0"/>
    <n v="133"/>
    <n v="30"/>
    <x v="0"/>
    <n v="0"/>
  </r>
  <r>
    <s v="B0124"/>
    <s v="SKU004"/>
    <s v="四季春茶"/>
    <s v="L004"/>
    <n v="46269"/>
    <s v="RELEASED"/>
    <n v="0"/>
    <n v="77"/>
    <n v="77"/>
    <n v="0"/>
    <n v="70.39"/>
    <n v="0"/>
    <n v="-2"/>
    <n v="30"/>
    <x v="0"/>
    <n v="0"/>
  </r>
  <r>
    <s v="B0125"/>
    <s v="SKU005"/>
    <s v="桂花乌龙"/>
    <s v="L005"/>
    <n v="46294"/>
    <s v="RELEASED"/>
    <n v="0"/>
    <n v="65"/>
    <n v="65"/>
    <n v="0"/>
    <n v="56.61"/>
    <n v="0"/>
    <n v="23"/>
    <n v="30"/>
    <x v="0"/>
    <n v="0"/>
  </r>
  <r>
    <s v="B0126"/>
    <s v="SKU006"/>
    <s v="焙火乌龙"/>
    <s v="L006"/>
    <n v="46269"/>
    <s v="RELEASED"/>
    <n v="0"/>
    <n v="93"/>
    <n v="93"/>
    <n v="0"/>
    <n v="30.07"/>
    <n v="0"/>
    <n v="-2"/>
    <n v="30"/>
    <x v="0"/>
    <n v="0"/>
  </r>
  <r>
    <s v="B0127"/>
    <s v="SKU007"/>
    <s v="白桃乌龙"/>
    <s v="L007"/>
    <n v="46324"/>
    <s v="RELEASED"/>
    <n v="0"/>
    <n v="91"/>
    <n v="91"/>
    <n v="0"/>
    <n v="30.79"/>
    <n v="0"/>
    <n v="53"/>
    <n v="30"/>
    <x v="0"/>
    <n v="0"/>
  </r>
  <r>
    <s v="B0128"/>
    <s v="SKU008"/>
    <s v="普洱茶"/>
    <s v="L008"/>
    <n v="46269"/>
    <s v="RELEASED"/>
    <n v="0"/>
    <n v="88"/>
    <n v="88"/>
    <n v="0"/>
    <n v="72.540000000000006"/>
    <n v="0"/>
    <n v="-2"/>
    <n v="30"/>
    <x v="0"/>
    <n v="0"/>
  </r>
  <r>
    <s v="B0129"/>
    <s v="SKU009"/>
    <s v="龙井茶"/>
    <s v="L009"/>
    <n v="46269"/>
    <s v="RELEASED"/>
    <n v="0"/>
    <n v="83"/>
    <n v="83"/>
    <n v="0"/>
    <n v="21.12"/>
    <n v="0"/>
    <n v="-2"/>
    <n v="30"/>
    <x v="0"/>
    <n v="0"/>
  </r>
  <r>
    <s v="B0130"/>
    <s v="SKU011"/>
    <s v="原味糖浆"/>
    <s v="L011"/>
    <n v="46324"/>
    <s v="RELEASED"/>
    <n v="0"/>
    <n v="85"/>
    <n v="85"/>
    <n v="0"/>
    <n v="24.06"/>
    <n v="0"/>
    <n v="53"/>
    <n v="30"/>
    <x v="0"/>
    <n v="0"/>
  </r>
  <r>
    <s v="B0131"/>
    <s v="SKU016"/>
    <s v="常温椰浆"/>
    <s v="L016"/>
    <n v="46294"/>
    <s v="RELEASED"/>
    <n v="0"/>
    <n v="97"/>
    <n v="97"/>
    <n v="0"/>
    <n v="13.06"/>
    <n v="0"/>
    <n v="23"/>
    <n v="30"/>
    <x v="0"/>
    <n v="0"/>
  </r>
  <r>
    <s v="B0132"/>
    <s v="SKU017"/>
    <s v="常温椰乳"/>
    <s v="L017"/>
    <n v="46324"/>
    <s v="RELEASED"/>
    <n v="0"/>
    <n v="98"/>
    <n v="98"/>
    <n v="0"/>
    <n v="39.159999999999997"/>
    <n v="0"/>
    <n v="53"/>
    <n v="30"/>
    <x v="0"/>
    <n v="0"/>
  </r>
  <r>
    <s v="B0133"/>
    <s v="SKU020"/>
    <s v="常温厚乳"/>
    <s v="L020"/>
    <n v="46269"/>
    <s v="RELEASED"/>
    <n v="0"/>
    <n v="93"/>
    <n v="93"/>
    <n v="0"/>
    <n v="65.56"/>
    <n v="0"/>
    <n v="-2"/>
    <n v="30"/>
    <x v="0"/>
    <n v="0"/>
  </r>
  <r>
    <s v="B0134"/>
    <s v="SKU024"/>
    <s v="700ml杯盖"/>
    <s v="L024"/>
    <n v="46589"/>
    <s v="RELEASED"/>
    <n v="0"/>
    <n v="84"/>
    <n v="48"/>
    <n v="36"/>
    <n v="19.8"/>
    <n v="712.80000000000007"/>
    <n v="318"/>
    <n v="60"/>
    <x v="2"/>
    <n v="36"/>
  </r>
  <r>
    <s v="B0135"/>
    <s v="SKU025"/>
    <s v="粗吸管"/>
    <s v="L025"/>
    <n v="46589"/>
    <s v="RELEASED"/>
    <n v="0"/>
    <n v="62"/>
    <n v="62"/>
    <n v="0"/>
    <n v="39.42"/>
    <n v="0"/>
    <n v="318"/>
    <n v="60"/>
    <x v="0"/>
    <n v="0"/>
  </r>
  <r>
    <s v="B0136"/>
    <s v="SKU026"/>
    <s v="细吸管"/>
    <s v="L026"/>
    <n v="46589"/>
    <s v="RELEASED"/>
    <n v="0"/>
    <n v="93"/>
    <n v="93"/>
    <n v="0"/>
    <n v="14.19"/>
    <n v="0"/>
    <n v="318"/>
    <n v="60"/>
    <x v="0"/>
    <n v="0"/>
  </r>
  <r>
    <s v="B0137"/>
    <s v="SKU027"/>
    <s v="单杯袋"/>
    <s v="L027"/>
    <n v="46589"/>
    <s v="RELEASED"/>
    <n v="0"/>
    <n v="70"/>
    <n v="70"/>
    <n v="0"/>
    <n v="30.89"/>
    <n v="0"/>
    <n v="318"/>
    <n v="60"/>
    <x v="0"/>
    <n v="0"/>
  </r>
  <r>
    <s v="B0138"/>
    <s v="SKU002"/>
    <s v="红茶"/>
    <s v="L002"/>
    <n v="46301"/>
    <s v="RELEASED"/>
    <n v="0"/>
    <n v="60"/>
    <n v="60"/>
    <n v="0"/>
    <n v="78.48"/>
    <n v="0"/>
    <n v="30"/>
    <n v="30"/>
    <x v="0"/>
    <n v="0"/>
  </r>
  <r>
    <s v="B0139"/>
    <s v="SKU003"/>
    <s v="乌龙茶"/>
    <s v="L003"/>
    <n v="46411"/>
    <s v="RELEASED"/>
    <n v="0"/>
    <n v="72"/>
    <n v="72"/>
    <n v="0"/>
    <n v="41.99"/>
    <n v="0"/>
    <n v="140"/>
    <n v="30"/>
    <x v="0"/>
    <n v="0"/>
  </r>
  <r>
    <s v="B0140"/>
    <s v="SKU004"/>
    <s v="四季春茶"/>
    <s v="L004"/>
    <n v="46411"/>
    <s v="RELEASED"/>
    <n v="0"/>
    <n v="79"/>
    <n v="79"/>
    <n v="0"/>
    <n v="70.39"/>
    <n v="0"/>
    <n v="140"/>
    <n v="30"/>
    <x v="0"/>
    <n v="0"/>
  </r>
  <r>
    <s v="B0141"/>
    <s v="SKU005"/>
    <s v="桂花乌龙"/>
    <s v="L005"/>
    <n v="46301"/>
    <s v="RELEASED"/>
    <n v="0"/>
    <n v="87"/>
    <n v="87"/>
    <n v="0"/>
    <n v="56.61"/>
    <n v="0"/>
    <n v="30"/>
    <n v="30"/>
    <x v="0"/>
    <n v="0"/>
  </r>
  <r>
    <s v="B0142"/>
    <s v="SKU006"/>
    <s v="焙火乌龙"/>
    <s v="L006"/>
    <n v="46276"/>
    <s v="RELEASED"/>
    <n v="0"/>
    <n v="83"/>
    <n v="83"/>
    <n v="0"/>
    <n v="30.07"/>
    <n v="0"/>
    <n v="5"/>
    <n v="30"/>
    <x v="0"/>
    <n v="0"/>
  </r>
  <r>
    <s v="B0143"/>
    <s v="SKU012"/>
    <s v="黑糖糖浆"/>
    <s v="L012"/>
    <n v="46331"/>
    <s v="RELEASED"/>
    <n v="0"/>
    <n v="69"/>
    <n v="55"/>
    <n v="14"/>
    <n v="77.959999999999994"/>
    <n v="1091.4399999999998"/>
    <n v="60"/>
    <n v="30"/>
    <x v="2"/>
    <n v="14"/>
  </r>
  <r>
    <s v="B0144"/>
    <s v="SKU013"/>
    <s v="香草糖浆"/>
    <s v="L013"/>
    <n v="46276"/>
    <s v="RELEASED"/>
    <n v="0"/>
    <n v="71"/>
    <n v="71"/>
    <n v="0"/>
    <n v="70.63"/>
    <n v="0"/>
    <n v="5"/>
    <n v="30"/>
    <x v="0"/>
    <n v="0"/>
  </r>
  <r>
    <s v="B0145"/>
    <s v="SKU014"/>
    <s v="焦糖糖浆"/>
    <s v="L014"/>
    <n v="46276"/>
    <s v="RELEASED"/>
    <n v="0"/>
    <n v="86"/>
    <n v="86"/>
    <n v="0"/>
    <n v="70.989999999999995"/>
    <n v="0"/>
    <n v="5"/>
    <n v="30"/>
    <x v="0"/>
    <n v="0"/>
  </r>
  <r>
    <s v="B0146"/>
    <s v="SKU015"/>
    <s v="果糖浆"/>
    <s v="L015"/>
    <n v="46331"/>
    <s v="RELEASED"/>
    <n v="0"/>
    <n v="63"/>
    <n v="63"/>
    <n v="0"/>
    <n v="53.46"/>
    <n v="0"/>
    <n v="60"/>
    <n v="30"/>
    <x v="0"/>
    <n v="0"/>
  </r>
  <r>
    <s v="B0147"/>
    <s v="SKU019"/>
    <s v="常温全脂奶"/>
    <s v="L019"/>
    <n v="46411"/>
    <s v="RELEASED"/>
    <n v="0"/>
    <n v="85"/>
    <n v="45"/>
    <n v="40"/>
    <n v="81.96"/>
    <n v="3278.3999999999996"/>
    <n v="140"/>
    <n v="30"/>
    <x v="2"/>
    <n v="40"/>
  </r>
  <r>
    <s v="B0148"/>
    <s v="SKU021"/>
    <s v="500ml杯"/>
    <s v="L021"/>
    <n v="46596"/>
    <s v="RELEASED"/>
    <n v="0"/>
    <n v="60"/>
    <n v="60"/>
    <n v="0"/>
    <n v="20.77"/>
    <n v="0"/>
    <n v="325"/>
    <n v="60"/>
    <x v="0"/>
    <n v="0"/>
  </r>
  <r>
    <s v="B0149"/>
    <s v="SKU023"/>
    <s v="500ml杯盖"/>
    <s v="L023"/>
    <n v="46596"/>
    <s v="RELEASED"/>
    <n v="0"/>
    <n v="81"/>
    <n v="81"/>
    <n v="0"/>
    <n v="12.46"/>
    <n v="0"/>
    <n v="325"/>
    <n v="60"/>
    <x v="0"/>
    <n v="0"/>
  </r>
  <r>
    <s v="B0150"/>
    <s v="SKU027"/>
    <s v="单杯袋"/>
    <s v="L027"/>
    <n v="46596"/>
    <s v="RELEASED"/>
    <n v="0"/>
    <n v="74"/>
    <n v="74"/>
    <n v="0"/>
    <n v="30.89"/>
    <n v="0"/>
    <n v="325"/>
    <n v="60"/>
    <x v="0"/>
    <n v="0"/>
  </r>
  <r>
    <s v="B0151"/>
    <s v="SKU028"/>
    <s v="双杯袋"/>
    <s v="L028"/>
    <n v="46596"/>
    <s v="RELEASED"/>
    <n v="0"/>
    <n v="86"/>
    <n v="86"/>
    <n v="0"/>
    <n v="55.53"/>
    <n v="0"/>
    <n v="325"/>
    <n v="60"/>
    <x v="0"/>
    <n v="0"/>
  </r>
  <r>
    <s v="B0152"/>
    <s v="SKU001"/>
    <s v="茉莉绿茶"/>
    <s v="L001"/>
    <n v="46418"/>
    <s v="RELEASED"/>
    <n v="0"/>
    <n v="88"/>
    <n v="88"/>
    <n v="0"/>
    <n v="79.760000000000005"/>
    <n v="0"/>
    <n v="147"/>
    <n v="30"/>
    <x v="0"/>
    <n v="0"/>
  </r>
  <r>
    <s v="B0153"/>
    <s v="SKU002"/>
    <s v="红茶"/>
    <s v="L002"/>
    <n v="46308"/>
    <s v="RELEASED"/>
    <n v="0"/>
    <n v="90"/>
    <n v="90"/>
    <n v="0"/>
    <n v="78.48"/>
    <n v="0"/>
    <n v="37"/>
    <n v="30"/>
    <x v="0"/>
    <n v="0"/>
  </r>
  <r>
    <s v="B0154"/>
    <s v="SKU003"/>
    <s v="乌龙茶"/>
    <s v="L003"/>
    <n v="46308"/>
    <s v="RELEASED"/>
    <n v="0"/>
    <n v="68"/>
    <n v="68"/>
    <n v="0"/>
    <n v="41.99"/>
    <n v="0"/>
    <n v="37"/>
    <n v="30"/>
    <x v="0"/>
    <n v="0"/>
  </r>
  <r>
    <s v="B0155"/>
    <s v="SKU004"/>
    <s v="四季春茶"/>
    <s v="L004"/>
    <n v="46418"/>
    <s v="RELEASED"/>
    <n v="0"/>
    <n v="84"/>
    <n v="84"/>
    <n v="0"/>
    <n v="70.39"/>
    <n v="0"/>
    <n v="147"/>
    <n v="30"/>
    <x v="0"/>
    <n v="0"/>
  </r>
  <r>
    <s v="B0156"/>
    <s v="SKU005"/>
    <s v="桂花乌龙"/>
    <s v="L005"/>
    <n v="46283"/>
    <s v="RELEASED"/>
    <n v="0"/>
    <n v="74"/>
    <n v="74"/>
    <n v="0"/>
    <n v="56.61"/>
    <n v="0"/>
    <n v="12"/>
    <n v="30"/>
    <x v="0"/>
    <n v="0"/>
  </r>
  <r>
    <s v="B0157"/>
    <s v="SKU006"/>
    <s v="焙火乌龙"/>
    <s v="L006"/>
    <n v="46418"/>
    <s v="RELEASED"/>
    <n v="0"/>
    <n v="65"/>
    <n v="49"/>
    <n v="16"/>
    <n v="30.07"/>
    <n v="481.12"/>
    <n v="147"/>
    <n v="30"/>
    <x v="2"/>
    <n v="16"/>
  </r>
  <r>
    <s v="B0158"/>
    <s v="SKU009"/>
    <s v="龙井茶"/>
    <s v="L009"/>
    <n v="46418"/>
    <s v="RELEASED"/>
    <n v="0"/>
    <n v="78"/>
    <n v="5"/>
    <n v="73"/>
    <n v="21.12"/>
    <n v="1541.76"/>
    <n v="147"/>
    <n v="30"/>
    <x v="2"/>
    <n v="73"/>
  </r>
  <r>
    <s v="B0159"/>
    <s v="SKU011"/>
    <s v="原味糖浆"/>
    <s v="L011"/>
    <n v="46418"/>
    <s v="RELEASED"/>
    <n v="0"/>
    <n v="85"/>
    <n v="57"/>
    <n v="28"/>
    <n v="24.06"/>
    <n v="673.68"/>
    <n v="147"/>
    <n v="30"/>
    <x v="2"/>
    <n v="28"/>
  </r>
  <r>
    <s v="B0160"/>
    <s v="SKU015"/>
    <s v="果糖浆"/>
    <s v="L015"/>
    <n v="46418"/>
    <s v="RELEASED"/>
    <n v="0"/>
    <n v="100"/>
    <n v="16"/>
    <n v="84"/>
    <n v="53.46"/>
    <n v="4490.6400000000003"/>
    <n v="147"/>
    <n v="30"/>
    <x v="2"/>
    <n v="84"/>
  </r>
  <r>
    <s v="B0161"/>
    <s v="SKU021"/>
    <s v="500ml杯"/>
    <s v="L021"/>
    <n v="46603"/>
    <s v="RELEASED"/>
    <n v="0"/>
    <n v="97"/>
    <n v="62"/>
    <n v="35"/>
    <n v="20.77"/>
    <n v="726.94999999999993"/>
    <n v="332"/>
    <n v="60"/>
    <x v="2"/>
    <n v="35"/>
  </r>
  <r>
    <s v="B0162"/>
    <s v="SKU022"/>
    <s v="700ml杯"/>
    <s v="L022"/>
    <n v="46603"/>
    <s v="RELEASED"/>
    <n v="0"/>
    <n v="68"/>
    <n v="68"/>
    <n v="0"/>
    <n v="16.36"/>
    <n v="0"/>
    <n v="332"/>
    <n v="60"/>
    <x v="0"/>
    <n v="0"/>
  </r>
  <r>
    <s v="B0163"/>
    <s v="SKU001"/>
    <s v="茉莉绿茶"/>
    <s v="L001"/>
    <n v="46425"/>
    <s v="RELEASED"/>
    <n v="0"/>
    <n v="87"/>
    <n v="87"/>
    <n v="0"/>
    <n v="79.760000000000005"/>
    <n v="0"/>
    <n v="154"/>
    <n v="30"/>
    <x v="0"/>
    <n v="0"/>
  </r>
  <r>
    <s v="B0164"/>
    <s v="SKU002"/>
    <s v="红茶"/>
    <s v="L002"/>
    <n v="46345"/>
    <s v="RELEASED"/>
    <n v="0"/>
    <n v="71"/>
    <n v="59"/>
    <n v="12"/>
    <n v="78.48"/>
    <n v="941.76"/>
    <n v="74"/>
    <n v="30"/>
    <x v="2"/>
    <n v="12"/>
  </r>
  <r>
    <s v="B0165"/>
    <s v="SKU003"/>
    <s v="乌龙茶"/>
    <s v="L003"/>
    <n v="46315"/>
    <s v="RELEASED"/>
    <n v="0"/>
    <n v="93"/>
    <n v="93"/>
    <n v="0"/>
    <n v="41.99"/>
    <n v="0"/>
    <n v="44"/>
    <n v="30"/>
    <x v="0"/>
    <n v="0"/>
  </r>
  <r>
    <s v="B0166"/>
    <s v="SKU004"/>
    <s v="四季春茶"/>
    <s v="L004"/>
    <n v="46290"/>
    <s v="RELEASED"/>
    <n v="0"/>
    <n v="62"/>
    <n v="62"/>
    <n v="0"/>
    <n v="70.39"/>
    <n v="0"/>
    <n v="19"/>
    <n v="30"/>
    <x v="0"/>
    <n v="0"/>
  </r>
  <r>
    <s v="B0167"/>
    <s v="SKU005"/>
    <s v="桂花乌龙"/>
    <s v="L005"/>
    <n v="46425"/>
    <s v="RELEASED"/>
    <n v="0"/>
    <n v="80"/>
    <n v="0"/>
    <n v="80"/>
    <n v="56.61"/>
    <n v="4528.8"/>
    <n v="154"/>
    <n v="30"/>
    <x v="2"/>
    <n v="80"/>
  </r>
  <r>
    <s v="B0168"/>
    <s v="SKU006"/>
    <s v="焙火乌龙"/>
    <s v="L006"/>
    <n v="46345"/>
    <s v="RELEASED"/>
    <n v="0"/>
    <n v="96"/>
    <n v="70"/>
    <n v="26"/>
    <n v="30.07"/>
    <n v="781.82"/>
    <n v="74"/>
    <n v="30"/>
    <x v="2"/>
    <n v="26"/>
  </r>
  <r>
    <s v="B0169"/>
    <s v="SKU008"/>
    <s v="普洱茶"/>
    <s v="L008"/>
    <n v="46290"/>
    <s v="RELEASED"/>
    <n v="0"/>
    <n v="77"/>
    <n v="51"/>
    <n v="26"/>
    <n v="72.540000000000006"/>
    <n v="1886.0400000000002"/>
    <n v="19"/>
    <n v="30"/>
    <x v="3"/>
    <n v="26"/>
  </r>
  <r>
    <s v="B0170"/>
    <s v="SKU010"/>
    <s v="栀子绿茶"/>
    <s v="L010"/>
    <n v="46345"/>
    <s v="RELEASED"/>
    <n v="0"/>
    <n v="71"/>
    <n v="0"/>
    <n v="71"/>
    <n v="29.05"/>
    <n v="2062.5500000000002"/>
    <n v="74"/>
    <n v="30"/>
    <x v="2"/>
    <n v="71"/>
  </r>
  <r>
    <s v="B0171"/>
    <s v="SKU012"/>
    <s v="黑糖糖浆"/>
    <s v="L012"/>
    <n v="46290"/>
    <s v="RELEASED"/>
    <n v="0"/>
    <n v="84"/>
    <n v="84"/>
    <n v="0"/>
    <n v="77.959999999999994"/>
    <n v="0"/>
    <n v="19"/>
    <n v="30"/>
    <x v="0"/>
    <n v="0"/>
  </r>
  <r>
    <s v="B0172"/>
    <s v="SKU013"/>
    <s v="香草糖浆"/>
    <s v="L013"/>
    <n v="46345"/>
    <s v="RELEASED"/>
    <n v="0"/>
    <n v="93"/>
    <n v="24"/>
    <n v="69"/>
    <n v="70.63"/>
    <n v="4873.4699999999993"/>
    <n v="74"/>
    <n v="30"/>
    <x v="2"/>
    <n v="69"/>
  </r>
  <r>
    <s v="B0173"/>
    <s v="SKU016"/>
    <s v="常温椰浆"/>
    <s v="L016"/>
    <n v="46290"/>
    <s v="RELEASED"/>
    <n v="0"/>
    <n v="72"/>
    <n v="72"/>
    <n v="0"/>
    <n v="13.06"/>
    <n v="0"/>
    <n v="19"/>
    <n v="30"/>
    <x v="0"/>
    <n v="0"/>
  </r>
  <r>
    <s v="B0174"/>
    <s v="SKU017"/>
    <s v="常温椰乳"/>
    <s v="L017"/>
    <n v="46345"/>
    <s v="RELEASED"/>
    <n v="0"/>
    <n v="68"/>
    <n v="0"/>
    <n v="68"/>
    <n v="39.159999999999997"/>
    <n v="2662.8799999999997"/>
    <n v="74"/>
    <n v="30"/>
    <x v="2"/>
    <n v="68"/>
  </r>
  <r>
    <s v="B0175"/>
    <s v="SKU018"/>
    <s v="常温燕麦饮"/>
    <s v="L018"/>
    <n v="46425"/>
    <s v="RELEASED"/>
    <n v="0"/>
    <n v="64"/>
    <n v="0"/>
    <n v="64"/>
    <n v="63.65"/>
    <n v="4073.6"/>
    <n v="154"/>
    <n v="30"/>
    <x v="2"/>
    <n v="64"/>
  </r>
  <r>
    <s v="B0176"/>
    <s v="SKU019"/>
    <s v="常温全脂奶"/>
    <s v="L019"/>
    <n v="46290"/>
    <s v="RELEASED"/>
    <n v="0"/>
    <n v="67"/>
    <n v="67"/>
    <n v="0"/>
    <n v="81.96"/>
    <n v="0"/>
    <n v="19"/>
    <n v="30"/>
    <x v="0"/>
    <n v="0"/>
  </r>
  <r>
    <s v="B0177"/>
    <s v="SKU020"/>
    <s v="常温厚乳"/>
    <s v="L020"/>
    <n v="46345"/>
    <s v="RELEASED"/>
    <n v="0"/>
    <n v="99"/>
    <n v="99"/>
    <n v="0"/>
    <n v="65.56"/>
    <n v="0"/>
    <n v="74"/>
    <n v="30"/>
    <x v="0"/>
    <n v="0"/>
  </r>
  <r>
    <s v="B0178"/>
    <s v="SKU023"/>
    <s v="500ml杯盖"/>
    <s v="L023"/>
    <n v="46610"/>
    <s v="RELEASED"/>
    <n v="0"/>
    <n v="79"/>
    <n v="40"/>
    <n v="39"/>
    <n v="12.46"/>
    <n v="485.94000000000005"/>
    <n v="339"/>
    <n v="60"/>
    <x v="2"/>
    <n v="39"/>
  </r>
  <r>
    <s v="B0179"/>
    <s v="SKU024"/>
    <s v="700ml杯盖"/>
    <s v="L024"/>
    <n v="46610"/>
    <s v="RELEASED"/>
    <n v="0"/>
    <n v="81"/>
    <n v="0"/>
    <n v="81"/>
    <n v="19.8"/>
    <n v="1603.8"/>
    <n v="339"/>
    <n v="60"/>
    <x v="2"/>
    <n v="81"/>
  </r>
  <r>
    <s v="B0180"/>
    <s v="SKU025"/>
    <s v="粗吸管"/>
    <s v="L025"/>
    <n v="46610"/>
    <s v="RELEASED"/>
    <n v="0"/>
    <n v="65"/>
    <n v="65"/>
    <n v="0"/>
    <n v="39.42"/>
    <n v="0"/>
    <n v="339"/>
    <n v="60"/>
    <x v="0"/>
    <n v="0"/>
  </r>
  <r>
    <s v="B0181"/>
    <s v="SKU026"/>
    <s v="细吸管"/>
    <s v="L026"/>
    <n v="46610"/>
    <s v="RELEASED"/>
    <n v="0"/>
    <n v="86"/>
    <n v="48"/>
    <n v="38"/>
    <n v="14.19"/>
    <n v="539.22"/>
    <n v="339"/>
    <n v="60"/>
    <x v="2"/>
    <n v="38"/>
  </r>
  <r>
    <s v="B0182"/>
    <s v="SKU001"/>
    <s v="茉莉绿茶"/>
    <s v="L001"/>
    <n v="46432"/>
    <s v="RELEASED"/>
    <n v="0"/>
    <n v="83"/>
    <n v="83"/>
    <n v="0"/>
    <n v="79.760000000000005"/>
    <n v="0"/>
    <n v="161"/>
    <n v="30"/>
    <x v="0"/>
    <n v="0"/>
  </r>
  <r>
    <s v="B0183"/>
    <s v="SKU002"/>
    <s v="红茶"/>
    <s v="L002"/>
    <n v="46322"/>
    <s v="RELEASED"/>
    <n v="0"/>
    <n v="95"/>
    <n v="95"/>
    <n v="0"/>
    <n v="78.48"/>
    <n v="0"/>
    <n v="51"/>
    <n v="30"/>
    <x v="0"/>
    <n v="0"/>
  </r>
  <r>
    <s v="B0184"/>
    <s v="SKU003"/>
    <s v="乌龙茶"/>
    <s v="L003"/>
    <n v="46297"/>
    <s v="RELEASED"/>
    <n v="0"/>
    <n v="83"/>
    <n v="83"/>
    <n v="0"/>
    <n v="41.99"/>
    <n v="0"/>
    <n v="26"/>
    <n v="30"/>
    <x v="0"/>
    <n v="0"/>
  </r>
  <r>
    <s v="B0185"/>
    <s v="SKU004"/>
    <s v="四季春茶"/>
    <s v="L004"/>
    <n v="46432"/>
    <s v="RELEASED"/>
    <n v="0"/>
    <n v="60"/>
    <n v="60"/>
    <n v="0"/>
    <n v="70.39"/>
    <n v="0"/>
    <n v="161"/>
    <n v="30"/>
    <x v="0"/>
    <n v="0"/>
  </r>
  <r>
    <s v="B0186"/>
    <s v="SKU005"/>
    <s v="桂花乌龙"/>
    <s v="L005"/>
    <n v="46352"/>
    <s v="RELEASED"/>
    <n v="0"/>
    <n v="81"/>
    <n v="81"/>
    <n v="0"/>
    <n v="56.61"/>
    <n v="0"/>
    <n v="81"/>
    <n v="30"/>
    <x v="0"/>
    <n v="0"/>
  </r>
  <r>
    <s v="B0187"/>
    <s v="SKU006"/>
    <s v="焙火乌龙"/>
    <s v="L006"/>
    <n v="46297"/>
    <s v="RELEASED"/>
    <n v="0"/>
    <n v="66"/>
    <n v="66"/>
    <n v="0"/>
    <n v="30.07"/>
    <n v="0"/>
    <n v="26"/>
    <n v="30"/>
    <x v="0"/>
    <n v="0"/>
  </r>
  <r>
    <s v="B0188"/>
    <s v="SKU007"/>
    <s v="白桃乌龙"/>
    <s v="L007"/>
    <n v="46432"/>
    <s v="RELEASED"/>
    <n v="0"/>
    <n v="71"/>
    <n v="0"/>
    <n v="71"/>
    <n v="30.79"/>
    <n v="2186.09"/>
    <n v="161"/>
    <n v="30"/>
    <x v="2"/>
    <n v="71"/>
  </r>
  <r>
    <s v="B0189"/>
    <s v="SKU009"/>
    <s v="龙井茶"/>
    <s v="L009"/>
    <n v="46322"/>
    <s v="RELEASED"/>
    <n v="0"/>
    <n v="94"/>
    <n v="94"/>
    <n v="0"/>
    <n v="21.12"/>
    <n v="0"/>
    <n v="51"/>
    <n v="30"/>
    <x v="0"/>
    <n v="0"/>
  </r>
  <r>
    <s v="B0190"/>
    <s v="SKU014"/>
    <s v="焦糖糖浆"/>
    <s v="L014"/>
    <n v="46352"/>
    <s v="RELEASED"/>
    <n v="0"/>
    <n v="79"/>
    <n v="79"/>
    <n v="0"/>
    <n v="70.989999999999995"/>
    <n v="0"/>
    <n v="81"/>
    <n v="30"/>
    <x v="0"/>
    <n v="0"/>
  </r>
  <r>
    <s v="B0191"/>
    <s v="SKU022"/>
    <s v="700ml杯"/>
    <s v="L022"/>
    <n v="46617"/>
    <s v="RELEASED"/>
    <n v="0"/>
    <n v="80"/>
    <n v="21"/>
    <n v="59"/>
    <n v="16.36"/>
    <n v="965.24"/>
    <n v="346"/>
    <n v="60"/>
    <x v="2"/>
    <n v="59"/>
  </r>
  <r>
    <s v="B0192"/>
    <s v="SKU027"/>
    <s v="单杯袋"/>
    <s v="L027"/>
    <n v="46617"/>
    <s v="RELEASED"/>
    <n v="0"/>
    <n v="87"/>
    <n v="10"/>
    <n v="77"/>
    <n v="30.89"/>
    <n v="2378.5300000000002"/>
    <n v="346"/>
    <n v="60"/>
    <x v="2"/>
    <n v="77"/>
  </r>
  <r>
    <s v="B0193"/>
    <s v="SKU028"/>
    <s v="双杯袋"/>
    <s v="L028"/>
    <n v="46617"/>
    <s v="RELEASED"/>
    <n v="0"/>
    <n v="66"/>
    <n v="10"/>
    <n v="56"/>
    <n v="55.53"/>
    <n v="3109.6800000000003"/>
    <n v="346"/>
    <n v="60"/>
    <x v="2"/>
    <n v="56"/>
  </r>
  <r>
    <s v="B0194"/>
    <s v="SKU001"/>
    <s v="茉莉绿茶"/>
    <s v="L001"/>
    <n v="46439"/>
    <s v="RELEASED"/>
    <n v="0"/>
    <n v="90"/>
    <n v="41"/>
    <n v="49"/>
    <n v="79.760000000000005"/>
    <n v="3908.2400000000002"/>
    <n v="168"/>
    <n v="30"/>
    <x v="2"/>
    <n v="49"/>
  </r>
  <r>
    <s v="B0195"/>
    <s v="SKU003"/>
    <s v="乌龙茶"/>
    <s v="L003"/>
    <n v="46439"/>
    <s v="RELEASED"/>
    <n v="0"/>
    <n v="73"/>
    <n v="55"/>
    <n v="18"/>
    <n v="41.99"/>
    <n v="755.82"/>
    <n v="168"/>
    <n v="30"/>
    <x v="2"/>
    <n v="18"/>
  </r>
  <r>
    <s v="B0196"/>
    <s v="SKU004"/>
    <s v="四季春茶"/>
    <s v="L004"/>
    <n v="46439"/>
    <s v="RELEASED"/>
    <n v="0"/>
    <n v="69"/>
    <n v="69"/>
    <n v="0"/>
    <n v="70.39"/>
    <n v="0"/>
    <n v="168"/>
    <n v="30"/>
    <x v="0"/>
    <n v="0"/>
  </r>
  <r>
    <s v="B0197"/>
    <s v="SKU005"/>
    <s v="桂花乌龙"/>
    <s v="L005"/>
    <n v="46359"/>
    <s v="RELEASED"/>
    <n v="0"/>
    <n v="75"/>
    <n v="62"/>
    <n v="13"/>
    <n v="56.61"/>
    <n v="735.93"/>
    <n v="88"/>
    <n v="30"/>
    <x v="2"/>
    <n v="13"/>
  </r>
  <r>
    <s v="B0198"/>
    <s v="SKU006"/>
    <s v="焙火乌龙"/>
    <s v="L006"/>
    <n v="46304"/>
    <s v="RELEASED"/>
    <n v="0"/>
    <n v="96"/>
    <n v="96"/>
    <n v="0"/>
    <n v="30.07"/>
    <n v="0"/>
    <n v="33"/>
    <n v="30"/>
    <x v="0"/>
    <n v="0"/>
  </r>
  <r>
    <s v="B0199"/>
    <s v="SKU011"/>
    <s v="原味糖浆"/>
    <s v="L011"/>
    <n v="46439"/>
    <s v="RELEASED"/>
    <n v="0"/>
    <n v="88"/>
    <n v="0"/>
    <n v="88"/>
    <n v="24.06"/>
    <n v="2117.2799999999997"/>
    <n v="168"/>
    <n v="30"/>
    <x v="2"/>
    <n v="88"/>
  </r>
  <r>
    <s v="B0200"/>
    <s v="SKU015"/>
    <s v="果糖浆"/>
    <s v="L015"/>
    <n v="46304"/>
    <s v="RELEASED"/>
    <n v="0"/>
    <n v="63"/>
    <n v="63"/>
    <n v="0"/>
    <n v="53.46"/>
    <n v="0"/>
    <n v="33"/>
    <n v="30"/>
    <x v="0"/>
    <n v="0"/>
  </r>
  <r>
    <s v="B0201"/>
    <s v="SKU017"/>
    <s v="常温椰乳"/>
    <s v="L017"/>
    <n v="46329"/>
    <s v="RELEASED"/>
    <n v="0"/>
    <n v="65"/>
    <n v="48"/>
    <n v="17"/>
    <n v="39.159999999999997"/>
    <n v="665.71999999999991"/>
    <n v="58"/>
    <n v="30"/>
    <x v="2"/>
    <n v="17"/>
  </r>
  <r>
    <s v="B0202"/>
    <s v="SKU018"/>
    <s v="常温燕麦饮"/>
    <s v="L018"/>
    <n v="46359"/>
    <s v="RELEASED"/>
    <n v="0"/>
    <n v="87"/>
    <n v="44"/>
    <n v="43"/>
    <n v="63.65"/>
    <n v="2736.95"/>
    <n v="88"/>
    <n v="30"/>
    <x v="2"/>
    <n v="43"/>
  </r>
  <r>
    <s v="B0203"/>
    <s v="SKU019"/>
    <s v="常温全脂奶"/>
    <s v="L019"/>
    <n v="46439"/>
    <s v="RELEASED"/>
    <n v="0"/>
    <n v="68"/>
    <n v="0"/>
    <n v="68"/>
    <n v="81.96"/>
    <n v="5573.28"/>
    <n v="168"/>
    <n v="30"/>
    <x v="2"/>
    <n v="68"/>
  </r>
  <r>
    <s v="B0204"/>
    <s v="SKU021"/>
    <s v="500ml杯"/>
    <s v="L021"/>
    <n v="46624"/>
    <s v="RELEASED"/>
    <n v="0"/>
    <n v="69"/>
    <n v="0"/>
    <n v="69"/>
    <n v="20.77"/>
    <n v="1433.1299999999999"/>
    <n v="353"/>
    <n v="60"/>
    <x v="2"/>
    <n v="69"/>
  </r>
  <r>
    <s v="B0205"/>
    <s v="SKU022"/>
    <s v="700ml杯"/>
    <s v="L022"/>
    <n v="46624"/>
    <s v="RELEASED"/>
    <n v="0"/>
    <n v="94"/>
    <n v="0"/>
    <n v="94"/>
    <n v="16.36"/>
    <n v="1537.84"/>
    <n v="353"/>
    <n v="60"/>
    <x v="2"/>
    <n v="94"/>
  </r>
  <r>
    <s v="B0206"/>
    <s v="SKU023"/>
    <s v="500ml杯盖"/>
    <s v="L023"/>
    <n v="46624"/>
    <s v="RELEASED"/>
    <n v="0"/>
    <n v="87"/>
    <n v="0"/>
    <n v="87"/>
    <n v="12.46"/>
    <n v="1084.02"/>
    <n v="353"/>
    <n v="60"/>
    <x v="2"/>
    <n v="87"/>
  </r>
  <r>
    <s v="B0207"/>
    <s v="SKU025"/>
    <s v="粗吸管"/>
    <s v="L025"/>
    <n v="46624"/>
    <s v="RELEASED"/>
    <n v="0"/>
    <n v="61"/>
    <n v="1"/>
    <n v="60"/>
    <n v="39.42"/>
    <n v="2365.2000000000003"/>
    <n v="353"/>
    <n v="60"/>
    <x v="2"/>
    <n v="60"/>
  </r>
  <r>
    <s v="B0208"/>
    <s v="SKU001"/>
    <s v="茉莉绿茶"/>
    <s v="L001"/>
    <n v="46311"/>
    <s v="RELEASED"/>
    <n v="0"/>
    <n v="72"/>
    <n v="70"/>
    <n v="2"/>
    <n v="79.760000000000005"/>
    <n v="159.52000000000001"/>
    <n v="40"/>
    <n v="30"/>
    <x v="2"/>
    <n v="2"/>
  </r>
  <r>
    <s v="B0209"/>
    <s v="SKU002"/>
    <s v="红茶"/>
    <s v="L002"/>
    <n v="46336"/>
    <s v="RELEASED"/>
    <n v="0"/>
    <n v="86"/>
    <n v="86"/>
    <n v="0"/>
    <n v="78.48"/>
    <n v="0"/>
    <n v="65"/>
    <n v="30"/>
    <x v="0"/>
    <n v="0"/>
  </r>
  <r>
    <s v="B0210"/>
    <s v="SKU003"/>
    <s v="乌龙茶"/>
    <s v="L003"/>
    <n v="46336"/>
    <s v="RELEASED"/>
    <n v="0"/>
    <n v="70"/>
    <n v="67"/>
    <n v="3"/>
    <n v="41.99"/>
    <n v="125.97"/>
    <n v="65"/>
    <n v="30"/>
    <x v="2"/>
    <n v="3"/>
  </r>
  <r>
    <s v="B0211"/>
    <s v="SKU004"/>
    <s v="四季春茶"/>
    <s v="L004"/>
    <n v="46336"/>
    <s v="RELEASED"/>
    <n v="0"/>
    <n v="74"/>
    <n v="57"/>
    <n v="17"/>
    <n v="70.39"/>
    <n v="1196.6300000000001"/>
    <n v="65"/>
    <n v="30"/>
    <x v="2"/>
    <n v="17"/>
  </r>
  <r>
    <s v="B0212"/>
    <s v="SKU005"/>
    <s v="桂花乌龙"/>
    <s v="L005"/>
    <n v="46311"/>
    <s v="RELEASED"/>
    <n v="0"/>
    <n v="63"/>
    <n v="42"/>
    <n v="21"/>
    <n v="56.61"/>
    <n v="1188.81"/>
    <n v="40"/>
    <n v="30"/>
    <x v="2"/>
    <n v="21"/>
  </r>
  <r>
    <s v="B0213"/>
    <s v="SKU006"/>
    <s v="焙火乌龙"/>
    <s v="L006"/>
    <n v="46311"/>
    <s v="RELEASED"/>
    <n v="0"/>
    <n v="93"/>
    <n v="54"/>
    <n v="39"/>
    <n v="30.07"/>
    <n v="1172.73"/>
    <n v="40"/>
    <n v="30"/>
    <x v="2"/>
    <n v="39"/>
  </r>
  <r>
    <s v="B0214"/>
    <s v="SKU007"/>
    <s v="白桃乌龙"/>
    <s v="L007"/>
    <n v="46311"/>
    <s v="RELEASED"/>
    <n v="0"/>
    <n v="71"/>
    <n v="27"/>
    <n v="44"/>
    <n v="30.79"/>
    <n v="1354.76"/>
    <n v="40"/>
    <n v="30"/>
    <x v="2"/>
    <n v="44"/>
  </r>
  <r>
    <s v="B0215"/>
    <s v="SKU008"/>
    <s v="普洱茶"/>
    <s v="L008"/>
    <n v="46311"/>
    <s v="RELEASED"/>
    <n v="0"/>
    <n v="68"/>
    <n v="0"/>
    <n v="68"/>
    <n v="72.540000000000006"/>
    <n v="4932.72"/>
    <n v="40"/>
    <n v="30"/>
    <x v="2"/>
    <n v="68"/>
  </r>
  <r>
    <s v="B0216"/>
    <s v="SKU009"/>
    <s v="龙井茶"/>
    <s v="L009"/>
    <n v="46446"/>
    <s v="RELEASED"/>
    <n v="0"/>
    <n v="67"/>
    <n v="0"/>
    <n v="67"/>
    <n v="21.12"/>
    <n v="1415.04"/>
    <n v="175"/>
    <n v="30"/>
    <x v="2"/>
    <n v="67"/>
  </r>
  <r>
    <s v="B0217"/>
    <s v="SKU012"/>
    <s v="黑糖糖浆"/>
    <s v="L012"/>
    <n v="46446"/>
    <s v="RELEASED"/>
    <n v="0"/>
    <n v="89"/>
    <n v="0"/>
    <n v="89"/>
    <n v="77.959999999999994"/>
    <n v="6938.44"/>
    <n v="175"/>
    <n v="30"/>
    <x v="2"/>
    <n v="89"/>
  </r>
  <r>
    <s v="B0218"/>
    <s v="SKU013"/>
    <s v="香草糖浆"/>
    <s v="L013"/>
    <n v="46336"/>
    <s v="RELEASED"/>
    <n v="0"/>
    <n v="65"/>
    <n v="27"/>
    <n v="38"/>
    <n v="70.63"/>
    <n v="2683.9399999999996"/>
    <n v="65"/>
    <n v="30"/>
    <x v="2"/>
    <n v="38"/>
  </r>
  <r>
    <s v="B0219"/>
    <s v="SKU014"/>
    <s v="焦糖糖浆"/>
    <s v="L014"/>
    <n v="46366"/>
    <s v="RELEASED"/>
    <n v="0"/>
    <n v="75"/>
    <n v="13"/>
    <n v="62"/>
    <n v="70.989999999999995"/>
    <n v="4401.38"/>
    <n v="95"/>
    <n v="30"/>
    <x v="2"/>
    <n v="62"/>
  </r>
  <r>
    <s v="B0220"/>
    <s v="SKU016"/>
    <s v="常温椰浆"/>
    <s v="L016"/>
    <n v="46311"/>
    <s v="RELEASED"/>
    <n v="0"/>
    <n v="68"/>
    <n v="31"/>
    <n v="37"/>
    <n v="13.06"/>
    <n v="483.22"/>
    <n v="40"/>
    <n v="30"/>
    <x v="2"/>
    <n v="37"/>
  </r>
  <r>
    <s v="B0221"/>
    <s v="SKU025"/>
    <s v="粗吸管"/>
    <s v="L025"/>
    <n v="46631"/>
    <s v="RELEASED"/>
    <n v="0"/>
    <n v="100"/>
    <n v="0"/>
    <n v="100"/>
    <n v="39.42"/>
    <n v="3942"/>
    <n v="360"/>
    <n v="60"/>
    <x v="2"/>
    <n v="100"/>
  </r>
  <r>
    <s v="B0222"/>
    <s v="SKU026"/>
    <s v="细吸管"/>
    <s v="L026"/>
    <n v="46631"/>
    <s v="RELEASED"/>
    <n v="0"/>
    <n v="61"/>
    <n v="0"/>
    <n v="61"/>
    <n v="14.19"/>
    <n v="865.58999999999992"/>
    <n v="360"/>
    <n v="60"/>
    <x v="2"/>
    <n v="61"/>
  </r>
  <r>
    <s v="B0223"/>
    <s v="SKU027"/>
    <s v="单杯袋"/>
    <s v="L027"/>
    <n v="46631"/>
    <s v="RELEASED"/>
    <n v="0"/>
    <n v="69"/>
    <n v="0"/>
    <n v="69"/>
    <n v="30.89"/>
    <n v="2131.41"/>
    <n v="360"/>
    <n v="60"/>
    <x v="2"/>
    <n v="69"/>
  </r>
  <r>
    <s v="B0224"/>
    <s v="SKU028"/>
    <s v="双杯袋"/>
    <s v="L028"/>
    <n v="46631"/>
    <s v="RELEASED"/>
    <n v="0"/>
    <n v="66"/>
    <n v="0"/>
    <n v="66"/>
    <n v="55.53"/>
    <n v="3664.98"/>
    <n v="360"/>
    <n v="60"/>
    <x v="2"/>
    <n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9BA14-8051-4811-8AC3-07933534A571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C7:D13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库存金额" fld="11" baseField="0" baseItem="0" numFmtId="176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3A23E82-4733-43F9-AF7C-A185D260EAAE}" autoFormatId="16" applyNumberFormats="0" applyBorderFormats="0" applyFontFormats="0" applyPatternFormats="0" applyAlignmentFormats="0" applyWidthHeightFormats="0">
  <queryTableRefresh nextId="12">
    <queryTableFields count="11">
      <queryTableField id="1" name="sku" tableColumnId="1"/>
      <queryTableField id="2" name="product_name" tableColumnId="2"/>
      <queryTableField id="3" name="category" tableColumnId="3"/>
      <queryTableField id="4" name="base_unit" tableColumnId="4"/>
      <queryTableField id="5" name="specification" tableColumnId="5"/>
      <queryTableField id="6" name="unit_cost_cny" tableColumnId="6"/>
      <queryTableField id="7" name="safety_stock_qty" tableColumnId="7"/>
      <queryTableField id="8" name="expiry_warning_days" tableColumnId="8"/>
      <queryTableField id="9" name="storage_zone" tableColumnId="9"/>
      <queryTableField id="10" name="storage_note" tableColumnId="10"/>
      <queryTableField id="11" name="unit_weight_kg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B542259-975A-4370-92ED-00B9B557D665}" autoFormatId="16" applyNumberFormats="0" applyBorderFormats="0" applyFontFormats="0" applyPatternFormats="0" applyAlignmentFormats="0" applyWidthHeightFormats="0">
  <queryTableRefresh nextId="8">
    <queryTableFields count="7">
      <queryTableField id="1" name="batch_id" tableColumnId="1"/>
      <queryTableField id="2" name="sku" tableColumnId="2"/>
      <queryTableField id="3" name="location_id" tableColumnId="3"/>
      <queryTableField id="4" name="production_date" tableColumnId="4"/>
      <queryTableField id="5" name="expiry_date" tableColumnId="5"/>
      <queryTableField id="6" name="available_from" tableColumnId="6"/>
      <queryTableField id="7" name="quality_statu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6C153BB-185B-4280-A09F-AE18A8BBC7D7}" autoFormatId="16" applyNumberFormats="0" applyBorderFormats="0" applyFontFormats="0" applyPatternFormats="0" applyAlignmentFormats="0" applyWidthHeightFormats="0">
  <queryTableRefresh nextId="11">
    <queryTableFields count="10">
      <queryTableField id="1" name="movement_id" tableColumnId="1"/>
      <queryTableField id="2" name="document_id" tableColumnId="2"/>
      <queryTableField id="3" name="event_time" tableColumnId="3"/>
      <queryTableField id="4" name="movement_type" tableColumnId="4"/>
      <queryTableField id="5" name="sku" tableColumnId="5"/>
      <queryTableField id="6" name="batch_id" tableColumnId="6"/>
      <queryTableField id="7" name="location_id" tableColumnId="7"/>
      <queryTableField id="8" name="quantity" tableColumnId="8"/>
      <queryTableField id="9" name="order_line_id" tableColumnId="9"/>
      <queryTableField id="10" name="receipt_id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5454808D-3EC1-4EC4-9DD0-38752CA38DFC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store_name" tableColumnId="2"/>
      <queryTableField id="3" name="demand_factor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04C0F0F-32D3-4FB5-A94D-69161978AB0E}" autoFormatId="16" applyNumberFormats="0" applyBorderFormats="0" applyFontFormats="0" applyPatternFormats="0" applyAlignmentFormats="0" applyWidthHeightFormats="0">
  <queryTableRefresh nextId="9">
    <queryTableFields count="8">
      <queryTableField id="1" name="order_line_id" tableColumnId="1"/>
      <queryTableField id="2" name="order_id" tableColumnId="2"/>
      <queryTableField id="3" name="order_time" tableColumnId="3"/>
      <queryTableField id="4" name="store_id" tableColumnId="4"/>
      <queryTableField id="5" name="sku" tableColumnId="5"/>
      <queryTableField id="6" name="requested_qty" tableColumnId="6"/>
      <queryTableField id="7" name="promised_ship_time" tableColumnId="7"/>
      <queryTableField id="8" name="actual_ship_time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502C614-2C99-40E0-9832-FFAE21DEB1B9}" autoFormatId="16" applyNumberFormats="0" applyBorderFormats="0" applyFontFormats="0" applyPatternFormats="0" applyAlignmentFormats="0" applyWidthHeightFormats="0">
  <queryTableRefresh nextId="13" unboundColumnsRight="3">
    <queryTableFields count="12">
      <queryTableField id="1" name="count_line_id" tableColumnId="1"/>
      <queryTableField id="2" name="count_time" tableColumnId="2"/>
      <queryTableField id="3" name="sku" tableColumnId="3"/>
      <queryTableField id="4" name="batch_id" tableColumnId="4"/>
      <queryTableField id="5" name="location_id" tableColumnId="5"/>
      <queryTableField id="6" name="book_qty_snapshot" tableColumnId="6"/>
      <queryTableField id="7" name="first_count_qty" tableColumnId="7"/>
      <queryTableField id="8" name="recount_qty" tableColumnId="8"/>
      <queryTableField id="9" name="investigation_status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FF3BEC-D62A-4F11-8A89-DBB57C64018D}" name="products__3" displayName="products__3" ref="A1:K31" tableType="queryTable" totalsRowShown="0">
  <autoFilter ref="A1:K31" xr:uid="{D8FF3BEC-D62A-4F11-8A89-DBB57C64018D}"/>
  <tableColumns count="11">
    <tableColumn id="1" xr3:uid="{752E0B80-8D00-4DE5-8D48-F6A62BE8A17D}" uniqueName="1" name="sku" queryTableFieldId="1" dataDxfId="48"/>
    <tableColumn id="2" xr3:uid="{8DB20A55-1522-4D68-99BF-5F253DF2743A}" uniqueName="2" name="product_name" queryTableFieldId="2" dataDxfId="47"/>
    <tableColumn id="3" xr3:uid="{E27D7122-AEC0-44C3-A89D-A8FBCEAA7DA4}" uniqueName="3" name="category" queryTableFieldId="3" dataDxfId="46"/>
    <tableColumn id="4" xr3:uid="{FB7C1E2B-5A8A-493E-A353-F3E12A278886}" uniqueName="4" name="base_unit" queryTableFieldId="4" dataDxfId="45"/>
    <tableColumn id="5" xr3:uid="{849BD7A5-1535-43D5-BB17-FAF372A3133A}" uniqueName="5" name="specification" queryTableFieldId="5" dataDxfId="44"/>
    <tableColumn id="6" xr3:uid="{EA6137FB-C618-45D0-9428-918CC49C4EC8}" uniqueName="6" name="unit_cost_cny" queryTableFieldId="6"/>
    <tableColumn id="7" xr3:uid="{012E9CF6-F26C-492A-A98E-CA45DFA8D6D4}" uniqueName="7" name="safety_stock_qty" queryTableFieldId="7"/>
    <tableColumn id="8" xr3:uid="{F70EF298-8F5A-441B-97D2-FB23D5D8B1DE}" uniqueName="8" name="expiry_warning_days" queryTableFieldId="8"/>
    <tableColumn id="9" xr3:uid="{3AF92859-B90E-4065-816D-D9BE5473F824}" uniqueName="9" name="storage_zone" queryTableFieldId="9" dataDxfId="43"/>
    <tableColumn id="10" xr3:uid="{7E37BF49-253E-44B5-ACCA-33F4C0DD8F79}" uniqueName="10" name="storage_note" queryTableFieldId="10" dataDxfId="42"/>
    <tableColumn id="11" xr3:uid="{C43896E1-1074-4792-B5B0-228DB7E24A12}" uniqueName="11" name="unit_weight_kg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43196E-C980-4088-8672-4A3E9C056B67}" name="batches" displayName="batches" ref="A1:G225" tableType="queryTable" totalsRowShown="0">
  <autoFilter ref="A1:G225" xr:uid="{7743196E-C980-4088-8672-4A3E9C056B67}"/>
  <tableColumns count="7">
    <tableColumn id="1" xr3:uid="{C8CB122B-6A2C-48FC-9A7F-AFFE805F3552}" uniqueName="1" name="batch_id" queryTableFieldId="1" dataDxfId="41"/>
    <tableColumn id="2" xr3:uid="{0A7B8420-B46E-4F34-83F6-A6846AB03E88}" uniqueName="2" name="sku" queryTableFieldId="2" dataDxfId="40"/>
    <tableColumn id="3" xr3:uid="{0AD3FCFD-070D-4390-BC7B-6C2004D85894}" uniqueName="3" name="location_id" queryTableFieldId="3" dataDxfId="39"/>
    <tableColumn id="4" xr3:uid="{9C34CAA4-6056-4EE1-8844-3E2F7CBAD358}" uniqueName="4" name="production_date" queryTableFieldId="4" dataDxfId="38"/>
    <tableColumn id="5" xr3:uid="{35A87959-423D-4DB9-89EF-537EC5CCAA72}" uniqueName="5" name="expiry_date" queryTableFieldId="5" dataDxfId="37"/>
    <tableColumn id="6" xr3:uid="{76EDFB12-0545-4A29-BDEA-B3B7DE11B4C5}" uniqueName="6" name="available_from" queryTableFieldId="6" dataDxfId="36"/>
    <tableColumn id="7" xr3:uid="{40DAE687-B4EA-4AAC-BC11-653BF4B1F241}" uniqueName="7" name="quality_status" queryTableFieldId="7" dataDxfId="3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2C472E-71F7-426E-8054-249C761DE63A}" name="movements" displayName="movements" ref="A1:J4490" tableType="queryTable" totalsRowShown="0">
  <autoFilter ref="A1:J4490" xr:uid="{212C472E-71F7-426E-8054-249C761DE63A}"/>
  <tableColumns count="10">
    <tableColumn id="1" xr3:uid="{136BA895-4D9B-4F8A-967B-7106132744CF}" uniqueName="1" name="movement_id" queryTableFieldId="1" dataDxfId="34"/>
    <tableColumn id="2" xr3:uid="{2052CB2C-BB24-4D42-8970-832FE5D3D25C}" uniqueName="2" name="document_id" queryTableFieldId="2" dataDxfId="33"/>
    <tableColumn id="3" xr3:uid="{712343FE-0797-49CB-9029-A05DAE5FD530}" uniqueName="3" name="event_time" queryTableFieldId="3" dataDxfId="32"/>
    <tableColumn id="4" xr3:uid="{4448393D-9F2F-4E2F-9544-AA14DDD60180}" uniqueName="4" name="movement_type" queryTableFieldId="4" dataDxfId="31"/>
    <tableColumn id="5" xr3:uid="{2409FFB6-647A-4CDD-BBED-6E968D91F0AA}" uniqueName="5" name="sku" queryTableFieldId="5" dataDxfId="30"/>
    <tableColumn id="6" xr3:uid="{4AE98502-13AC-4C70-9E27-3C3CBA72958C}" uniqueName="6" name="batch_id" queryTableFieldId="6" dataDxfId="29"/>
    <tableColumn id="7" xr3:uid="{284588C2-0055-41E9-8E47-2A249D241893}" uniqueName="7" name="location_id" queryTableFieldId="7" dataDxfId="28"/>
    <tableColumn id="8" xr3:uid="{2C1EA8B5-24B9-4A3E-8318-8FB476850DC4}" uniqueName="8" name="quantity" queryTableFieldId="8"/>
    <tableColumn id="9" xr3:uid="{7B175C34-436A-4470-AA13-089EE2E5A844}" uniqueName="9" name="order_line_id" queryTableFieldId="9" dataDxfId="27"/>
    <tableColumn id="10" xr3:uid="{64E54C89-E740-45AD-9941-5C6C93FEE3A2}" uniqueName="10" name="receipt_id" queryTableFieldId="10" dataDxf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2949DB-BFA2-4ADC-A0DA-44A97FF8F656}" name="stores" displayName="stores" ref="A1:C6" tableType="queryTable" totalsRowShown="0">
  <autoFilter ref="A1:C6" xr:uid="{802949DB-BFA2-4ADC-A0DA-44A97FF8F656}"/>
  <tableColumns count="3">
    <tableColumn id="1" xr3:uid="{F5CFE667-B0DF-406F-82B0-0949625D002B}" uniqueName="1" name="store_id" queryTableFieldId="1" dataDxfId="1"/>
    <tableColumn id="2" xr3:uid="{B6951129-7A40-4C49-B8BE-B8054E9F3236}" uniqueName="2" name="store_name" queryTableFieldId="2" dataDxfId="0"/>
    <tableColumn id="3" xr3:uid="{5AF12C13-B9CF-49C6-A137-EE7B10C4DE46}" uniqueName="3" name="demand_factor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F3EC48-0A43-455D-BB0D-AC485FD0F54D}" name="order_lines" displayName="order_lines" ref="A1:H4265" tableType="queryTable" totalsRowShown="0">
  <autoFilter ref="A1:H4265" xr:uid="{41F3EC48-0A43-455D-BB0D-AC485FD0F54D}"/>
  <tableColumns count="8">
    <tableColumn id="1" xr3:uid="{ADFC9049-AA96-4A2D-8985-160772953FB2}" uniqueName="1" name="order_line_id" queryTableFieldId="1" dataDxfId="8"/>
    <tableColumn id="2" xr3:uid="{9B0665E5-D4C1-46B9-AE48-A3A9CED743E3}" uniqueName="2" name="order_id" queryTableFieldId="2" dataDxfId="7"/>
    <tableColumn id="3" xr3:uid="{AF0A9F5D-22E2-4E02-BD1C-B1A0278EC6FA}" uniqueName="3" name="order_time" queryTableFieldId="3" dataDxfId="6"/>
    <tableColumn id="4" xr3:uid="{63134AE4-BC3F-4375-BBBB-3B40DAB9CF5D}" uniqueName="4" name="store_id" queryTableFieldId="4" dataDxfId="5"/>
    <tableColumn id="5" xr3:uid="{92BC6825-073B-4BC6-BE47-8FCCC5822999}" uniqueName="5" name="sku" queryTableFieldId="5" dataDxfId="4"/>
    <tableColumn id="6" xr3:uid="{700F400C-B9D7-4D1A-B4D0-D80992D720E4}" uniqueName="6" name="requested_qty" queryTableFieldId="6"/>
    <tableColumn id="7" xr3:uid="{D8859B3A-A602-4052-BA68-5EE75E070D2F}" uniqueName="7" name="promised_ship_time" queryTableFieldId="7" dataDxfId="3"/>
    <tableColumn id="8" xr3:uid="{E361C63E-13A0-49CD-9650-83462F6B3E48}" uniqueName="8" name="actual_ship_time" queryTableFieldId="8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806CD-0560-4223-845D-4AB2F042E626}" name="stock_counts__2" displayName="stock_counts__2" ref="A1:L197" tableType="queryTable" totalsRowShown="0">
  <autoFilter ref="A1:L197" xr:uid="{094806CD-0560-4223-845D-4AB2F042E626}"/>
  <tableColumns count="12">
    <tableColumn id="1" xr3:uid="{024C6710-47FF-43A7-84E1-C25753273635}" uniqueName="1" name="count_line_id" queryTableFieldId="1" dataDxfId="25"/>
    <tableColumn id="2" xr3:uid="{4276BA47-A1B5-4F76-B49F-13967B13ADE1}" uniqueName="2" name="count_time" queryTableFieldId="2" dataDxfId="24"/>
    <tableColumn id="3" xr3:uid="{5AFA851D-E307-4A7C-95BF-64F5283D3F4C}" uniqueName="3" name="sku" queryTableFieldId="3" dataDxfId="23"/>
    <tableColumn id="4" xr3:uid="{8759A71A-BE81-4AC1-90E5-11C6DEB37A32}" uniqueName="4" name="batch_id" queryTableFieldId="4" dataDxfId="22"/>
    <tableColumn id="5" xr3:uid="{0001AAF8-3CB2-410C-ABC2-DF1AD9DA30EF}" uniqueName="5" name="location_id" queryTableFieldId="5" dataDxfId="21"/>
    <tableColumn id="6" xr3:uid="{0BD0A25A-65C9-4C07-8844-5C2F0615C3ED}" uniqueName="6" name="book_qty_snapshot" queryTableFieldId="6"/>
    <tableColumn id="7" xr3:uid="{A78BAA43-7743-4FC2-8632-F2370D0A892F}" uniqueName="7" name="first_count_qty" queryTableFieldId="7"/>
    <tableColumn id="8" xr3:uid="{C56FDAE6-781B-4710-B8CA-325A1AE26FDA}" uniqueName="8" name="recount_qty" queryTableFieldId="8"/>
    <tableColumn id="9" xr3:uid="{EA5DECC5-CE38-4C15-9688-30E049BC67F3}" uniqueName="9" name="investigation_status" queryTableFieldId="9" dataDxfId="20"/>
    <tableColumn id="10" xr3:uid="{13069FD1-B878-4421-90F7-6C304BB7A58A}" uniqueName="10" name="盘点差异" queryTableFieldId="10" dataDxfId="19">
      <calculatedColumnFormula>H2-F2</calculatedColumnFormula>
    </tableColumn>
    <tableColumn id="11" xr3:uid="{070539D9-6965-4D2C-A386-A5ACD7760F1E}" uniqueName="11" name="盘点结果" queryTableFieldId="11" dataDxfId="18">
      <calculatedColumnFormula>IF(J2=0,"一致",IF(J2&gt;0,"盘盈","盘亏"))</calculatedColumnFormula>
    </tableColumn>
    <tableColumn id="12" xr3:uid="{B8F07781-A224-4807-A0B4-5C59F6C07B5B}" uniqueName="12" name="差异金额" queryTableFieldId="12" dataDxfId="17">
      <calculatedColumnFormula>J2*VLOOKUP(stock_counts__2[[#This Row],[sku]],products!A:F,6,0)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46D94F-5C93-4A10-AFEC-2BDC53B2871F}" name="表2" displayName="表2" ref="A1:P225" totalsRowShown="0">
  <autoFilter ref="A1:P225" xr:uid="{EE46D94F-5C93-4A10-AFEC-2BDC53B2871F}"/>
  <tableColumns count="16">
    <tableColumn id="1" xr3:uid="{E14C00DF-0A82-49D3-BCA4-D0FF48B60137}" name="批次编号"/>
    <tableColumn id="2" xr3:uid="{4A2A0D0B-F25F-426B-950D-F3645ED47A56}" name="SKU">
      <calculatedColumnFormula>VLOOKUP(A2,batches!A:B,2,0)</calculatedColumnFormula>
    </tableColumn>
    <tableColumn id="3" xr3:uid="{7A7EDD2D-E924-4C77-B83E-1AC757D61991}" name="商品名称">
      <calculatedColumnFormula>VLOOKUP(批次库存!B2,products!A:B,2,0)</calculatedColumnFormula>
    </tableColumn>
    <tableColumn id="4" xr3:uid="{A3B228A7-D6FE-45A7-94D4-BAFA2C9C1F4E}" name="货位">
      <calculatedColumnFormula>VLOOKUP(A2,batches!A:C,3,0)</calculatedColumnFormula>
    </tableColumn>
    <tableColumn id="5" xr3:uid="{E2CBB1E7-7372-414A-B51D-DAC43832C12F}" name="到期日">
      <calculatedColumnFormula>VLOOKUP(A2,batches!A:E,5,0)</calculatedColumnFormula>
    </tableColumn>
    <tableColumn id="6" xr3:uid="{A848E66C-58D6-4BF9-903D-6F31C593C475}" name="质量状态">
      <calculatedColumnFormula>VLOOKUP(A2,batches!A:G,7,0)</calculatedColumnFormula>
    </tableColumn>
    <tableColumn id="7" xr3:uid="{C32524D8-1BD2-4162-BCE9-0D660DF24386}" name="期初数量">
      <calculatedColumnFormula>SUMIFS(movements!H:H,movements!F:F,批次库存!A2,movements!D:D,"OPENING")</calculatedColumnFormula>
    </tableColumn>
    <tableColumn id="8" xr3:uid="{4D799C03-124F-4B80-8C58-143B07262DBC}" name="入库数量">
      <calculatedColumnFormula>SUMIFS(movements!H:H,movements!F:F,批次库存!A2,movements!D:D,"RECEIPT")</calculatedColumnFormula>
    </tableColumn>
    <tableColumn id="9" xr3:uid="{9B5EF85A-DEE0-49BC-A059-1E775C6EF326}" name="出库数量">
      <calculatedColumnFormula>SUMIFS(movements!H:H,movements!F:F,批次库存!A2,movements!D:D,"ISSUE")</calculatedColumnFormula>
    </tableColumn>
    <tableColumn id="10" xr3:uid="{DCD24BD0-687D-4025-BD32-E5553E38344B}" name="期末库存">
      <calculatedColumnFormula>G2+H2-I2</calculatedColumnFormula>
    </tableColumn>
    <tableColumn id="11" xr3:uid="{0A37B56A-4F2A-4D87-987E-DAB670491BCC}" name="单价" dataDxfId="14">
      <calculatedColumnFormula>VLOOKUP(表2[[#This Row],[SKU]],products!A:F,6,0)</calculatedColumnFormula>
    </tableColumn>
    <tableColumn id="12" xr3:uid="{D2314050-4F3F-4734-A67A-A3A05A1A965B}" name="库存金额" dataDxfId="13">
      <calculatedColumnFormula>J2*表2[[#This Row],[单价]]</calculatedColumnFormula>
    </tableColumn>
    <tableColumn id="13" xr3:uid="{5AA8567A-B673-4A27-99F9-6CFC3A5E690A}" name="剩余有效天数" dataDxfId="12">
      <calculatedColumnFormula>E2-DATE(2026,9,6)</calculatedColumnFormula>
    </tableColumn>
    <tableColumn id="14" xr3:uid="{2FB42F0A-F4BC-4574-B6B6-866789CC68B1}" name="临期预警天数" dataDxfId="11">
      <calculatedColumnFormula>VLOOKUP(表2[[#This Row],[SKU]],products!A:H,8,0)</calculatedColumnFormula>
    </tableColumn>
    <tableColumn id="15" xr3:uid="{D5765D56-356B-4FAE-B102-26871B266A25}" name="库存状态" dataDxfId="10">
      <calculatedColumnFormula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calculatedColumnFormula>
    </tableColumn>
    <tableColumn id="16" xr3:uid="{4F784C1C-584A-4C88-8D76-82C121CDCEC1}" name="可出库数量" dataDxfId="9">
      <calculatedColumnFormula>IF(AND(F2="RELEASED",M2&gt;0),J2,0)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B13E-8369-4D67-8C11-59E636FF5185}">
  <dimension ref="A1:K31"/>
  <sheetViews>
    <sheetView workbookViewId="0">
      <selection activeCell="B1" sqref="B1"/>
    </sheetView>
  </sheetViews>
  <sheetFormatPr defaultRowHeight="13.8" x14ac:dyDescent="0.25"/>
  <cols>
    <col min="1" max="1" width="8" bestFit="1" customWidth="1"/>
    <col min="2" max="2" width="17.44140625" bestFit="1" customWidth="1"/>
    <col min="3" max="3" width="11.77734375" bestFit="1" customWidth="1"/>
    <col min="4" max="4" width="12.5546875" bestFit="1" customWidth="1"/>
    <col min="5" max="5" width="15.6640625" bestFit="1" customWidth="1"/>
    <col min="6" max="6" width="16.33203125" bestFit="1" customWidth="1"/>
    <col min="7" max="7" width="19.109375" bestFit="1" customWidth="1"/>
    <col min="8" max="8" width="23.6640625" bestFit="1" customWidth="1"/>
    <col min="9" max="9" width="16.33203125" bestFit="1" customWidth="1"/>
    <col min="10" max="10" width="53" bestFit="1" customWidth="1"/>
    <col min="11" max="11" width="18.21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79.760000000000005</v>
      </c>
      <c r="G2">
        <v>25</v>
      </c>
      <c r="H2">
        <v>30</v>
      </c>
      <c r="I2" t="s">
        <v>16</v>
      </c>
      <c r="J2" t="s">
        <v>17</v>
      </c>
      <c r="K2">
        <v>0.5</v>
      </c>
    </row>
    <row r="3" spans="1:11" x14ac:dyDescent="0.25">
      <c r="A3" t="s">
        <v>18</v>
      </c>
      <c r="B3" t="s">
        <v>19</v>
      </c>
      <c r="C3" t="s">
        <v>13</v>
      </c>
      <c r="D3" t="s">
        <v>14</v>
      </c>
      <c r="E3" t="s">
        <v>15</v>
      </c>
      <c r="F3">
        <v>78.48</v>
      </c>
      <c r="G3">
        <v>25</v>
      </c>
      <c r="H3">
        <v>30</v>
      </c>
      <c r="I3" t="s">
        <v>16</v>
      </c>
      <c r="J3" t="s">
        <v>17</v>
      </c>
      <c r="K3">
        <v>0.5</v>
      </c>
    </row>
    <row r="4" spans="1:11" x14ac:dyDescent="0.25">
      <c r="A4" t="s">
        <v>20</v>
      </c>
      <c r="B4" t="s">
        <v>21</v>
      </c>
      <c r="C4" t="s">
        <v>13</v>
      </c>
      <c r="D4" t="s">
        <v>14</v>
      </c>
      <c r="E4" t="s">
        <v>15</v>
      </c>
      <c r="F4">
        <v>41.99</v>
      </c>
      <c r="G4">
        <v>25</v>
      </c>
      <c r="H4">
        <v>30</v>
      </c>
      <c r="I4" t="s">
        <v>16</v>
      </c>
      <c r="J4" t="s">
        <v>17</v>
      </c>
      <c r="K4">
        <v>0.5</v>
      </c>
    </row>
    <row r="5" spans="1:11" x14ac:dyDescent="0.25">
      <c r="A5" t="s">
        <v>22</v>
      </c>
      <c r="B5" t="s">
        <v>23</v>
      </c>
      <c r="C5" t="s">
        <v>13</v>
      </c>
      <c r="D5" t="s">
        <v>14</v>
      </c>
      <c r="E5" t="s">
        <v>15</v>
      </c>
      <c r="F5">
        <v>70.39</v>
      </c>
      <c r="G5">
        <v>25</v>
      </c>
      <c r="H5">
        <v>30</v>
      </c>
      <c r="I5" t="s">
        <v>16</v>
      </c>
      <c r="J5" t="s">
        <v>17</v>
      </c>
      <c r="K5">
        <v>0.5</v>
      </c>
    </row>
    <row r="6" spans="1:11" x14ac:dyDescent="0.25">
      <c r="A6" t="s">
        <v>24</v>
      </c>
      <c r="B6" t="s">
        <v>25</v>
      </c>
      <c r="C6" t="s">
        <v>13</v>
      </c>
      <c r="D6" t="s">
        <v>14</v>
      </c>
      <c r="E6" t="s">
        <v>15</v>
      </c>
      <c r="F6">
        <v>56.61</v>
      </c>
      <c r="G6">
        <v>25</v>
      </c>
      <c r="H6">
        <v>30</v>
      </c>
      <c r="I6" t="s">
        <v>16</v>
      </c>
      <c r="J6" t="s">
        <v>17</v>
      </c>
      <c r="K6">
        <v>0.5</v>
      </c>
    </row>
    <row r="7" spans="1:11" x14ac:dyDescent="0.25">
      <c r="A7" t="s">
        <v>26</v>
      </c>
      <c r="B7" t="s">
        <v>27</v>
      </c>
      <c r="C7" t="s">
        <v>13</v>
      </c>
      <c r="D7" t="s">
        <v>14</v>
      </c>
      <c r="E7" t="s">
        <v>15</v>
      </c>
      <c r="F7">
        <v>30.07</v>
      </c>
      <c r="G7">
        <v>25</v>
      </c>
      <c r="H7">
        <v>30</v>
      </c>
      <c r="I7" t="s">
        <v>16</v>
      </c>
      <c r="J7" t="s">
        <v>17</v>
      </c>
      <c r="K7">
        <v>0.5</v>
      </c>
    </row>
    <row r="8" spans="1:11" x14ac:dyDescent="0.25">
      <c r="A8" t="s">
        <v>28</v>
      </c>
      <c r="B8" t="s">
        <v>29</v>
      </c>
      <c r="C8" t="s">
        <v>13</v>
      </c>
      <c r="D8" t="s">
        <v>14</v>
      </c>
      <c r="E8" t="s">
        <v>15</v>
      </c>
      <c r="F8">
        <v>30.79</v>
      </c>
      <c r="G8">
        <v>25</v>
      </c>
      <c r="H8">
        <v>30</v>
      </c>
      <c r="I8" t="s">
        <v>16</v>
      </c>
      <c r="J8" t="s">
        <v>17</v>
      </c>
      <c r="K8">
        <v>0.5</v>
      </c>
    </row>
    <row r="9" spans="1:11" x14ac:dyDescent="0.25">
      <c r="A9" t="s">
        <v>30</v>
      </c>
      <c r="B9" t="s">
        <v>31</v>
      </c>
      <c r="C9" t="s">
        <v>13</v>
      </c>
      <c r="D9" t="s">
        <v>14</v>
      </c>
      <c r="E9" t="s">
        <v>15</v>
      </c>
      <c r="F9">
        <v>72.540000000000006</v>
      </c>
      <c r="G9">
        <v>25</v>
      </c>
      <c r="H9">
        <v>30</v>
      </c>
      <c r="I9" t="s">
        <v>16</v>
      </c>
      <c r="J9" t="s">
        <v>17</v>
      </c>
      <c r="K9">
        <v>0.5</v>
      </c>
    </row>
    <row r="10" spans="1:11" x14ac:dyDescent="0.25">
      <c r="A10" t="s">
        <v>32</v>
      </c>
      <c r="B10" t="s">
        <v>33</v>
      </c>
      <c r="C10" t="s">
        <v>13</v>
      </c>
      <c r="D10" t="s">
        <v>14</v>
      </c>
      <c r="E10" t="s">
        <v>15</v>
      </c>
      <c r="F10">
        <v>21.12</v>
      </c>
      <c r="G10">
        <v>25</v>
      </c>
      <c r="H10">
        <v>30</v>
      </c>
      <c r="I10" t="s">
        <v>16</v>
      </c>
      <c r="J10" t="s">
        <v>17</v>
      </c>
      <c r="K10">
        <v>0.5</v>
      </c>
    </row>
    <row r="11" spans="1:11" x14ac:dyDescent="0.25">
      <c r="A11" t="s">
        <v>34</v>
      </c>
      <c r="B11" t="s">
        <v>35</v>
      </c>
      <c r="C11" t="s">
        <v>13</v>
      </c>
      <c r="D11" t="s">
        <v>14</v>
      </c>
      <c r="E11" t="s">
        <v>15</v>
      </c>
      <c r="F11">
        <v>29.05</v>
      </c>
      <c r="G11">
        <v>25</v>
      </c>
      <c r="H11">
        <v>30</v>
      </c>
      <c r="I11" t="s">
        <v>16</v>
      </c>
      <c r="J11" t="s">
        <v>17</v>
      </c>
      <c r="K11">
        <v>0.5</v>
      </c>
    </row>
    <row r="12" spans="1:11" x14ac:dyDescent="0.25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>
        <v>24.06</v>
      </c>
      <c r="G12">
        <v>25</v>
      </c>
      <c r="H12">
        <v>30</v>
      </c>
      <c r="I12" t="s">
        <v>16</v>
      </c>
      <c r="J12" t="s">
        <v>17</v>
      </c>
      <c r="K12">
        <v>1</v>
      </c>
    </row>
    <row r="13" spans="1:11" x14ac:dyDescent="0.25">
      <c r="A13" t="s">
        <v>41</v>
      </c>
      <c r="B13" t="s">
        <v>42</v>
      </c>
      <c r="C13" t="s">
        <v>38</v>
      </c>
      <c r="D13" t="s">
        <v>39</v>
      </c>
      <c r="E13" t="s">
        <v>40</v>
      </c>
      <c r="F13">
        <v>77.959999999999994</v>
      </c>
      <c r="G13">
        <v>25</v>
      </c>
      <c r="H13">
        <v>30</v>
      </c>
      <c r="I13" t="s">
        <v>16</v>
      </c>
      <c r="J13" t="s">
        <v>17</v>
      </c>
      <c r="K13">
        <v>1</v>
      </c>
    </row>
    <row r="14" spans="1:11" x14ac:dyDescent="0.25">
      <c r="A14" t="s">
        <v>43</v>
      </c>
      <c r="B14" t="s">
        <v>44</v>
      </c>
      <c r="C14" t="s">
        <v>38</v>
      </c>
      <c r="D14" t="s">
        <v>39</v>
      </c>
      <c r="E14" t="s">
        <v>40</v>
      </c>
      <c r="F14">
        <v>70.63</v>
      </c>
      <c r="G14">
        <v>25</v>
      </c>
      <c r="H14">
        <v>30</v>
      </c>
      <c r="I14" t="s">
        <v>16</v>
      </c>
      <c r="J14" t="s">
        <v>17</v>
      </c>
      <c r="K14">
        <v>1</v>
      </c>
    </row>
    <row r="15" spans="1:11" x14ac:dyDescent="0.25">
      <c r="A15" t="s">
        <v>45</v>
      </c>
      <c r="B15" t="s">
        <v>46</v>
      </c>
      <c r="C15" t="s">
        <v>38</v>
      </c>
      <c r="D15" t="s">
        <v>39</v>
      </c>
      <c r="E15" t="s">
        <v>40</v>
      </c>
      <c r="F15">
        <v>70.989999999999995</v>
      </c>
      <c r="G15">
        <v>25</v>
      </c>
      <c r="H15">
        <v>30</v>
      </c>
      <c r="I15" t="s">
        <v>16</v>
      </c>
      <c r="J15" t="s">
        <v>17</v>
      </c>
      <c r="K15">
        <v>1</v>
      </c>
    </row>
    <row r="16" spans="1:11" x14ac:dyDescent="0.25">
      <c r="A16" t="s">
        <v>47</v>
      </c>
      <c r="B16" t="s">
        <v>48</v>
      </c>
      <c r="C16" t="s">
        <v>38</v>
      </c>
      <c r="D16" t="s">
        <v>39</v>
      </c>
      <c r="E16" t="s">
        <v>40</v>
      </c>
      <c r="F16">
        <v>53.46</v>
      </c>
      <c r="G16">
        <v>25</v>
      </c>
      <c r="H16">
        <v>30</v>
      </c>
      <c r="I16" t="s">
        <v>16</v>
      </c>
      <c r="J16" t="s">
        <v>17</v>
      </c>
      <c r="K16">
        <v>1</v>
      </c>
    </row>
    <row r="17" spans="1:11" x14ac:dyDescent="0.25">
      <c r="A17" t="s">
        <v>49</v>
      </c>
      <c r="B17" t="s">
        <v>50</v>
      </c>
      <c r="C17" t="s">
        <v>38</v>
      </c>
      <c r="D17" t="s">
        <v>39</v>
      </c>
      <c r="E17" t="s">
        <v>40</v>
      </c>
      <c r="F17">
        <v>13.06</v>
      </c>
      <c r="G17">
        <v>25</v>
      </c>
      <c r="H17">
        <v>30</v>
      </c>
      <c r="I17" t="s">
        <v>16</v>
      </c>
      <c r="J17" t="s">
        <v>17</v>
      </c>
      <c r="K17">
        <v>1</v>
      </c>
    </row>
    <row r="18" spans="1:11" x14ac:dyDescent="0.25">
      <c r="A18" t="s">
        <v>51</v>
      </c>
      <c r="B18" t="s">
        <v>52</v>
      </c>
      <c r="C18" t="s">
        <v>38</v>
      </c>
      <c r="D18" t="s">
        <v>39</v>
      </c>
      <c r="E18" t="s">
        <v>40</v>
      </c>
      <c r="F18">
        <v>39.159999999999997</v>
      </c>
      <c r="G18">
        <v>25</v>
      </c>
      <c r="H18">
        <v>30</v>
      </c>
      <c r="I18" t="s">
        <v>16</v>
      </c>
      <c r="J18" t="s">
        <v>17</v>
      </c>
      <c r="K18">
        <v>1</v>
      </c>
    </row>
    <row r="19" spans="1:11" x14ac:dyDescent="0.25">
      <c r="A19" t="s">
        <v>53</v>
      </c>
      <c r="B19" t="s">
        <v>54</v>
      </c>
      <c r="C19" t="s">
        <v>38</v>
      </c>
      <c r="D19" t="s">
        <v>39</v>
      </c>
      <c r="E19" t="s">
        <v>40</v>
      </c>
      <c r="F19">
        <v>63.65</v>
      </c>
      <c r="G19">
        <v>25</v>
      </c>
      <c r="H19">
        <v>30</v>
      </c>
      <c r="I19" t="s">
        <v>16</v>
      </c>
      <c r="J19" t="s">
        <v>17</v>
      </c>
      <c r="K19">
        <v>1</v>
      </c>
    </row>
    <row r="20" spans="1:11" x14ac:dyDescent="0.25">
      <c r="A20" t="s">
        <v>55</v>
      </c>
      <c r="B20" t="s">
        <v>56</v>
      </c>
      <c r="C20" t="s">
        <v>38</v>
      </c>
      <c r="D20" t="s">
        <v>39</v>
      </c>
      <c r="E20" t="s">
        <v>40</v>
      </c>
      <c r="F20">
        <v>81.96</v>
      </c>
      <c r="G20">
        <v>25</v>
      </c>
      <c r="H20">
        <v>30</v>
      </c>
      <c r="I20" t="s">
        <v>16</v>
      </c>
      <c r="J20" t="s">
        <v>17</v>
      </c>
      <c r="K20">
        <v>1</v>
      </c>
    </row>
    <row r="21" spans="1:11" x14ac:dyDescent="0.25">
      <c r="A21" t="s">
        <v>57</v>
      </c>
      <c r="B21" t="s">
        <v>58</v>
      </c>
      <c r="C21" t="s">
        <v>38</v>
      </c>
      <c r="D21" t="s">
        <v>39</v>
      </c>
      <c r="E21" t="s">
        <v>40</v>
      </c>
      <c r="F21">
        <v>65.56</v>
      </c>
      <c r="G21">
        <v>25</v>
      </c>
      <c r="H21">
        <v>30</v>
      </c>
      <c r="I21" t="s">
        <v>16</v>
      </c>
      <c r="J21" t="s">
        <v>17</v>
      </c>
      <c r="K21">
        <v>1</v>
      </c>
    </row>
    <row r="22" spans="1:11" x14ac:dyDescent="0.25">
      <c r="A22" t="s">
        <v>59</v>
      </c>
      <c r="B22" t="s">
        <v>60</v>
      </c>
      <c r="C22" t="s">
        <v>61</v>
      </c>
      <c r="D22" t="s">
        <v>62</v>
      </c>
      <c r="E22" t="s">
        <v>63</v>
      </c>
      <c r="F22">
        <v>20.77</v>
      </c>
      <c r="G22">
        <v>40</v>
      </c>
      <c r="H22">
        <v>60</v>
      </c>
      <c r="I22" t="s">
        <v>64</v>
      </c>
      <c r="J22" t="s">
        <v>17</v>
      </c>
      <c r="K22">
        <v>0.3</v>
      </c>
    </row>
    <row r="23" spans="1:11" x14ac:dyDescent="0.25">
      <c r="A23" t="s">
        <v>65</v>
      </c>
      <c r="B23" t="s">
        <v>66</v>
      </c>
      <c r="C23" t="s">
        <v>61</v>
      </c>
      <c r="D23" t="s">
        <v>62</v>
      </c>
      <c r="E23" t="s">
        <v>63</v>
      </c>
      <c r="F23">
        <v>16.36</v>
      </c>
      <c r="G23">
        <v>40</v>
      </c>
      <c r="H23">
        <v>60</v>
      </c>
      <c r="I23" t="s">
        <v>64</v>
      </c>
      <c r="J23" t="s">
        <v>17</v>
      </c>
      <c r="K23">
        <v>0.3</v>
      </c>
    </row>
    <row r="24" spans="1:11" x14ac:dyDescent="0.25">
      <c r="A24" t="s">
        <v>67</v>
      </c>
      <c r="B24" t="s">
        <v>68</v>
      </c>
      <c r="C24" t="s">
        <v>61</v>
      </c>
      <c r="D24" t="s">
        <v>62</v>
      </c>
      <c r="E24" t="s">
        <v>63</v>
      </c>
      <c r="F24">
        <v>12.46</v>
      </c>
      <c r="G24">
        <v>40</v>
      </c>
      <c r="H24">
        <v>60</v>
      </c>
      <c r="I24" t="s">
        <v>64</v>
      </c>
      <c r="J24" t="s">
        <v>17</v>
      </c>
      <c r="K24">
        <v>0.3</v>
      </c>
    </row>
    <row r="25" spans="1:11" x14ac:dyDescent="0.25">
      <c r="A25" t="s">
        <v>69</v>
      </c>
      <c r="B25" t="s">
        <v>70</v>
      </c>
      <c r="C25" t="s">
        <v>61</v>
      </c>
      <c r="D25" t="s">
        <v>62</v>
      </c>
      <c r="E25" t="s">
        <v>63</v>
      </c>
      <c r="F25">
        <v>19.8</v>
      </c>
      <c r="G25">
        <v>40</v>
      </c>
      <c r="H25">
        <v>60</v>
      </c>
      <c r="I25" t="s">
        <v>64</v>
      </c>
      <c r="J25" t="s">
        <v>17</v>
      </c>
      <c r="K25">
        <v>0.3</v>
      </c>
    </row>
    <row r="26" spans="1:11" x14ac:dyDescent="0.25">
      <c r="A26" t="s">
        <v>71</v>
      </c>
      <c r="B26" t="s">
        <v>72</v>
      </c>
      <c r="C26" t="s">
        <v>61</v>
      </c>
      <c r="D26" t="s">
        <v>62</v>
      </c>
      <c r="E26" t="s">
        <v>63</v>
      </c>
      <c r="F26">
        <v>39.42</v>
      </c>
      <c r="G26">
        <v>40</v>
      </c>
      <c r="H26">
        <v>60</v>
      </c>
      <c r="I26" t="s">
        <v>64</v>
      </c>
      <c r="J26" t="s">
        <v>17</v>
      </c>
      <c r="K26">
        <v>0.3</v>
      </c>
    </row>
    <row r="27" spans="1:11" x14ac:dyDescent="0.25">
      <c r="A27" t="s">
        <v>73</v>
      </c>
      <c r="B27" t="s">
        <v>74</v>
      </c>
      <c r="C27" t="s">
        <v>61</v>
      </c>
      <c r="D27" t="s">
        <v>62</v>
      </c>
      <c r="E27" t="s">
        <v>63</v>
      </c>
      <c r="F27">
        <v>14.19</v>
      </c>
      <c r="G27">
        <v>40</v>
      </c>
      <c r="H27">
        <v>60</v>
      </c>
      <c r="I27" t="s">
        <v>64</v>
      </c>
      <c r="J27" t="s">
        <v>17</v>
      </c>
      <c r="K27">
        <v>0.3</v>
      </c>
    </row>
    <row r="28" spans="1:11" x14ac:dyDescent="0.25">
      <c r="A28" t="s">
        <v>75</v>
      </c>
      <c r="B28" t="s">
        <v>76</v>
      </c>
      <c r="C28" t="s">
        <v>61</v>
      </c>
      <c r="D28" t="s">
        <v>62</v>
      </c>
      <c r="E28" t="s">
        <v>63</v>
      </c>
      <c r="F28">
        <v>30.89</v>
      </c>
      <c r="G28">
        <v>40</v>
      </c>
      <c r="H28">
        <v>60</v>
      </c>
      <c r="I28" t="s">
        <v>64</v>
      </c>
      <c r="J28" t="s">
        <v>17</v>
      </c>
      <c r="K28">
        <v>0.3</v>
      </c>
    </row>
    <row r="29" spans="1:11" x14ac:dyDescent="0.25">
      <c r="A29" t="s">
        <v>77</v>
      </c>
      <c r="B29" t="s">
        <v>78</v>
      </c>
      <c r="C29" t="s">
        <v>61</v>
      </c>
      <c r="D29" t="s">
        <v>62</v>
      </c>
      <c r="E29" t="s">
        <v>63</v>
      </c>
      <c r="F29">
        <v>55.53</v>
      </c>
      <c r="G29">
        <v>40</v>
      </c>
      <c r="H29">
        <v>60</v>
      </c>
      <c r="I29" t="s">
        <v>64</v>
      </c>
      <c r="J29" t="s">
        <v>17</v>
      </c>
      <c r="K29">
        <v>0.3</v>
      </c>
    </row>
    <row r="30" spans="1:11" x14ac:dyDescent="0.25">
      <c r="A30" t="s">
        <v>79</v>
      </c>
      <c r="B30" t="s">
        <v>80</v>
      </c>
      <c r="C30" t="s">
        <v>61</v>
      </c>
      <c r="D30" t="s">
        <v>62</v>
      </c>
      <c r="E30" t="s">
        <v>81</v>
      </c>
      <c r="F30">
        <v>52.7</v>
      </c>
      <c r="G30">
        <v>40</v>
      </c>
      <c r="H30">
        <v>60</v>
      </c>
      <c r="I30" t="s">
        <v>64</v>
      </c>
      <c r="J30" t="s">
        <v>17</v>
      </c>
      <c r="K30">
        <v>0.3</v>
      </c>
    </row>
    <row r="31" spans="1:11" x14ac:dyDescent="0.25">
      <c r="A31" t="s">
        <v>82</v>
      </c>
      <c r="B31" t="s">
        <v>83</v>
      </c>
      <c r="C31" t="s">
        <v>61</v>
      </c>
      <c r="D31" t="s">
        <v>62</v>
      </c>
      <c r="E31" t="s">
        <v>84</v>
      </c>
      <c r="F31">
        <v>27.65</v>
      </c>
      <c r="G31">
        <v>40</v>
      </c>
      <c r="H31">
        <v>60</v>
      </c>
      <c r="I31" t="s">
        <v>64</v>
      </c>
      <c r="J31" t="s">
        <v>17</v>
      </c>
      <c r="K31">
        <v>0.3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6104-8E03-4DCE-9AC6-BA88494EBE1E}">
  <dimension ref="A1:G225"/>
  <sheetViews>
    <sheetView workbookViewId="0">
      <selection activeCell="F3" sqref="F3"/>
    </sheetView>
  </sheetViews>
  <sheetFormatPr defaultRowHeight="13.8" x14ac:dyDescent="0.25"/>
  <cols>
    <col min="1" max="1" width="11.33203125" bestFit="1" customWidth="1"/>
    <col min="2" max="2" width="8" bestFit="1" customWidth="1"/>
    <col min="3" max="3" width="13.88671875" bestFit="1" customWidth="1"/>
    <col min="4" max="4" width="19.6640625" bestFit="1" customWidth="1"/>
    <col min="5" max="5" width="14.5546875" bestFit="1" customWidth="1"/>
    <col min="6" max="6" width="17.44140625" bestFit="1" customWidth="1"/>
    <col min="7" max="7" width="16.88671875" bestFit="1" customWidth="1"/>
  </cols>
  <sheetData>
    <row r="1" spans="1:7" x14ac:dyDescent="0.25">
      <c r="A1" t="s">
        <v>85</v>
      </c>
      <c r="B1" t="s">
        <v>0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spans="1:7" x14ac:dyDescent="0.25">
      <c r="A2" t="s">
        <v>91</v>
      </c>
      <c r="B2" t="s">
        <v>11</v>
      </c>
      <c r="C2" t="s">
        <v>92</v>
      </c>
      <c r="D2" s="1">
        <v>46172</v>
      </c>
      <c r="E2" s="1">
        <v>46282</v>
      </c>
      <c r="F2" s="1">
        <v>46182</v>
      </c>
      <c r="G2" t="s">
        <v>93</v>
      </c>
    </row>
    <row r="3" spans="1:7" x14ac:dyDescent="0.25">
      <c r="A3" t="s">
        <v>13897</v>
      </c>
      <c r="B3" t="s">
        <v>18</v>
      </c>
      <c r="C3" t="s">
        <v>95</v>
      </c>
      <c r="D3" s="1">
        <v>46172</v>
      </c>
      <c r="E3" s="1">
        <v>46252</v>
      </c>
      <c r="F3" s="1">
        <v>46182</v>
      </c>
      <c r="G3" t="s">
        <v>93</v>
      </c>
    </row>
    <row r="4" spans="1:7" x14ac:dyDescent="0.25">
      <c r="A4" t="s">
        <v>96</v>
      </c>
      <c r="B4" t="s">
        <v>20</v>
      </c>
      <c r="C4" t="s">
        <v>97</v>
      </c>
      <c r="D4" s="1">
        <v>46172</v>
      </c>
      <c r="E4" s="1">
        <v>46252</v>
      </c>
      <c r="F4" s="1">
        <v>46182</v>
      </c>
      <c r="G4" t="s">
        <v>93</v>
      </c>
    </row>
    <row r="5" spans="1:7" x14ac:dyDescent="0.25">
      <c r="A5" t="s">
        <v>98</v>
      </c>
      <c r="B5" t="s">
        <v>22</v>
      </c>
      <c r="C5" t="s">
        <v>99</v>
      </c>
      <c r="D5" s="1">
        <v>46172</v>
      </c>
      <c r="E5" s="1">
        <v>46282</v>
      </c>
      <c r="F5" s="1">
        <v>46182</v>
      </c>
      <c r="G5" t="s">
        <v>93</v>
      </c>
    </row>
    <row r="6" spans="1:7" x14ac:dyDescent="0.25">
      <c r="A6" t="s">
        <v>100</v>
      </c>
      <c r="B6" t="s">
        <v>24</v>
      </c>
      <c r="C6" t="s">
        <v>101</v>
      </c>
      <c r="D6" s="1">
        <v>46172</v>
      </c>
      <c r="E6" s="1">
        <v>46227</v>
      </c>
      <c r="F6" s="1">
        <v>46182</v>
      </c>
      <c r="G6" t="s">
        <v>93</v>
      </c>
    </row>
    <row r="7" spans="1:7" x14ac:dyDescent="0.25">
      <c r="A7" t="s">
        <v>102</v>
      </c>
      <c r="B7" t="s">
        <v>26</v>
      </c>
      <c r="C7" t="s">
        <v>103</v>
      </c>
      <c r="D7" s="1">
        <v>46172</v>
      </c>
      <c r="E7" s="1">
        <v>46362</v>
      </c>
      <c r="F7" s="1">
        <v>46182</v>
      </c>
      <c r="G7" t="s">
        <v>93</v>
      </c>
    </row>
    <row r="8" spans="1:7" x14ac:dyDescent="0.25">
      <c r="A8" t="s">
        <v>104</v>
      </c>
      <c r="B8" t="s">
        <v>28</v>
      </c>
      <c r="C8" t="s">
        <v>105</v>
      </c>
      <c r="D8" s="1">
        <v>46172</v>
      </c>
      <c r="E8" s="1">
        <v>46282</v>
      </c>
      <c r="F8" s="1">
        <v>46182</v>
      </c>
      <c r="G8" t="s">
        <v>93</v>
      </c>
    </row>
    <row r="9" spans="1:7" x14ac:dyDescent="0.25">
      <c r="A9" t="s">
        <v>106</v>
      </c>
      <c r="B9" t="s">
        <v>30</v>
      </c>
      <c r="C9" t="s">
        <v>107</v>
      </c>
      <c r="D9" s="1">
        <v>46172</v>
      </c>
      <c r="E9" s="1">
        <v>46227</v>
      </c>
      <c r="F9" s="1">
        <v>46182</v>
      </c>
      <c r="G9" t="s">
        <v>93</v>
      </c>
    </row>
    <row r="10" spans="1:7" x14ac:dyDescent="0.25">
      <c r="A10" t="s">
        <v>108</v>
      </c>
      <c r="B10" t="s">
        <v>32</v>
      </c>
      <c r="C10" t="s">
        <v>109</v>
      </c>
      <c r="D10" s="1">
        <v>46172</v>
      </c>
      <c r="E10" s="1">
        <v>46282</v>
      </c>
      <c r="F10" s="1">
        <v>46182</v>
      </c>
      <c r="G10" t="s">
        <v>93</v>
      </c>
    </row>
    <row r="11" spans="1:7" x14ac:dyDescent="0.25">
      <c r="A11" t="s">
        <v>110</v>
      </c>
      <c r="B11" t="s">
        <v>34</v>
      </c>
      <c r="C11" t="s">
        <v>111</v>
      </c>
      <c r="D11" s="1">
        <v>46172</v>
      </c>
      <c r="E11" s="1">
        <v>46242</v>
      </c>
      <c r="F11" s="1">
        <v>46182</v>
      </c>
      <c r="G11" t="s">
        <v>93</v>
      </c>
    </row>
    <row r="12" spans="1:7" x14ac:dyDescent="0.25">
      <c r="A12" t="s">
        <v>112</v>
      </c>
      <c r="B12" t="s">
        <v>36</v>
      </c>
      <c r="C12" t="s">
        <v>113</v>
      </c>
      <c r="D12" s="1">
        <v>46172</v>
      </c>
      <c r="E12" s="1">
        <v>46362</v>
      </c>
      <c r="F12" s="1">
        <v>46182</v>
      </c>
      <c r="G12" t="s">
        <v>93</v>
      </c>
    </row>
    <row r="13" spans="1:7" x14ac:dyDescent="0.25">
      <c r="A13" t="s">
        <v>114</v>
      </c>
      <c r="B13" t="s">
        <v>41</v>
      </c>
      <c r="C13" t="s">
        <v>115</v>
      </c>
      <c r="D13" s="1">
        <v>46172</v>
      </c>
      <c r="E13" s="1">
        <v>46252</v>
      </c>
      <c r="F13" s="1">
        <v>46182</v>
      </c>
      <c r="G13" t="s">
        <v>93</v>
      </c>
    </row>
    <row r="14" spans="1:7" x14ac:dyDescent="0.25">
      <c r="A14" t="s">
        <v>116</v>
      </c>
      <c r="B14" t="s">
        <v>43</v>
      </c>
      <c r="C14" t="s">
        <v>117</v>
      </c>
      <c r="D14" s="1">
        <v>46172</v>
      </c>
      <c r="E14" s="1">
        <v>46252</v>
      </c>
      <c r="F14" s="1">
        <v>46182</v>
      </c>
      <c r="G14" t="s">
        <v>93</v>
      </c>
    </row>
    <row r="15" spans="1:7" x14ac:dyDescent="0.25">
      <c r="A15" t="s">
        <v>118</v>
      </c>
      <c r="B15" t="s">
        <v>45</v>
      </c>
      <c r="C15" t="s">
        <v>119</v>
      </c>
      <c r="D15" s="1">
        <v>46172</v>
      </c>
      <c r="E15" s="1">
        <v>46252</v>
      </c>
      <c r="F15" s="1">
        <v>46182</v>
      </c>
      <c r="G15" t="s">
        <v>93</v>
      </c>
    </row>
    <row r="16" spans="1:7" x14ac:dyDescent="0.25">
      <c r="A16" t="s">
        <v>120</v>
      </c>
      <c r="B16" t="s">
        <v>47</v>
      </c>
      <c r="C16" t="s">
        <v>121</v>
      </c>
      <c r="D16" s="1">
        <v>46172</v>
      </c>
      <c r="E16" s="1">
        <v>46282</v>
      </c>
      <c r="F16" s="1">
        <v>46182</v>
      </c>
      <c r="G16" t="s">
        <v>93</v>
      </c>
    </row>
    <row r="17" spans="1:7" x14ac:dyDescent="0.25">
      <c r="A17" t="s">
        <v>122</v>
      </c>
      <c r="B17" t="s">
        <v>49</v>
      </c>
      <c r="C17" t="s">
        <v>123</v>
      </c>
      <c r="D17" s="1">
        <v>46172</v>
      </c>
      <c r="E17" s="1">
        <v>46227</v>
      </c>
      <c r="F17" s="1">
        <v>46182</v>
      </c>
      <c r="G17" t="s">
        <v>93</v>
      </c>
    </row>
    <row r="18" spans="1:7" x14ac:dyDescent="0.25">
      <c r="A18" t="s">
        <v>124</v>
      </c>
      <c r="B18" t="s">
        <v>51</v>
      </c>
      <c r="C18" t="s">
        <v>125</v>
      </c>
      <c r="D18" s="1">
        <v>46172</v>
      </c>
      <c r="E18" s="1">
        <v>46282</v>
      </c>
      <c r="F18" s="1">
        <v>46182</v>
      </c>
      <c r="G18" t="s">
        <v>93</v>
      </c>
    </row>
    <row r="19" spans="1:7" x14ac:dyDescent="0.25">
      <c r="A19" t="s">
        <v>126</v>
      </c>
      <c r="B19" t="s">
        <v>53</v>
      </c>
      <c r="C19" t="s">
        <v>127</v>
      </c>
      <c r="D19" s="1">
        <v>46172</v>
      </c>
      <c r="E19" s="1">
        <v>46282</v>
      </c>
      <c r="F19" s="1">
        <v>46182</v>
      </c>
      <c r="G19" t="s">
        <v>93</v>
      </c>
    </row>
    <row r="20" spans="1:7" x14ac:dyDescent="0.25">
      <c r="A20" t="s">
        <v>128</v>
      </c>
      <c r="B20" t="s">
        <v>55</v>
      </c>
      <c r="C20" t="s">
        <v>129</v>
      </c>
      <c r="D20" s="1">
        <v>46172</v>
      </c>
      <c r="E20" s="1">
        <v>46227</v>
      </c>
      <c r="F20" s="1">
        <v>46182</v>
      </c>
      <c r="G20" t="s">
        <v>93</v>
      </c>
    </row>
    <row r="21" spans="1:7" x14ac:dyDescent="0.25">
      <c r="A21" t="s">
        <v>130</v>
      </c>
      <c r="B21" t="s">
        <v>57</v>
      </c>
      <c r="C21" t="s">
        <v>131</v>
      </c>
      <c r="D21" s="1">
        <v>46172</v>
      </c>
      <c r="E21" s="1">
        <v>46282</v>
      </c>
      <c r="F21" s="1">
        <v>46182</v>
      </c>
      <c r="G21" t="s">
        <v>93</v>
      </c>
    </row>
    <row r="22" spans="1:7" x14ac:dyDescent="0.25">
      <c r="A22" t="s">
        <v>132</v>
      </c>
      <c r="B22" t="s">
        <v>59</v>
      </c>
      <c r="C22" t="s">
        <v>133</v>
      </c>
      <c r="D22" s="1">
        <v>46172</v>
      </c>
      <c r="E22" s="1">
        <v>46547</v>
      </c>
      <c r="F22" s="1">
        <v>46182</v>
      </c>
      <c r="G22" t="s">
        <v>93</v>
      </c>
    </row>
    <row r="23" spans="1:7" x14ac:dyDescent="0.25">
      <c r="A23" t="s">
        <v>134</v>
      </c>
      <c r="B23" t="s">
        <v>65</v>
      </c>
      <c r="C23" t="s">
        <v>135</v>
      </c>
      <c r="D23" s="1">
        <v>46172</v>
      </c>
      <c r="E23" s="1">
        <v>46547</v>
      </c>
      <c r="F23" s="1">
        <v>46182</v>
      </c>
      <c r="G23" t="s">
        <v>93</v>
      </c>
    </row>
    <row r="24" spans="1:7" x14ac:dyDescent="0.25">
      <c r="A24" t="s">
        <v>136</v>
      </c>
      <c r="B24" t="s">
        <v>67</v>
      </c>
      <c r="C24" t="s">
        <v>137</v>
      </c>
      <c r="D24" s="1">
        <v>46172</v>
      </c>
      <c r="E24" s="1">
        <v>46547</v>
      </c>
      <c r="F24" s="1">
        <v>46182</v>
      </c>
      <c r="G24" t="s">
        <v>93</v>
      </c>
    </row>
    <row r="25" spans="1:7" x14ac:dyDescent="0.25">
      <c r="A25" t="s">
        <v>138</v>
      </c>
      <c r="B25" t="s">
        <v>69</v>
      </c>
      <c r="C25" t="s">
        <v>139</v>
      </c>
      <c r="D25" s="1">
        <v>46172</v>
      </c>
      <c r="E25" s="1">
        <v>46547</v>
      </c>
      <c r="F25" s="1">
        <v>46182</v>
      </c>
      <c r="G25" t="s">
        <v>93</v>
      </c>
    </row>
    <row r="26" spans="1:7" x14ac:dyDescent="0.25">
      <c r="A26" t="s">
        <v>140</v>
      </c>
      <c r="B26" t="s">
        <v>71</v>
      </c>
      <c r="C26" t="s">
        <v>141</v>
      </c>
      <c r="D26" s="1">
        <v>46172</v>
      </c>
      <c r="E26" s="1">
        <v>46547</v>
      </c>
      <c r="F26" s="1">
        <v>46182</v>
      </c>
      <c r="G26" t="s">
        <v>93</v>
      </c>
    </row>
    <row r="27" spans="1:7" x14ac:dyDescent="0.25">
      <c r="A27" t="s">
        <v>142</v>
      </c>
      <c r="B27" t="s">
        <v>73</v>
      </c>
      <c r="C27" t="s">
        <v>143</v>
      </c>
      <c r="D27" s="1">
        <v>46172</v>
      </c>
      <c r="E27" s="1">
        <v>46547</v>
      </c>
      <c r="F27" s="1">
        <v>46182</v>
      </c>
      <c r="G27" t="s">
        <v>93</v>
      </c>
    </row>
    <row r="28" spans="1:7" x14ac:dyDescent="0.25">
      <c r="A28" t="s">
        <v>144</v>
      </c>
      <c r="B28" t="s">
        <v>75</v>
      </c>
      <c r="C28" t="s">
        <v>145</v>
      </c>
      <c r="D28" s="1">
        <v>46172</v>
      </c>
      <c r="E28" s="1">
        <v>46547</v>
      </c>
      <c r="F28" s="1">
        <v>46182</v>
      </c>
      <c r="G28" t="s">
        <v>93</v>
      </c>
    </row>
    <row r="29" spans="1:7" x14ac:dyDescent="0.25">
      <c r="A29" t="s">
        <v>146</v>
      </c>
      <c r="B29" t="s">
        <v>77</v>
      </c>
      <c r="C29" t="s">
        <v>147</v>
      </c>
      <c r="D29" s="1">
        <v>46172</v>
      </c>
      <c r="E29" s="1">
        <v>46547</v>
      </c>
      <c r="F29" s="1">
        <v>46182</v>
      </c>
      <c r="G29" t="s">
        <v>93</v>
      </c>
    </row>
    <row r="30" spans="1:7" x14ac:dyDescent="0.25">
      <c r="A30" t="s">
        <v>148</v>
      </c>
      <c r="B30" t="s">
        <v>79</v>
      </c>
      <c r="C30" t="s">
        <v>149</v>
      </c>
      <c r="D30" s="1">
        <v>46172</v>
      </c>
      <c r="E30" s="1">
        <v>46547</v>
      </c>
      <c r="F30" s="1">
        <v>46182</v>
      </c>
      <c r="G30" t="s">
        <v>93</v>
      </c>
    </row>
    <row r="31" spans="1:7" x14ac:dyDescent="0.25">
      <c r="A31" t="s">
        <v>150</v>
      </c>
      <c r="B31" t="s">
        <v>82</v>
      </c>
      <c r="C31" t="s">
        <v>151</v>
      </c>
      <c r="D31" s="1">
        <v>46172</v>
      </c>
      <c r="E31" s="1">
        <v>46547</v>
      </c>
      <c r="F31" s="1">
        <v>46182</v>
      </c>
      <c r="G31" t="s">
        <v>93</v>
      </c>
    </row>
    <row r="32" spans="1:7" x14ac:dyDescent="0.25">
      <c r="A32" t="s">
        <v>152</v>
      </c>
      <c r="B32" t="s">
        <v>11</v>
      </c>
      <c r="C32" t="s">
        <v>92</v>
      </c>
      <c r="D32" s="1">
        <v>46179</v>
      </c>
      <c r="E32" s="1">
        <v>46234</v>
      </c>
      <c r="F32" s="1">
        <v>46189</v>
      </c>
      <c r="G32" t="s">
        <v>93</v>
      </c>
    </row>
    <row r="33" spans="1:7" x14ac:dyDescent="0.25">
      <c r="A33" t="s">
        <v>153</v>
      </c>
      <c r="B33" t="s">
        <v>18</v>
      </c>
      <c r="C33" t="s">
        <v>95</v>
      </c>
      <c r="D33" s="1">
        <v>46179</v>
      </c>
      <c r="E33" s="1">
        <v>46289</v>
      </c>
      <c r="F33" s="1">
        <v>46189</v>
      </c>
      <c r="G33" t="s">
        <v>93</v>
      </c>
    </row>
    <row r="34" spans="1:7" x14ac:dyDescent="0.25">
      <c r="A34" t="s">
        <v>154</v>
      </c>
      <c r="B34" t="s">
        <v>20</v>
      </c>
      <c r="C34" t="s">
        <v>97</v>
      </c>
      <c r="D34" s="1">
        <v>46179</v>
      </c>
      <c r="E34" s="1">
        <v>46259</v>
      </c>
      <c r="F34" s="1">
        <v>46189</v>
      </c>
      <c r="G34" t="s">
        <v>93</v>
      </c>
    </row>
    <row r="35" spans="1:7" x14ac:dyDescent="0.25">
      <c r="A35" t="s">
        <v>155</v>
      </c>
      <c r="B35" t="s">
        <v>22</v>
      </c>
      <c r="C35" t="s">
        <v>99</v>
      </c>
      <c r="D35" s="1">
        <v>46179</v>
      </c>
      <c r="E35" s="1">
        <v>46259</v>
      </c>
      <c r="F35" s="1">
        <v>46189</v>
      </c>
      <c r="G35" t="s">
        <v>93</v>
      </c>
    </row>
    <row r="36" spans="1:7" x14ac:dyDescent="0.25">
      <c r="A36" t="s">
        <v>156</v>
      </c>
      <c r="B36" t="s">
        <v>24</v>
      </c>
      <c r="C36" t="s">
        <v>101</v>
      </c>
      <c r="D36" s="1">
        <v>46179</v>
      </c>
      <c r="E36" s="1">
        <v>46369</v>
      </c>
      <c r="F36" s="1">
        <v>46189</v>
      </c>
      <c r="G36" t="s">
        <v>93</v>
      </c>
    </row>
    <row r="37" spans="1:7" x14ac:dyDescent="0.25">
      <c r="A37" t="s">
        <v>157</v>
      </c>
      <c r="B37" t="s">
        <v>26</v>
      </c>
      <c r="C37" t="s">
        <v>103</v>
      </c>
      <c r="D37" s="1">
        <v>46179</v>
      </c>
      <c r="E37" s="1">
        <v>46289</v>
      </c>
      <c r="F37" s="1">
        <v>46189</v>
      </c>
      <c r="G37" t="s">
        <v>93</v>
      </c>
    </row>
    <row r="38" spans="1:7" x14ac:dyDescent="0.25">
      <c r="A38" t="s">
        <v>158</v>
      </c>
      <c r="B38" t="s">
        <v>28</v>
      </c>
      <c r="C38" t="s">
        <v>105</v>
      </c>
      <c r="D38" s="1">
        <v>46179</v>
      </c>
      <c r="E38" s="1">
        <v>46234</v>
      </c>
      <c r="F38" s="1">
        <v>46189</v>
      </c>
      <c r="G38" t="s">
        <v>93</v>
      </c>
    </row>
    <row r="39" spans="1:7" x14ac:dyDescent="0.25">
      <c r="A39" t="s">
        <v>159</v>
      </c>
      <c r="B39" t="s">
        <v>30</v>
      </c>
      <c r="C39" t="s">
        <v>107</v>
      </c>
      <c r="D39" s="1">
        <v>46179</v>
      </c>
      <c r="E39" s="1">
        <v>46234</v>
      </c>
      <c r="F39" s="1">
        <v>46189</v>
      </c>
      <c r="G39" t="s">
        <v>93</v>
      </c>
    </row>
    <row r="40" spans="1:7" x14ac:dyDescent="0.25">
      <c r="A40" t="s">
        <v>160</v>
      </c>
      <c r="B40" t="s">
        <v>32</v>
      </c>
      <c r="C40" t="s">
        <v>109</v>
      </c>
      <c r="D40" s="1">
        <v>46179</v>
      </c>
      <c r="E40" s="1">
        <v>46259</v>
      </c>
      <c r="F40" s="1">
        <v>46189</v>
      </c>
      <c r="G40" t="s">
        <v>93</v>
      </c>
    </row>
    <row r="41" spans="1:7" x14ac:dyDescent="0.25">
      <c r="A41" t="s">
        <v>161</v>
      </c>
      <c r="B41" t="s">
        <v>34</v>
      </c>
      <c r="C41" t="s">
        <v>111</v>
      </c>
      <c r="D41" s="1">
        <v>46179</v>
      </c>
      <c r="E41" s="1">
        <v>46289</v>
      </c>
      <c r="F41" s="1">
        <v>46189</v>
      </c>
      <c r="G41" t="s">
        <v>93</v>
      </c>
    </row>
    <row r="42" spans="1:7" x14ac:dyDescent="0.25">
      <c r="A42" t="s">
        <v>162</v>
      </c>
      <c r="B42" t="s">
        <v>36</v>
      </c>
      <c r="C42" t="s">
        <v>113</v>
      </c>
      <c r="D42" s="1">
        <v>46179</v>
      </c>
      <c r="E42" s="1">
        <v>46234</v>
      </c>
      <c r="F42" s="1">
        <v>46189</v>
      </c>
      <c r="G42" t="s">
        <v>93</v>
      </c>
    </row>
    <row r="43" spans="1:7" x14ac:dyDescent="0.25">
      <c r="A43" t="s">
        <v>163</v>
      </c>
      <c r="B43" t="s">
        <v>41</v>
      </c>
      <c r="C43" t="s">
        <v>115</v>
      </c>
      <c r="D43" s="1">
        <v>46179</v>
      </c>
      <c r="E43" s="1">
        <v>46369</v>
      </c>
      <c r="F43" s="1">
        <v>46189</v>
      </c>
      <c r="G43" t="s">
        <v>93</v>
      </c>
    </row>
    <row r="44" spans="1:7" x14ac:dyDescent="0.25">
      <c r="A44" t="s">
        <v>164</v>
      </c>
      <c r="B44" t="s">
        <v>43</v>
      </c>
      <c r="C44" t="s">
        <v>117</v>
      </c>
      <c r="D44" s="1">
        <v>46179</v>
      </c>
      <c r="E44" s="1">
        <v>46234</v>
      </c>
      <c r="F44" s="1">
        <v>46189</v>
      </c>
      <c r="G44" t="s">
        <v>93</v>
      </c>
    </row>
    <row r="45" spans="1:7" x14ac:dyDescent="0.25">
      <c r="A45" t="s">
        <v>165</v>
      </c>
      <c r="B45" t="s">
        <v>45</v>
      </c>
      <c r="C45" t="s">
        <v>119</v>
      </c>
      <c r="D45" s="1">
        <v>46179</v>
      </c>
      <c r="E45" s="1">
        <v>46259</v>
      </c>
      <c r="F45" s="1">
        <v>46189</v>
      </c>
      <c r="G45" t="s">
        <v>93</v>
      </c>
    </row>
    <row r="46" spans="1:7" x14ac:dyDescent="0.25">
      <c r="A46" t="s">
        <v>166</v>
      </c>
      <c r="B46" t="s">
        <v>47</v>
      </c>
      <c r="C46" t="s">
        <v>121</v>
      </c>
      <c r="D46" s="1">
        <v>46179</v>
      </c>
      <c r="E46" s="1">
        <v>46234</v>
      </c>
      <c r="F46" s="1">
        <v>46189</v>
      </c>
      <c r="G46" t="s">
        <v>93</v>
      </c>
    </row>
    <row r="47" spans="1:7" x14ac:dyDescent="0.25">
      <c r="A47" t="s">
        <v>167</v>
      </c>
      <c r="B47" t="s">
        <v>49</v>
      </c>
      <c r="C47" t="s">
        <v>123</v>
      </c>
      <c r="D47" s="1">
        <v>46179</v>
      </c>
      <c r="E47" s="1">
        <v>46369</v>
      </c>
      <c r="F47" s="1">
        <v>46189</v>
      </c>
      <c r="G47" t="s">
        <v>93</v>
      </c>
    </row>
    <row r="48" spans="1:7" x14ac:dyDescent="0.25">
      <c r="A48" t="s">
        <v>168</v>
      </c>
      <c r="B48" t="s">
        <v>51</v>
      </c>
      <c r="C48" t="s">
        <v>125</v>
      </c>
      <c r="D48" s="1">
        <v>46179</v>
      </c>
      <c r="E48" s="1">
        <v>46289</v>
      </c>
      <c r="F48" s="1">
        <v>46189</v>
      </c>
      <c r="G48" t="s">
        <v>93</v>
      </c>
    </row>
    <row r="49" spans="1:7" x14ac:dyDescent="0.25">
      <c r="A49" t="s">
        <v>169</v>
      </c>
      <c r="B49" t="s">
        <v>53</v>
      </c>
      <c r="C49" t="s">
        <v>127</v>
      </c>
      <c r="D49" s="1">
        <v>46179</v>
      </c>
      <c r="E49" s="1">
        <v>46259</v>
      </c>
      <c r="F49" s="1">
        <v>46189</v>
      </c>
      <c r="G49" t="s">
        <v>93</v>
      </c>
    </row>
    <row r="50" spans="1:7" x14ac:dyDescent="0.25">
      <c r="A50" t="s">
        <v>170</v>
      </c>
      <c r="B50" t="s">
        <v>55</v>
      </c>
      <c r="C50" t="s">
        <v>129</v>
      </c>
      <c r="D50" s="1">
        <v>46179</v>
      </c>
      <c r="E50" s="1">
        <v>46369</v>
      </c>
      <c r="F50" s="1">
        <v>46189</v>
      </c>
      <c r="G50" t="s">
        <v>93</v>
      </c>
    </row>
    <row r="51" spans="1:7" x14ac:dyDescent="0.25">
      <c r="A51" t="s">
        <v>171</v>
      </c>
      <c r="B51" t="s">
        <v>57</v>
      </c>
      <c r="C51" t="s">
        <v>131</v>
      </c>
      <c r="D51" s="1">
        <v>46179</v>
      </c>
      <c r="E51" s="1">
        <v>46369</v>
      </c>
      <c r="F51" s="1">
        <v>46189</v>
      </c>
      <c r="G51" t="s">
        <v>93</v>
      </c>
    </row>
    <row r="52" spans="1:7" x14ac:dyDescent="0.25">
      <c r="A52" t="s">
        <v>172</v>
      </c>
      <c r="B52" t="s">
        <v>59</v>
      </c>
      <c r="C52" t="s">
        <v>133</v>
      </c>
      <c r="D52" s="1">
        <v>46179</v>
      </c>
      <c r="E52" s="1">
        <v>46554</v>
      </c>
      <c r="F52" s="1">
        <v>46189</v>
      </c>
      <c r="G52" t="s">
        <v>93</v>
      </c>
    </row>
    <row r="53" spans="1:7" x14ac:dyDescent="0.25">
      <c r="A53" t="s">
        <v>173</v>
      </c>
      <c r="B53" t="s">
        <v>65</v>
      </c>
      <c r="C53" t="s">
        <v>135</v>
      </c>
      <c r="D53" s="1">
        <v>46179</v>
      </c>
      <c r="E53" s="1">
        <v>46554</v>
      </c>
      <c r="F53" s="1">
        <v>46189</v>
      </c>
      <c r="G53" t="s">
        <v>93</v>
      </c>
    </row>
    <row r="54" spans="1:7" x14ac:dyDescent="0.25">
      <c r="A54" t="s">
        <v>174</v>
      </c>
      <c r="B54" t="s">
        <v>67</v>
      </c>
      <c r="C54" t="s">
        <v>137</v>
      </c>
      <c r="D54" s="1">
        <v>46179</v>
      </c>
      <c r="E54" s="1">
        <v>46554</v>
      </c>
      <c r="F54" s="1">
        <v>46189</v>
      </c>
      <c r="G54" t="s">
        <v>93</v>
      </c>
    </row>
    <row r="55" spans="1:7" x14ac:dyDescent="0.25">
      <c r="A55" t="s">
        <v>175</v>
      </c>
      <c r="B55" t="s">
        <v>69</v>
      </c>
      <c r="C55" t="s">
        <v>139</v>
      </c>
      <c r="D55" s="1">
        <v>46179</v>
      </c>
      <c r="E55" s="1">
        <v>46554</v>
      </c>
      <c r="F55" s="1">
        <v>46189</v>
      </c>
      <c r="G55" t="s">
        <v>93</v>
      </c>
    </row>
    <row r="56" spans="1:7" x14ac:dyDescent="0.25">
      <c r="A56" t="s">
        <v>176</v>
      </c>
      <c r="B56" t="s">
        <v>71</v>
      </c>
      <c r="C56" t="s">
        <v>141</v>
      </c>
      <c r="D56" s="1">
        <v>46179</v>
      </c>
      <c r="E56" s="1">
        <v>46554</v>
      </c>
      <c r="F56" s="1">
        <v>46189</v>
      </c>
      <c r="G56" t="s">
        <v>93</v>
      </c>
    </row>
    <row r="57" spans="1:7" x14ac:dyDescent="0.25">
      <c r="A57" t="s">
        <v>177</v>
      </c>
      <c r="B57" t="s">
        <v>73</v>
      </c>
      <c r="C57" t="s">
        <v>143</v>
      </c>
      <c r="D57" s="1">
        <v>46179</v>
      </c>
      <c r="E57" s="1">
        <v>46554</v>
      </c>
      <c r="F57" s="1">
        <v>46189</v>
      </c>
      <c r="G57" t="s">
        <v>93</v>
      </c>
    </row>
    <row r="58" spans="1:7" x14ac:dyDescent="0.25">
      <c r="A58" t="s">
        <v>178</v>
      </c>
      <c r="B58" t="s">
        <v>75</v>
      </c>
      <c r="C58" t="s">
        <v>145</v>
      </c>
      <c r="D58" s="1">
        <v>46179</v>
      </c>
      <c r="E58" s="1">
        <v>46554</v>
      </c>
      <c r="F58" s="1">
        <v>46189</v>
      </c>
      <c r="G58" t="s">
        <v>93</v>
      </c>
    </row>
    <row r="59" spans="1:7" x14ac:dyDescent="0.25">
      <c r="A59" t="s">
        <v>179</v>
      </c>
      <c r="B59" t="s">
        <v>77</v>
      </c>
      <c r="C59" t="s">
        <v>147</v>
      </c>
      <c r="D59" s="1">
        <v>46179</v>
      </c>
      <c r="E59" s="1">
        <v>46554</v>
      </c>
      <c r="F59" s="1">
        <v>46189</v>
      </c>
      <c r="G59" t="s">
        <v>93</v>
      </c>
    </row>
    <row r="60" spans="1:7" x14ac:dyDescent="0.25">
      <c r="A60" t="s">
        <v>180</v>
      </c>
      <c r="B60" t="s">
        <v>11</v>
      </c>
      <c r="C60" t="s">
        <v>92</v>
      </c>
      <c r="D60" s="1">
        <v>46186</v>
      </c>
      <c r="E60" s="1">
        <v>46376</v>
      </c>
      <c r="F60" s="1">
        <v>46196</v>
      </c>
      <c r="G60" t="s">
        <v>93</v>
      </c>
    </row>
    <row r="61" spans="1:7" x14ac:dyDescent="0.25">
      <c r="A61" t="s">
        <v>181</v>
      </c>
      <c r="B61" t="s">
        <v>18</v>
      </c>
      <c r="C61" t="s">
        <v>95</v>
      </c>
      <c r="D61" s="1">
        <v>46186</v>
      </c>
      <c r="E61" s="1">
        <v>46376</v>
      </c>
      <c r="F61" s="1">
        <v>46196</v>
      </c>
      <c r="G61" t="s">
        <v>93</v>
      </c>
    </row>
    <row r="62" spans="1:7" x14ac:dyDescent="0.25">
      <c r="A62" t="s">
        <v>182</v>
      </c>
      <c r="B62" t="s">
        <v>20</v>
      </c>
      <c r="C62" t="s">
        <v>97</v>
      </c>
      <c r="D62" s="1">
        <v>46186</v>
      </c>
      <c r="E62" s="1">
        <v>46266</v>
      </c>
      <c r="F62" s="1">
        <v>46196</v>
      </c>
      <c r="G62" t="s">
        <v>93</v>
      </c>
    </row>
    <row r="63" spans="1:7" x14ac:dyDescent="0.25">
      <c r="A63" t="s">
        <v>183</v>
      </c>
      <c r="B63" t="s">
        <v>22</v>
      </c>
      <c r="C63" t="s">
        <v>99</v>
      </c>
      <c r="D63" s="1">
        <v>46186</v>
      </c>
      <c r="E63" s="1">
        <v>46376</v>
      </c>
      <c r="F63" s="1">
        <v>46196</v>
      </c>
      <c r="G63" t="s">
        <v>93</v>
      </c>
    </row>
    <row r="64" spans="1:7" x14ac:dyDescent="0.25">
      <c r="A64" t="s">
        <v>184</v>
      </c>
      <c r="B64" t="s">
        <v>24</v>
      </c>
      <c r="C64" t="s">
        <v>101</v>
      </c>
      <c r="D64" s="1">
        <v>46186</v>
      </c>
      <c r="E64" s="1">
        <v>46296</v>
      </c>
      <c r="F64" s="1">
        <v>46196</v>
      </c>
      <c r="G64" t="s">
        <v>93</v>
      </c>
    </row>
    <row r="65" spans="1:7" x14ac:dyDescent="0.25">
      <c r="A65" t="s">
        <v>185</v>
      </c>
      <c r="B65" t="s">
        <v>26</v>
      </c>
      <c r="C65" t="s">
        <v>103</v>
      </c>
      <c r="D65" s="1">
        <v>46186</v>
      </c>
      <c r="E65" s="1">
        <v>46241</v>
      </c>
      <c r="F65" s="1">
        <v>46196</v>
      </c>
      <c r="G65" t="s">
        <v>93</v>
      </c>
    </row>
    <row r="66" spans="1:7" x14ac:dyDescent="0.25">
      <c r="A66" t="s">
        <v>186</v>
      </c>
      <c r="B66" t="s">
        <v>32</v>
      </c>
      <c r="C66" t="s">
        <v>109</v>
      </c>
      <c r="D66" s="1">
        <v>46186</v>
      </c>
      <c r="E66" s="1">
        <v>46241</v>
      </c>
      <c r="F66" s="1">
        <v>46196</v>
      </c>
      <c r="G66" t="s">
        <v>93</v>
      </c>
    </row>
    <row r="67" spans="1:7" x14ac:dyDescent="0.25">
      <c r="A67" t="s">
        <v>187</v>
      </c>
      <c r="B67" t="s">
        <v>36</v>
      </c>
      <c r="C67" t="s">
        <v>113</v>
      </c>
      <c r="D67" s="1">
        <v>46186</v>
      </c>
      <c r="E67" s="1">
        <v>46376</v>
      </c>
      <c r="F67" s="1">
        <v>46196</v>
      </c>
      <c r="G67" t="s">
        <v>93</v>
      </c>
    </row>
    <row r="68" spans="1:7" x14ac:dyDescent="0.25">
      <c r="A68" t="s">
        <v>188</v>
      </c>
      <c r="B68" t="s">
        <v>41</v>
      </c>
      <c r="C68" t="s">
        <v>115</v>
      </c>
      <c r="D68" s="1">
        <v>46186</v>
      </c>
      <c r="E68" s="1">
        <v>46241</v>
      </c>
      <c r="F68" s="1">
        <v>46196</v>
      </c>
      <c r="G68" t="s">
        <v>93</v>
      </c>
    </row>
    <row r="69" spans="1:7" x14ac:dyDescent="0.25">
      <c r="A69" t="s">
        <v>189</v>
      </c>
      <c r="B69" t="s">
        <v>45</v>
      </c>
      <c r="C69" t="s">
        <v>119</v>
      </c>
      <c r="D69" s="1">
        <v>46186</v>
      </c>
      <c r="E69" s="1">
        <v>46376</v>
      </c>
      <c r="F69" s="1">
        <v>46196</v>
      </c>
      <c r="G69" t="s">
        <v>93</v>
      </c>
    </row>
    <row r="70" spans="1:7" x14ac:dyDescent="0.25">
      <c r="A70" t="s">
        <v>190</v>
      </c>
      <c r="B70" t="s">
        <v>47</v>
      </c>
      <c r="C70" t="s">
        <v>121</v>
      </c>
      <c r="D70" s="1">
        <v>46186</v>
      </c>
      <c r="E70" s="1">
        <v>46296</v>
      </c>
      <c r="F70" s="1">
        <v>46196</v>
      </c>
      <c r="G70" t="s">
        <v>93</v>
      </c>
    </row>
    <row r="71" spans="1:7" x14ac:dyDescent="0.25">
      <c r="A71" t="s">
        <v>191</v>
      </c>
      <c r="B71" t="s">
        <v>49</v>
      </c>
      <c r="C71" t="s">
        <v>123</v>
      </c>
      <c r="D71" s="1">
        <v>46186</v>
      </c>
      <c r="E71" s="1">
        <v>46376</v>
      </c>
      <c r="F71" s="1">
        <v>46196</v>
      </c>
      <c r="G71" t="s">
        <v>93</v>
      </c>
    </row>
    <row r="72" spans="1:7" x14ac:dyDescent="0.25">
      <c r="A72" t="s">
        <v>192</v>
      </c>
      <c r="B72" t="s">
        <v>55</v>
      </c>
      <c r="C72" t="s">
        <v>129</v>
      </c>
      <c r="D72" s="1">
        <v>46186</v>
      </c>
      <c r="E72" s="1">
        <v>46296</v>
      </c>
      <c r="F72" s="1">
        <v>46196</v>
      </c>
      <c r="G72" t="s">
        <v>93</v>
      </c>
    </row>
    <row r="73" spans="1:7" x14ac:dyDescent="0.25">
      <c r="A73" t="s">
        <v>193</v>
      </c>
      <c r="B73" t="s">
        <v>57</v>
      </c>
      <c r="C73" t="s">
        <v>131</v>
      </c>
      <c r="D73" s="1">
        <v>46186</v>
      </c>
      <c r="E73" s="1">
        <v>46376</v>
      </c>
      <c r="F73" s="1">
        <v>46196</v>
      </c>
      <c r="G73" t="s">
        <v>93</v>
      </c>
    </row>
    <row r="74" spans="1:7" x14ac:dyDescent="0.25">
      <c r="A74" t="s">
        <v>194</v>
      </c>
      <c r="B74" t="s">
        <v>59</v>
      </c>
      <c r="C74" t="s">
        <v>133</v>
      </c>
      <c r="D74" s="1">
        <v>46186</v>
      </c>
      <c r="E74" s="1">
        <v>46561</v>
      </c>
      <c r="F74" s="1">
        <v>46196</v>
      </c>
      <c r="G74" t="s">
        <v>93</v>
      </c>
    </row>
    <row r="75" spans="1:7" x14ac:dyDescent="0.25">
      <c r="A75" t="s">
        <v>195</v>
      </c>
      <c r="B75" t="s">
        <v>65</v>
      </c>
      <c r="C75" t="s">
        <v>135</v>
      </c>
      <c r="D75" s="1">
        <v>46186</v>
      </c>
      <c r="E75" s="1">
        <v>46561</v>
      </c>
      <c r="F75" s="1">
        <v>46196</v>
      </c>
      <c r="G75" t="s">
        <v>93</v>
      </c>
    </row>
    <row r="76" spans="1:7" x14ac:dyDescent="0.25">
      <c r="A76" t="s">
        <v>196</v>
      </c>
      <c r="B76" t="s">
        <v>67</v>
      </c>
      <c r="C76" t="s">
        <v>137</v>
      </c>
      <c r="D76" s="1">
        <v>46186</v>
      </c>
      <c r="E76" s="1">
        <v>46561</v>
      </c>
      <c r="F76" s="1">
        <v>46196</v>
      </c>
      <c r="G76" t="s">
        <v>93</v>
      </c>
    </row>
    <row r="77" spans="1:7" x14ac:dyDescent="0.25">
      <c r="A77" t="s">
        <v>197</v>
      </c>
      <c r="B77" t="s">
        <v>69</v>
      </c>
      <c r="C77" t="s">
        <v>139</v>
      </c>
      <c r="D77" s="1">
        <v>46186</v>
      </c>
      <c r="E77" s="1">
        <v>46561</v>
      </c>
      <c r="F77" s="1">
        <v>46196</v>
      </c>
      <c r="G77" t="s">
        <v>93</v>
      </c>
    </row>
    <row r="78" spans="1:7" x14ac:dyDescent="0.25">
      <c r="A78" t="s">
        <v>198</v>
      </c>
      <c r="B78" t="s">
        <v>71</v>
      </c>
      <c r="C78" t="s">
        <v>141</v>
      </c>
      <c r="D78" s="1">
        <v>46186</v>
      </c>
      <c r="E78" s="1">
        <v>46561</v>
      </c>
      <c r="F78" s="1">
        <v>46196</v>
      </c>
      <c r="G78" t="s">
        <v>93</v>
      </c>
    </row>
    <row r="79" spans="1:7" x14ac:dyDescent="0.25">
      <c r="A79" t="s">
        <v>199</v>
      </c>
      <c r="B79" t="s">
        <v>75</v>
      </c>
      <c r="C79" t="s">
        <v>145</v>
      </c>
      <c r="D79" s="1">
        <v>46186</v>
      </c>
      <c r="E79" s="1">
        <v>46561</v>
      </c>
      <c r="F79" s="1">
        <v>46196</v>
      </c>
      <c r="G79" t="s">
        <v>93</v>
      </c>
    </row>
    <row r="80" spans="1:7" x14ac:dyDescent="0.25">
      <c r="A80" t="s">
        <v>200</v>
      </c>
      <c r="B80" t="s">
        <v>77</v>
      </c>
      <c r="C80" t="s">
        <v>147</v>
      </c>
      <c r="D80" s="1">
        <v>46186</v>
      </c>
      <c r="E80" s="1">
        <v>46561</v>
      </c>
      <c r="F80" s="1">
        <v>46196</v>
      </c>
      <c r="G80" t="s">
        <v>93</v>
      </c>
    </row>
    <row r="81" spans="1:7" x14ac:dyDescent="0.25">
      <c r="A81" t="s">
        <v>201</v>
      </c>
      <c r="B81" t="s">
        <v>11</v>
      </c>
      <c r="C81" t="s">
        <v>92</v>
      </c>
      <c r="D81" s="1">
        <v>46193</v>
      </c>
      <c r="E81" s="1">
        <v>46383</v>
      </c>
      <c r="F81" s="1">
        <v>46203</v>
      </c>
      <c r="G81" t="s">
        <v>93</v>
      </c>
    </row>
    <row r="82" spans="1:7" x14ac:dyDescent="0.25">
      <c r="A82" t="s">
        <v>202</v>
      </c>
      <c r="B82" t="s">
        <v>18</v>
      </c>
      <c r="C82" t="s">
        <v>95</v>
      </c>
      <c r="D82" s="1">
        <v>46193</v>
      </c>
      <c r="E82" s="1">
        <v>46383</v>
      </c>
      <c r="F82" s="1">
        <v>46203</v>
      </c>
      <c r="G82" t="s">
        <v>93</v>
      </c>
    </row>
    <row r="83" spans="1:7" x14ac:dyDescent="0.25">
      <c r="A83" t="s">
        <v>203</v>
      </c>
      <c r="B83" t="s">
        <v>20</v>
      </c>
      <c r="C83" t="s">
        <v>97</v>
      </c>
      <c r="D83" s="1">
        <v>46193</v>
      </c>
      <c r="E83" s="1">
        <v>46303</v>
      </c>
      <c r="F83" s="1">
        <v>46203</v>
      </c>
      <c r="G83" t="s">
        <v>93</v>
      </c>
    </row>
    <row r="84" spans="1:7" x14ac:dyDescent="0.25">
      <c r="A84" t="s">
        <v>204</v>
      </c>
      <c r="B84" t="s">
        <v>22</v>
      </c>
      <c r="C84" t="s">
        <v>99</v>
      </c>
      <c r="D84" s="1">
        <v>46193</v>
      </c>
      <c r="E84" s="1">
        <v>46248</v>
      </c>
      <c r="F84" s="1">
        <v>46203</v>
      </c>
      <c r="G84" t="s">
        <v>93</v>
      </c>
    </row>
    <row r="85" spans="1:7" x14ac:dyDescent="0.25">
      <c r="A85" t="s">
        <v>205</v>
      </c>
      <c r="B85" t="s">
        <v>24</v>
      </c>
      <c r="C85" t="s">
        <v>101</v>
      </c>
      <c r="D85" s="1">
        <v>46193</v>
      </c>
      <c r="E85" s="1">
        <v>46383</v>
      </c>
      <c r="F85" s="1">
        <v>46203</v>
      </c>
      <c r="G85" t="s">
        <v>93</v>
      </c>
    </row>
    <row r="86" spans="1:7" x14ac:dyDescent="0.25">
      <c r="A86" t="s">
        <v>206</v>
      </c>
      <c r="B86" t="s">
        <v>26</v>
      </c>
      <c r="C86" t="s">
        <v>103</v>
      </c>
      <c r="D86" s="1">
        <v>46193</v>
      </c>
      <c r="E86" s="1">
        <v>46383</v>
      </c>
      <c r="F86" s="1">
        <v>46203</v>
      </c>
      <c r="G86" t="s">
        <v>93</v>
      </c>
    </row>
    <row r="87" spans="1:7" x14ac:dyDescent="0.25">
      <c r="A87" t="s">
        <v>207</v>
      </c>
      <c r="B87" t="s">
        <v>30</v>
      </c>
      <c r="C87" t="s">
        <v>107</v>
      </c>
      <c r="D87" s="1">
        <v>46193</v>
      </c>
      <c r="E87" s="1">
        <v>46273</v>
      </c>
      <c r="F87" s="1">
        <v>46203</v>
      </c>
      <c r="G87" t="s">
        <v>93</v>
      </c>
    </row>
    <row r="88" spans="1:7" x14ac:dyDescent="0.25">
      <c r="A88" t="s">
        <v>208</v>
      </c>
      <c r="B88" t="s">
        <v>43</v>
      </c>
      <c r="C88" t="s">
        <v>117</v>
      </c>
      <c r="D88" s="1">
        <v>46193</v>
      </c>
      <c r="E88" s="1">
        <v>46248</v>
      </c>
      <c r="F88" s="1">
        <v>46203</v>
      </c>
      <c r="G88" t="s">
        <v>93</v>
      </c>
    </row>
    <row r="89" spans="1:7" x14ac:dyDescent="0.25">
      <c r="A89" t="s">
        <v>209</v>
      </c>
      <c r="B89" t="s">
        <v>51</v>
      </c>
      <c r="C89" t="s">
        <v>125</v>
      </c>
      <c r="D89" s="1">
        <v>46193</v>
      </c>
      <c r="E89" s="1">
        <v>46248</v>
      </c>
      <c r="F89" s="1">
        <v>46203</v>
      </c>
      <c r="G89" t="s">
        <v>93</v>
      </c>
    </row>
    <row r="90" spans="1:7" x14ac:dyDescent="0.25">
      <c r="A90" t="s">
        <v>210</v>
      </c>
      <c r="B90" t="s">
        <v>53</v>
      </c>
      <c r="C90" t="s">
        <v>127</v>
      </c>
      <c r="D90" s="1">
        <v>46193</v>
      </c>
      <c r="E90" s="1">
        <v>46248</v>
      </c>
      <c r="F90" s="1">
        <v>46203</v>
      </c>
      <c r="G90" t="s">
        <v>93</v>
      </c>
    </row>
    <row r="91" spans="1:7" x14ac:dyDescent="0.25">
      <c r="A91" t="s">
        <v>211</v>
      </c>
      <c r="B91" t="s">
        <v>57</v>
      </c>
      <c r="C91" t="s">
        <v>131</v>
      </c>
      <c r="D91" s="1">
        <v>46193</v>
      </c>
      <c r="E91" s="1">
        <v>46303</v>
      </c>
      <c r="F91" s="1">
        <v>46203</v>
      </c>
      <c r="G91" t="s">
        <v>93</v>
      </c>
    </row>
    <row r="92" spans="1:7" x14ac:dyDescent="0.25">
      <c r="A92" t="s">
        <v>212</v>
      </c>
      <c r="B92" t="s">
        <v>71</v>
      </c>
      <c r="C92" t="s">
        <v>141</v>
      </c>
      <c r="D92" s="1">
        <v>46193</v>
      </c>
      <c r="E92" s="1">
        <v>46568</v>
      </c>
      <c r="F92" s="1">
        <v>46203</v>
      </c>
      <c r="G92" t="s">
        <v>93</v>
      </c>
    </row>
    <row r="93" spans="1:7" x14ac:dyDescent="0.25">
      <c r="A93" t="s">
        <v>213</v>
      </c>
      <c r="B93" t="s">
        <v>73</v>
      </c>
      <c r="C93" t="s">
        <v>143</v>
      </c>
      <c r="D93" s="1">
        <v>46193</v>
      </c>
      <c r="E93" s="1">
        <v>46568</v>
      </c>
      <c r="F93" s="1">
        <v>46203</v>
      </c>
      <c r="G93" t="s">
        <v>93</v>
      </c>
    </row>
    <row r="94" spans="1:7" x14ac:dyDescent="0.25">
      <c r="A94" t="s">
        <v>214</v>
      </c>
      <c r="B94" t="s">
        <v>11</v>
      </c>
      <c r="C94" t="s">
        <v>92</v>
      </c>
      <c r="D94" s="1">
        <v>46200</v>
      </c>
      <c r="E94" s="1">
        <v>46310</v>
      </c>
      <c r="F94" s="1">
        <v>46210</v>
      </c>
      <c r="G94" t="s">
        <v>93</v>
      </c>
    </row>
    <row r="95" spans="1:7" x14ac:dyDescent="0.25">
      <c r="A95" t="s">
        <v>215</v>
      </c>
      <c r="B95" t="s">
        <v>18</v>
      </c>
      <c r="C95" t="s">
        <v>95</v>
      </c>
      <c r="D95" s="1">
        <v>46200</v>
      </c>
      <c r="E95" s="1">
        <v>46280</v>
      </c>
      <c r="F95" s="1">
        <v>46210</v>
      </c>
      <c r="G95" t="s">
        <v>93</v>
      </c>
    </row>
    <row r="96" spans="1:7" x14ac:dyDescent="0.25">
      <c r="A96" t="s">
        <v>216</v>
      </c>
      <c r="B96" t="s">
        <v>20</v>
      </c>
      <c r="C96" t="s">
        <v>97</v>
      </c>
      <c r="D96" s="1">
        <v>46200</v>
      </c>
      <c r="E96" s="1">
        <v>46255</v>
      </c>
      <c r="F96" s="1">
        <v>46210</v>
      </c>
      <c r="G96" t="s">
        <v>93</v>
      </c>
    </row>
    <row r="97" spans="1:7" x14ac:dyDescent="0.25">
      <c r="A97" t="s">
        <v>217</v>
      </c>
      <c r="B97" t="s">
        <v>22</v>
      </c>
      <c r="C97" t="s">
        <v>99</v>
      </c>
      <c r="D97" s="1">
        <v>46200</v>
      </c>
      <c r="E97" s="1">
        <v>46255</v>
      </c>
      <c r="F97" s="1">
        <v>46210</v>
      </c>
      <c r="G97" t="s">
        <v>93</v>
      </c>
    </row>
    <row r="98" spans="1:7" x14ac:dyDescent="0.25">
      <c r="A98" t="s">
        <v>218</v>
      </c>
      <c r="B98" t="s">
        <v>24</v>
      </c>
      <c r="C98" t="s">
        <v>101</v>
      </c>
      <c r="D98" s="1">
        <v>46200</v>
      </c>
      <c r="E98" s="1">
        <v>46390</v>
      </c>
      <c r="F98" s="1">
        <v>46210</v>
      </c>
      <c r="G98" t="s">
        <v>93</v>
      </c>
    </row>
    <row r="99" spans="1:7" x14ac:dyDescent="0.25">
      <c r="A99" t="s">
        <v>219</v>
      </c>
      <c r="B99" t="s">
        <v>26</v>
      </c>
      <c r="C99" t="s">
        <v>103</v>
      </c>
      <c r="D99" s="1">
        <v>46200</v>
      </c>
      <c r="E99" s="1">
        <v>46390</v>
      </c>
      <c r="F99" s="1">
        <v>46210</v>
      </c>
      <c r="G99" t="s">
        <v>220</v>
      </c>
    </row>
    <row r="100" spans="1:7" x14ac:dyDescent="0.25">
      <c r="A100" t="s">
        <v>221</v>
      </c>
      <c r="B100" t="s">
        <v>28</v>
      </c>
      <c r="C100" t="s">
        <v>105</v>
      </c>
      <c r="D100" s="1">
        <v>46200</v>
      </c>
      <c r="E100" s="1">
        <v>46255</v>
      </c>
      <c r="F100" s="1">
        <v>46210</v>
      </c>
      <c r="G100" t="s">
        <v>93</v>
      </c>
    </row>
    <row r="101" spans="1:7" x14ac:dyDescent="0.25">
      <c r="A101" t="s">
        <v>222</v>
      </c>
      <c r="B101" t="s">
        <v>32</v>
      </c>
      <c r="C101" t="s">
        <v>109</v>
      </c>
      <c r="D101" s="1">
        <v>46200</v>
      </c>
      <c r="E101" s="1">
        <v>46280</v>
      </c>
      <c r="F101" s="1">
        <v>46210</v>
      </c>
      <c r="G101" t="s">
        <v>93</v>
      </c>
    </row>
    <row r="102" spans="1:7" x14ac:dyDescent="0.25">
      <c r="A102" t="s">
        <v>223</v>
      </c>
      <c r="B102" t="s">
        <v>36</v>
      </c>
      <c r="C102" t="s">
        <v>113</v>
      </c>
      <c r="D102" s="1">
        <v>46200</v>
      </c>
      <c r="E102" s="1">
        <v>46310</v>
      </c>
      <c r="F102" s="1">
        <v>46210</v>
      </c>
      <c r="G102" t="s">
        <v>93</v>
      </c>
    </row>
    <row r="103" spans="1:7" x14ac:dyDescent="0.25">
      <c r="A103" t="s">
        <v>224</v>
      </c>
      <c r="B103" t="s">
        <v>41</v>
      </c>
      <c r="C103" t="s">
        <v>115</v>
      </c>
      <c r="D103" s="1">
        <v>46200</v>
      </c>
      <c r="E103" s="1">
        <v>46280</v>
      </c>
      <c r="F103" s="1">
        <v>46210</v>
      </c>
      <c r="G103" t="s">
        <v>93</v>
      </c>
    </row>
    <row r="104" spans="1:7" x14ac:dyDescent="0.25">
      <c r="A104" t="s">
        <v>225</v>
      </c>
      <c r="B104" t="s">
        <v>45</v>
      </c>
      <c r="C104" t="s">
        <v>119</v>
      </c>
      <c r="D104" s="1">
        <v>46200</v>
      </c>
      <c r="E104" s="1">
        <v>46310</v>
      </c>
      <c r="F104" s="1">
        <v>46210</v>
      </c>
      <c r="G104" t="s">
        <v>93</v>
      </c>
    </row>
    <row r="105" spans="1:7" x14ac:dyDescent="0.25">
      <c r="A105" t="s">
        <v>226</v>
      </c>
      <c r="B105" t="s">
        <v>49</v>
      </c>
      <c r="C105" t="s">
        <v>123</v>
      </c>
      <c r="D105" s="1">
        <v>46200</v>
      </c>
      <c r="E105" s="1">
        <v>46255</v>
      </c>
      <c r="F105" s="1">
        <v>46210</v>
      </c>
      <c r="G105" t="s">
        <v>93</v>
      </c>
    </row>
    <row r="106" spans="1:7" x14ac:dyDescent="0.25">
      <c r="A106" t="s">
        <v>227</v>
      </c>
      <c r="B106" t="s">
        <v>59</v>
      </c>
      <c r="C106" t="s">
        <v>133</v>
      </c>
      <c r="D106" s="1">
        <v>46200</v>
      </c>
      <c r="E106" s="1">
        <v>46575</v>
      </c>
      <c r="F106" s="1">
        <v>46210</v>
      </c>
      <c r="G106" t="s">
        <v>93</v>
      </c>
    </row>
    <row r="107" spans="1:7" x14ac:dyDescent="0.25">
      <c r="A107" t="s">
        <v>228</v>
      </c>
      <c r="B107" t="s">
        <v>65</v>
      </c>
      <c r="C107" t="s">
        <v>135</v>
      </c>
      <c r="D107" s="1">
        <v>46200</v>
      </c>
      <c r="E107" s="1">
        <v>46575</v>
      </c>
      <c r="F107" s="1">
        <v>46210</v>
      </c>
      <c r="G107" t="s">
        <v>93</v>
      </c>
    </row>
    <row r="108" spans="1:7" x14ac:dyDescent="0.25">
      <c r="A108" t="s">
        <v>229</v>
      </c>
      <c r="B108" t="s">
        <v>69</v>
      </c>
      <c r="C108" t="s">
        <v>139</v>
      </c>
      <c r="D108" s="1">
        <v>46200</v>
      </c>
      <c r="E108" s="1">
        <v>46575</v>
      </c>
      <c r="F108" s="1">
        <v>46210</v>
      </c>
      <c r="G108" t="s">
        <v>93</v>
      </c>
    </row>
    <row r="109" spans="1:7" x14ac:dyDescent="0.25">
      <c r="A109" t="s">
        <v>230</v>
      </c>
      <c r="B109" t="s">
        <v>75</v>
      </c>
      <c r="C109" t="s">
        <v>145</v>
      </c>
      <c r="D109" s="1">
        <v>46200</v>
      </c>
      <c r="E109" s="1">
        <v>46575</v>
      </c>
      <c r="F109" s="1">
        <v>46210</v>
      </c>
      <c r="G109" t="s">
        <v>93</v>
      </c>
    </row>
    <row r="110" spans="1:7" x14ac:dyDescent="0.25">
      <c r="A110" t="s">
        <v>231</v>
      </c>
      <c r="B110" t="s">
        <v>18</v>
      </c>
      <c r="C110" t="s">
        <v>95</v>
      </c>
      <c r="D110" s="1">
        <v>46207</v>
      </c>
      <c r="E110" s="1">
        <v>46317</v>
      </c>
      <c r="F110" s="1">
        <v>46217</v>
      </c>
      <c r="G110" t="s">
        <v>93</v>
      </c>
    </row>
    <row r="111" spans="1:7" x14ac:dyDescent="0.25">
      <c r="A111" t="s">
        <v>232</v>
      </c>
      <c r="B111" t="s">
        <v>20</v>
      </c>
      <c r="C111" t="s">
        <v>97</v>
      </c>
      <c r="D111" s="1">
        <v>46207</v>
      </c>
      <c r="E111" s="1">
        <v>46397</v>
      </c>
      <c r="F111" s="1">
        <v>46217</v>
      </c>
      <c r="G111" t="s">
        <v>93</v>
      </c>
    </row>
    <row r="112" spans="1:7" x14ac:dyDescent="0.25">
      <c r="A112" t="s">
        <v>233</v>
      </c>
      <c r="B112" t="s">
        <v>22</v>
      </c>
      <c r="C112" t="s">
        <v>99</v>
      </c>
      <c r="D112" s="1">
        <v>46207</v>
      </c>
      <c r="E112" s="1">
        <v>46397</v>
      </c>
      <c r="F112" s="1">
        <v>46217</v>
      </c>
      <c r="G112" t="s">
        <v>93</v>
      </c>
    </row>
    <row r="113" spans="1:7" x14ac:dyDescent="0.25">
      <c r="A113" t="s">
        <v>234</v>
      </c>
      <c r="B113" t="s">
        <v>24</v>
      </c>
      <c r="C113" t="s">
        <v>101</v>
      </c>
      <c r="D113" s="1">
        <v>46207</v>
      </c>
      <c r="E113" s="1">
        <v>46317</v>
      </c>
      <c r="F113" s="1">
        <v>46217</v>
      </c>
      <c r="G113" t="s">
        <v>93</v>
      </c>
    </row>
    <row r="114" spans="1:7" x14ac:dyDescent="0.25">
      <c r="A114" t="s">
        <v>235</v>
      </c>
      <c r="B114" t="s">
        <v>26</v>
      </c>
      <c r="C114" t="s">
        <v>103</v>
      </c>
      <c r="D114" s="1">
        <v>46207</v>
      </c>
      <c r="E114" s="1">
        <v>46287</v>
      </c>
      <c r="F114" s="1">
        <v>46217</v>
      </c>
      <c r="G114" t="s">
        <v>93</v>
      </c>
    </row>
    <row r="115" spans="1:7" x14ac:dyDescent="0.25">
      <c r="A115" t="s">
        <v>236</v>
      </c>
      <c r="B115" t="s">
        <v>28</v>
      </c>
      <c r="C115" t="s">
        <v>105</v>
      </c>
      <c r="D115" s="1">
        <v>46207</v>
      </c>
      <c r="E115" s="1">
        <v>46397</v>
      </c>
      <c r="F115" s="1">
        <v>46217</v>
      </c>
      <c r="G115" t="s">
        <v>93</v>
      </c>
    </row>
    <row r="116" spans="1:7" x14ac:dyDescent="0.25">
      <c r="A116" t="s">
        <v>237</v>
      </c>
      <c r="B116" t="s">
        <v>43</v>
      </c>
      <c r="C116" t="s">
        <v>117</v>
      </c>
      <c r="D116" s="1">
        <v>46207</v>
      </c>
      <c r="E116" s="1">
        <v>46287</v>
      </c>
      <c r="F116" s="1">
        <v>46217</v>
      </c>
      <c r="G116" t="s">
        <v>93</v>
      </c>
    </row>
    <row r="117" spans="1:7" x14ac:dyDescent="0.25">
      <c r="A117" t="s">
        <v>238</v>
      </c>
      <c r="B117" t="s">
        <v>47</v>
      </c>
      <c r="C117" t="s">
        <v>121</v>
      </c>
      <c r="D117" s="1">
        <v>46207</v>
      </c>
      <c r="E117" s="1">
        <v>46287</v>
      </c>
      <c r="F117" s="1">
        <v>46217</v>
      </c>
      <c r="G117" t="s">
        <v>93</v>
      </c>
    </row>
    <row r="118" spans="1:7" x14ac:dyDescent="0.25">
      <c r="A118" t="s">
        <v>239</v>
      </c>
      <c r="B118" t="s">
        <v>53</v>
      </c>
      <c r="C118" t="s">
        <v>127</v>
      </c>
      <c r="D118" s="1">
        <v>46207</v>
      </c>
      <c r="E118" s="1">
        <v>46317</v>
      </c>
      <c r="F118" s="1">
        <v>46217</v>
      </c>
      <c r="G118" t="s">
        <v>93</v>
      </c>
    </row>
    <row r="119" spans="1:7" x14ac:dyDescent="0.25">
      <c r="A119" t="s">
        <v>240</v>
      </c>
      <c r="B119" t="s">
        <v>55</v>
      </c>
      <c r="C119" t="s">
        <v>129</v>
      </c>
      <c r="D119" s="1">
        <v>46207</v>
      </c>
      <c r="E119" s="1">
        <v>46397</v>
      </c>
      <c r="F119" s="1">
        <v>46217</v>
      </c>
      <c r="G119" t="s">
        <v>93</v>
      </c>
    </row>
    <row r="120" spans="1:7" x14ac:dyDescent="0.25">
      <c r="A120" t="s">
        <v>241</v>
      </c>
      <c r="B120" t="s">
        <v>65</v>
      </c>
      <c r="C120" t="s">
        <v>135</v>
      </c>
      <c r="D120" s="1">
        <v>46207</v>
      </c>
      <c r="E120" s="1">
        <v>46582</v>
      </c>
      <c r="F120" s="1">
        <v>46217</v>
      </c>
      <c r="G120" t="s">
        <v>93</v>
      </c>
    </row>
    <row r="121" spans="1:7" x14ac:dyDescent="0.25">
      <c r="A121" t="s">
        <v>242</v>
      </c>
      <c r="B121" t="s">
        <v>67</v>
      </c>
      <c r="C121" t="s">
        <v>137</v>
      </c>
      <c r="D121" s="1">
        <v>46207</v>
      </c>
      <c r="E121" s="1">
        <v>46582</v>
      </c>
      <c r="F121" s="1">
        <v>46217</v>
      </c>
      <c r="G121" t="s">
        <v>93</v>
      </c>
    </row>
    <row r="122" spans="1:7" x14ac:dyDescent="0.25">
      <c r="A122" t="s">
        <v>243</v>
      </c>
      <c r="B122" t="s">
        <v>77</v>
      </c>
      <c r="C122" t="s">
        <v>147</v>
      </c>
      <c r="D122" s="1">
        <v>46207</v>
      </c>
      <c r="E122" s="1">
        <v>46582</v>
      </c>
      <c r="F122" s="1">
        <v>46217</v>
      </c>
      <c r="G122" t="s">
        <v>93</v>
      </c>
    </row>
    <row r="123" spans="1:7" x14ac:dyDescent="0.25">
      <c r="A123" t="s">
        <v>244</v>
      </c>
      <c r="B123" t="s">
        <v>18</v>
      </c>
      <c r="C123" t="s">
        <v>95</v>
      </c>
      <c r="D123" s="1">
        <v>46214</v>
      </c>
      <c r="E123" s="1">
        <v>46324</v>
      </c>
      <c r="F123" s="1">
        <v>46224</v>
      </c>
      <c r="G123" t="s">
        <v>93</v>
      </c>
    </row>
    <row r="124" spans="1:7" x14ac:dyDescent="0.25">
      <c r="A124" t="s">
        <v>245</v>
      </c>
      <c r="B124" t="s">
        <v>20</v>
      </c>
      <c r="C124" t="s">
        <v>97</v>
      </c>
      <c r="D124" s="1">
        <v>46214</v>
      </c>
      <c r="E124" s="1">
        <v>46404</v>
      </c>
      <c r="F124" s="1">
        <v>46224</v>
      </c>
      <c r="G124" t="s">
        <v>93</v>
      </c>
    </row>
    <row r="125" spans="1:7" x14ac:dyDescent="0.25">
      <c r="A125" t="s">
        <v>246</v>
      </c>
      <c r="B125" t="s">
        <v>22</v>
      </c>
      <c r="C125" t="s">
        <v>99</v>
      </c>
      <c r="D125" s="1">
        <v>46214</v>
      </c>
      <c r="E125" s="1">
        <v>46269</v>
      </c>
      <c r="F125" s="1">
        <v>46224</v>
      </c>
      <c r="G125" t="s">
        <v>93</v>
      </c>
    </row>
    <row r="126" spans="1:7" x14ac:dyDescent="0.25">
      <c r="A126" t="s">
        <v>247</v>
      </c>
      <c r="B126" t="s">
        <v>24</v>
      </c>
      <c r="C126" t="s">
        <v>101</v>
      </c>
      <c r="D126" s="1">
        <v>46214</v>
      </c>
      <c r="E126" s="1">
        <v>46294</v>
      </c>
      <c r="F126" s="1">
        <v>46224</v>
      </c>
      <c r="G126" t="s">
        <v>93</v>
      </c>
    </row>
    <row r="127" spans="1:7" x14ac:dyDescent="0.25">
      <c r="A127" t="s">
        <v>248</v>
      </c>
      <c r="B127" t="s">
        <v>26</v>
      </c>
      <c r="C127" t="s">
        <v>103</v>
      </c>
      <c r="D127" s="1">
        <v>46214</v>
      </c>
      <c r="E127" s="1">
        <v>46269</v>
      </c>
      <c r="F127" s="1">
        <v>46224</v>
      </c>
      <c r="G127" t="s">
        <v>93</v>
      </c>
    </row>
    <row r="128" spans="1:7" x14ac:dyDescent="0.25">
      <c r="A128" t="s">
        <v>249</v>
      </c>
      <c r="B128" t="s">
        <v>28</v>
      </c>
      <c r="C128" t="s">
        <v>105</v>
      </c>
      <c r="D128" s="1">
        <v>46214</v>
      </c>
      <c r="E128" s="1">
        <v>46324</v>
      </c>
      <c r="F128" s="1">
        <v>46224</v>
      </c>
      <c r="G128" t="s">
        <v>93</v>
      </c>
    </row>
    <row r="129" spans="1:7" x14ac:dyDescent="0.25">
      <c r="A129" t="s">
        <v>250</v>
      </c>
      <c r="B129" t="s">
        <v>30</v>
      </c>
      <c r="C129" t="s">
        <v>107</v>
      </c>
      <c r="D129" s="1">
        <v>46214</v>
      </c>
      <c r="E129" s="1">
        <v>46269</v>
      </c>
      <c r="F129" s="1">
        <v>46224</v>
      </c>
      <c r="G129" t="s">
        <v>93</v>
      </c>
    </row>
    <row r="130" spans="1:7" x14ac:dyDescent="0.25">
      <c r="A130" t="s">
        <v>251</v>
      </c>
      <c r="B130" t="s">
        <v>32</v>
      </c>
      <c r="C130" t="s">
        <v>109</v>
      </c>
      <c r="D130" s="1">
        <v>46214</v>
      </c>
      <c r="E130" s="1">
        <v>46269</v>
      </c>
      <c r="F130" s="1">
        <v>46224</v>
      </c>
      <c r="G130" t="s">
        <v>93</v>
      </c>
    </row>
    <row r="131" spans="1:7" x14ac:dyDescent="0.25">
      <c r="A131" t="s">
        <v>252</v>
      </c>
      <c r="B131" t="s">
        <v>36</v>
      </c>
      <c r="C131" t="s">
        <v>113</v>
      </c>
      <c r="D131" s="1">
        <v>46214</v>
      </c>
      <c r="E131" s="1">
        <v>46324</v>
      </c>
      <c r="F131" s="1">
        <v>46224</v>
      </c>
      <c r="G131" t="s">
        <v>93</v>
      </c>
    </row>
    <row r="132" spans="1:7" x14ac:dyDescent="0.25">
      <c r="A132" t="s">
        <v>253</v>
      </c>
      <c r="B132" t="s">
        <v>49</v>
      </c>
      <c r="C132" t="s">
        <v>123</v>
      </c>
      <c r="D132" s="1">
        <v>46214</v>
      </c>
      <c r="E132" s="1">
        <v>46294</v>
      </c>
      <c r="F132" s="1">
        <v>46224</v>
      </c>
      <c r="G132" t="s">
        <v>93</v>
      </c>
    </row>
    <row r="133" spans="1:7" x14ac:dyDescent="0.25">
      <c r="A133" t="s">
        <v>254</v>
      </c>
      <c r="B133" t="s">
        <v>51</v>
      </c>
      <c r="C133" t="s">
        <v>125</v>
      </c>
      <c r="D133" s="1">
        <v>46214</v>
      </c>
      <c r="E133" s="1">
        <v>46324</v>
      </c>
      <c r="F133" s="1">
        <v>46224</v>
      </c>
      <c r="G133" t="s">
        <v>93</v>
      </c>
    </row>
    <row r="134" spans="1:7" x14ac:dyDescent="0.25">
      <c r="A134" t="s">
        <v>255</v>
      </c>
      <c r="B134" t="s">
        <v>57</v>
      </c>
      <c r="C134" t="s">
        <v>131</v>
      </c>
      <c r="D134" s="1">
        <v>46214</v>
      </c>
      <c r="E134" s="1">
        <v>46269</v>
      </c>
      <c r="F134" s="1">
        <v>46224</v>
      </c>
      <c r="G134" t="s">
        <v>93</v>
      </c>
    </row>
    <row r="135" spans="1:7" x14ac:dyDescent="0.25">
      <c r="A135" t="s">
        <v>256</v>
      </c>
      <c r="B135" t="s">
        <v>69</v>
      </c>
      <c r="C135" t="s">
        <v>139</v>
      </c>
      <c r="D135" s="1">
        <v>46214</v>
      </c>
      <c r="E135" s="1">
        <v>46589</v>
      </c>
      <c r="F135" s="1">
        <v>46224</v>
      </c>
      <c r="G135" t="s">
        <v>93</v>
      </c>
    </row>
    <row r="136" spans="1:7" x14ac:dyDescent="0.25">
      <c r="A136" t="s">
        <v>257</v>
      </c>
      <c r="B136" t="s">
        <v>71</v>
      </c>
      <c r="C136" t="s">
        <v>141</v>
      </c>
      <c r="D136" s="1">
        <v>46214</v>
      </c>
      <c r="E136" s="1">
        <v>46589</v>
      </c>
      <c r="F136" s="1">
        <v>46224</v>
      </c>
      <c r="G136" t="s">
        <v>93</v>
      </c>
    </row>
    <row r="137" spans="1:7" x14ac:dyDescent="0.25">
      <c r="A137" t="s">
        <v>258</v>
      </c>
      <c r="B137" t="s">
        <v>73</v>
      </c>
      <c r="C137" t="s">
        <v>143</v>
      </c>
      <c r="D137" s="1">
        <v>46214</v>
      </c>
      <c r="E137" s="1">
        <v>46589</v>
      </c>
      <c r="F137" s="1">
        <v>46224</v>
      </c>
      <c r="G137" t="s">
        <v>93</v>
      </c>
    </row>
    <row r="138" spans="1:7" x14ac:dyDescent="0.25">
      <c r="A138" t="s">
        <v>259</v>
      </c>
      <c r="B138" t="s">
        <v>75</v>
      </c>
      <c r="C138" t="s">
        <v>145</v>
      </c>
      <c r="D138" s="1">
        <v>46214</v>
      </c>
      <c r="E138" s="1">
        <v>46589</v>
      </c>
      <c r="F138" s="1">
        <v>46224</v>
      </c>
      <c r="G138" t="s">
        <v>93</v>
      </c>
    </row>
    <row r="139" spans="1:7" x14ac:dyDescent="0.25">
      <c r="A139" t="s">
        <v>260</v>
      </c>
      <c r="B139" t="s">
        <v>18</v>
      </c>
      <c r="C139" t="s">
        <v>95</v>
      </c>
      <c r="D139" s="1">
        <v>46221</v>
      </c>
      <c r="E139" s="1">
        <v>46301</v>
      </c>
      <c r="F139" s="1">
        <v>46231</v>
      </c>
      <c r="G139" t="s">
        <v>93</v>
      </c>
    </row>
    <row r="140" spans="1:7" x14ac:dyDescent="0.25">
      <c r="A140" t="s">
        <v>261</v>
      </c>
      <c r="B140" t="s">
        <v>20</v>
      </c>
      <c r="C140" t="s">
        <v>97</v>
      </c>
      <c r="D140" s="1">
        <v>46221</v>
      </c>
      <c r="E140" s="1">
        <v>46411</v>
      </c>
      <c r="F140" s="1">
        <v>46231</v>
      </c>
      <c r="G140" t="s">
        <v>93</v>
      </c>
    </row>
    <row r="141" spans="1:7" x14ac:dyDescent="0.25">
      <c r="A141" t="s">
        <v>262</v>
      </c>
      <c r="B141" t="s">
        <v>22</v>
      </c>
      <c r="C141" t="s">
        <v>99</v>
      </c>
      <c r="D141" s="1">
        <v>46221</v>
      </c>
      <c r="E141" s="1">
        <v>46411</v>
      </c>
      <c r="F141" s="1">
        <v>46231</v>
      </c>
      <c r="G141" t="s">
        <v>93</v>
      </c>
    </row>
    <row r="142" spans="1:7" x14ac:dyDescent="0.25">
      <c r="A142" t="s">
        <v>263</v>
      </c>
      <c r="B142" t="s">
        <v>24</v>
      </c>
      <c r="C142" t="s">
        <v>101</v>
      </c>
      <c r="D142" s="1">
        <v>46221</v>
      </c>
      <c r="E142" s="1">
        <v>46301</v>
      </c>
      <c r="F142" s="1">
        <v>46231</v>
      </c>
      <c r="G142" t="s">
        <v>93</v>
      </c>
    </row>
    <row r="143" spans="1:7" x14ac:dyDescent="0.25">
      <c r="A143" t="s">
        <v>264</v>
      </c>
      <c r="B143" t="s">
        <v>26</v>
      </c>
      <c r="C143" t="s">
        <v>103</v>
      </c>
      <c r="D143" s="1">
        <v>46221</v>
      </c>
      <c r="E143" s="1">
        <v>46276</v>
      </c>
      <c r="F143" s="1">
        <v>46231</v>
      </c>
      <c r="G143" t="s">
        <v>93</v>
      </c>
    </row>
    <row r="144" spans="1:7" x14ac:dyDescent="0.25">
      <c r="A144" t="s">
        <v>265</v>
      </c>
      <c r="B144" t="s">
        <v>41</v>
      </c>
      <c r="C144" t="s">
        <v>115</v>
      </c>
      <c r="D144" s="1">
        <v>46221</v>
      </c>
      <c r="E144" s="1">
        <v>46331</v>
      </c>
      <c r="F144" s="1">
        <v>46231</v>
      </c>
      <c r="G144" t="s">
        <v>93</v>
      </c>
    </row>
    <row r="145" spans="1:7" x14ac:dyDescent="0.25">
      <c r="A145" t="s">
        <v>266</v>
      </c>
      <c r="B145" t="s">
        <v>43</v>
      </c>
      <c r="C145" t="s">
        <v>117</v>
      </c>
      <c r="D145" s="1">
        <v>46221</v>
      </c>
      <c r="E145" s="1">
        <v>46276</v>
      </c>
      <c r="F145" s="1">
        <v>46231</v>
      </c>
      <c r="G145" t="s">
        <v>93</v>
      </c>
    </row>
    <row r="146" spans="1:7" x14ac:dyDescent="0.25">
      <c r="A146" t="s">
        <v>267</v>
      </c>
      <c r="B146" t="s">
        <v>45</v>
      </c>
      <c r="C146" t="s">
        <v>119</v>
      </c>
      <c r="D146" s="1">
        <v>46221</v>
      </c>
      <c r="E146" s="1">
        <v>46276</v>
      </c>
      <c r="F146" s="1">
        <v>46231</v>
      </c>
      <c r="G146" t="s">
        <v>93</v>
      </c>
    </row>
    <row r="147" spans="1:7" x14ac:dyDescent="0.25">
      <c r="A147" t="s">
        <v>268</v>
      </c>
      <c r="B147" t="s">
        <v>47</v>
      </c>
      <c r="C147" t="s">
        <v>121</v>
      </c>
      <c r="D147" s="1">
        <v>46221</v>
      </c>
      <c r="E147" s="1">
        <v>46331</v>
      </c>
      <c r="F147" s="1">
        <v>46231</v>
      </c>
      <c r="G147" t="s">
        <v>93</v>
      </c>
    </row>
    <row r="148" spans="1:7" x14ac:dyDescent="0.25">
      <c r="A148" t="s">
        <v>269</v>
      </c>
      <c r="B148" t="s">
        <v>55</v>
      </c>
      <c r="C148" t="s">
        <v>129</v>
      </c>
      <c r="D148" s="1">
        <v>46221</v>
      </c>
      <c r="E148" s="1">
        <v>46411</v>
      </c>
      <c r="F148" s="1">
        <v>46231</v>
      </c>
      <c r="G148" t="s">
        <v>93</v>
      </c>
    </row>
    <row r="149" spans="1:7" x14ac:dyDescent="0.25">
      <c r="A149" t="s">
        <v>270</v>
      </c>
      <c r="B149" t="s">
        <v>59</v>
      </c>
      <c r="C149" t="s">
        <v>133</v>
      </c>
      <c r="D149" s="1">
        <v>46221</v>
      </c>
      <c r="E149" s="1">
        <v>46596</v>
      </c>
      <c r="F149" s="1">
        <v>46231</v>
      </c>
      <c r="G149" t="s">
        <v>93</v>
      </c>
    </row>
    <row r="150" spans="1:7" x14ac:dyDescent="0.25">
      <c r="A150" t="s">
        <v>271</v>
      </c>
      <c r="B150" t="s">
        <v>67</v>
      </c>
      <c r="C150" t="s">
        <v>137</v>
      </c>
      <c r="D150" s="1">
        <v>46221</v>
      </c>
      <c r="E150" s="1">
        <v>46596</v>
      </c>
      <c r="F150" s="1">
        <v>46231</v>
      </c>
      <c r="G150" t="s">
        <v>93</v>
      </c>
    </row>
    <row r="151" spans="1:7" x14ac:dyDescent="0.25">
      <c r="A151" t="s">
        <v>272</v>
      </c>
      <c r="B151" t="s">
        <v>75</v>
      </c>
      <c r="C151" t="s">
        <v>145</v>
      </c>
      <c r="D151" s="1">
        <v>46221</v>
      </c>
      <c r="E151" s="1">
        <v>46596</v>
      </c>
      <c r="F151" s="1">
        <v>46231</v>
      </c>
      <c r="G151" t="s">
        <v>93</v>
      </c>
    </row>
    <row r="152" spans="1:7" x14ac:dyDescent="0.25">
      <c r="A152" t="s">
        <v>273</v>
      </c>
      <c r="B152" t="s">
        <v>77</v>
      </c>
      <c r="C152" t="s">
        <v>147</v>
      </c>
      <c r="D152" s="1">
        <v>46221</v>
      </c>
      <c r="E152" s="1">
        <v>46596</v>
      </c>
      <c r="F152" s="1">
        <v>46231</v>
      </c>
      <c r="G152" t="s">
        <v>93</v>
      </c>
    </row>
    <row r="153" spans="1:7" x14ac:dyDescent="0.25">
      <c r="A153" t="s">
        <v>274</v>
      </c>
      <c r="B153" t="s">
        <v>11</v>
      </c>
      <c r="C153" t="s">
        <v>92</v>
      </c>
      <c r="D153" s="1">
        <v>46228</v>
      </c>
      <c r="E153" s="1">
        <v>46418</v>
      </c>
      <c r="F153" s="1">
        <v>46238</v>
      </c>
      <c r="G153" t="s">
        <v>93</v>
      </c>
    </row>
    <row r="154" spans="1:7" x14ac:dyDescent="0.25">
      <c r="A154" t="s">
        <v>275</v>
      </c>
      <c r="B154" t="s">
        <v>18</v>
      </c>
      <c r="C154" t="s">
        <v>95</v>
      </c>
      <c r="D154" s="1">
        <v>46228</v>
      </c>
      <c r="E154" s="1">
        <v>46308</v>
      </c>
      <c r="F154" s="1">
        <v>46238</v>
      </c>
      <c r="G154" t="s">
        <v>93</v>
      </c>
    </row>
    <row r="155" spans="1:7" x14ac:dyDescent="0.25">
      <c r="A155" t="s">
        <v>276</v>
      </c>
      <c r="B155" t="s">
        <v>20</v>
      </c>
      <c r="C155" t="s">
        <v>97</v>
      </c>
      <c r="D155" s="1">
        <v>46228</v>
      </c>
      <c r="E155" s="1">
        <v>46308</v>
      </c>
      <c r="F155" s="1">
        <v>46238</v>
      </c>
      <c r="G155" t="s">
        <v>93</v>
      </c>
    </row>
    <row r="156" spans="1:7" x14ac:dyDescent="0.25">
      <c r="A156" t="s">
        <v>277</v>
      </c>
      <c r="B156" t="s">
        <v>22</v>
      </c>
      <c r="C156" t="s">
        <v>99</v>
      </c>
      <c r="D156" s="1">
        <v>46228</v>
      </c>
      <c r="E156" s="1">
        <v>46418</v>
      </c>
      <c r="F156" s="1">
        <v>46238</v>
      </c>
      <c r="G156" t="s">
        <v>93</v>
      </c>
    </row>
    <row r="157" spans="1:7" x14ac:dyDescent="0.25">
      <c r="A157" t="s">
        <v>278</v>
      </c>
      <c r="B157" t="s">
        <v>24</v>
      </c>
      <c r="C157" t="s">
        <v>101</v>
      </c>
      <c r="D157" s="1">
        <v>46228</v>
      </c>
      <c r="E157" s="1">
        <v>46283</v>
      </c>
      <c r="F157" s="1">
        <v>46238</v>
      </c>
      <c r="G157" t="s">
        <v>93</v>
      </c>
    </row>
    <row r="158" spans="1:7" x14ac:dyDescent="0.25">
      <c r="A158" t="s">
        <v>279</v>
      </c>
      <c r="B158" t="s">
        <v>26</v>
      </c>
      <c r="C158" t="s">
        <v>103</v>
      </c>
      <c r="D158" s="1">
        <v>46228</v>
      </c>
      <c r="E158" s="1">
        <v>46418</v>
      </c>
      <c r="F158" s="1">
        <v>46238</v>
      </c>
      <c r="G158" t="s">
        <v>93</v>
      </c>
    </row>
    <row r="159" spans="1:7" x14ac:dyDescent="0.25">
      <c r="A159" t="s">
        <v>280</v>
      </c>
      <c r="B159" t="s">
        <v>32</v>
      </c>
      <c r="C159" t="s">
        <v>109</v>
      </c>
      <c r="D159" s="1">
        <v>46228</v>
      </c>
      <c r="E159" s="1">
        <v>46418</v>
      </c>
      <c r="F159" s="1">
        <v>46238</v>
      </c>
      <c r="G159" t="s">
        <v>93</v>
      </c>
    </row>
    <row r="160" spans="1:7" x14ac:dyDescent="0.25">
      <c r="A160" t="s">
        <v>281</v>
      </c>
      <c r="B160" t="s">
        <v>36</v>
      </c>
      <c r="C160" t="s">
        <v>113</v>
      </c>
      <c r="D160" s="1">
        <v>46228</v>
      </c>
      <c r="E160" s="1">
        <v>46418</v>
      </c>
      <c r="F160" s="1">
        <v>46238</v>
      </c>
      <c r="G160" t="s">
        <v>93</v>
      </c>
    </row>
    <row r="161" spans="1:7" x14ac:dyDescent="0.25">
      <c r="A161" t="s">
        <v>282</v>
      </c>
      <c r="B161" t="s">
        <v>47</v>
      </c>
      <c r="C161" t="s">
        <v>121</v>
      </c>
      <c r="D161" s="1">
        <v>46228</v>
      </c>
      <c r="E161" s="1">
        <v>46418</v>
      </c>
      <c r="F161" s="1">
        <v>46238</v>
      </c>
      <c r="G161" t="s">
        <v>93</v>
      </c>
    </row>
    <row r="162" spans="1:7" x14ac:dyDescent="0.25">
      <c r="A162" t="s">
        <v>283</v>
      </c>
      <c r="B162" t="s">
        <v>59</v>
      </c>
      <c r="C162" t="s">
        <v>133</v>
      </c>
      <c r="D162" s="1">
        <v>46228</v>
      </c>
      <c r="E162" s="1">
        <v>46603</v>
      </c>
      <c r="F162" s="1">
        <v>46238</v>
      </c>
      <c r="G162" t="s">
        <v>93</v>
      </c>
    </row>
    <row r="163" spans="1:7" x14ac:dyDescent="0.25">
      <c r="A163" t="s">
        <v>284</v>
      </c>
      <c r="B163" t="s">
        <v>65</v>
      </c>
      <c r="C163" t="s">
        <v>135</v>
      </c>
      <c r="D163" s="1">
        <v>46228</v>
      </c>
      <c r="E163" s="1">
        <v>46603</v>
      </c>
      <c r="F163" s="1">
        <v>46238</v>
      </c>
      <c r="G163" t="s">
        <v>93</v>
      </c>
    </row>
    <row r="164" spans="1:7" x14ac:dyDescent="0.25">
      <c r="A164" t="s">
        <v>285</v>
      </c>
      <c r="B164" t="s">
        <v>11</v>
      </c>
      <c r="C164" t="s">
        <v>92</v>
      </c>
      <c r="D164" s="1">
        <v>46235</v>
      </c>
      <c r="E164" s="1">
        <v>46425</v>
      </c>
      <c r="F164" s="1">
        <v>46245</v>
      </c>
      <c r="G164" t="s">
        <v>93</v>
      </c>
    </row>
    <row r="165" spans="1:7" x14ac:dyDescent="0.25">
      <c r="A165" t="s">
        <v>286</v>
      </c>
      <c r="B165" t="s">
        <v>18</v>
      </c>
      <c r="C165" t="s">
        <v>95</v>
      </c>
      <c r="D165" s="1">
        <v>46235</v>
      </c>
      <c r="E165" s="1">
        <v>46345</v>
      </c>
      <c r="F165" s="1">
        <v>46245</v>
      </c>
      <c r="G165" t="s">
        <v>93</v>
      </c>
    </row>
    <row r="166" spans="1:7" x14ac:dyDescent="0.25">
      <c r="A166" t="s">
        <v>287</v>
      </c>
      <c r="B166" t="s">
        <v>20</v>
      </c>
      <c r="C166" t="s">
        <v>97</v>
      </c>
      <c r="D166" s="1">
        <v>46235</v>
      </c>
      <c r="E166" s="1">
        <v>46315</v>
      </c>
      <c r="F166" s="1">
        <v>46245</v>
      </c>
      <c r="G166" t="s">
        <v>93</v>
      </c>
    </row>
    <row r="167" spans="1:7" x14ac:dyDescent="0.25">
      <c r="A167" t="s">
        <v>288</v>
      </c>
      <c r="B167" t="s">
        <v>22</v>
      </c>
      <c r="C167" t="s">
        <v>99</v>
      </c>
      <c r="D167" s="1">
        <v>46235</v>
      </c>
      <c r="E167" s="1">
        <v>46290</v>
      </c>
      <c r="F167" s="1">
        <v>46245</v>
      </c>
      <c r="G167" t="s">
        <v>93</v>
      </c>
    </row>
    <row r="168" spans="1:7" x14ac:dyDescent="0.25">
      <c r="A168" t="s">
        <v>289</v>
      </c>
      <c r="B168" t="s">
        <v>24</v>
      </c>
      <c r="C168" t="s">
        <v>101</v>
      </c>
      <c r="D168" s="1">
        <v>46235</v>
      </c>
      <c r="E168" s="1">
        <v>46425</v>
      </c>
      <c r="F168" s="1">
        <v>46245</v>
      </c>
      <c r="G168" t="s">
        <v>93</v>
      </c>
    </row>
    <row r="169" spans="1:7" x14ac:dyDescent="0.25">
      <c r="A169" t="s">
        <v>290</v>
      </c>
      <c r="B169" t="s">
        <v>26</v>
      </c>
      <c r="C169" t="s">
        <v>103</v>
      </c>
      <c r="D169" s="1">
        <v>46235</v>
      </c>
      <c r="E169" s="1">
        <v>46345</v>
      </c>
      <c r="F169" s="1">
        <v>46245</v>
      </c>
      <c r="G169" t="s">
        <v>93</v>
      </c>
    </row>
    <row r="170" spans="1:7" x14ac:dyDescent="0.25">
      <c r="A170" t="s">
        <v>291</v>
      </c>
      <c r="B170" t="s">
        <v>30</v>
      </c>
      <c r="C170" t="s">
        <v>107</v>
      </c>
      <c r="D170" s="1">
        <v>46235</v>
      </c>
      <c r="E170" s="1">
        <v>46290</v>
      </c>
      <c r="F170" s="1">
        <v>46245</v>
      </c>
      <c r="G170" t="s">
        <v>93</v>
      </c>
    </row>
    <row r="171" spans="1:7" x14ac:dyDescent="0.25">
      <c r="A171" t="s">
        <v>292</v>
      </c>
      <c r="B171" t="s">
        <v>34</v>
      </c>
      <c r="C171" t="s">
        <v>111</v>
      </c>
      <c r="D171" s="1">
        <v>46235</v>
      </c>
      <c r="E171" s="1">
        <v>46345</v>
      </c>
      <c r="F171" s="1">
        <v>46245</v>
      </c>
      <c r="G171" t="s">
        <v>93</v>
      </c>
    </row>
    <row r="172" spans="1:7" x14ac:dyDescent="0.25">
      <c r="A172" t="s">
        <v>293</v>
      </c>
      <c r="B172" t="s">
        <v>41</v>
      </c>
      <c r="C172" t="s">
        <v>115</v>
      </c>
      <c r="D172" s="1">
        <v>46235</v>
      </c>
      <c r="E172" s="1">
        <v>46290</v>
      </c>
      <c r="F172" s="1">
        <v>46245</v>
      </c>
      <c r="G172" t="s">
        <v>93</v>
      </c>
    </row>
    <row r="173" spans="1:7" x14ac:dyDescent="0.25">
      <c r="A173" t="s">
        <v>294</v>
      </c>
      <c r="B173" t="s">
        <v>43</v>
      </c>
      <c r="C173" t="s">
        <v>117</v>
      </c>
      <c r="D173" s="1">
        <v>46235</v>
      </c>
      <c r="E173" s="1">
        <v>46345</v>
      </c>
      <c r="F173" s="1">
        <v>46245</v>
      </c>
      <c r="G173" t="s">
        <v>93</v>
      </c>
    </row>
    <row r="174" spans="1:7" x14ac:dyDescent="0.25">
      <c r="A174" t="s">
        <v>295</v>
      </c>
      <c r="B174" t="s">
        <v>49</v>
      </c>
      <c r="C174" t="s">
        <v>123</v>
      </c>
      <c r="D174" s="1">
        <v>46235</v>
      </c>
      <c r="E174" s="1">
        <v>46290</v>
      </c>
      <c r="F174" s="1">
        <v>46245</v>
      </c>
      <c r="G174" t="s">
        <v>93</v>
      </c>
    </row>
    <row r="175" spans="1:7" x14ac:dyDescent="0.25">
      <c r="A175" t="s">
        <v>296</v>
      </c>
      <c r="B175" t="s">
        <v>51</v>
      </c>
      <c r="C175" t="s">
        <v>125</v>
      </c>
      <c r="D175" s="1">
        <v>46235</v>
      </c>
      <c r="E175" s="1">
        <v>46345</v>
      </c>
      <c r="F175" s="1">
        <v>46245</v>
      </c>
      <c r="G175" t="s">
        <v>93</v>
      </c>
    </row>
    <row r="176" spans="1:7" x14ac:dyDescent="0.25">
      <c r="A176" t="s">
        <v>297</v>
      </c>
      <c r="B176" t="s">
        <v>53</v>
      </c>
      <c r="C176" t="s">
        <v>127</v>
      </c>
      <c r="D176" s="1">
        <v>46235</v>
      </c>
      <c r="E176" s="1">
        <v>46425</v>
      </c>
      <c r="F176" s="1">
        <v>46245</v>
      </c>
      <c r="G176" t="s">
        <v>93</v>
      </c>
    </row>
    <row r="177" spans="1:7" x14ac:dyDescent="0.25">
      <c r="A177" t="s">
        <v>298</v>
      </c>
      <c r="B177" t="s">
        <v>55</v>
      </c>
      <c r="C177" t="s">
        <v>129</v>
      </c>
      <c r="D177" s="1">
        <v>46235</v>
      </c>
      <c r="E177" s="1">
        <v>46290</v>
      </c>
      <c r="F177" s="1">
        <v>46245</v>
      </c>
      <c r="G177" t="s">
        <v>93</v>
      </c>
    </row>
    <row r="178" spans="1:7" x14ac:dyDescent="0.25">
      <c r="A178" t="s">
        <v>299</v>
      </c>
      <c r="B178" t="s">
        <v>57</v>
      </c>
      <c r="C178" t="s">
        <v>131</v>
      </c>
      <c r="D178" s="1">
        <v>46235</v>
      </c>
      <c r="E178" s="1">
        <v>46345</v>
      </c>
      <c r="F178" s="1">
        <v>46245</v>
      </c>
      <c r="G178" t="s">
        <v>93</v>
      </c>
    </row>
    <row r="179" spans="1:7" x14ac:dyDescent="0.25">
      <c r="A179" t="s">
        <v>300</v>
      </c>
      <c r="B179" t="s">
        <v>67</v>
      </c>
      <c r="C179" t="s">
        <v>137</v>
      </c>
      <c r="D179" s="1">
        <v>46235</v>
      </c>
      <c r="E179" s="1">
        <v>46610</v>
      </c>
      <c r="F179" s="1">
        <v>46245</v>
      </c>
      <c r="G179" t="s">
        <v>93</v>
      </c>
    </row>
    <row r="180" spans="1:7" x14ac:dyDescent="0.25">
      <c r="A180" t="s">
        <v>301</v>
      </c>
      <c r="B180" t="s">
        <v>69</v>
      </c>
      <c r="C180" t="s">
        <v>139</v>
      </c>
      <c r="D180" s="1">
        <v>46235</v>
      </c>
      <c r="E180" s="1">
        <v>46610</v>
      </c>
      <c r="F180" s="1">
        <v>46245</v>
      </c>
      <c r="G180" t="s">
        <v>93</v>
      </c>
    </row>
    <row r="181" spans="1:7" x14ac:dyDescent="0.25">
      <c r="A181" t="s">
        <v>302</v>
      </c>
      <c r="B181" t="s">
        <v>71</v>
      </c>
      <c r="C181" t="s">
        <v>141</v>
      </c>
      <c r="D181" s="1">
        <v>46235</v>
      </c>
      <c r="E181" s="1">
        <v>46610</v>
      </c>
      <c r="F181" s="1">
        <v>46245</v>
      </c>
      <c r="G181" t="s">
        <v>93</v>
      </c>
    </row>
    <row r="182" spans="1:7" x14ac:dyDescent="0.25">
      <c r="A182" t="s">
        <v>303</v>
      </c>
      <c r="B182" t="s">
        <v>73</v>
      </c>
      <c r="C182" t="s">
        <v>143</v>
      </c>
      <c r="D182" s="1">
        <v>46235</v>
      </c>
      <c r="E182" s="1">
        <v>46610</v>
      </c>
      <c r="F182" s="1">
        <v>46245</v>
      </c>
      <c r="G182" t="s">
        <v>93</v>
      </c>
    </row>
    <row r="183" spans="1:7" x14ac:dyDescent="0.25">
      <c r="A183" t="s">
        <v>304</v>
      </c>
      <c r="B183" t="s">
        <v>11</v>
      </c>
      <c r="C183" t="s">
        <v>92</v>
      </c>
      <c r="D183" s="1">
        <v>46242</v>
      </c>
      <c r="E183" s="1">
        <v>46432</v>
      </c>
      <c r="F183" s="1">
        <v>46252</v>
      </c>
      <c r="G183" t="s">
        <v>93</v>
      </c>
    </row>
    <row r="184" spans="1:7" x14ac:dyDescent="0.25">
      <c r="A184" t="s">
        <v>305</v>
      </c>
      <c r="B184" t="s">
        <v>18</v>
      </c>
      <c r="C184" t="s">
        <v>95</v>
      </c>
      <c r="D184" s="1">
        <v>46242</v>
      </c>
      <c r="E184" s="1">
        <v>46322</v>
      </c>
      <c r="F184" s="1">
        <v>46252</v>
      </c>
      <c r="G184" t="s">
        <v>93</v>
      </c>
    </row>
    <row r="185" spans="1:7" x14ac:dyDescent="0.25">
      <c r="A185" t="s">
        <v>306</v>
      </c>
      <c r="B185" t="s">
        <v>20</v>
      </c>
      <c r="C185" t="s">
        <v>97</v>
      </c>
      <c r="D185" s="1">
        <v>46242</v>
      </c>
      <c r="E185" s="1">
        <v>46297</v>
      </c>
      <c r="F185" s="1">
        <v>46252</v>
      </c>
      <c r="G185" t="s">
        <v>93</v>
      </c>
    </row>
    <row r="186" spans="1:7" x14ac:dyDescent="0.25">
      <c r="A186" t="s">
        <v>307</v>
      </c>
      <c r="B186" t="s">
        <v>22</v>
      </c>
      <c r="C186" t="s">
        <v>99</v>
      </c>
      <c r="D186" s="1">
        <v>46242</v>
      </c>
      <c r="E186" s="1">
        <v>46432</v>
      </c>
      <c r="F186" s="1">
        <v>46252</v>
      </c>
      <c r="G186" t="s">
        <v>93</v>
      </c>
    </row>
    <row r="187" spans="1:7" x14ac:dyDescent="0.25">
      <c r="A187" t="s">
        <v>308</v>
      </c>
      <c r="B187" t="s">
        <v>24</v>
      </c>
      <c r="C187" t="s">
        <v>101</v>
      </c>
      <c r="D187" s="1">
        <v>46242</v>
      </c>
      <c r="E187" s="1">
        <v>46352</v>
      </c>
      <c r="F187" s="1">
        <v>46252</v>
      </c>
      <c r="G187" t="s">
        <v>93</v>
      </c>
    </row>
    <row r="188" spans="1:7" x14ac:dyDescent="0.25">
      <c r="A188" t="s">
        <v>309</v>
      </c>
      <c r="B188" t="s">
        <v>26</v>
      </c>
      <c r="C188" t="s">
        <v>103</v>
      </c>
      <c r="D188" s="1">
        <v>46242</v>
      </c>
      <c r="E188" s="1">
        <v>46297</v>
      </c>
      <c r="F188" s="1">
        <v>46252</v>
      </c>
      <c r="G188" t="s">
        <v>93</v>
      </c>
    </row>
    <row r="189" spans="1:7" x14ac:dyDescent="0.25">
      <c r="A189" t="s">
        <v>310</v>
      </c>
      <c r="B189" t="s">
        <v>28</v>
      </c>
      <c r="C189" t="s">
        <v>105</v>
      </c>
      <c r="D189" s="1">
        <v>46242</v>
      </c>
      <c r="E189" s="1">
        <v>46432</v>
      </c>
      <c r="F189" s="1">
        <v>46252</v>
      </c>
      <c r="G189" t="s">
        <v>93</v>
      </c>
    </row>
    <row r="190" spans="1:7" x14ac:dyDescent="0.25">
      <c r="A190" t="s">
        <v>311</v>
      </c>
      <c r="B190" t="s">
        <v>32</v>
      </c>
      <c r="C190" t="s">
        <v>109</v>
      </c>
      <c r="D190" s="1">
        <v>46242</v>
      </c>
      <c r="E190" s="1">
        <v>46322</v>
      </c>
      <c r="F190" s="1">
        <v>46252</v>
      </c>
      <c r="G190" t="s">
        <v>93</v>
      </c>
    </row>
    <row r="191" spans="1:7" x14ac:dyDescent="0.25">
      <c r="A191" t="s">
        <v>312</v>
      </c>
      <c r="B191" t="s">
        <v>45</v>
      </c>
      <c r="C191" t="s">
        <v>119</v>
      </c>
      <c r="D191" s="1">
        <v>46242</v>
      </c>
      <c r="E191" s="1">
        <v>46352</v>
      </c>
      <c r="F191" s="1">
        <v>46252</v>
      </c>
      <c r="G191" t="s">
        <v>93</v>
      </c>
    </row>
    <row r="192" spans="1:7" x14ac:dyDescent="0.25">
      <c r="A192" t="s">
        <v>313</v>
      </c>
      <c r="B192" t="s">
        <v>65</v>
      </c>
      <c r="C192" t="s">
        <v>135</v>
      </c>
      <c r="D192" s="1">
        <v>46242</v>
      </c>
      <c r="E192" s="1">
        <v>46617</v>
      </c>
      <c r="F192" s="1">
        <v>46252</v>
      </c>
      <c r="G192" t="s">
        <v>93</v>
      </c>
    </row>
    <row r="193" spans="1:7" x14ac:dyDescent="0.25">
      <c r="A193" t="s">
        <v>314</v>
      </c>
      <c r="B193" t="s">
        <v>75</v>
      </c>
      <c r="C193" t="s">
        <v>145</v>
      </c>
      <c r="D193" s="1">
        <v>46242</v>
      </c>
      <c r="E193" s="1">
        <v>46617</v>
      </c>
      <c r="F193" s="1">
        <v>46252</v>
      </c>
      <c r="G193" t="s">
        <v>93</v>
      </c>
    </row>
    <row r="194" spans="1:7" x14ac:dyDescent="0.25">
      <c r="A194" t="s">
        <v>315</v>
      </c>
      <c r="B194" t="s">
        <v>77</v>
      </c>
      <c r="C194" t="s">
        <v>147</v>
      </c>
      <c r="D194" s="1">
        <v>46242</v>
      </c>
      <c r="E194" s="1">
        <v>46617</v>
      </c>
      <c r="F194" s="1">
        <v>46252</v>
      </c>
      <c r="G194" t="s">
        <v>93</v>
      </c>
    </row>
    <row r="195" spans="1:7" x14ac:dyDescent="0.25">
      <c r="A195" t="s">
        <v>316</v>
      </c>
      <c r="B195" t="s">
        <v>11</v>
      </c>
      <c r="C195" t="s">
        <v>92</v>
      </c>
      <c r="D195" s="1">
        <v>46249</v>
      </c>
      <c r="E195" s="1">
        <v>46439</v>
      </c>
      <c r="F195" s="1">
        <v>46259</v>
      </c>
      <c r="G195" t="s">
        <v>93</v>
      </c>
    </row>
    <row r="196" spans="1:7" x14ac:dyDescent="0.25">
      <c r="A196" t="s">
        <v>317</v>
      </c>
      <c r="B196" t="s">
        <v>20</v>
      </c>
      <c r="C196" t="s">
        <v>97</v>
      </c>
      <c r="D196" s="1">
        <v>46249</v>
      </c>
      <c r="E196" s="1">
        <v>46439</v>
      </c>
      <c r="F196" s="1">
        <v>46259</v>
      </c>
      <c r="G196" t="s">
        <v>93</v>
      </c>
    </row>
    <row r="197" spans="1:7" x14ac:dyDescent="0.25">
      <c r="A197" t="s">
        <v>318</v>
      </c>
      <c r="B197" t="s">
        <v>22</v>
      </c>
      <c r="C197" t="s">
        <v>99</v>
      </c>
      <c r="D197" s="1">
        <v>46249</v>
      </c>
      <c r="E197" s="1">
        <v>46439</v>
      </c>
      <c r="F197" s="1">
        <v>46259</v>
      </c>
      <c r="G197" t="s">
        <v>93</v>
      </c>
    </row>
    <row r="198" spans="1:7" x14ac:dyDescent="0.25">
      <c r="A198" t="s">
        <v>319</v>
      </c>
      <c r="B198" t="s">
        <v>24</v>
      </c>
      <c r="C198" t="s">
        <v>101</v>
      </c>
      <c r="D198" s="1">
        <v>46249</v>
      </c>
      <c r="E198" s="1">
        <v>46359</v>
      </c>
      <c r="F198" s="1">
        <v>46259</v>
      </c>
      <c r="G198" t="s">
        <v>93</v>
      </c>
    </row>
    <row r="199" spans="1:7" x14ac:dyDescent="0.25">
      <c r="A199" t="s">
        <v>320</v>
      </c>
      <c r="B199" t="s">
        <v>26</v>
      </c>
      <c r="C199" t="s">
        <v>103</v>
      </c>
      <c r="D199" s="1">
        <v>46249</v>
      </c>
      <c r="E199" s="1">
        <v>46304</v>
      </c>
      <c r="F199" s="1">
        <v>46259</v>
      </c>
      <c r="G199" t="s">
        <v>93</v>
      </c>
    </row>
    <row r="200" spans="1:7" x14ac:dyDescent="0.25">
      <c r="A200" t="s">
        <v>321</v>
      </c>
      <c r="B200" t="s">
        <v>36</v>
      </c>
      <c r="C200" t="s">
        <v>113</v>
      </c>
      <c r="D200" s="1">
        <v>46249</v>
      </c>
      <c r="E200" s="1">
        <v>46439</v>
      </c>
      <c r="F200" s="1">
        <v>46259</v>
      </c>
      <c r="G200" t="s">
        <v>93</v>
      </c>
    </row>
    <row r="201" spans="1:7" x14ac:dyDescent="0.25">
      <c r="A201" t="s">
        <v>322</v>
      </c>
      <c r="B201" t="s">
        <v>47</v>
      </c>
      <c r="C201" t="s">
        <v>121</v>
      </c>
      <c r="D201" s="1">
        <v>46249</v>
      </c>
      <c r="E201" s="1">
        <v>46304</v>
      </c>
      <c r="F201" s="1">
        <v>46259</v>
      </c>
      <c r="G201" t="s">
        <v>93</v>
      </c>
    </row>
    <row r="202" spans="1:7" x14ac:dyDescent="0.25">
      <c r="A202" t="s">
        <v>323</v>
      </c>
      <c r="B202" t="s">
        <v>51</v>
      </c>
      <c r="C202" t="s">
        <v>125</v>
      </c>
      <c r="D202" s="1">
        <v>46249</v>
      </c>
      <c r="E202" s="1">
        <v>46329</v>
      </c>
      <c r="F202" s="1">
        <v>46259</v>
      </c>
      <c r="G202" t="s">
        <v>93</v>
      </c>
    </row>
    <row r="203" spans="1:7" x14ac:dyDescent="0.25">
      <c r="A203" t="s">
        <v>324</v>
      </c>
      <c r="B203" t="s">
        <v>53</v>
      </c>
      <c r="C203" t="s">
        <v>127</v>
      </c>
      <c r="D203" s="1">
        <v>46249</v>
      </c>
      <c r="E203" s="1">
        <v>46359</v>
      </c>
      <c r="F203" s="1">
        <v>46259</v>
      </c>
      <c r="G203" t="s">
        <v>93</v>
      </c>
    </row>
    <row r="204" spans="1:7" x14ac:dyDescent="0.25">
      <c r="A204" t="s">
        <v>325</v>
      </c>
      <c r="B204" t="s">
        <v>55</v>
      </c>
      <c r="C204" t="s">
        <v>129</v>
      </c>
      <c r="D204" s="1">
        <v>46249</v>
      </c>
      <c r="E204" s="1">
        <v>46439</v>
      </c>
      <c r="F204" s="1">
        <v>46259</v>
      </c>
      <c r="G204" t="s">
        <v>93</v>
      </c>
    </row>
    <row r="205" spans="1:7" x14ac:dyDescent="0.25">
      <c r="A205" t="s">
        <v>326</v>
      </c>
      <c r="B205" t="s">
        <v>59</v>
      </c>
      <c r="C205" t="s">
        <v>133</v>
      </c>
      <c r="D205" s="1">
        <v>46249</v>
      </c>
      <c r="E205" s="1">
        <v>46624</v>
      </c>
      <c r="F205" s="1">
        <v>46259</v>
      </c>
      <c r="G205" t="s">
        <v>93</v>
      </c>
    </row>
    <row r="206" spans="1:7" x14ac:dyDescent="0.25">
      <c r="A206" t="s">
        <v>327</v>
      </c>
      <c r="B206" t="s">
        <v>65</v>
      </c>
      <c r="C206" t="s">
        <v>135</v>
      </c>
      <c r="D206" s="1">
        <v>46249</v>
      </c>
      <c r="E206" s="1">
        <v>46624</v>
      </c>
      <c r="F206" s="1">
        <v>46259</v>
      </c>
      <c r="G206" t="s">
        <v>93</v>
      </c>
    </row>
    <row r="207" spans="1:7" x14ac:dyDescent="0.25">
      <c r="A207" t="s">
        <v>328</v>
      </c>
      <c r="B207" t="s">
        <v>67</v>
      </c>
      <c r="C207" t="s">
        <v>137</v>
      </c>
      <c r="D207" s="1">
        <v>46249</v>
      </c>
      <c r="E207" s="1">
        <v>46624</v>
      </c>
      <c r="F207" s="1">
        <v>46259</v>
      </c>
      <c r="G207" t="s">
        <v>93</v>
      </c>
    </row>
    <row r="208" spans="1:7" x14ac:dyDescent="0.25">
      <c r="A208" t="s">
        <v>329</v>
      </c>
      <c r="B208" t="s">
        <v>71</v>
      </c>
      <c r="C208" t="s">
        <v>141</v>
      </c>
      <c r="D208" s="1">
        <v>46249</v>
      </c>
      <c r="E208" s="1">
        <v>46624</v>
      </c>
      <c r="F208" s="1">
        <v>46259</v>
      </c>
      <c r="G208" t="s">
        <v>93</v>
      </c>
    </row>
    <row r="209" spans="1:7" x14ac:dyDescent="0.25">
      <c r="A209" t="s">
        <v>330</v>
      </c>
      <c r="B209" t="s">
        <v>11</v>
      </c>
      <c r="C209" t="s">
        <v>92</v>
      </c>
      <c r="D209" s="1">
        <v>46256</v>
      </c>
      <c r="E209" s="1">
        <v>46311</v>
      </c>
      <c r="F209" s="1">
        <v>46266</v>
      </c>
      <c r="G209" t="s">
        <v>93</v>
      </c>
    </row>
    <row r="210" spans="1:7" x14ac:dyDescent="0.25">
      <c r="A210" t="s">
        <v>331</v>
      </c>
      <c r="B210" t="s">
        <v>18</v>
      </c>
      <c r="C210" t="s">
        <v>95</v>
      </c>
      <c r="D210" s="1">
        <v>46256</v>
      </c>
      <c r="E210" s="1">
        <v>46336</v>
      </c>
      <c r="F210" s="1">
        <v>46266</v>
      </c>
      <c r="G210" t="s">
        <v>93</v>
      </c>
    </row>
    <row r="211" spans="1:7" x14ac:dyDescent="0.25">
      <c r="A211" t="s">
        <v>332</v>
      </c>
      <c r="B211" t="s">
        <v>20</v>
      </c>
      <c r="C211" t="s">
        <v>97</v>
      </c>
      <c r="D211" s="1">
        <v>46256</v>
      </c>
      <c r="E211" s="1">
        <v>46336</v>
      </c>
      <c r="F211" s="1">
        <v>46266</v>
      </c>
      <c r="G211" t="s">
        <v>93</v>
      </c>
    </row>
    <row r="212" spans="1:7" x14ac:dyDescent="0.25">
      <c r="A212" t="s">
        <v>333</v>
      </c>
      <c r="B212" t="s">
        <v>22</v>
      </c>
      <c r="C212" t="s">
        <v>99</v>
      </c>
      <c r="D212" s="1">
        <v>46256</v>
      </c>
      <c r="E212" s="1">
        <v>46336</v>
      </c>
      <c r="F212" s="1">
        <v>46266</v>
      </c>
      <c r="G212" t="s">
        <v>93</v>
      </c>
    </row>
    <row r="213" spans="1:7" x14ac:dyDescent="0.25">
      <c r="A213" t="s">
        <v>334</v>
      </c>
      <c r="B213" t="s">
        <v>24</v>
      </c>
      <c r="C213" t="s">
        <v>101</v>
      </c>
      <c r="D213" s="1">
        <v>46256</v>
      </c>
      <c r="E213" s="1">
        <v>46311</v>
      </c>
      <c r="F213" s="1">
        <v>46266</v>
      </c>
      <c r="G213" t="s">
        <v>93</v>
      </c>
    </row>
    <row r="214" spans="1:7" x14ac:dyDescent="0.25">
      <c r="A214" t="s">
        <v>335</v>
      </c>
      <c r="B214" t="s">
        <v>26</v>
      </c>
      <c r="C214" t="s">
        <v>103</v>
      </c>
      <c r="D214" s="1">
        <v>46256</v>
      </c>
      <c r="E214" s="1">
        <v>46311</v>
      </c>
      <c r="F214" s="1">
        <v>46266</v>
      </c>
      <c r="G214" t="s">
        <v>93</v>
      </c>
    </row>
    <row r="215" spans="1:7" x14ac:dyDescent="0.25">
      <c r="A215" t="s">
        <v>336</v>
      </c>
      <c r="B215" t="s">
        <v>28</v>
      </c>
      <c r="C215" t="s">
        <v>105</v>
      </c>
      <c r="D215" s="1">
        <v>46256</v>
      </c>
      <c r="E215" s="1">
        <v>46311</v>
      </c>
      <c r="F215" s="1">
        <v>46266</v>
      </c>
      <c r="G215" t="s">
        <v>93</v>
      </c>
    </row>
    <row r="216" spans="1:7" x14ac:dyDescent="0.25">
      <c r="A216" t="s">
        <v>337</v>
      </c>
      <c r="B216" t="s">
        <v>30</v>
      </c>
      <c r="C216" t="s">
        <v>107</v>
      </c>
      <c r="D216" s="1">
        <v>46256</v>
      </c>
      <c r="E216" s="1">
        <v>46311</v>
      </c>
      <c r="F216" s="1">
        <v>46266</v>
      </c>
      <c r="G216" t="s">
        <v>93</v>
      </c>
    </row>
    <row r="217" spans="1:7" x14ac:dyDescent="0.25">
      <c r="A217" t="s">
        <v>338</v>
      </c>
      <c r="B217" t="s">
        <v>32</v>
      </c>
      <c r="C217" t="s">
        <v>109</v>
      </c>
      <c r="D217" s="1">
        <v>46256</v>
      </c>
      <c r="E217" s="1">
        <v>46446</v>
      </c>
      <c r="F217" s="1">
        <v>46266</v>
      </c>
      <c r="G217" t="s">
        <v>93</v>
      </c>
    </row>
    <row r="218" spans="1:7" x14ac:dyDescent="0.25">
      <c r="A218" t="s">
        <v>339</v>
      </c>
      <c r="B218" t="s">
        <v>41</v>
      </c>
      <c r="C218" t="s">
        <v>115</v>
      </c>
      <c r="D218" s="1">
        <v>46256</v>
      </c>
      <c r="E218" s="1">
        <v>46446</v>
      </c>
      <c r="F218" s="1">
        <v>46266</v>
      </c>
      <c r="G218" t="s">
        <v>93</v>
      </c>
    </row>
    <row r="219" spans="1:7" x14ac:dyDescent="0.25">
      <c r="A219" t="s">
        <v>340</v>
      </c>
      <c r="B219" t="s">
        <v>43</v>
      </c>
      <c r="C219" t="s">
        <v>117</v>
      </c>
      <c r="D219" s="1">
        <v>46256</v>
      </c>
      <c r="E219" s="1">
        <v>46336</v>
      </c>
      <c r="F219" s="1">
        <v>46266</v>
      </c>
      <c r="G219" t="s">
        <v>93</v>
      </c>
    </row>
    <row r="220" spans="1:7" x14ac:dyDescent="0.25">
      <c r="A220" t="s">
        <v>341</v>
      </c>
      <c r="B220" t="s">
        <v>45</v>
      </c>
      <c r="C220" t="s">
        <v>119</v>
      </c>
      <c r="D220" s="1">
        <v>46256</v>
      </c>
      <c r="E220" s="1">
        <v>46366</v>
      </c>
      <c r="F220" s="1">
        <v>46266</v>
      </c>
      <c r="G220" t="s">
        <v>93</v>
      </c>
    </row>
    <row r="221" spans="1:7" x14ac:dyDescent="0.25">
      <c r="A221" t="s">
        <v>342</v>
      </c>
      <c r="B221" t="s">
        <v>49</v>
      </c>
      <c r="C221" t="s">
        <v>123</v>
      </c>
      <c r="D221" s="1">
        <v>46256</v>
      </c>
      <c r="E221" s="1">
        <v>46311</v>
      </c>
      <c r="F221" s="1">
        <v>46266</v>
      </c>
      <c r="G221" t="s">
        <v>93</v>
      </c>
    </row>
    <row r="222" spans="1:7" x14ac:dyDescent="0.25">
      <c r="A222" t="s">
        <v>343</v>
      </c>
      <c r="B222" t="s">
        <v>71</v>
      </c>
      <c r="C222" t="s">
        <v>141</v>
      </c>
      <c r="D222" s="1">
        <v>46256</v>
      </c>
      <c r="E222" s="1">
        <v>46631</v>
      </c>
      <c r="F222" s="1">
        <v>46266</v>
      </c>
      <c r="G222" t="s">
        <v>93</v>
      </c>
    </row>
    <row r="223" spans="1:7" x14ac:dyDescent="0.25">
      <c r="A223" t="s">
        <v>344</v>
      </c>
      <c r="B223" t="s">
        <v>73</v>
      </c>
      <c r="C223" t="s">
        <v>143</v>
      </c>
      <c r="D223" s="1">
        <v>46256</v>
      </c>
      <c r="E223" s="1">
        <v>46631</v>
      </c>
      <c r="F223" s="1">
        <v>46266</v>
      </c>
      <c r="G223" t="s">
        <v>93</v>
      </c>
    </row>
    <row r="224" spans="1:7" x14ac:dyDescent="0.25">
      <c r="A224" t="s">
        <v>345</v>
      </c>
      <c r="B224" t="s">
        <v>75</v>
      </c>
      <c r="C224" t="s">
        <v>145</v>
      </c>
      <c r="D224" s="1">
        <v>46256</v>
      </c>
      <c r="E224" s="1">
        <v>46631</v>
      </c>
      <c r="F224" s="1">
        <v>46266</v>
      </c>
      <c r="G224" t="s">
        <v>93</v>
      </c>
    </row>
    <row r="225" spans="1:7" x14ac:dyDescent="0.25">
      <c r="A225" t="s">
        <v>346</v>
      </c>
      <c r="B225" t="s">
        <v>77</v>
      </c>
      <c r="C225" t="s">
        <v>147</v>
      </c>
      <c r="D225" s="1">
        <v>46256</v>
      </c>
      <c r="E225" s="1">
        <v>46631</v>
      </c>
      <c r="F225" s="1">
        <v>46266</v>
      </c>
      <c r="G225" t="s">
        <v>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0FA6-8B76-45E6-ABC9-53D4B04195FF}">
  <dimension ref="A1:J4490"/>
  <sheetViews>
    <sheetView topLeftCell="A22" workbookViewId="0">
      <selection activeCell="D33" sqref="D33"/>
    </sheetView>
  </sheetViews>
  <sheetFormatPr defaultRowHeight="13.8" x14ac:dyDescent="0.25"/>
  <cols>
    <col min="1" max="1" width="16.6640625" bestFit="1" customWidth="1"/>
    <col min="2" max="2" width="16.109375" bestFit="1" customWidth="1"/>
    <col min="3" max="3" width="15.5546875" bestFit="1" customWidth="1"/>
    <col min="4" max="4" width="19.33203125" bestFit="1" customWidth="1"/>
    <col min="5" max="5" width="8" bestFit="1" customWidth="1"/>
    <col min="6" max="6" width="11.33203125" bestFit="1" customWidth="1"/>
    <col min="7" max="7" width="13.88671875" bestFit="1" customWidth="1"/>
    <col min="8" max="8" width="11.5546875" bestFit="1" customWidth="1"/>
    <col min="9" max="9" width="16" bestFit="1" customWidth="1"/>
    <col min="10" max="10" width="12.77734375" bestFit="1" customWidth="1"/>
  </cols>
  <sheetData>
    <row r="1" spans="1:10" x14ac:dyDescent="0.25">
      <c r="A1" t="s">
        <v>347</v>
      </c>
      <c r="B1" t="s">
        <v>348</v>
      </c>
      <c r="C1" t="s">
        <v>349</v>
      </c>
      <c r="D1" t="s">
        <v>350</v>
      </c>
      <c r="E1" t="s">
        <v>0</v>
      </c>
      <c r="F1" t="s">
        <v>85</v>
      </c>
      <c r="G1" t="s">
        <v>86</v>
      </c>
      <c r="H1" t="s">
        <v>351</v>
      </c>
      <c r="I1" t="s">
        <v>352</v>
      </c>
      <c r="J1" t="s">
        <v>353</v>
      </c>
    </row>
    <row r="2" spans="1:10" x14ac:dyDescent="0.25">
      <c r="A2" t="s">
        <v>354</v>
      </c>
      <c r="B2" t="s">
        <v>355</v>
      </c>
      <c r="C2" s="2">
        <v>46182</v>
      </c>
      <c r="D2" t="s">
        <v>356</v>
      </c>
      <c r="E2" t="s">
        <v>11</v>
      </c>
      <c r="F2" t="s">
        <v>91</v>
      </c>
      <c r="G2" t="s">
        <v>92</v>
      </c>
      <c r="H2">
        <v>80</v>
      </c>
      <c r="I2" t="s">
        <v>357</v>
      </c>
      <c r="J2" t="s">
        <v>357</v>
      </c>
    </row>
    <row r="3" spans="1:10" x14ac:dyDescent="0.25">
      <c r="A3" t="s">
        <v>358</v>
      </c>
      <c r="B3" t="s">
        <v>359</v>
      </c>
      <c r="C3" s="2">
        <v>46182</v>
      </c>
      <c r="D3" t="s">
        <v>356</v>
      </c>
      <c r="E3" t="s">
        <v>18</v>
      </c>
      <c r="F3" t="s">
        <v>94</v>
      </c>
      <c r="G3" t="s">
        <v>95</v>
      </c>
      <c r="H3">
        <v>80</v>
      </c>
      <c r="I3" t="s">
        <v>357</v>
      </c>
      <c r="J3" t="s">
        <v>357</v>
      </c>
    </row>
    <row r="4" spans="1:10" x14ac:dyDescent="0.25">
      <c r="A4" t="s">
        <v>360</v>
      </c>
      <c r="B4" t="s">
        <v>361</v>
      </c>
      <c r="C4" s="2">
        <v>46182</v>
      </c>
      <c r="D4" t="s">
        <v>356</v>
      </c>
      <c r="E4" t="s">
        <v>20</v>
      </c>
      <c r="F4" t="s">
        <v>96</v>
      </c>
      <c r="G4" t="s">
        <v>97</v>
      </c>
      <c r="H4">
        <v>80</v>
      </c>
      <c r="I4" t="s">
        <v>357</v>
      </c>
      <c r="J4" t="s">
        <v>357</v>
      </c>
    </row>
    <row r="5" spans="1:10" x14ac:dyDescent="0.25">
      <c r="A5" t="s">
        <v>362</v>
      </c>
      <c r="B5" t="s">
        <v>363</v>
      </c>
      <c r="C5" s="2">
        <v>46182</v>
      </c>
      <c r="D5" t="s">
        <v>356</v>
      </c>
      <c r="E5" t="s">
        <v>22</v>
      </c>
      <c r="F5" t="s">
        <v>98</v>
      </c>
      <c r="G5" t="s">
        <v>99</v>
      </c>
      <c r="H5">
        <v>80</v>
      </c>
      <c r="I5" t="s">
        <v>357</v>
      </c>
      <c r="J5" t="s">
        <v>357</v>
      </c>
    </row>
    <row r="6" spans="1:10" x14ac:dyDescent="0.25">
      <c r="A6" t="s">
        <v>364</v>
      </c>
      <c r="B6" t="s">
        <v>365</v>
      </c>
      <c r="C6" s="2">
        <v>46182</v>
      </c>
      <c r="D6" t="s">
        <v>356</v>
      </c>
      <c r="E6" t="s">
        <v>24</v>
      </c>
      <c r="F6" t="s">
        <v>100</v>
      </c>
      <c r="G6" t="s">
        <v>101</v>
      </c>
      <c r="H6">
        <v>80</v>
      </c>
      <c r="I6" t="s">
        <v>357</v>
      </c>
      <c r="J6" t="s">
        <v>357</v>
      </c>
    </row>
    <row r="7" spans="1:10" x14ac:dyDescent="0.25">
      <c r="A7" t="s">
        <v>366</v>
      </c>
      <c r="B7" t="s">
        <v>367</v>
      </c>
      <c r="C7" s="2">
        <v>46182</v>
      </c>
      <c r="D7" t="s">
        <v>356</v>
      </c>
      <c r="E7" t="s">
        <v>26</v>
      </c>
      <c r="F7" t="s">
        <v>102</v>
      </c>
      <c r="G7" t="s">
        <v>103</v>
      </c>
      <c r="H7">
        <v>80</v>
      </c>
      <c r="I7" t="s">
        <v>357</v>
      </c>
      <c r="J7" t="s">
        <v>357</v>
      </c>
    </row>
    <row r="8" spans="1:10" x14ac:dyDescent="0.25">
      <c r="A8" t="s">
        <v>368</v>
      </c>
      <c r="B8" t="s">
        <v>369</v>
      </c>
      <c r="C8" s="2">
        <v>46182</v>
      </c>
      <c r="D8" t="s">
        <v>356</v>
      </c>
      <c r="E8" t="s">
        <v>28</v>
      </c>
      <c r="F8" t="s">
        <v>104</v>
      </c>
      <c r="G8" t="s">
        <v>105</v>
      </c>
      <c r="H8">
        <v>80</v>
      </c>
      <c r="I8" t="s">
        <v>357</v>
      </c>
      <c r="J8" t="s">
        <v>357</v>
      </c>
    </row>
    <row r="9" spans="1:10" x14ac:dyDescent="0.25">
      <c r="A9" t="s">
        <v>370</v>
      </c>
      <c r="B9" t="s">
        <v>371</v>
      </c>
      <c r="C9" s="2">
        <v>46182</v>
      </c>
      <c r="D9" t="s">
        <v>356</v>
      </c>
      <c r="E9" t="s">
        <v>30</v>
      </c>
      <c r="F9" t="s">
        <v>106</v>
      </c>
      <c r="G9" t="s">
        <v>107</v>
      </c>
      <c r="H9">
        <v>80</v>
      </c>
      <c r="I9" t="s">
        <v>357</v>
      </c>
      <c r="J9" t="s">
        <v>357</v>
      </c>
    </row>
    <row r="10" spans="1:10" x14ac:dyDescent="0.25">
      <c r="A10" t="s">
        <v>372</v>
      </c>
      <c r="B10" t="s">
        <v>373</v>
      </c>
      <c r="C10" s="2">
        <v>46182</v>
      </c>
      <c r="D10" t="s">
        <v>356</v>
      </c>
      <c r="E10" t="s">
        <v>32</v>
      </c>
      <c r="F10" t="s">
        <v>108</v>
      </c>
      <c r="G10" t="s">
        <v>109</v>
      </c>
      <c r="H10">
        <v>80</v>
      </c>
      <c r="I10" t="s">
        <v>357</v>
      </c>
      <c r="J10" t="s">
        <v>357</v>
      </c>
    </row>
    <row r="11" spans="1:10" x14ac:dyDescent="0.25">
      <c r="A11" t="s">
        <v>374</v>
      </c>
      <c r="B11" t="s">
        <v>375</v>
      </c>
      <c r="C11" s="2">
        <v>46182</v>
      </c>
      <c r="D11" t="s">
        <v>356</v>
      </c>
      <c r="E11" t="s">
        <v>34</v>
      </c>
      <c r="F11" t="s">
        <v>110</v>
      </c>
      <c r="G11" t="s">
        <v>111</v>
      </c>
      <c r="H11">
        <v>80</v>
      </c>
      <c r="I11" t="s">
        <v>357</v>
      </c>
      <c r="J11" t="s">
        <v>357</v>
      </c>
    </row>
    <row r="12" spans="1:10" x14ac:dyDescent="0.25">
      <c r="A12" t="s">
        <v>376</v>
      </c>
      <c r="B12" t="s">
        <v>377</v>
      </c>
      <c r="C12" s="2">
        <v>46182</v>
      </c>
      <c r="D12" t="s">
        <v>356</v>
      </c>
      <c r="E12" t="s">
        <v>36</v>
      </c>
      <c r="F12" t="s">
        <v>112</v>
      </c>
      <c r="G12" t="s">
        <v>113</v>
      </c>
      <c r="H12">
        <v>80</v>
      </c>
      <c r="I12" t="s">
        <v>357</v>
      </c>
      <c r="J12" t="s">
        <v>357</v>
      </c>
    </row>
    <row r="13" spans="1:10" x14ac:dyDescent="0.25">
      <c r="A13" t="s">
        <v>378</v>
      </c>
      <c r="B13" t="s">
        <v>379</v>
      </c>
      <c r="C13" s="2">
        <v>46182</v>
      </c>
      <c r="D13" t="s">
        <v>356</v>
      </c>
      <c r="E13" t="s">
        <v>41</v>
      </c>
      <c r="F13" t="s">
        <v>114</v>
      </c>
      <c r="G13" t="s">
        <v>115</v>
      </c>
      <c r="H13">
        <v>80</v>
      </c>
      <c r="I13" t="s">
        <v>357</v>
      </c>
      <c r="J13" t="s">
        <v>357</v>
      </c>
    </row>
    <row r="14" spans="1:10" x14ac:dyDescent="0.25">
      <c r="A14" t="s">
        <v>380</v>
      </c>
      <c r="B14" t="s">
        <v>381</v>
      </c>
      <c r="C14" s="2">
        <v>46182</v>
      </c>
      <c r="D14" t="s">
        <v>356</v>
      </c>
      <c r="E14" t="s">
        <v>43</v>
      </c>
      <c r="F14" t="s">
        <v>116</v>
      </c>
      <c r="G14" t="s">
        <v>117</v>
      </c>
      <c r="H14">
        <v>80</v>
      </c>
      <c r="I14" t="s">
        <v>357</v>
      </c>
      <c r="J14" t="s">
        <v>357</v>
      </c>
    </row>
    <row r="15" spans="1:10" x14ac:dyDescent="0.25">
      <c r="A15" t="s">
        <v>382</v>
      </c>
      <c r="B15" t="s">
        <v>383</v>
      </c>
      <c r="C15" s="2">
        <v>46182</v>
      </c>
      <c r="D15" t="s">
        <v>356</v>
      </c>
      <c r="E15" t="s">
        <v>45</v>
      </c>
      <c r="F15" t="s">
        <v>118</v>
      </c>
      <c r="G15" t="s">
        <v>119</v>
      </c>
      <c r="H15">
        <v>80</v>
      </c>
      <c r="I15" t="s">
        <v>357</v>
      </c>
      <c r="J15" t="s">
        <v>357</v>
      </c>
    </row>
    <row r="16" spans="1:10" x14ac:dyDescent="0.25">
      <c r="A16" t="s">
        <v>384</v>
      </c>
      <c r="B16" t="s">
        <v>385</v>
      </c>
      <c r="C16" s="2">
        <v>46182</v>
      </c>
      <c r="D16" t="s">
        <v>356</v>
      </c>
      <c r="E16" t="s">
        <v>47</v>
      </c>
      <c r="F16" t="s">
        <v>120</v>
      </c>
      <c r="G16" t="s">
        <v>121</v>
      </c>
      <c r="H16">
        <v>80</v>
      </c>
      <c r="I16" t="s">
        <v>357</v>
      </c>
      <c r="J16" t="s">
        <v>357</v>
      </c>
    </row>
    <row r="17" spans="1:10" x14ac:dyDescent="0.25">
      <c r="A17" t="s">
        <v>386</v>
      </c>
      <c r="B17" t="s">
        <v>387</v>
      </c>
      <c r="C17" s="2">
        <v>46182</v>
      </c>
      <c r="D17" t="s">
        <v>356</v>
      </c>
      <c r="E17" t="s">
        <v>49</v>
      </c>
      <c r="F17" t="s">
        <v>122</v>
      </c>
      <c r="G17" t="s">
        <v>123</v>
      </c>
      <c r="H17">
        <v>80</v>
      </c>
      <c r="I17" t="s">
        <v>357</v>
      </c>
      <c r="J17" t="s">
        <v>357</v>
      </c>
    </row>
    <row r="18" spans="1:10" x14ac:dyDescent="0.25">
      <c r="A18" t="s">
        <v>388</v>
      </c>
      <c r="B18" t="s">
        <v>389</v>
      </c>
      <c r="C18" s="2">
        <v>46182</v>
      </c>
      <c r="D18" t="s">
        <v>356</v>
      </c>
      <c r="E18" t="s">
        <v>51</v>
      </c>
      <c r="F18" t="s">
        <v>124</v>
      </c>
      <c r="G18" t="s">
        <v>125</v>
      </c>
      <c r="H18">
        <v>80</v>
      </c>
      <c r="I18" t="s">
        <v>357</v>
      </c>
      <c r="J18" t="s">
        <v>357</v>
      </c>
    </row>
    <row r="19" spans="1:10" x14ac:dyDescent="0.25">
      <c r="A19" t="s">
        <v>390</v>
      </c>
      <c r="B19" t="s">
        <v>391</v>
      </c>
      <c r="C19" s="2">
        <v>46182</v>
      </c>
      <c r="D19" t="s">
        <v>356</v>
      </c>
      <c r="E19" t="s">
        <v>53</v>
      </c>
      <c r="F19" t="s">
        <v>126</v>
      </c>
      <c r="G19" t="s">
        <v>127</v>
      </c>
      <c r="H19">
        <v>80</v>
      </c>
      <c r="I19" t="s">
        <v>357</v>
      </c>
      <c r="J19" t="s">
        <v>357</v>
      </c>
    </row>
    <row r="20" spans="1:10" x14ac:dyDescent="0.25">
      <c r="A20" t="s">
        <v>392</v>
      </c>
      <c r="B20" t="s">
        <v>393</v>
      </c>
      <c r="C20" s="2">
        <v>46182</v>
      </c>
      <c r="D20" t="s">
        <v>356</v>
      </c>
      <c r="E20" t="s">
        <v>55</v>
      </c>
      <c r="F20" t="s">
        <v>128</v>
      </c>
      <c r="G20" t="s">
        <v>129</v>
      </c>
      <c r="H20">
        <v>80</v>
      </c>
      <c r="I20" t="s">
        <v>357</v>
      </c>
      <c r="J20" t="s">
        <v>357</v>
      </c>
    </row>
    <row r="21" spans="1:10" x14ac:dyDescent="0.25">
      <c r="A21" t="s">
        <v>394</v>
      </c>
      <c r="B21" t="s">
        <v>395</v>
      </c>
      <c r="C21" s="2">
        <v>46182</v>
      </c>
      <c r="D21" t="s">
        <v>356</v>
      </c>
      <c r="E21" t="s">
        <v>57</v>
      </c>
      <c r="F21" t="s">
        <v>130</v>
      </c>
      <c r="G21" t="s">
        <v>131</v>
      </c>
      <c r="H21">
        <v>80</v>
      </c>
      <c r="I21" t="s">
        <v>357</v>
      </c>
      <c r="J21" t="s">
        <v>357</v>
      </c>
    </row>
    <row r="22" spans="1:10" x14ac:dyDescent="0.25">
      <c r="A22" t="s">
        <v>396</v>
      </c>
      <c r="B22" t="s">
        <v>397</v>
      </c>
      <c r="C22" s="2">
        <v>46182</v>
      </c>
      <c r="D22" t="s">
        <v>356</v>
      </c>
      <c r="E22" t="s">
        <v>59</v>
      </c>
      <c r="F22" t="s">
        <v>132</v>
      </c>
      <c r="G22" t="s">
        <v>133</v>
      </c>
      <c r="H22">
        <v>80</v>
      </c>
      <c r="I22" t="s">
        <v>357</v>
      </c>
      <c r="J22" t="s">
        <v>357</v>
      </c>
    </row>
    <row r="23" spans="1:10" x14ac:dyDescent="0.25">
      <c r="A23" t="s">
        <v>398</v>
      </c>
      <c r="B23" t="s">
        <v>399</v>
      </c>
      <c r="C23" s="2">
        <v>46182</v>
      </c>
      <c r="D23" t="s">
        <v>356</v>
      </c>
      <c r="E23" t="s">
        <v>65</v>
      </c>
      <c r="F23" t="s">
        <v>134</v>
      </c>
      <c r="G23" t="s">
        <v>135</v>
      </c>
      <c r="H23">
        <v>80</v>
      </c>
      <c r="I23" t="s">
        <v>357</v>
      </c>
      <c r="J23" t="s">
        <v>357</v>
      </c>
    </row>
    <row r="24" spans="1:10" x14ac:dyDescent="0.25">
      <c r="A24" t="s">
        <v>400</v>
      </c>
      <c r="B24" t="s">
        <v>401</v>
      </c>
      <c r="C24" s="2">
        <v>46182</v>
      </c>
      <c r="D24" t="s">
        <v>356</v>
      </c>
      <c r="E24" t="s">
        <v>67</v>
      </c>
      <c r="F24" t="s">
        <v>136</v>
      </c>
      <c r="G24" t="s">
        <v>137</v>
      </c>
      <c r="H24">
        <v>80</v>
      </c>
      <c r="I24" t="s">
        <v>357</v>
      </c>
      <c r="J24" t="s">
        <v>357</v>
      </c>
    </row>
    <row r="25" spans="1:10" x14ac:dyDescent="0.25">
      <c r="A25" t="s">
        <v>402</v>
      </c>
      <c r="B25" t="s">
        <v>403</v>
      </c>
      <c r="C25" s="2">
        <v>46182</v>
      </c>
      <c r="D25" t="s">
        <v>356</v>
      </c>
      <c r="E25" t="s">
        <v>69</v>
      </c>
      <c r="F25" t="s">
        <v>138</v>
      </c>
      <c r="G25" t="s">
        <v>139</v>
      </c>
      <c r="H25">
        <v>80</v>
      </c>
      <c r="I25" t="s">
        <v>357</v>
      </c>
      <c r="J25" t="s">
        <v>357</v>
      </c>
    </row>
    <row r="26" spans="1:10" x14ac:dyDescent="0.25">
      <c r="A26" t="s">
        <v>404</v>
      </c>
      <c r="B26" t="s">
        <v>405</v>
      </c>
      <c r="C26" s="2">
        <v>46182</v>
      </c>
      <c r="D26" t="s">
        <v>356</v>
      </c>
      <c r="E26" t="s">
        <v>71</v>
      </c>
      <c r="F26" t="s">
        <v>140</v>
      </c>
      <c r="G26" t="s">
        <v>141</v>
      </c>
      <c r="H26">
        <v>80</v>
      </c>
      <c r="I26" t="s">
        <v>357</v>
      </c>
      <c r="J26" t="s">
        <v>357</v>
      </c>
    </row>
    <row r="27" spans="1:10" x14ac:dyDescent="0.25">
      <c r="A27" t="s">
        <v>406</v>
      </c>
      <c r="B27" t="s">
        <v>407</v>
      </c>
      <c r="C27" s="2">
        <v>46182</v>
      </c>
      <c r="D27" t="s">
        <v>356</v>
      </c>
      <c r="E27" t="s">
        <v>73</v>
      </c>
      <c r="F27" t="s">
        <v>142</v>
      </c>
      <c r="G27" t="s">
        <v>143</v>
      </c>
      <c r="H27">
        <v>80</v>
      </c>
      <c r="I27" t="s">
        <v>357</v>
      </c>
      <c r="J27" t="s">
        <v>357</v>
      </c>
    </row>
    <row r="28" spans="1:10" x14ac:dyDescent="0.25">
      <c r="A28" t="s">
        <v>408</v>
      </c>
      <c r="B28" t="s">
        <v>409</v>
      </c>
      <c r="C28" s="2">
        <v>46182</v>
      </c>
      <c r="D28" t="s">
        <v>356</v>
      </c>
      <c r="E28" t="s">
        <v>75</v>
      </c>
      <c r="F28" t="s">
        <v>144</v>
      </c>
      <c r="G28" t="s">
        <v>145</v>
      </c>
      <c r="H28">
        <v>80</v>
      </c>
      <c r="I28" t="s">
        <v>357</v>
      </c>
      <c r="J28" t="s">
        <v>357</v>
      </c>
    </row>
    <row r="29" spans="1:10" x14ac:dyDescent="0.25">
      <c r="A29" t="s">
        <v>410</v>
      </c>
      <c r="B29" t="s">
        <v>411</v>
      </c>
      <c r="C29" s="2">
        <v>46182</v>
      </c>
      <c r="D29" t="s">
        <v>356</v>
      </c>
      <c r="E29" t="s">
        <v>77</v>
      </c>
      <c r="F29" t="s">
        <v>146</v>
      </c>
      <c r="G29" t="s">
        <v>147</v>
      </c>
      <c r="H29">
        <v>80</v>
      </c>
      <c r="I29" t="s">
        <v>357</v>
      </c>
      <c r="J29" t="s">
        <v>357</v>
      </c>
    </row>
    <row r="30" spans="1:10" x14ac:dyDescent="0.25">
      <c r="A30" t="s">
        <v>412</v>
      </c>
      <c r="B30" t="s">
        <v>413</v>
      </c>
      <c r="C30" s="2">
        <v>46182</v>
      </c>
      <c r="D30" t="s">
        <v>356</v>
      </c>
      <c r="E30" t="s">
        <v>79</v>
      </c>
      <c r="F30" t="s">
        <v>148</v>
      </c>
      <c r="G30" t="s">
        <v>149</v>
      </c>
      <c r="H30">
        <v>240</v>
      </c>
      <c r="I30" t="s">
        <v>357</v>
      </c>
      <c r="J30" t="s">
        <v>357</v>
      </c>
    </row>
    <row r="31" spans="1:10" x14ac:dyDescent="0.25">
      <c r="A31" t="s">
        <v>414</v>
      </c>
      <c r="B31" t="s">
        <v>415</v>
      </c>
      <c r="C31" s="2">
        <v>46182</v>
      </c>
      <c r="D31" t="s">
        <v>356</v>
      </c>
      <c r="E31" t="s">
        <v>82</v>
      </c>
      <c r="F31" t="s">
        <v>150</v>
      </c>
      <c r="G31" t="s">
        <v>151</v>
      </c>
      <c r="H31">
        <v>240</v>
      </c>
      <c r="I31" t="s">
        <v>357</v>
      </c>
      <c r="J31" t="s">
        <v>357</v>
      </c>
    </row>
    <row r="32" spans="1:10" x14ac:dyDescent="0.25">
      <c r="A32" t="s">
        <v>416</v>
      </c>
      <c r="B32" t="s">
        <v>417</v>
      </c>
      <c r="C32" s="2">
        <v>46182.583333333336</v>
      </c>
      <c r="D32" t="s">
        <v>418</v>
      </c>
      <c r="E32" t="s">
        <v>18</v>
      </c>
      <c r="F32" t="s">
        <v>94</v>
      </c>
      <c r="G32" t="s">
        <v>95</v>
      </c>
      <c r="H32">
        <v>1</v>
      </c>
      <c r="I32" t="s">
        <v>419</v>
      </c>
      <c r="J32" t="s">
        <v>357</v>
      </c>
    </row>
    <row r="33" spans="1:10" x14ac:dyDescent="0.25">
      <c r="A33" t="s">
        <v>420</v>
      </c>
      <c r="B33" t="s">
        <v>421</v>
      </c>
      <c r="C33" s="2">
        <v>46182.583333333336</v>
      </c>
      <c r="D33" t="s">
        <v>418</v>
      </c>
      <c r="E33" t="s">
        <v>22</v>
      </c>
      <c r="F33" t="s">
        <v>98</v>
      </c>
      <c r="G33" t="s">
        <v>99</v>
      </c>
      <c r="H33">
        <v>1</v>
      </c>
      <c r="I33" t="s">
        <v>422</v>
      </c>
      <c r="J33" t="s">
        <v>357</v>
      </c>
    </row>
    <row r="34" spans="1:10" x14ac:dyDescent="0.25">
      <c r="A34" t="s">
        <v>423</v>
      </c>
      <c r="B34" t="s">
        <v>424</v>
      </c>
      <c r="C34" s="2">
        <v>46182.583333333336</v>
      </c>
      <c r="D34" t="s">
        <v>418</v>
      </c>
      <c r="E34" t="s">
        <v>51</v>
      </c>
      <c r="F34" t="s">
        <v>124</v>
      </c>
      <c r="G34" t="s">
        <v>125</v>
      </c>
      <c r="H34">
        <v>2</v>
      </c>
      <c r="I34" t="s">
        <v>425</v>
      </c>
      <c r="J34" t="s">
        <v>357</v>
      </c>
    </row>
    <row r="35" spans="1:10" x14ac:dyDescent="0.25">
      <c r="A35" t="s">
        <v>426</v>
      </c>
      <c r="B35" t="s">
        <v>427</v>
      </c>
      <c r="C35" s="2">
        <v>46182.583333333336</v>
      </c>
      <c r="D35" t="s">
        <v>418</v>
      </c>
      <c r="E35" t="s">
        <v>65</v>
      </c>
      <c r="F35" t="s">
        <v>134</v>
      </c>
      <c r="G35" t="s">
        <v>135</v>
      </c>
      <c r="H35">
        <v>1</v>
      </c>
      <c r="I35" t="s">
        <v>428</v>
      </c>
      <c r="J35" t="s">
        <v>357</v>
      </c>
    </row>
    <row r="36" spans="1:10" x14ac:dyDescent="0.25">
      <c r="A36" t="s">
        <v>429</v>
      </c>
      <c r="B36" t="s">
        <v>430</v>
      </c>
      <c r="C36" s="2">
        <v>46182.583333333336</v>
      </c>
      <c r="D36" t="s">
        <v>418</v>
      </c>
      <c r="E36" t="s">
        <v>73</v>
      </c>
      <c r="F36" t="s">
        <v>142</v>
      </c>
      <c r="G36" t="s">
        <v>143</v>
      </c>
      <c r="H36">
        <v>2</v>
      </c>
      <c r="I36" t="s">
        <v>431</v>
      </c>
      <c r="J36" t="s">
        <v>357</v>
      </c>
    </row>
    <row r="37" spans="1:10" x14ac:dyDescent="0.25">
      <c r="A37" t="s">
        <v>432</v>
      </c>
      <c r="B37" t="s">
        <v>433</v>
      </c>
      <c r="C37" s="2">
        <v>46182.583333333336</v>
      </c>
      <c r="D37" t="s">
        <v>418</v>
      </c>
      <c r="E37" t="s">
        <v>11</v>
      </c>
      <c r="F37" t="s">
        <v>91</v>
      </c>
      <c r="G37" t="s">
        <v>92</v>
      </c>
      <c r="H37">
        <v>3</v>
      </c>
      <c r="I37" t="s">
        <v>434</v>
      </c>
      <c r="J37" t="s">
        <v>357</v>
      </c>
    </row>
    <row r="38" spans="1:10" x14ac:dyDescent="0.25">
      <c r="A38" t="s">
        <v>435</v>
      </c>
      <c r="B38" t="s">
        <v>436</v>
      </c>
      <c r="C38" s="2">
        <v>46182.583333333336</v>
      </c>
      <c r="D38" t="s">
        <v>418</v>
      </c>
      <c r="E38" t="s">
        <v>18</v>
      </c>
      <c r="F38" t="s">
        <v>94</v>
      </c>
      <c r="G38" t="s">
        <v>95</v>
      </c>
      <c r="H38">
        <v>5</v>
      </c>
      <c r="I38" t="s">
        <v>437</v>
      </c>
      <c r="J38" t="s">
        <v>357</v>
      </c>
    </row>
    <row r="39" spans="1:10" x14ac:dyDescent="0.25">
      <c r="A39" t="s">
        <v>438</v>
      </c>
      <c r="B39" t="s">
        <v>439</v>
      </c>
      <c r="C39" s="2">
        <v>46182.583333333336</v>
      </c>
      <c r="D39" t="s">
        <v>418</v>
      </c>
      <c r="E39" t="s">
        <v>20</v>
      </c>
      <c r="F39" t="s">
        <v>96</v>
      </c>
      <c r="G39" t="s">
        <v>97</v>
      </c>
      <c r="H39">
        <v>4</v>
      </c>
      <c r="I39" t="s">
        <v>440</v>
      </c>
      <c r="J39" t="s">
        <v>357</v>
      </c>
    </row>
    <row r="40" spans="1:10" x14ac:dyDescent="0.25">
      <c r="A40" t="s">
        <v>441</v>
      </c>
      <c r="B40" t="s">
        <v>442</v>
      </c>
      <c r="C40" s="2">
        <v>46182.583333333336</v>
      </c>
      <c r="D40" t="s">
        <v>418</v>
      </c>
      <c r="E40" t="s">
        <v>22</v>
      </c>
      <c r="F40" t="s">
        <v>98</v>
      </c>
      <c r="G40" t="s">
        <v>99</v>
      </c>
      <c r="H40">
        <v>1</v>
      </c>
      <c r="I40" t="s">
        <v>443</v>
      </c>
      <c r="J40" t="s">
        <v>357</v>
      </c>
    </row>
    <row r="41" spans="1:10" x14ac:dyDescent="0.25">
      <c r="A41" t="s">
        <v>444</v>
      </c>
      <c r="B41" t="s">
        <v>445</v>
      </c>
      <c r="C41" s="2">
        <v>46182.583333333336</v>
      </c>
      <c r="D41" t="s">
        <v>418</v>
      </c>
      <c r="E41" t="s">
        <v>24</v>
      </c>
      <c r="F41" t="s">
        <v>100</v>
      </c>
      <c r="G41" t="s">
        <v>101</v>
      </c>
      <c r="H41">
        <v>3</v>
      </c>
      <c r="I41" t="s">
        <v>446</v>
      </c>
      <c r="J41" t="s">
        <v>357</v>
      </c>
    </row>
    <row r="42" spans="1:10" x14ac:dyDescent="0.25">
      <c r="A42" t="s">
        <v>447</v>
      </c>
      <c r="B42" t="s">
        <v>448</v>
      </c>
      <c r="C42" s="2">
        <v>46182.583333333336</v>
      </c>
      <c r="D42" t="s">
        <v>418</v>
      </c>
      <c r="E42" t="s">
        <v>36</v>
      </c>
      <c r="F42" t="s">
        <v>112</v>
      </c>
      <c r="G42" t="s">
        <v>113</v>
      </c>
      <c r="H42">
        <v>1</v>
      </c>
      <c r="I42" t="s">
        <v>449</v>
      </c>
      <c r="J42" t="s">
        <v>357</v>
      </c>
    </row>
    <row r="43" spans="1:10" x14ac:dyDescent="0.25">
      <c r="A43" t="s">
        <v>450</v>
      </c>
      <c r="B43" t="s">
        <v>451</v>
      </c>
      <c r="C43" s="2">
        <v>46182.583333333336</v>
      </c>
      <c r="D43" t="s">
        <v>418</v>
      </c>
      <c r="E43" t="s">
        <v>69</v>
      </c>
      <c r="F43" t="s">
        <v>138</v>
      </c>
      <c r="G43" t="s">
        <v>139</v>
      </c>
      <c r="H43">
        <v>1</v>
      </c>
      <c r="I43" t="s">
        <v>452</v>
      </c>
      <c r="J43" t="s">
        <v>357</v>
      </c>
    </row>
    <row r="44" spans="1:10" x14ac:dyDescent="0.25">
      <c r="A44" t="s">
        <v>453</v>
      </c>
      <c r="B44" t="s">
        <v>454</v>
      </c>
      <c r="C44" s="2">
        <v>46182.583333333336</v>
      </c>
      <c r="D44" t="s">
        <v>418</v>
      </c>
      <c r="E44" t="s">
        <v>71</v>
      </c>
      <c r="F44" t="s">
        <v>140</v>
      </c>
      <c r="G44" t="s">
        <v>141</v>
      </c>
      <c r="H44">
        <v>1</v>
      </c>
      <c r="I44" t="s">
        <v>455</v>
      </c>
      <c r="J44" t="s">
        <v>357</v>
      </c>
    </row>
    <row r="45" spans="1:10" x14ac:dyDescent="0.25">
      <c r="A45" t="s">
        <v>456</v>
      </c>
      <c r="B45" t="s">
        <v>457</v>
      </c>
      <c r="C45" s="2">
        <v>46182.583333333336</v>
      </c>
      <c r="D45" t="s">
        <v>418</v>
      </c>
      <c r="E45" t="s">
        <v>75</v>
      </c>
      <c r="F45" t="s">
        <v>144</v>
      </c>
      <c r="G45" t="s">
        <v>145</v>
      </c>
      <c r="H45">
        <v>5</v>
      </c>
      <c r="I45" t="s">
        <v>458</v>
      </c>
      <c r="J45" t="s">
        <v>357</v>
      </c>
    </row>
    <row r="46" spans="1:10" x14ac:dyDescent="0.25">
      <c r="A46" t="s">
        <v>459</v>
      </c>
      <c r="B46" t="s">
        <v>460</v>
      </c>
      <c r="C46" s="2">
        <v>46182.583333333336</v>
      </c>
      <c r="D46" t="s">
        <v>418</v>
      </c>
      <c r="E46" t="s">
        <v>20</v>
      </c>
      <c r="F46" t="s">
        <v>96</v>
      </c>
      <c r="G46" t="s">
        <v>97</v>
      </c>
      <c r="H46">
        <v>6</v>
      </c>
      <c r="I46" t="s">
        <v>461</v>
      </c>
      <c r="J46" t="s">
        <v>357</v>
      </c>
    </row>
    <row r="47" spans="1:10" x14ac:dyDescent="0.25">
      <c r="A47" t="s">
        <v>462</v>
      </c>
      <c r="B47" t="s">
        <v>463</v>
      </c>
      <c r="C47" s="2">
        <v>46182.583333333336</v>
      </c>
      <c r="D47" t="s">
        <v>418</v>
      </c>
      <c r="E47" t="s">
        <v>24</v>
      </c>
      <c r="F47" t="s">
        <v>100</v>
      </c>
      <c r="G47" t="s">
        <v>101</v>
      </c>
      <c r="H47">
        <v>2</v>
      </c>
      <c r="I47" t="s">
        <v>464</v>
      </c>
      <c r="J47" t="s">
        <v>357</v>
      </c>
    </row>
    <row r="48" spans="1:10" x14ac:dyDescent="0.25">
      <c r="A48" t="s">
        <v>465</v>
      </c>
      <c r="B48" t="s">
        <v>466</v>
      </c>
      <c r="C48" s="2">
        <v>46182.583333333336</v>
      </c>
      <c r="D48" t="s">
        <v>418</v>
      </c>
      <c r="E48" t="s">
        <v>28</v>
      </c>
      <c r="F48" t="s">
        <v>104</v>
      </c>
      <c r="G48" t="s">
        <v>105</v>
      </c>
      <c r="H48">
        <v>2</v>
      </c>
      <c r="I48" t="s">
        <v>467</v>
      </c>
      <c r="J48" t="s">
        <v>357</v>
      </c>
    </row>
    <row r="49" spans="1:10" x14ac:dyDescent="0.25">
      <c r="A49" t="s">
        <v>468</v>
      </c>
      <c r="B49" t="s">
        <v>469</v>
      </c>
      <c r="C49" s="2">
        <v>46182.583333333336</v>
      </c>
      <c r="D49" t="s">
        <v>418</v>
      </c>
      <c r="E49" t="s">
        <v>53</v>
      </c>
      <c r="F49" t="s">
        <v>126</v>
      </c>
      <c r="G49" t="s">
        <v>127</v>
      </c>
      <c r="H49">
        <v>1</v>
      </c>
      <c r="I49" t="s">
        <v>470</v>
      </c>
      <c r="J49" t="s">
        <v>357</v>
      </c>
    </row>
    <row r="50" spans="1:10" x14ac:dyDescent="0.25">
      <c r="A50" t="s">
        <v>471</v>
      </c>
      <c r="B50" t="s">
        <v>472</v>
      </c>
      <c r="C50" s="2">
        <v>46182.583333333336</v>
      </c>
      <c r="D50" t="s">
        <v>418</v>
      </c>
      <c r="E50" t="s">
        <v>55</v>
      </c>
      <c r="F50" t="s">
        <v>128</v>
      </c>
      <c r="G50" t="s">
        <v>129</v>
      </c>
      <c r="H50">
        <v>6</v>
      </c>
      <c r="I50" t="s">
        <v>473</v>
      </c>
      <c r="J50" t="s">
        <v>357</v>
      </c>
    </row>
    <row r="51" spans="1:10" x14ac:dyDescent="0.25">
      <c r="A51" t="s">
        <v>474</v>
      </c>
      <c r="B51" t="s">
        <v>475</v>
      </c>
      <c r="C51" s="2">
        <v>46182.583333333336</v>
      </c>
      <c r="D51" t="s">
        <v>418</v>
      </c>
      <c r="E51" t="s">
        <v>75</v>
      </c>
      <c r="F51" t="s">
        <v>144</v>
      </c>
      <c r="G51" t="s">
        <v>145</v>
      </c>
      <c r="H51">
        <v>5</v>
      </c>
      <c r="I51" t="s">
        <v>476</v>
      </c>
      <c r="J51" t="s">
        <v>357</v>
      </c>
    </row>
    <row r="52" spans="1:10" x14ac:dyDescent="0.25">
      <c r="A52" t="s">
        <v>477</v>
      </c>
      <c r="B52" t="s">
        <v>478</v>
      </c>
      <c r="C52" s="2">
        <v>46182.583333333336</v>
      </c>
      <c r="D52" t="s">
        <v>418</v>
      </c>
      <c r="E52" t="s">
        <v>20</v>
      </c>
      <c r="F52" t="s">
        <v>96</v>
      </c>
      <c r="G52" t="s">
        <v>97</v>
      </c>
      <c r="H52">
        <v>3</v>
      </c>
      <c r="I52" t="s">
        <v>479</v>
      </c>
      <c r="J52" t="s">
        <v>357</v>
      </c>
    </row>
    <row r="53" spans="1:10" x14ac:dyDescent="0.25">
      <c r="A53" t="s">
        <v>480</v>
      </c>
      <c r="B53" t="s">
        <v>481</v>
      </c>
      <c r="C53" s="2">
        <v>46182.583333333336</v>
      </c>
      <c r="D53" t="s">
        <v>418</v>
      </c>
      <c r="E53" t="s">
        <v>22</v>
      </c>
      <c r="F53" t="s">
        <v>98</v>
      </c>
      <c r="G53" t="s">
        <v>99</v>
      </c>
      <c r="H53">
        <v>4</v>
      </c>
      <c r="I53" t="s">
        <v>482</v>
      </c>
      <c r="J53" t="s">
        <v>357</v>
      </c>
    </row>
    <row r="54" spans="1:10" x14ac:dyDescent="0.25">
      <c r="A54" t="s">
        <v>483</v>
      </c>
      <c r="B54" t="s">
        <v>484</v>
      </c>
      <c r="C54" s="2">
        <v>46182.583333333336</v>
      </c>
      <c r="D54" t="s">
        <v>418</v>
      </c>
      <c r="E54" t="s">
        <v>26</v>
      </c>
      <c r="F54" t="s">
        <v>102</v>
      </c>
      <c r="G54" t="s">
        <v>103</v>
      </c>
      <c r="H54">
        <v>4</v>
      </c>
      <c r="I54" t="s">
        <v>485</v>
      </c>
      <c r="J54" t="s">
        <v>357</v>
      </c>
    </row>
    <row r="55" spans="1:10" x14ac:dyDescent="0.25">
      <c r="A55" t="s">
        <v>486</v>
      </c>
      <c r="B55" t="s">
        <v>487</v>
      </c>
      <c r="C55" s="2">
        <v>46182.583333333336</v>
      </c>
      <c r="D55" t="s">
        <v>418</v>
      </c>
      <c r="E55" t="s">
        <v>36</v>
      </c>
      <c r="F55" t="s">
        <v>112</v>
      </c>
      <c r="G55" t="s">
        <v>113</v>
      </c>
      <c r="H55">
        <v>4</v>
      </c>
      <c r="I55" t="s">
        <v>488</v>
      </c>
      <c r="J55" t="s">
        <v>357</v>
      </c>
    </row>
    <row r="56" spans="1:10" x14ac:dyDescent="0.25">
      <c r="A56" t="s">
        <v>489</v>
      </c>
      <c r="B56" t="s">
        <v>490</v>
      </c>
      <c r="C56" s="2">
        <v>46182.583333333336</v>
      </c>
      <c r="D56" t="s">
        <v>418</v>
      </c>
      <c r="E56" t="s">
        <v>49</v>
      </c>
      <c r="F56" t="s">
        <v>122</v>
      </c>
      <c r="G56" t="s">
        <v>123</v>
      </c>
      <c r="H56">
        <v>4</v>
      </c>
      <c r="I56" t="s">
        <v>491</v>
      </c>
      <c r="J56" t="s">
        <v>357</v>
      </c>
    </row>
    <row r="57" spans="1:10" x14ac:dyDescent="0.25">
      <c r="A57" t="s">
        <v>492</v>
      </c>
      <c r="B57" t="s">
        <v>493</v>
      </c>
      <c r="C57" s="2">
        <v>46182.583333333336</v>
      </c>
      <c r="D57" t="s">
        <v>418</v>
      </c>
      <c r="E57" t="s">
        <v>55</v>
      </c>
      <c r="F57" t="s">
        <v>128</v>
      </c>
      <c r="G57" t="s">
        <v>129</v>
      </c>
      <c r="H57">
        <v>6</v>
      </c>
      <c r="I57" t="s">
        <v>494</v>
      </c>
      <c r="J57" t="s">
        <v>357</v>
      </c>
    </row>
    <row r="58" spans="1:10" x14ac:dyDescent="0.25">
      <c r="A58" t="s">
        <v>495</v>
      </c>
      <c r="B58" t="s">
        <v>496</v>
      </c>
      <c r="C58" s="2">
        <v>46182.583333333336</v>
      </c>
      <c r="D58" t="s">
        <v>418</v>
      </c>
      <c r="E58" t="s">
        <v>20</v>
      </c>
      <c r="F58" t="s">
        <v>96</v>
      </c>
      <c r="G58" t="s">
        <v>97</v>
      </c>
      <c r="H58">
        <v>4</v>
      </c>
      <c r="I58" t="s">
        <v>497</v>
      </c>
      <c r="J58" t="s">
        <v>357</v>
      </c>
    </row>
    <row r="59" spans="1:10" x14ac:dyDescent="0.25">
      <c r="A59" t="s">
        <v>498</v>
      </c>
      <c r="B59" t="s">
        <v>499</v>
      </c>
      <c r="C59" s="2">
        <v>46182.583333333336</v>
      </c>
      <c r="D59" t="s">
        <v>418</v>
      </c>
      <c r="E59" t="s">
        <v>22</v>
      </c>
      <c r="F59" t="s">
        <v>98</v>
      </c>
      <c r="G59" t="s">
        <v>99</v>
      </c>
      <c r="H59">
        <v>4</v>
      </c>
      <c r="I59" t="s">
        <v>500</v>
      </c>
      <c r="J59" t="s">
        <v>357</v>
      </c>
    </row>
    <row r="60" spans="1:10" x14ac:dyDescent="0.25">
      <c r="A60" t="s">
        <v>501</v>
      </c>
      <c r="B60" t="s">
        <v>502</v>
      </c>
      <c r="C60" s="2">
        <v>46182.583333333336</v>
      </c>
      <c r="D60" t="s">
        <v>418</v>
      </c>
      <c r="E60" t="s">
        <v>24</v>
      </c>
      <c r="F60" t="s">
        <v>100</v>
      </c>
      <c r="G60" t="s">
        <v>101</v>
      </c>
      <c r="H60">
        <v>2</v>
      </c>
      <c r="I60" t="s">
        <v>503</v>
      </c>
      <c r="J60" t="s">
        <v>357</v>
      </c>
    </row>
    <row r="61" spans="1:10" x14ac:dyDescent="0.25">
      <c r="A61" t="s">
        <v>504</v>
      </c>
      <c r="B61" t="s">
        <v>505</v>
      </c>
      <c r="C61" s="2">
        <v>46182.583333333336</v>
      </c>
      <c r="D61" t="s">
        <v>418</v>
      </c>
      <c r="E61" t="s">
        <v>26</v>
      </c>
      <c r="F61" t="s">
        <v>102</v>
      </c>
      <c r="G61" t="s">
        <v>103</v>
      </c>
      <c r="H61">
        <v>3</v>
      </c>
      <c r="I61" t="s">
        <v>506</v>
      </c>
      <c r="J61" t="s">
        <v>357</v>
      </c>
    </row>
    <row r="62" spans="1:10" x14ac:dyDescent="0.25">
      <c r="A62" t="s">
        <v>507</v>
      </c>
      <c r="B62" t="s">
        <v>508</v>
      </c>
      <c r="C62" s="2">
        <v>46182.583333333336</v>
      </c>
      <c r="D62" t="s">
        <v>418</v>
      </c>
      <c r="E62" t="s">
        <v>36</v>
      </c>
      <c r="F62" t="s">
        <v>112</v>
      </c>
      <c r="G62" t="s">
        <v>113</v>
      </c>
      <c r="H62">
        <v>4</v>
      </c>
      <c r="I62" t="s">
        <v>509</v>
      </c>
      <c r="J62" t="s">
        <v>357</v>
      </c>
    </row>
    <row r="63" spans="1:10" x14ac:dyDescent="0.25">
      <c r="A63" t="s">
        <v>510</v>
      </c>
      <c r="B63" t="s">
        <v>511</v>
      </c>
      <c r="C63" s="2">
        <v>46182.583333333336</v>
      </c>
      <c r="D63" t="s">
        <v>418</v>
      </c>
      <c r="E63" t="s">
        <v>41</v>
      </c>
      <c r="F63" t="s">
        <v>114</v>
      </c>
      <c r="G63" t="s">
        <v>115</v>
      </c>
      <c r="H63">
        <v>1</v>
      </c>
      <c r="I63" t="s">
        <v>512</v>
      </c>
      <c r="J63" t="s">
        <v>357</v>
      </c>
    </row>
    <row r="64" spans="1:10" x14ac:dyDescent="0.25">
      <c r="A64" t="s">
        <v>513</v>
      </c>
      <c r="B64" t="s">
        <v>514</v>
      </c>
      <c r="C64" s="2">
        <v>46182.583333333336</v>
      </c>
      <c r="D64" t="s">
        <v>418</v>
      </c>
      <c r="E64" t="s">
        <v>45</v>
      </c>
      <c r="F64" t="s">
        <v>118</v>
      </c>
      <c r="G64" t="s">
        <v>119</v>
      </c>
      <c r="H64">
        <v>1</v>
      </c>
      <c r="I64" t="s">
        <v>515</v>
      </c>
      <c r="J64" t="s">
        <v>357</v>
      </c>
    </row>
    <row r="65" spans="1:10" x14ac:dyDescent="0.25">
      <c r="A65" t="s">
        <v>516</v>
      </c>
      <c r="B65" t="s">
        <v>517</v>
      </c>
      <c r="C65" s="2">
        <v>46182.583333333336</v>
      </c>
      <c r="D65" t="s">
        <v>418</v>
      </c>
      <c r="E65" t="s">
        <v>49</v>
      </c>
      <c r="F65" t="s">
        <v>122</v>
      </c>
      <c r="G65" t="s">
        <v>123</v>
      </c>
      <c r="H65">
        <v>2</v>
      </c>
      <c r="I65" t="s">
        <v>518</v>
      </c>
      <c r="J65" t="s">
        <v>357</v>
      </c>
    </row>
    <row r="66" spans="1:10" x14ac:dyDescent="0.25">
      <c r="A66" t="s">
        <v>519</v>
      </c>
      <c r="B66" t="s">
        <v>520</v>
      </c>
      <c r="C66" s="2">
        <v>46182.583333333336</v>
      </c>
      <c r="D66" t="s">
        <v>418</v>
      </c>
      <c r="E66" t="s">
        <v>67</v>
      </c>
      <c r="F66" t="s">
        <v>136</v>
      </c>
      <c r="G66" t="s">
        <v>137</v>
      </c>
      <c r="H66">
        <v>4</v>
      </c>
      <c r="I66" t="s">
        <v>521</v>
      </c>
      <c r="J66" t="s">
        <v>357</v>
      </c>
    </row>
    <row r="67" spans="1:10" x14ac:dyDescent="0.25">
      <c r="A67" t="s">
        <v>522</v>
      </c>
      <c r="B67" t="s">
        <v>523</v>
      </c>
      <c r="C67" s="2">
        <v>46182.583333333336</v>
      </c>
      <c r="D67" t="s">
        <v>418</v>
      </c>
      <c r="E67" t="s">
        <v>69</v>
      </c>
      <c r="F67" t="s">
        <v>138</v>
      </c>
      <c r="G67" t="s">
        <v>139</v>
      </c>
      <c r="H67">
        <v>2</v>
      </c>
      <c r="I67" t="s">
        <v>524</v>
      </c>
      <c r="J67" t="s">
        <v>357</v>
      </c>
    </row>
    <row r="68" spans="1:10" x14ac:dyDescent="0.25">
      <c r="A68" t="s">
        <v>525</v>
      </c>
      <c r="B68" t="s">
        <v>526</v>
      </c>
      <c r="C68" s="2">
        <v>46182.583333333336</v>
      </c>
      <c r="D68" t="s">
        <v>418</v>
      </c>
      <c r="E68" t="s">
        <v>71</v>
      </c>
      <c r="F68" t="s">
        <v>140</v>
      </c>
      <c r="G68" t="s">
        <v>141</v>
      </c>
      <c r="H68">
        <v>4</v>
      </c>
      <c r="I68" t="s">
        <v>527</v>
      </c>
      <c r="J68" t="s">
        <v>357</v>
      </c>
    </row>
    <row r="69" spans="1:10" x14ac:dyDescent="0.25">
      <c r="A69" t="s">
        <v>528</v>
      </c>
      <c r="B69" t="s">
        <v>529</v>
      </c>
      <c r="C69" s="2">
        <v>46182.583333333336</v>
      </c>
      <c r="D69" t="s">
        <v>418</v>
      </c>
      <c r="E69" t="s">
        <v>77</v>
      </c>
      <c r="F69" t="s">
        <v>146</v>
      </c>
      <c r="G69" t="s">
        <v>147</v>
      </c>
      <c r="H69">
        <v>3</v>
      </c>
      <c r="I69" t="s">
        <v>530</v>
      </c>
      <c r="J69" t="s">
        <v>357</v>
      </c>
    </row>
    <row r="70" spans="1:10" x14ac:dyDescent="0.25">
      <c r="A70" t="s">
        <v>531</v>
      </c>
      <c r="B70" t="s">
        <v>532</v>
      </c>
      <c r="C70" s="2">
        <v>46183.583333333336</v>
      </c>
      <c r="D70" t="s">
        <v>418</v>
      </c>
      <c r="E70" t="s">
        <v>11</v>
      </c>
      <c r="F70" t="s">
        <v>91</v>
      </c>
      <c r="G70" t="s">
        <v>92</v>
      </c>
      <c r="H70">
        <v>4</v>
      </c>
      <c r="I70" t="s">
        <v>533</v>
      </c>
      <c r="J70" t="s">
        <v>357</v>
      </c>
    </row>
    <row r="71" spans="1:10" x14ac:dyDescent="0.25">
      <c r="A71" t="s">
        <v>534</v>
      </c>
      <c r="B71" t="s">
        <v>535</v>
      </c>
      <c r="C71" s="2">
        <v>46183.583333333336</v>
      </c>
      <c r="D71" t="s">
        <v>418</v>
      </c>
      <c r="E71" t="s">
        <v>20</v>
      </c>
      <c r="F71" t="s">
        <v>96</v>
      </c>
      <c r="G71" t="s">
        <v>97</v>
      </c>
      <c r="H71">
        <v>4</v>
      </c>
      <c r="I71" t="s">
        <v>536</v>
      </c>
      <c r="J71" t="s">
        <v>357</v>
      </c>
    </row>
    <row r="72" spans="1:10" x14ac:dyDescent="0.25">
      <c r="A72" t="s">
        <v>537</v>
      </c>
      <c r="B72" t="s">
        <v>538</v>
      </c>
      <c r="C72" s="2">
        <v>46183.583333333336</v>
      </c>
      <c r="D72" t="s">
        <v>418</v>
      </c>
      <c r="E72" t="s">
        <v>22</v>
      </c>
      <c r="F72" t="s">
        <v>98</v>
      </c>
      <c r="G72" t="s">
        <v>99</v>
      </c>
      <c r="H72">
        <v>3</v>
      </c>
      <c r="I72" t="s">
        <v>539</v>
      </c>
      <c r="J72" t="s">
        <v>357</v>
      </c>
    </row>
    <row r="73" spans="1:10" x14ac:dyDescent="0.25">
      <c r="A73" t="s">
        <v>540</v>
      </c>
      <c r="B73" t="s">
        <v>541</v>
      </c>
      <c r="C73" s="2">
        <v>46183.583333333336</v>
      </c>
      <c r="D73" t="s">
        <v>418</v>
      </c>
      <c r="E73" t="s">
        <v>26</v>
      </c>
      <c r="F73" t="s">
        <v>102</v>
      </c>
      <c r="G73" t="s">
        <v>103</v>
      </c>
      <c r="H73">
        <v>3</v>
      </c>
      <c r="I73" t="s">
        <v>542</v>
      </c>
      <c r="J73" t="s">
        <v>357</v>
      </c>
    </row>
    <row r="74" spans="1:10" x14ac:dyDescent="0.25">
      <c r="A74" t="s">
        <v>543</v>
      </c>
      <c r="B74" t="s">
        <v>544</v>
      </c>
      <c r="C74" s="2">
        <v>46183.583333333336</v>
      </c>
      <c r="D74" t="s">
        <v>418</v>
      </c>
      <c r="E74" t="s">
        <v>45</v>
      </c>
      <c r="F74" t="s">
        <v>118</v>
      </c>
      <c r="G74" t="s">
        <v>119</v>
      </c>
      <c r="H74">
        <v>3</v>
      </c>
      <c r="I74" t="s">
        <v>545</v>
      </c>
      <c r="J74" t="s">
        <v>357</v>
      </c>
    </row>
    <row r="75" spans="1:10" x14ac:dyDescent="0.25">
      <c r="A75" t="s">
        <v>546</v>
      </c>
      <c r="B75" t="s">
        <v>547</v>
      </c>
      <c r="C75" s="2">
        <v>46183.583333333336</v>
      </c>
      <c r="D75" t="s">
        <v>418</v>
      </c>
      <c r="E75" t="s">
        <v>47</v>
      </c>
      <c r="F75" t="s">
        <v>120</v>
      </c>
      <c r="G75" t="s">
        <v>121</v>
      </c>
      <c r="H75">
        <v>2</v>
      </c>
      <c r="I75" t="s">
        <v>548</v>
      </c>
      <c r="J75" t="s">
        <v>357</v>
      </c>
    </row>
    <row r="76" spans="1:10" x14ac:dyDescent="0.25">
      <c r="A76" t="s">
        <v>549</v>
      </c>
      <c r="B76" t="s">
        <v>550</v>
      </c>
      <c r="C76" s="2">
        <v>46183.583333333336</v>
      </c>
      <c r="D76" t="s">
        <v>418</v>
      </c>
      <c r="E76" t="s">
        <v>55</v>
      </c>
      <c r="F76" t="s">
        <v>128</v>
      </c>
      <c r="G76" t="s">
        <v>129</v>
      </c>
      <c r="H76">
        <v>2</v>
      </c>
      <c r="I76" t="s">
        <v>551</v>
      </c>
      <c r="J76" t="s">
        <v>357</v>
      </c>
    </row>
    <row r="77" spans="1:10" x14ac:dyDescent="0.25">
      <c r="A77" t="s">
        <v>552</v>
      </c>
      <c r="B77" t="s">
        <v>553</v>
      </c>
      <c r="C77" s="2">
        <v>46183.583333333336</v>
      </c>
      <c r="D77" t="s">
        <v>418</v>
      </c>
      <c r="E77" t="s">
        <v>65</v>
      </c>
      <c r="F77" t="s">
        <v>134</v>
      </c>
      <c r="G77" t="s">
        <v>135</v>
      </c>
      <c r="H77">
        <v>2</v>
      </c>
      <c r="I77" t="s">
        <v>554</v>
      </c>
      <c r="J77" t="s">
        <v>357</v>
      </c>
    </row>
    <row r="78" spans="1:10" x14ac:dyDescent="0.25">
      <c r="A78" t="s">
        <v>555</v>
      </c>
      <c r="B78" t="s">
        <v>556</v>
      </c>
      <c r="C78" s="2">
        <v>46183.583333333336</v>
      </c>
      <c r="D78" t="s">
        <v>418</v>
      </c>
      <c r="E78" t="s">
        <v>67</v>
      </c>
      <c r="F78" t="s">
        <v>136</v>
      </c>
      <c r="G78" t="s">
        <v>137</v>
      </c>
      <c r="H78">
        <v>2</v>
      </c>
      <c r="I78" t="s">
        <v>557</v>
      </c>
      <c r="J78" t="s">
        <v>357</v>
      </c>
    </row>
    <row r="79" spans="1:10" x14ac:dyDescent="0.25">
      <c r="A79" t="s">
        <v>558</v>
      </c>
      <c r="B79" t="s">
        <v>559</v>
      </c>
      <c r="C79" s="2">
        <v>46183.583333333336</v>
      </c>
      <c r="D79" t="s">
        <v>418</v>
      </c>
      <c r="E79" t="s">
        <v>71</v>
      </c>
      <c r="F79" t="s">
        <v>140</v>
      </c>
      <c r="G79" t="s">
        <v>141</v>
      </c>
      <c r="H79">
        <v>1</v>
      </c>
      <c r="I79" t="s">
        <v>560</v>
      </c>
      <c r="J79" t="s">
        <v>357</v>
      </c>
    </row>
    <row r="80" spans="1:10" x14ac:dyDescent="0.25">
      <c r="A80" t="s">
        <v>561</v>
      </c>
      <c r="B80" t="s">
        <v>562</v>
      </c>
      <c r="C80" s="2">
        <v>46183.583333333336</v>
      </c>
      <c r="D80" t="s">
        <v>418</v>
      </c>
      <c r="E80" t="s">
        <v>77</v>
      </c>
      <c r="F80" t="s">
        <v>146</v>
      </c>
      <c r="G80" t="s">
        <v>147</v>
      </c>
      <c r="H80">
        <v>3</v>
      </c>
      <c r="I80" t="s">
        <v>563</v>
      </c>
      <c r="J80" t="s">
        <v>357</v>
      </c>
    </row>
    <row r="81" spans="1:10" x14ac:dyDescent="0.25">
      <c r="A81" t="s">
        <v>564</v>
      </c>
      <c r="B81" t="s">
        <v>565</v>
      </c>
      <c r="C81" s="2">
        <v>46183.583333333336</v>
      </c>
      <c r="D81" t="s">
        <v>418</v>
      </c>
      <c r="E81" t="s">
        <v>11</v>
      </c>
      <c r="F81" t="s">
        <v>91</v>
      </c>
      <c r="G81" t="s">
        <v>92</v>
      </c>
      <c r="H81">
        <v>2</v>
      </c>
      <c r="I81" t="s">
        <v>566</v>
      </c>
      <c r="J81" t="s">
        <v>357</v>
      </c>
    </row>
    <row r="82" spans="1:10" x14ac:dyDescent="0.25">
      <c r="A82" t="s">
        <v>567</v>
      </c>
      <c r="B82" t="s">
        <v>568</v>
      </c>
      <c r="C82" s="2">
        <v>46183.583333333336</v>
      </c>
      <c r="D82" t="s">
        <v>418</v>
      </c>
      <c r="E82" t="s">
        <v>18</v>
      </c>
      <c r="F82" t="s">
        <v>94</v>
      </c>
      <c r="G82" t="s">
        <v>95</v>
      </c>
      <c r="H82">
        <v>4</v>
      </c>
      <c r="I82" t="s">
        <v>569</v>
      </c>
      <c r="J82" t="s">
        <v>357</v>
      </c>
    </row>
    <row r="83" spans="1:10" x14ac:dyDescent="0.25">
      <c r="A83" t="s">
        <v>570</v>
      </c>
      <c r="B83" t="s">
        <v>571</v>
      </c>
      <c r="C83" s="2">
        <v>46183.583333333336</v>
      </c>
      <c r="D83" t="s">
        <v>418</v>
      </c>
      <c r="E83" t="s">
        <v>20</v>
      </c>
      <c r="F83" t="s">
        <v>96</v>
      </c>
      <c r="G83" t="s">
        <v>97</v>
      </c>
      <c r="H83">
        <v>1</v>
      </c>
      <c r="I83" t="s">
        <v>572</v>
      </c>
      <c r="J83" t="s">
        <v>357</v>
      </c>
    </row>
    <row r="84" spans="1:10" x14ac:dyDescent="0.25">
      <c r="A84" t="s">
        <v>573</v>
      </c>
      <c r="B84" t="s">
        <v>574</v>
      </c>
      <c r="C84" s="2">
        <v>46183.583333333336</v>
      </c>
      <c r="D84" t="s">
        <v>418</v>
      </c>
      <c r="E84" t="s">
        <v>26</v>
      </c>
      <c r="F84" t="s">
        <v>102</v>
      </c>
      <c r="G84" t="s">
        <v>103</v>
      </c>
      <c r="H84">
        <v>5</v>
      </c>
      <c r="I84" t="s">
        <v>575</v>
      </c>
      <c r="J84" t="s">
        <v>357</v>
      </c>
    </row>
    <row r="85" spans="1:10" x14ac:dyDescent="0.25">
      <c r="A85" t="s">
        <v>576</v>
      </c>
      <c r="B85" t="s">
        <v>577</v>
      </c>
      <c r="C85" s="2">
        <v>46183.583333333336</v>
      </c>
      <c r="D85" t="s">
        <v>418</v>
      </c>
      <c r="E85" t="s">
        <v>36</v>
      </c>
      <c r="F85" t="s">
        <v>112</v>
      </c>
      <c r="G85" t="s">
        <v>113</v>
      </c>
      <c r="H85">
        <v>4</v>
      </c>
      <c r="I85" t="s">
        <v>578</v>
      </c>
      <c r="J85" t="s">
        <v>357</v>
      </c>
    </row>
    <row r="86" spans="1:10" x14ac:dyDescent="0.25">
      <c r="A86" t="s">
        <v>579</v>
      </c>
      <c r="B86" t="s">
        <v>580</v>
      </c>
      <c r="C86" s="2">
        <v>46183.583333333336</v>
      </c>
      <c r="D86" t="s">
        <v>418</v>
      </c>
      <c r="E86" t="s">
        <v>49</v>
      </c>
      <c r="F86" t="s">
        <v>122</v>
      </c>
      <c r="G86" t="s">
        <v>123</v>
      </c>
      <c r="H86">
        <v>1</v>
      </c>
      <c r="I86" t="s">
        <v>581</v>
      </c>
      <c r="J86" t="s">
        <v>357</v>
      </c>
    </row>
    <row r="87" spans="1:10" x14ac:dyDescent="0.25">
      <c r="A87" t="s">
        <v>582</v>
      </c>
      <c r="B87" t="s">
        <v>583</v>
      </c>
      <c r="C87" s="2">
        <v>46183.583333333336</v>
      </c>
      <c r="D87" t="s">
        <v>418</v>
      </c>
      <c r="E87" t="s">
        <v>51</v>
      </c>
      <c r="F87" t="s">
        <v>124</v>
      </c>
      <c r="G87" t="s">
        <v>125</v>
      </c>
      <c r="H87">
        <v>1</v>
      </c>
      <c r="I87" t="s">
        <v>584</v>
      </c>
      <c r="J87" t="s">
        <v>357</v>
      </c>
    </row>
    <row r="88" spans="1:10" x14ac:dyDescent="0.25">
      <c r="A88" t="s">
        <v>585</v>
      </c>
      <c r="B88" t="s">
        <v>586</v>
      </c>
      <c r="C88" s="2">
        <v>46183.583333333336</v>
      </c>
      <c r="D88" t="s">
        <v>418</v>
      </c>
      <c r="E88" t="s">
        <v>11</v>
      </c>
      <c r="F88" t="s">
        <v>91</v>
      </c>
      <c r="G88" t="s">
        <v>92</v>
      </c>
      <c r="H88">
        <v>1</v>
      </c>
      <c r="I88" t="s">
        <v>587</v>
      </c>
      <c r="J88" t="s">
        <v>357</v>
      </c>
    </row>
    <row r="89" spans="1:10" x14ac:dyDescent="0.25">
      <c r="A89" t="s">
        <v>588</v>
      </c>
      <c r="B89" t="s">
        <v>589</v>
      </c>
      <c r="C89" s="2">
        <v>46183.583333333336</v>
      </c>
      <c r="D89" t="s">
        <v>418</v>
      </c>
      <c r="E89" t="s">
        <v>20</v>
      </c>
      <c r="F89" t="s">
        <v>96</v>
      </c>
      <c r="G89" t="s">
        <v>97</v>
      </c>
      <c r="H89">
        <v>5</v>
      </c>
      <c r="I89" t="s">
        <v>590</v>
      </c>
      <c r="J89" t="s">
        <v>357</v>
      </c>
    </row>
    <row r="90" spans="1:10" x14ac:dyDescent="0.25">
      <c r="A90" t="s">
        <v>591</v>
      </c>
      <c r="B90" t="s">
        <v>592</v>
      </c>
      <c r="C90" s="2">
        <v>46183.583333333336</v>
      </c>
      <c r="D90" t="s">
        <v>418</v>
      </c>
      <c r="E90" t="s">
        <v>41</v>
      </c>
      <c r="F90" t="s">
        <v>114</v>
      </c>
      <c r="G90" t="s">
        <v>115</v>
      </c>
      <c r="H90">
        <v>5</v>
      </c>
      <c r="I90" t="s">
        <v>593</v>
      </c>
      <c r="J90" t="s">
        <v>357</v>
      </c>
    </row>
    <row r="91" spans="1:10" x14ac:dyDescent="0.25">
      <c r="A91" t="s">
        <v>594</v>
      </c>
      <c r="B91" t="s">
        <v>595</v>
      </c>
      <c r="C91" s="2">
        <v>46183.583333333336</v>
      </c>
      <c r="D91" t="s">
        <v>418</v>
      </c>
      <c r="E91" t="s">
        <v>47</v>
      </c>
      <c r="F91" t="s">
        <v>120</v>
      </c>
      <c r="G91" t="s">
        <v>121</v>
      </c>
      <c r="H91">
        <v>5</v>
      </c>
      <c r="I91" t="s">
        <v>596</v>
      </c>
      <c r="J91" t="s">
        <v>357</v>
      </c>
    </row>
    <row r="92" spans="1:10" x14ac:dyDescent="0.25">
      <c r="A92" t="s">
        <v>597</v>
      </c>
      <c r="B92" t="s">
        <v>598</v>
      </c>
      <c r="C92" s="2">
        <v>46183.583333333336</v>
      </c>
      <c r="D92" t="s">
        <v>418</v>
      </c>
      <c r="E92" t="s">
        <v>51</v>
      </c>
      <c r="F92" t="s">
        <v>124</v>
      </c>
      <c r="G92" t="s">
        <v>125</v>
      </c>
      <c r="H92">
        <v>4</v>
      </c>
      <c r="I92" t="s">
        <v>599</v>
      </c>
      <c r="J92" t="s">
        <v>357</v>
      </c>
    </row>
    <row r="93" spans="1:10" x14ac:dyDescent="0.25">
      <c r="A93" t="s">
        <v>600</v>
      </c>
      <c r="B93" t="s">
        <v>601</v>
      </c>
      <c r="C93" s="2">
        <v>46183.583333333336</v>
      </c>
      <c r="D93" t="s">
        <v>418</v>
      </c>
      <c r="E93" t="s">
        <v>53</v>
      </c>
      <c r="F93" t="s">
        <v>126</v>
      </c>
      <c r="G93" t="s">
        <v>127</v>
      </c>
      <c r="H93">
        <v>2</v>
      </c>
      <c r="I93" t="s">
        <v>602</v>
      </c>
      <c r="J93" t="s">
        <v>357</v>
      </c>
    </row>
    <row r="94" spans="1:10" x14ac:dyDescent="0.25">
      <c r="A94" t="s">
        <v>603</v>
      </c>
      <c r="B94" t="s">
        <v>604</v>
      </c>
      <c r="C94" s="2">
        <v>46183.583333333336</v>
      </c>
      <c r="D94" t="s">
        <v>418</v>
      </c>
      <c r="E94" t="s">
        <v>55</v>
      </c>
      <c r="F94" t="s">
        <v>128</v>
      </c>
      <c r="G94" t="s">
        <v>129</v>
      </c>
      <c r="H94">
        <v>6</v>
      </c>
      <c r="I94" t="s">
        <v>605</v>
      </c>
      <c r="J94" t="s">
        <v>357</v>
      </c>
    </row>
    <row r="95" spans="1:10" x14ac:dyDescent="0.25">
      <c r="A95" t="s">
        <v>606</v>
      </c>
      <c r="B95" t="s">
        <v>607</v>
      </c>
      <c r="C95" s="2">
        <v>46183.583333333336</v>
      </c>
      <c r="D95" t="s">
        <v>418</v>
      </c>
      <c r="E95" t="s">
        <v>71</v>
      </c>
      <c r="F95" t="s">
        <v>140</v>
      </c>
      <c r="G95" t="s">
        <v>141</v>
      </c>
      <c r="H95">
        <v>6</v>
      </c>
      <c r="I95" t="s">
        <v>608</v>
      </c>
      <c r="J95" t="s">
        <v>357</v>
      </c>
    </row>
    <row r="96" spans="1:10" x14ac:dyDescent="0.25">
      <c r="A96" t="s">
        <v>609</v>
      </c>
      <c r="B96" t="s">
        <v>610</v>
      </c>
      <c r="C96" s="2">
        <v>46183.583333333336</v>
      </c>
      <c r="D96" t="s">
        <v>418</v>
      </c>
      <c r="E96" t="s">
        <v>75</v>
      </c>
      <c r="F96" t="s">
        <v>144</v>
      </c>
      <c r="G96" t="s">
        <v>145</v>
      </c>
      <c r="H96">
        <v>2</v>
      </c>
      <c r="I96" t="s">
        <v>611</v>
      </c>
      <c r="J96" t="s">
        <v>357</v>
      </c>
    </row>
    <row r="97" spans="1:10" x14ac:dyDescent="0.25">
      <c r="A97" t="s">
        <v>612</v>
      </c>
      <c r="B97" t="s">
        <v>613</v>
      </c>
      <c r="C97" s="2">
        <v>46183.583333333336</v>
      </c>
      <c r="D97" t="s">
        <v>418</v>
      </c>
      <c r="E97" t="s">
        <v>77</v>
      </c>
      <c r="F97" t="s">
        <v>146</v>
      </c>
      <c r="G97" t="s">
        <v>147</v>
      </c>
      <c r="H97">
        <v>1</v>
      </c>
      <c r="I97" t="s">
        <v>614</v>
      </c>
      <c r="J97" t="s">
        <v>357</v>
      </c>
    </row>
    <row r="98" spans="1:10" x14ac:dyDescent="0.25">
      <c r="A98" t="s">
        <v>615</v>
      </c>
      <c r="B98" t="s">
        <v>616</v>
      </c>
      <c r="C98" s="2">
        <v>46183.583333333336</v>
      </c>
      <c r="D98" t="s">
        <v>418</v>
      </c>
      <c r="E98" t="s">
        <v>11</v>
      </c>
      <c r="F98" t="s">
        <v>91</v>
      </c>
      <c r="G98" t="s">
        <v>92</v>
      </c>
      <c r="H98">
        <v>3</v>
      </c>
      <c r="I98" t="s">
        <v>617</v>
      </c>
      <c r="J98" t="s">
        <v>357</v>
      </c>
    </row>
    <row r="99" spans="1:10" x14ac:dyDescent="0.25">
      <c r="A99" t="s">
        <v>618</v>
      </c>
      <c r="B99" t="s">
        <v>619</v>
      </c>
      <c r="C99" s="2">
        <v>46183.583333333336</v>
      </c>
      <c r="D99" t="s">
        <v>418</v>
      </c>
      <c r="E99" t="s">
        <v>22</v>
      </c>
      <c r="F99" t="s">
        <v>98</v>
      </c>
      <c r="G99" t="s">
        <v>99</v>
      </c>
      <c r="H99">
        <v>6</v>
      </c>
      <c r="I99" t="s">
        <v>620</v>
      </c>
      <c r="J99" t="s">
        <v>357</v>
      </c>
    </row>
    <row r="100" spans="1:10" x14ac:dyDescent="0.25">
      <c r="A100" t="s">
        <v>621</v>
      </c>
      <c r="B100" t="s">
        <v>622</v>
      </c>
      <c r="C100" s="2">
        <v>46183.583333333336</v>
      </c>
      <c r="D100" t="s">
        <v>418</v>
      </c>
      <c r="E100" t="s">
        <v>36</v>
      </c>
      <c r="F100" t="s">
        <v>112</v>
      </c>
      <c r="G100" t="s">
        <v>113</v>
      </c>
      <c r="H100">
        <v>1</v>
      </c>
      <c r="I100" t="s">
        <v>623</v>
      </c>
      <c r="J100" t="s">
        <v>357</v>
      </c>
    </row>
    <row r="101" spans="1:10" x14ac:dyDescent="0.25">
      <c r="A101" t="s">
        <v>624</v>
      </c>
      <c r="B101" t="s">
        <v>625</v>
      </c>
      <c r="C101" s="2">
        <v>46183.583333333336</v>
      </c>
      <c r="D101" t="s">
        <v>418</v>
      </c>
      <c r="E101" t="s">
        <v>49</v>
      </c>
      <c r="F101" t="s">
        <v>122</v>
      </c>
      <c r="G101" t="s">
        <v>123</v>
      </c>
      <c r="H101">
        <v>3</v>
      </c>
      <c r="I101" t="s">
        <v>626</v>
      </c>
      <c r="J101" t="s">
        <v>357</v>
      </c>
    </row>
    <row r="102" spans="1:10" x14ac:dyDescent="0.25">
      <c r="A102" t="s">
        <v>627</v>
      </c>
      <c r="B102" t="s">
        <v>628</v>
      </c>
      <c r="C102" s="2">
        <v>46183.583333333336</v>
      </c>
      <c r="D102" t="s">
        <v>418</v>
      </c>
      <c r="E102" t="s">
        <v>55</v>
      </c>
      <c r="F102" t="s">
        <v>128</v>
      </c>
      <c r="G102" t="s">
        <v>129</v>
      </c>
      <c r="H102">
        <v>1</v>
      </c>
      <c r="I102" t="s">
        <v>629</v>
      </c>
      <c r="J102" t="s">
        <v>357</v>
      </c>
    </row>
    <row r="103" spans="1:10" x14ac:dyDescent="0.25">
      <c r="A103" t="s">
        <v>630</v>
      </c>
      <c r="B103" t="s">
        <v>631</v>
      </c>
      <c r="C103" s="2">
        <v>46183.583333333336</v>
      </c>
      <c r="D103" t="s">
        <v>418</v>
      </c>
      <c r="E103" t="s">
        <v>57</v>
      </c>
      <c r="F103" t="s">
        <v>130</v>
      </c>
      <c r="G103" t="s">
        <v>131</v>
      </c>
      <c r="H103">
        <v>1</v>
      </c>
      <c r="I103" t="s">
        <v>632</v>
      </c>
      <c r="J103" t="s">
        <v>357</v>
      </c>
    </row>
    <row r="104" spans="1:10" x14ac:dyDescent="0.25">
      <c r="A104" t="s">
        <v>633</v>
      </c>
      <c r="B104" t="s">
        <v>634</v>
      </c>
      <c r="C104" s="2">
        <v>46183.583333333336</v>
      </c>
      <c r="D104" t="s">
        <v>418</v>
      </c>
      <c r="E104" t="s">
        <v>59</v>
      </c>
      <c r="F104" t="s">
        <v>132</v>
      </c>
      <c r="G104" t="s">
        <v>133</v>
      </c>
      <c r="H104">
        <v>1</v>
      </c>
      <c r="I104" t="s">
        <v>635</v>
      </c>
      <c r="J104" t="s">
        <v>357</v>
      </c>
    </row>
    <row r="105" spans="1:10" x14ac:dyDescent="0.25">
      <c r="A105" t="s">
        <v>636</v>
      </c>
      <c r="B105" t="s">
        <v>637</v>
      </c>
      <c r="C105" s="2">
        <v>46183.583333333336</v>
      </c>
      <c r="D105" t="s">
        <v>418</v>
      </c>
      <c r="E105" t="s">
        <v>69</v>
      </c>
      <c r="F105" t="s">
        <v>138</v>
      </c>
      <c r="G105" t="s">
        <v>139</v>
      </c>
      <c r="H105">
        <v>7</v>
      </c>
      <c r="I105" t="s">
        <v>638</v>
      </c>
      <c r="J105" t="s">
        <v>357</v>
      </c>
    </row>
    <row r="106" spans="1:10" x14ac:dyDescent="0.25">
      <c r="A106" t="s">
        <v>639</v>
      </c>
      <c r="B106" t="s">
        <v>640</v>
      </c>
      <c r="C106" s="2">
        <v>46183.583333333336</v>
      </c>
      <c r="D106" t="s">
        <v>418</v>
      </c>
      <c r="E106" t="s">
        <v>11</v>
      </c>
      <c r="F106" t="s">
        <v>91</v>
      </c>
      <c r="G106" t="s">
        <v>92</v>
      </c>
      <c r="H106">
        <v>1</v>
      </c>
      <c r="I106" t="s">
        <v>641</v>
      </c>
      <c r="J106" t="s">
        <v>357</v>
      </c>
    </row>
    <row r="107" spans="1:10" x14ac:dyDescent="0.25">
      <c r="A107" t="s">
        <v>642</v>
      </c>
      <c r="B107" t="s">
        <v>643</v>
      </c>
      <c r="C107" s="2">
        <v>46183.583333333336</v>
      </c>
      <c r="D107" t="s">
        <v>418</v>
      </c>
      <c r="E107" t="s">
        <v>24</v>
      </c>
      <c r="F107" t="s">
        <v>100</v>
      </c>
      <c r="G107" t="s">
        <v>101</v>
      </c>
      <c r="H107">
        <v>3</v>
      </c>
      <c r="I107" t="s">
        <v>644</v>
      </c>
      <c r="J107" t="s">
        <v>357</v>
      </c>
    </row>
    <row r="108" spans="1:10" x14ac:dyDescent="0.25">
      <c r="A108" t="s">
        <v>645</v>
      </c>
      <c r="B108" t="s">
        <v>646</v>
      </c>
      <c r="C108" s="2">
        <v>46183.583333333336</v>
      </c>
      <c r="D108" t="s">
        <v>418</v>
      </c>
      <c r="E108" t="s">
        <v>30</v>
      </c>
      <c r="F108" t="s">
        <v>106</v>
      </c>
      <c r="G108" t="s">
        <v>107</v>
      </c>
      <c r="H108">
        <v>1</v>
      </c>
      <c r="I108" t="s">
        <v>647</v>
      </c>
      <c r="J108" t="s">
        <v>357</v>
      </c>
    </row>
    <row r="109" spans="1:10" x14ac:dyDescent="0.25">
      <c r="A109" t="s">
        <v>648</v>
      </c>
      <c r="B109" t="s">
        <v>649</v>
      </c>
      <c r="C109" s="2">
        <v>46183.583333333336</v>
      </c>
      <c r="D109" t="s">
        <v>418</v>
      </c>
      <c r="E109" t="s">
        <v>32</v>
      </c>
      <c r="F109" t="s">
        <v>108</v>
      </c>
      <c r="G109" t="s">
        <v>109</v>
      </c>
      <c r="H109">
        <v>3</v>
      </c>
      <c r="I109" t="s">
        <v>650</v>
      </c>
      <c r="J109" t="s">
        <v>357</v>
      </c>
    </row>
    <row r="110" spans="1:10" x14ac:dyDescent="0.25">
      <c r="A110" t="s">
        <v>651</v>
      </c>
      <c r="B110" t="s">
        <v>652</v>
      </c>
      <c r="C110" s="2">
        <v>46183.583333333336</v>
      </c>
      <c r="D110" t="s">
        <v>418</v>
      </c>
      <c r="E110" t="s">
        <v>43</v>
      </c>
      <c r="F110" t="s">
        <v>116</v>
      </c>
      <c r="G110" t="s">
        <v>117</v>
      </c>
      <c r="H110">
        <v>4</v>
      </c>
      <c r="I110" t="s">
        <v>653</v>
      </c>
      <c r="J110" t="s">
        <v>357</v>
      </c>
    </row>
    <row r="111" spans="1:10" x14ac:dyDescent="0.25">
      <c r="A111" t="s">
        <v>654</v>
      </c>
      <c r="B111" t="s">
        <v>655</v>
      </c>
      <c r="C111" s="2">
        <v>46183.583333333336</v>
      </c>
      <c r="D111" t="s">
        <v>418</v>
      </c>
      <c r="E111" t="s">
        <v>45</v>
      </c>
      <c r="F111" t="s">
        <v>118</v>
      </c>
      <c r="G111" t="s">
        <v>119</v>
      </c>
      <c r="H111">
        <v>2</v>
      </c>
      <c r="I111" t="s">
        <v>656</v>
      </c>
      <c r="J111" t="s">
        <v>357</v>
      </c>
    </row>
    <row r="112" spans="1:10" x14ac:dyDescent="0.25">
      <c r="A112" t="s">
        <v>657</v>
      </c>
      <c r="B112" t="s">
        <v>658</v>
      </c>
      <c r="C112" s="2">
        <v>46183.583333333336</v>
      </c>
      <c r="D112" t="s">
        <v>418</v>
      </c>
      <c r="E112" t="s">
        <v>53</v>
      </c>
      <c r="F112" t="s">
        <v>126</v>
      </c>
      <c r="G112" t="s">
        <v>127</v>
      </c>
      <c r="H112">
        <v>1</v>
      </c>
      <c r="I112" t="s">
        <v>659</v>
      </c>
      <c r="J112" t="s">
        <v>357</v>
      </c>
    </row>
    <row r="113" spans="1:10" x14ac:dyDescent="0.25">
      <c r="A113" t="s">
        <v>660</v>
      </c>
      <c r="B113" t="s">
        <v>661</v>
      </c>
      <c r="C113" s="2">
        <v>46183.583333333336</v>
      </c>
      <c r="D113" t="s">
        <v>418</v>
      </c>
      <c r="E113" t="s">
        <v>57</v>
      </c>
      <c r="F113" t="s">
        <v>130</v>
      </c>
      <c r="G113" t="s">
        <v>131</v>
      </c>
      <c r="H113">
        <v>4</v>
      </c>
      <c r="I113" t="s">
        <v>662</v>
      </c>
      <c r="J113" t="s">
        <v>357</v>
      </c>
    </row>
    <row r="114" spans="1:10" x14ac:dyDescent="0.25">
      <c r="A114" t="s">
        <v>663</v>
      </c>
      <c r="B114" t="s">
        <v>664</v>
      </c>
      <c r="C114" s="2">
        <v>46183.583333333336</v>
      </c>
      <c r="D114" t="s">
        <v>418</v>
      </c>
      <c r="E114" t="s">
        <v>65</v>
      </c>
      <c r="F114" t="s">
        <v>134</v>
      </c>
      <c r="G114" t="s">
        <v>135</v>
      </c>
      <c r="H114">
        <v>4</v>
      </c>
      <c r="I114" t="s">
        <v>665</v>
      </c>
      <c r="J114" t="s">
        <v>357</v>
      </c>
    </row>
    <row r="115" spans="1:10" x14ac:dyDescent="0.25">
      <c r="A115" t="s">
        <v>666</v>
      </c>
      <c r="B115" t="s">
        <v>667</v>
      </c>
      <c r="C115" s="2">
        <v>46183.583333333336</v>
      </c>
      <c r="D115" t="s">
        <v>418</v>
      </c>
      <c r="E115" t="s">
        <v>69</v>
      </c>
      <c r="F115" t="s">
        <v>138</v>
      </c>
      <c r="G115" t="s">
        <v>139</v>
      </c>
      <c r="H115">
        <v>3</v>
      </c>
      <c r="I115" t="s">
        <v>668</v>
      </c>
      <c r="J115" t="s">
        <v>357</v>
      </c>
    </row>
    <row r="116" spans="1:10" x14ac:dyDescent="0.25">
      <c r="A116" t="s">
        <v>669</v>
      </c>
      <c r="B116" t="s">
        <v>670</v>
      </c>
      <c r="C116" s="2">
        <v>46183.583333333336</v>
      </c>
      <c r="D116" t="s">
        <v>418</v>
      </c>
      <c r="E116" t="s">
        <v>77</v>
      </c>
      <c r="F116" t="s">
        <v>146</v>
      </c>
      <c r="G116" t="s">
        <v>147</v>
      </c>
      <c r="H116">
        <v>4</v>
      </c>
      <c r="I116" t="s">
        <v>671</v>
      </c>
      <c r="J116" t="s">
        <v>357</v>
      </c>
    </row>
    <row r="117" spans="1:10" x14ac:dyDescent="0.25">
      <c r="A117" t="s">
        <v>672</v>
      </c>
      <c r="B117" t="s">
        <v>673</v>
      </c>
      <c r="C117" s="2">
        <v>46184.583333333336</v>
      </c>
      <c r="D117" t="s">
        <v>418</v>
      </c>
      <c r="E117" t="s">
        <v>18</v>
      </c>
      <c r="F117" t="s">
        <v>94</v>
      </c>
      <c r="G117" t="s">
        <v>95</v>
      </c>
      <c r="H117">
        <v>2</v>
      </c>
      <c r="I117" t="s">
        <v>674</v>
      </c>
      <c r="J117" t="s">
        <v>357</v>
      </c>
    </row>
    <row r="118" spans="1:10" x14ac:dyDescent="0.25">
      <c r="A118" t="s">
        <v>675</v>
      </c>
      <c r="B118" t="s">
        <v>676</v>
      </c>
      <c r="C118" s="2">
        <v>46184.583333333336</v>
      </c>
      <c r="D118" t="s">
        <v>418</v>
      </c>
      <c r="E118" t="s">
        <v>20</v>
      </c>
      <c r="F118" t="s">
        <v>96</v>
      </c>
      <c r="G118" t="s">
        <v>97</v>
      </c>
      <c r="H118">
        <v>1</v>
      </c>
      <c r="I118" t="s">
        <v>677</v>
      </c>
      <c r="J118" t="s">
        <v>357</v>
      </c>
    </row>
    <row r="119" spans="1:10" x14ac:dyDescent="0.25">
      <c r="A119" t="s">
        <v>678</v>
      </c>
      <c r="B119" t="s">
        <v>679</v>
      </c>
      <c r="C119" s="2">
        <v>46184.583333333336</v>
      </c>
      <c r="D119" t="s">
        <v>418</v>
      </c>
      <c r="E119" t="s">
        <v>22</v>
      </c>
      <c r="F119" t="s">
        <v>98</v>
      </c>
      <c r="G119" t="s">
        <v>99</v>
      </c>
      <c r="H119">
        <v>4</v>
      </c>
      <c r="I119" t="s">
        <v>680</v>
      </c>
      <c r="J119" t="s">
        <v>357</v>
      </c>
    </row>
    <row r="120" spans="1:10" x14ac:dyDescent="0.25">
      <c r="A120" t="s">
        <v>681</v>
      </c>
      <c r="B120" t="s">
        <v>682</v>
      </c>
      <c r="C120" s="2">
        <v>46184.583333333336</v>
      </c>
      <c r="D120" t="s">
        <v>418</v>
      </c>
      <c r="E120" t="s">
        <v>24</v>
      </c>
      <c r="F120" t="s">
        <v>100</v>
      </c>
      <c r="G120" t="s">
        <v>101</v>
      </c>
      <c r="H120">
        <v>2</v>
      </c>
      <c r="I120" t="s">
        <v>683</v>
      </c>
      <c r="J120" t="s">
        <v>357</v>
      </c>
    </row>
    <row r="121" spans="1:10" x14ac:dyDescent="0.25">
      <c r="A121" t="s">
        <v>684</v>
      </c>
      <c r="B121" t="s">
        <v>685</v>
      </c>
      <c r="C121" s="2">
        <v>46184.583333333336</v>
      </c>
      <c r="D121" t="s">
        <v>418</v>
      </c>
      <c r="E121" t="s">
        <v>28</v>
      </c>
      <c r="F121" t="s">
        <v>104</v>
      </c>
      <c r="G121" t="s">
        <v>105</v>
      </c>
      <c r="H121">
        <v>4</v>
      </c>
      <c r="I121" t="s">
        <v>686</v>
      </c>
      <c r="J121" t="s">
        <v>357</v>
      </c>
    </row>
    <row r="122" spans="1:10" x14ac:dyDescent="0.25">
      <c r="A122" t="s">
        <v>687</v>
      </c>
      <c r="B122" t="s">
        <v>688</v>
      </c>
      <c r="C122" s="2">
        <v>46184.583333333336</v>
      </c>
      <c r="D122" t="s">
        <v>418</v>
      </c>
      <c r="E122" t="s">
        <v>49</v>
      </c>
      <c r="F122" t="s">
        <v>122</v>
      </c>
      <c r="G122" t="s">
        <v>123</v>
      </c>
      <c r="H122">
        <v>2</v>
      </c>
      <c r="I122" t="s">
        <v>689</v>
      </c>
      <c r="J122" t="s">
        <v>357</v>
      </c>
    </row>
    <row r="123" spans="1:10" x14ac:dyDescent="0.25">
      <c r="A123" t="s">
        <v>690</v>
      </c>
      <c r="B123" t="s">
        <v>691</v>
      </c>
      <c r="C123" s="2">
        <v>46184.583333333336</v>
      </c>
      <c r="D123" t="s">
        <v>418</v>
      </c>
      <c r="E123" t="s">
        <v>53</v>
      </c>
      <c r="F123" t="s">
        <v>126</v>
      </c>
      <c r="G123" t="s">
        <v>127</v>
      </c>
      <c r="H123">
        <v>1</v>
      </c>
      <c r="I123" t="s">
        <v>692</v>
      </c>
      <c r="J123" t="s">
        <v>357</v>
      </c>
    </row>
    <row r="124" spans="1:10" x14ac:dyDescent="0.25">
      <c r="A124" t="s">
        <v>693</v>
      </c>
      <c r="B124" t="s">
        <v>694</v>
      </c>
      <c r="C124" s="2">
        <v>46184.583333333336</v>
      </c>
      <c r="D124" t="s">
        <v>418</v>
      </c>
      <c r="E124" t="s">
        <v>55</v>
      </c>
      <c r="F124" t="s">
        <v>128</v>
      </c>
      <c r="G124" t="s">
        <v>129</v>
      </c>
      <c r="H124">
        <v>4</v>
      </c>
      <c r="I124" t="s">
        <v>695</v>
      </c>
      <c r="J124" t="s">
        <v>357</v>
      </c>
    </row>
    <row r="125" spans="1:10" x14ac:dyDescent="0.25">
      <c r="A125" t="s">
        <v>696</v>
      </c>
      <c r="B125" t="s">
        <v>697</v>
      </c>
      <c r="C125" s="2">
        <v>46184.583333333336</v>
      </c>
      <c r="D125" t="s">
        <v>418</v>
      </c>
      <c r="E125" t="s">
        <v>57</v>
      </c>
      <c r="F125" t="s">
        <v>130</v>
      </c>
      <c r="G125" t="s">
        <v>131</v>
      </c>
      <c r="H125">
        <v>4</v>
      </c>
      <c r="I125" t="s">
        <v>698</v>
      </c>
      <c r="J125" t="s">
        <v>357</v>
      </c>
    </row>
    <row r="126" spans="1:10" x14ac:dyDescent="0.25">
      <c r="A126" t="s">
        <v>699</v>
      </c>
      <c r="B126" t="s">
        <v>700</v>
      </c>
      <c r="C126" s="2">
        <v>46184.583333333336</v>
      </c>
      <c r="D126" t="s">
        <v>418</v>
      </c>
      <c r="E126" t="s">
        <v>67</v>
      </c>
      <c r="F126" t="s">
        <v>136</v>
      </c>
      <c r="G126" t="s">
        <v>137</v>
      </c>
      <c r="H126">
        <v>2</v>
      </c>
      <c r="I126" t="s">
        <v>701</v>
      </c>
      <c r="J126" t="s">
        <v>357</v>
      </c>
    </row>
    <row r="127" spans="1:10" x14ac:dyDescent="0.25">
      <c r="A127" t="s">
        <v>702</v>
      </c>
      <c r="B127" t="s">
        <v>703</v>
      </c>
      <c r="C127" s="2">
        <v>46184.583333333336</v>
      </c>
      <c r="D127" t="s">
        <v>418</v>
      </c>
      <c r="E127" t="s">
        <v>11</v>
      </c>
      <c r="F127" t="s">
        <v>91</v>
      </c>
      <c r="G127" t="s">
        <v>92</v>
      </c>
      <c r="H127">
        <v>3</v>
      </c>
      <c r="I127" t="s">
        <v>704</v>
      </c>
      <c r="J127" t="s">
        <v>357</v>
      </c>
    </row>
    <row r="128" spans="1:10" x14ac:dyDescent="0.25">
      <c r="A128" t="s">
        <v>705</v>
      </c>
      <c r="B128" t="s">
        <v>706</v>
      </c>
      <c r="C128" s="2">
        <v>46184.583333333336</v>
      </c>
      <c r="D128" t="s">
        <v>418</v>
      </c>
      <c r="E128" t="s">
        <v>20</v>
      </c>
      <c r="F128" t="s">
        <v>96</v>
      </c>
      <c r="G128" t="s">
        <v>97</v>
      </c>
      <c r="H128">
        <v>1</v>
      </c>
      <c r="I128" t="s">
        <v>707</v>
      </c>
      <c r="J128" t="s">
        <v>357</v>
      </c>
    </row>
    <row r="129" spans="1:10" x14ac:dyDescent="0.25">
      <c r="A129" t="s">
        <v>708</v>
      </c>
      <c r="B129" t="s">
        <v>709</v>
      </c>
      <c r="C129" s="2">
        <v>46184.583333333336</v>
      </c>
      <c r="D129" t="s">
        <v>418</v>
      </c>
      <c r="E129" t="s">
        <v>22</v>
      </c>
      <c r="F129" t="s">
        <v>98</v>
      </c>
      <c r="G129" t="s">
        <v>99</v>
      </c>
      <c r="H129">
        <v>1</v>
      </c>
      <c r="I129" t="s">
        <v>710</v>
      </c>
      <c r="J129" t="s">
        <v>357</v>
      </c>
    </row>
    <row r="130" spans="1:10" x14ac:dyDescent="0.25">
      <c r="A130" t="s">
        <v>711</v>
      </c>
      <c r="B130" t="s">
        <v>712</v>
      </c>
      <c r="C130" s="2">
        <v>46184.583333333336</v>
      </c>
      <c r="D130" t="s">
        <v>418</v>
      </c>
      <c r="E130" t="s">
        <v>45</v>
      </c>
      <c r="F130" t="s">
        <v>118</v>
      </c>
      <c r="G130" t="s">
        <v>119</v>
      </c>
      <c r="H130">
        <v>1</v>
      </c>
      <c r="I130" t="s">
        <v>713</v>
      </c>
      <c r="J130" t="s">
        <v>357</v>
      </c>
    </row>
    <row r="131" spans="1:10" x14ac:dyDescent="0.25">
      <c r="A131" t="s">
        <v>714</v>
      </c>
      <c r="B131" t="s">
        <v>715</v>
      </c>
      <c r="C131" s="2">
        <v>46184.583333333336</v>
      </c>
      <c r="D131" t="s">
        <v>418</v>
      </c>
      <c r="E131" t="s">
        <v>55</v>
      </c>
      <c r="F131" t="s">
        <v>128</v>
      </c>
      <c r="G131" t="s">
        <v>129</v>
      </c>
      <c r="H131">
        <v>3</v>
      </c>
      <c r="I131" t="s">
        <v>716</v>
      </c>
      <c r="J131" t="s">
        <v>357</v>
      </c>
    </row>
    <row r="132" spans="1:10" x14ac:dyDescent="0.25">
      <c r="A132" t="s">
        <v>717</v>
      </c>
      <c r="B132" t="s">
        <v>718</v>
      </c>
      <c r="C132" s="2">
        <v>46184.583333333336</v>
      </c>
      <c r="D132" t="s">
        <v>418</v>
      </c>
      <c r="E132" t="s">
        <v>65</v>
      </c>
      <c r="F132" t="s">
        <v>134</v>
      </c>
      <c r="G132" t="s">
        <v>135</v>
      </c>
      <c r="H132">
        <v>3</v>
      </c>
      <c r="I132" t="s">
        <v>719</v>
      </c>
      <c r="J132" t="s">
        <v>357</v>
      </c>
    </row>
    <row r="133" spans="1:10" x14ac:dyDescent="0.25">
      <c r="A133" t="s">
        <v>720</v>
      </c>
      <c r="B133" t="s">
        <v>721</v>
      </c>
      <c r="C133" s="2">
        <v>46184.583333333336</v>
      </c>
      <c r="D133" t="s">
        <v>418</v>
      </c>
      <c r="E133" t="s">
        <v>69</v>
      </c>
      <c r="F133" t="s">
        <v>138</v>
      </c>
      <c r="G133" t="s">
        <v>139</v>
      </c>
      <c r="H133">
        <v>2</v>
      </c>
      <c r="I133" t="s">
        <v>722</v>
      </c>
      <c r="J133" t="s">
        <v>357</v>
      </c>
    </row>
    <row r="134" spans="1:10" x14ac:dyDescent="0.25">
      <c r="A134" t="s">
        <v>723</v>
      </c>
      <c r="B134" t="s">
        <v>724</v>
      </c>
      <c r="C134" s="2">
        <v>46184.583333333336</v>
      </c>
      <c r="D134" t="s">
        <v>418</v>
      </c>
      <c r="E134" t="s">
        <v>71</v>
      </c>
      <c r="F134" t="s">
        <v>140</v>
      </c>
      <c r="G134" t="s">
        <v>141</v>
      </c>
      <c r="H134">
        <v>2</v>
      </c>
      <c r="I134" t="s">
        <v>725</v>
      </c>
      <c r="J134" t="s">
        <v>357</v>
      </c>
    </row>
    <row r="135" spans="1:10" x14ac:dyDescent="0.25">
      <c r="A135" t="s">
        <v>726</v>
      </c>
      <c r="B135" t="s">
        <v>727</v>
      </c>
      <c r="C135" s="2">
        <v>46184.583333333336</v>
      </c>
      <c r="D135" t="s">
        <v>418</v>
      </c>
      <c r="E135" t="s">
        <v>73</v>
      </c>
      <c r="F135" t="s">
        <v>142</v>
      </c>
      <c r="G135" t="s">
        <v>143</v>
      </c>
      <c r="H135">
        <v>2</v>
      </c>
      <c r="I135" t="s">
        <v>728</v>
      </c>
      <c r="J135" t="s">
        <v>357</v>
      </c>
    </row>
    <row r="136" spans="1:10" x14ac:dyDescent="0.25">
      <c r="A136" t="s">
        <v>729</v>
      </c>
      <c r="B136" t="s">
        <v>730</v>
      </c>
      <c r="C136" s="2">
        <v>46184.583333333336</v>
      </c>
      <c r="D136" t="s">
        <v>418</v>
      </c>
      <c r="E136" t="s">
        <v>11</v>
      </c>
      <c r="F136" t="s">
        <v>91</v>
      </c>
      <c r="G136" t="s">
        <v>92</v>
      </c>
      <c r="H136">
        <v>1</v>
      </c>
      <c r="I136" t="s">
        <v>731</v>
      </c>
      <c r="J136" t="s">
        <v>357</v>
      </c>
    </row>
    <row r="137" spans="1:10" x14ac:dyDescent="0.25">
      <c r="A137" t="s">
        <v>732</v>
      </c>
      <c r="B137" t="s">
        <v>733</v>
      </c>
      <c r="C137" s="2">
        <v>46184.583333333336</v>
      </c>
      <c r="D137" t="s">
        <v>418</v>
      </c>
      <c r="E137" t="s">
        <v>18</v>
      </c>
      <c r="F137" t="s">
        <v>94</v>
      </c>
      <c r="G137" t="s">
        <v>95</v>
      </c>
      <c r="H137">
        <v>4</v>
      </c>
      <c r="I137" t="s">
        <v>734</v>
      </c>
      <c r="J137" t="s">
        <v>357</v>
      </c>
    </row>
    <row r="138" spans="1:10" x14ac:dyDescent="0.25">
      <c r="A138" t="s">
        <v>735</v>
      </c>
      <c r="B138" t="s">
        <v>736</v>
      </c>
      <c r="C138" s="2">
        <v>46184.583333333336</v>
      </c>
      <c r="D138" t="s">
        <v>418</v>
      </c>
      <c r="E138" t="s">
        <v>20</v>
      </c>
      <c r="F138" t="s">
        <v>96</v>
      </c>
      <c r="G138" t="s">
        <v>97</v>
      </c>
      <c r="H138">
        <v>6</v>
      </c>
      <c r="I138" t="s">
        <v>737</v>
      </c>
      <c r="J138" t="s">
        <v>357</v>
      </c>
    </row>
    <row r="139" spans="1:10" x14ac:dyDescent="0.25">
      <c r="A139" t="s">
        <v>738</v>
      </c>
      <c r="B139" t="s">
        <v>739</v>
      </c>
      <c r="C139" s="2">
        <v>46184.583333333336</v>
      </c>
      <c r="D139" t="s">
        <v>418</v>
      </c>
      <c r="E139" t="s">
        <v>22</v>
      </c>
      <c r="F139" t="s">
        <v>98</v>
      </c>
      <c r="G139" t="s">
        <v>99</v>
      </c>
      <c r="H139">
        <v>2</v>
      </c>
      <c r="I139" t="s">
        <v>740</v>
      </c>
      <c r="J139" t="s">
        <v>357</v>
      </c>
    </row>
    <row r="140" spans="1:10" x14ac:dyDescent="0.25">
      <c r="A140" t="s">
        <v>741</v>
      </c>
      <c r="B140" t="s">
        <v>742</v>
      </c>
      <c r="C140" s="2">
        <v>46184.583333333336</v>
      </c>
      <c r="D140" t="s">
        <v>418</v>
      </c>
      <c r="E140" t="s">
        <v>32</v>
      </c>
      <c r="F140" t="s">
        <v>108</v>
      </c>
      <c r="G140" t="s">
        <v>109</v>
      </c>
      <c r="H140">
        <v>4</v>
      </c>
      <c r="I140" t="s">
        <v>743</v>
      </c>
      <c r="J140" t="s">
        <v>357</v>
      </c>
    </row>
    <row r="141" spans="1:10" x14ac:dyDescent="0.25">
      <c r="A141" t="s">
        <v>744</v>
      </c>
      <c r="B141" t="s">
        <v>745</v>
      </c>
      <c r="C141" s="2">
        <v>46184.583333333336</v>
      </c>
      <c r="D141" t="s">
        <v>418</v>
      </c>
      <c r="E141" t="s">
        <v>36</v>
      </c>
      <c r="F141" t="s">
        <v>112</v>
      </c>
      <c r="G141" t="s">
        <v>113</v>
      </c>
      <c r="H141">
        <v>2</v>
      </c>
      <c r="I141" t="s">
        <v>746</v>
      </c>
      <c r="J141" t="s">
        <v>357</v>
      </c>
    </row>
    <row r="142" spans="1:10" x14ac:dyDescent="0.25">
      <c r="A142" t="s">
        <v>747</v>
      </c>
      <c r="B142" t="s">
        <v>748</v>
      </c>
      <c r="C142" s="2">
        <v>46184.583333333336</v>
      </c>
      <c r="D142" t="s">
        <v>418</v>
      </c>
      <c r="E142" t="s">
        <v>45</v>
      </c>
      <c r="F142" t="s">
        <v>118</v>
      </c>
      <c r="G142" t="s">
        <v>119</v>
      </c>
      <c r="H142">
        <v>1</v>
      </c>
      <c r="I142" t="s">
        <v>749</v>
      </c>
      <c r="J142" t="s">
        <v>357</v>
      </c>
    </row>
    <row r="143" spans="1:10" x14ac:dyDescent="0.25">
      <c r="A143" t="s">
        <v>750</v>
      </c>
      <c r="B143" t="s">
        <v>751</v>
      </c>
      <c r="C143" s="2">
        <v>46184.583333333336</v>
      </c>
      <c r="D143" t="s">
        <v>418</v>
      </c>
      <c r="E143" t="s">
        <v>59</v>
      </c>
      <c r="F143" t="s">
        <v>132</v>
      </c>
      <c r="G143" t="s">
        <v>133</v>
      </c>
      <c r="H143">
        <v>2</v>
      </c>
      <c r="I143" t="s">
        <v>752</v>
      </c>
      <c r="J143" t="s">
        <v>357</v>
      </c>
    </row>
    <row r="144" spans="1:10" x14ac:dyDescent="0.25">
      <c r="A144" t="s">
        <v>753</v>
      </c>
      <c r="B144" t="s">
        <v>754</v>
      </c>
      <c r="C144" s="2">
        <v>46184.583333333336</v>
      </c>
      <c r="D144" t="s">
        <v>418</v>
      </c>
      <c r="E144" t="s">
        <v>65</v>
      </c>
      <c r="F144" t="s">
        <v>134</v>
      </c>
      <c r="G144" t="s">
        <v>135</v>
      </c>
      <c r="H144">
        <v>4</v>
      </c>
      <c r="I144" t="s">
        <v>755</v>
      </c>
      <c r="J144" t="s">
        <v>357</v>
      </c>
    </row>
    <row r="145" spans="1:10" x14ac:dyDescent="0.25">
      <c r="A145" t="s">
        <v>756</v>
      </c>
      <c r="B145" t="s">
        <v>757</v>
      </c>
      <c r="C145" s="2">
        <v>46184.583333333336</v>
      </c>
      <c r="D145" t="s">
        <v>418</v>
      </c>
      <c r="E145" t="s">
        <v>67</v>
      </c>
      <c r="F145" t="s">
        <v>136</v>
      </c>
      <c r="G145" t="s">
        <v>137</v>
      </c>
      <c r="H145">
        <v>4</v>
      </c>
      <c r="I145" t="s">
        <v>758</v>
      </c>
      <c r="J145" t="s">
        <v>357</v>
      </c>
    </row>
    <row r="146" spans="1:10" x14ac:dyDescent="0.25">
      <c r="A146" t="s">
        <v>759</v>
      </c>
      <c r="B146" t="s">
        <v>760</v>
      </c>
      <c r="C146" s="2">
        <v>46184.583333333336</v>
      </c>
      <c r="D146" t="s">
        <v>418</v>
      </c>
      <c r="E146" t="s">
        <v>71</v>
      </c>
      <c r="F146" t="s">
        <v>140</v>
      </c>
      <c r="G146" t="s">
        <v>141</v>
      </c>
      <c r="H146">
        <v>4</v>
      </c>
      <c r="I146" t="s">
        <v>761</v>
      </c>
      <c r="J146" t="s">
        <v>357</v>
      </c>
    </row>
    <row r="147" spans="1:10" x14ac:dyDescent="0.25">
      <c r="A147" t="s">
        <v>762</v>
      </c>
      <c r="B147" t="s">
        <v>763</v>
      </c>
      <c r="C147" s="2">
        <v>46184.583333333336</v>
      </c>
      <c r="D147" t="s">
        <v>418</v>
      </c>
      <c r="E147" t="s">
        <v>75</v>
      </c>
      <c r="F147" t="s">
        <v>144</v>
      </c>
      <c r="G147" t="s">
        <v>145</v>
      </c>
      <c r="H147">
        <v>6</v>
      </c>
      <c r="I147" t="s">
        <v>764</v>
      </c>
      <c r="J147" t="s">
        <v>357</v>
      </c>
    </row>
    <row r="148" spans="1:10" x14ac:dyDescent="0.25">
      <c r="A148" t="s">
        <v>765</v>
      </c>
      <c r="B148" t="s">
        <v>766</v>
      </c>
      <c r="C148" s="2">
        <v>46184.583333333336</v>
      </c>
      <c r="D148" t="s">
        <v>418</v>
      </c>
      <c r="E148" t="s">
        <v>77</v>
      </c>
      <c r="F148" t="s">
        <v>146</v>
      </c>
      <c r="G148" t="s">
        <v>147</v>
      </c>
      <c r="H148">
        <v>1</v>
      </c>
      <c r="I148" t="s">
        <v>767</v>
      </c>
      <c r="J148" t="s">
        <v>357</v>
      </c>
    </row>
    <row r="149" spans="1:10" x14ac:dyDescent="0.25">
      <c r="A149" t="s">
        <v>768</v>
      </c>
      <c r="B149" t="s">
        <v>769</v>
      </c>
      <c r="C149" s="2">
        <v>46184.583333333336</v>
      </c>
      <c r="D149" t="s">
        <v>418</v>
      </c>
      <c r="E149" t="s">
        <v>11</v>
      </c>
      <c r="F149" t="s">
        <v>91</v>
      </c>
      <c r="G149" t="s">
        <v>92</v>
      </c>
      <c r="H149">
        <v>3</v>
      </c>
      <c r="I149" t="s">
        <v>770</v>
      </c>
      <c r="J149" t="s">
        <v>357</v>
      </c>
    </row>
    <row r="150" spans="1:10" x14ac:dyDescent="0.25">
      <c r="A150" t="s">
        <v>771</v>
      </c>
      <c r="B150" t="s">
        <v>772</v>
      </c>
      <c r="C150" s="2">
        <v>46184.583333333336</v>
      </c>
      <c r="D150" t="s">
        <v>418</v>
      </c>
      <c r="E150" t="s">
        <v>18</v>
      </c>
      <c r="F150" t="s">
        <v>94</v>
      </c>
      <c r="G150" t="s">
        <v>95</v>
      </c>
      <c r="H150">
        <v>3</v>
      </c>
      <c r="I150" t="s">
        <v>773</v>
      </c>
      <c r="J150" t="s">
        <v>357</v>
      </c>
    </row>
    <row r="151" spans="1:10" x14ac:dyDescent="0.25">
      <c r="A151" t="s">
        <v>774</v>
      </c>
      <c r="B151" t="s">
        <v>775</v>
      </c>
      <c r="C151" s="2">
        <v>46184.583333333336</v>
      </c>
      <c r="D151" t="s">
        <v>418</v>
      </c>
      <c r="E151" t="s">
        <v>22</v>
      </c>
      <c r="F151" t="s">
        <v>98</v>
      </c>
      <c r="G151" t="s">
        <v>99</v>
      </c>
      <c r="H151">
        <v>3</v>
      </c>
      <c r="I151" t="s">
        <v>776</v>
      </c>
      <c r="J151" t="s">
        <v>357</v>
      </c>
    </row>
    <row r="152" spans="1:10" x14ac:dyDescent="0.25">
      <c r="A152" t="s">
        <v>777</v>
      </c>
      <c r="B152" t="s">
        <v>778</v>
      </c>
      <c r="C152" s="2">
        <v>46184.583333333336</v>
      </c>
      <c r="D152" t="s">
        <v>418</v>
      </c>
      <c r="E152" t="s">
        <v>24</v>
      </c>
      <c r="F152" t="s">
        <v>100</v>
      </c>
      <c r="G152" t="s">
        <v>101</v>
      </c>
      <c r="H152">
        <v>7</v>
      </c>
      <c r="I152" t="s">
        <v>779</v>
      </c>
      <c r="J152" t="s">
        <v>357</v>
      </c>
    </row>
    <row r="153" spans="1:10" x14ac:dyDescent="0.25">
      <c r="A153" t="s">
        <v>780</v>
      </c>
      <c r="B153" t="s">
        <v>781</v>
      </c>
      <c r="C153" s="2">
        <v>46184.583333333336</v>
      </c>
      <c r="D153" t="s">
        <v>418</v>
      </c>
      <c r="E153" t="s">
        <v>26</v>
      </c>
      <c r="F153" t="s">
        <v>102</v>
      </c>
      <c r="G153" t="s">
        <v>103</v>
      </c>
      <c r="H153">
        <v>3</v>
      </c>
      <c r="I153" t="s">
        <v>782</v>
      </c>
      <c r="J153" t="s">
        <v>357</v>
      </c>
    </row>
    <row r="154" spans="1:10" x14ac:dyDescent="0.25">
      <c r="A154" t="s">
        <v>783</v>
      </c>
      <c r="B154" t="s">
        <v>784</v>
      </c>
      <c r="C154" s="2">
        <v>46184.583333333336</v>
      </c>
      <c r="D154" t="s">
        <v>418</v>
      </c>
      <c r="E154" t="s">
        <v>30</v>
      </c>
      <c r="F154" t="s">
        <v>106</v>
      </c>
      <c r="G154" t="s">
        <v>107</v>
      </c>
      <c r="H154">
        <v>3</v>
      </c>
      <c r="I154" t="s">
        <v>785</v>
      </c>
      <c r="J154" t="s">
        <v>357</v>
      </c>
    </row>
    <row r="155" spans="1:10" x14ac:dyDescent="0.25">
      <c r="A155" t="s">
        <v>786</v>
      </c>
      <c r="B155" t="s">
        <v>787</v>
      </c>
      <c r="C155" s="2">
        <v>46184.583333333336</v>
      </c>
      <c r="D155" t="s">
        <v>418</v>
      </c>
      <c r="E155" t="s">
        <v>32</v>
      </c>
      <c r="F155" t="s">
        <v>108</v>
      </c>
      <c r="G155" t="s">
        <v>109</v>
      </c>
      <c r="H155">
        <v>3</v>
      </c>
      <c r="I155" t="s">
        <v>788</v>
      </c>
      <c r="J155" t="s">
        <v>357</v>
      </c>
    </row>
    <row r="156" spans="1:10" x14ac:dyDescent="0.25">
      <c r="A156" t="s">
        <v>789</v>
      </c>
      <c r="B156" t="s">
        <v>790</v>
      </c>
      <c r="C156" s="2">
        <v>46184.583333333336</v>
      </c>
      <c r="D156" t="s">
        <v>418</v>
      </c>
      <c r="E156" t="s">
        <v>36</v>
      </c>
      <c r="F156" t="s">
        <v>112</v>
      </c>
      <c r="G156" t="s">
        <v>113</v>
      </c>
      <c r="H156">
        <v>4</v>
      </c>
      <c r="I156" t="s">
        <v>791</v>
      </c>
      <c r="J156" t="s">
        <v>357</v>
      </c>
    </row>
    <row r="157" spans="1:10" x14ac:dyDescent="0.25">
      <c r="A157" t="s">
        <v>792</v>
      </c>
      <c r="B157" t="s">
        <v>793</v>
      </c>
      <c r="C157" s="2">
        <v>46184.583333333336</v>
      </c>
      <c r="D157" t="s">
        <v>418</v>
      </c>
      <c r="E157" t="s">
        <v>45</v>
      </c>
      <c r="F157" t="s">
        <v>118</v>
      </c>
      <c r="G157" t="s">
        <v>119</v>
      </c>
      <c r="H157">
        <v>1</v>
      </c>
      <c r="I157" t="s">
        <v>794</v>
      </c>
      <c r="J157" t="s">
        <v>357</v>
      </c>
    </row>
    <row r="158" spans="1:10" x14ac:dyDescent="0.25">
      <c r="A158" t="s">
        <v>795</v>
      </c>
      <c r="B158" t="s">
        <v>796</v>
      </c>
      <c r="C158" s="2">
        <v>46184.583333333336</v>
      </c>
      <c r="D158" t="s">
        <v>418</v>
      </c>
      <c r="E158" t="s">
        <v>49</v>
      </c>
      <c r="F158" t="s">
        <v>122</v>
      </c>
      <c r="G158" t="s">
        <v>123</v>
      </c>
      <c r="H158">
        <v>6</v>
      </c>
      <c r="I158" t="s">
        <v>797</v>
      </c>
      <c r="J158" t="s">
        <v>357</v>
      </c>
    </row>
    <row r="159" spans="1:10" x14ac:dyDescent="0.25">
      <c r="A159" t="s">
        <v>798</v>
      </c>
      <c r="B159" t="s">
        <v>799</v>
      </c>
      <c r="C159" s="2">
        <v>46184.583333333336</v>
      </c>
      <c r="D159" t="s">
        <v>418</v>
      </c>
      <c r="E159" t="s">
        <v>57</v>
      </c>
      <c r="F159" t="s">
        <v>130</v>
      </c>
      <c r="G159" t="s">
        <v>131</v>
      </c>
      <c r="H159">
        <v>1</v>
      </c>
      <c r="I159" t="s">
        <v>800</v>
      </c>
      <c r="J159" t="s">
        <v>357</v>
      </c>
    </row>
    <row r="160" spans="1:10" x14ac:dyDescent="0.25">
      <c r="A160" t="s">
        <v>801</v>
      </c>
      <c r="B160" t="s">
        <v>802</v>
      </c>
      <c r="C160" s="2">
        <v>46184.583333333336</v>
      </c>
      <c r="D160" t="s">
        <v>418</v>
      </c>
      <c r="E160" t="s">
        <v>59</v>
      </c>
      <c r="F160" t="s">
        <v>132</v>
      </c>
      <c r="G160" t="s">
        <v>133</v>
      </c>
      <c r="H160">
        <v>6</v>
      </c>
      <c r="I160" t="s">
        <v>803</v>
      </c>
      <c r="J160" t="s">
        <v>357</v>
      </c>
    </row>
    <row r="161" spans="1:10" x14ac:dyDescent="0.25">
      <c r="A161" t="s">
        <v>804</v>
      </c>
      <c r="B161" t="s">
        <v>805</v>
      </c>
      <c r="C161" s="2">
        <v>46184.583333333336</v>
      </c>
      <c r="D161" t="s">
        <v>418</v>
      </c>
      <c r="E161" t="s">
        <v>65</v>
      </c>
      <c r="F161" t="s">
        <v>134</v>
      </c>
      <c r="G161" t="s">
        <v>135</v>
      </c>
      <c r="H161">
        <v>7</v>
      </c>
      <c r="I161" t="s">
        <v>806</v>
      </c>
      <c r="J161" t="s">
        <v>357</v>
      </c>
    </row>
    <row r="162" spans="1:10" x14ac:dyDescent="0.25">
      <c r="A162" t="s">
        <v>807</v>
      </c>
      <c r="B162" t="s">
        <v>808</v>
      </c>
      <c r="C162" s="2">
        <v>46184.583333333336</v>
      </c>
      <c r="D162" t="s">
        <v>418</v>
      </c>
      <c r="E162" t="s">
        <v>71</v>
      </c>
      <c r="F162" t="s">
        <v>140</v>
      </c>
      <c r="G162" t="s">
        <v>141</v>
      </c>
      <c r="H162">
        <v>7</v>
      </c>
      <c r="I162" t="s">
        <v>809</v>
      </c>
      <c r="J162" t="s">
        <v>357</v>
      </c>
    </row>
    <row r="163" spans="1:10" x14ac:dyDescent="0.25">
      <c r="A163" t="s">
        <v>810</v>
      </c>
      <c r="B163" t="s">
        <v>811</v>
      </c>
      <c r="C163" s="2">
        <v>46184.583333333336</v>
      </c>
      <c r="D163" t="s">
        <v>418</v>
      </c>
      <c r="E163" t="s">
        <v>73</v>
      </c>
      <c r="F163" t="s">
        <v>142</v>
      </c>
      <c r="G163" t="s">
        <v>143</v>
      </c>
      <c r="H163">
        <v>3</v>
      </c>
      <c r="I163" t="s">
        <v>812</v>
      </c>
      <c r="J163" t="s">
        <v>357</v>
      </c>
    </row>
    <row r="164" spans="1:10" x14ac:dyDescent="0.25">
      <c r="A164" t="s">
        <v>813</v>
      </c>
      <c r="B164" t="s">
        <v>814</v>
      </c>
      <c r="C164" s="2">
        <v>46184.583333333336</v>
      </c>
      <c r="D164" t="s">
        <v>418</v>
      </c>
      <c r="E164" t="s">
        <v>77</v>
      </c>
      <c r="F164" t="s">
        <v>146</v>
      </c>
      <c r="G164" t="s">
        <v>147</v>
      </c>
      <c r="H164">
        <v>7</v>
      </c>
      <c r="I164" t="s">
        <v>815</v>
      </c>
      <c r="J164" t="s">
        <v>357</v>
      </c>
    </row>
    <row r="165" spans="1:10" x14ac:dyDescent="0.25">
      <c r="A165" t="s">
        <v>816</v>
      </c>
      <c r="B165" t="s">
        <v>817</v>
      </c>
      <c r="C165" s="2">
        <v>46184.583333333336</v>
      </c>
      <c r="D165" t="s">
        <v>418</v>
      </c>
      <c r="E165" t="s">
        <v>11</v>
      </c>
      <c r="F165" t="s">
        <v>91</v>
      </c>
      <c r="G165" t="s">
        <v>92</v>
      </c>
      <c r="H165">
        <v>1</v>
      </c>
      <c r="I165" t="s">
        <v>818</v>
      </c>
      <c r="J165" t="s">
        <v>357</v>
      </c>
    </row>
    <row r="166" spans="1:10" x14ac:dyDescent="0.25">
      <c r="A166" t="s">
        <v>819</v>
      </c>
      <c r="B166" t="s">
        <v>820</v>
      </c>
      <c r="C166" s="2">
        <v>46184.583333333336</v>
      </c>
      <c r="D166" t="s">
        <v>418</v>
      </c>
      <c r="E166" t="s">
        <v>20</v>
      </c>
      <c r="F166" t="s">
        <v>96</v>
      </c>
      <c r="G166" t="s">
        <v>97</v>
      </c>
      <c r="H166">
        <v>4</v>
      </c>
      <c r="I166" t="s">
        <v>821</v>
      </c>
      <c r="J166" t="s">
        <v>357</v>
      </c>
    </row>
    <row r="167" spans="1:10" x14ac:dyDescent="0.25">
      <c r="A167" t="s">
        <v>822</v>
      </c>
      <c r="B167" t="s">
        <v>823</v>
      </c>
      <c r="C167" s="2">
        <v>46184.583333333336</v>
      </c>
      <c r="D167" t="s">
        <v>418</v>
      </c>
      <c r="E167" t="s">
        <v>22</v>
      </c>
      <c r="F167" t="s">
        <v>98</v>
      </c>
      <c r="G167" t="s">
        <v>99</v>
      </c>
      <c r="H167">
        <v>3</v>
      </c>
      <c r="I167" t="s">
        <v>824</v>
      </c>
      <c r="J167" t="s">
        <v>357</v>
      </c>
    </row>
    <row r="168" spans="1:10" x14ac:dyDescent="0.25">
      <c r="A168" t="s">
        <v>825</v>
      </c>
      <c r="B168" t="s">
        <v>826</v>
      </c>
      <c r="C168" s="2">
        <v>46184.583333333336</v>
      </c>
      <c r="D168" t="s">
        <v>418</v>
      </c>
      <c r="E168" t="s">
        <v>28</v>
      </c>
      <c r="F168" t="s">
        <v>104</v>
      </c>
      <c r="G168" t="s">
        <v>105</v>
      </c>
      <c r="H168">
        <v>3</v>
      </c>
      <c r="I168" t="s">
        <v>827</v>
      </c>
      <c r="J168" t="s">
        <v>357</v>
      </c>
    </row>
    <row r="169" spans="1:10" x14ac:dyDescent="0.25">
      <c r="A169" t="s">
        <v>828</v>
      </c>
      <c r="B169" t="s">
        <v>829</v>
      </c>
      <c r="C169" s="2">
        <v>46184.583333333336</v>
      </c>
      <c r="D169" t="s">
        <v>418</v>
      </c>
      <c r="E169" t="s">
        <v>41</v>
      </c>
      <c r="F169" t="s">
        <v>114</v>
      </c>
      <c r="G169" t="s">
        <v>115</v>
      </c>
      <c r="H169">
        <v>4</v>
      </c>
      <c r="I169" t="s">
        <v>830</v>
      </c>
      <c r="J169" t="s">
        <v>357</v>
      </c>
    </row>
    <row r="170" spans="1:10" x14ac:dyDescent="0.25">
      <c r="A170" t="s">
        <v>831</v>
      </c>
      <c r="B170" t="s">
        <v>832</v>
      </c>
      <c r="C170" s="2">
        <v>46184.583333333336</v>
      </c>
      <c r="D170" t="s">
        <v>418</v>
      </c>
      <c r="E170" t="s">
        <v>43</v>
      </c>
      <c r="F170" t="s">
        <v>116</v>
      </c>
      <c r="G170" t="s">
        <v>117</v>
      </c>
      <c r="H170">
        <v>2</v>
      </c>
      <c r="I170" t="s">
        <v>833</v>
      </c>
      <c r="J170" t="s">
        <v>357</v>
      </c>
    </row>
    <row r="171" spans="1:10" x14ac:dyDescent="0.25">
      <c r="A171" t="s">
        <v>834</v>
      </c>
      <c r="B171" t="s">
        <v>835</v>
      </c>
      <c r="C171" s="2">
        <v>46184.583333333336</v>
      </c>
      <c r="D171" t="s">
        <v>418</v>
      </c>
      <c r="E171" t="s">
        <v>51</v>
      </c>
      <c r="F171" t="s">
        <v>124</v>
      </c>
      <c r="G171" t="s">
        <v>125</v>
      </c>
      <c r="H171">
        <v>1</v>
      </c>
      <c r="I171" t="s">
        <v>836</v>
      </c>
      <c r="J171" t="s">
        <v>357</v>
      </c>
    </row>
    <row r="172" spans="1:10" x14ac:dyDescent="0.25">
      <c r="A172" t="s">
        <v>837</v>
      </c>
      <c r="B172" t="s">
        <v>838</v>
      </c>
      <c r="C172" s="2">
        <v>46184.583333333336</v>
      </c>
      <c r="D172" t="s">
        <v>418</v>
      </c>
      <c r="E172" t="s">
        <v>55</v>
      </c>
      <c r="F172" t="s">
        <v>128</v>
      </c>
      <c r="G172" t="s">
        <v>129</v>
      </c>
      <c r="H172">
        <v>4</v>
      </c>
      <c r="I172" t="s">
        <v>839</v>
      </c>
      <c r="J172" t="s">
        <v>357</v>
      </c>
    </row>
    <row r="173" spans="1:10" x14ac:dyDescent="0.25">
      <c r="A173" t="s">
        <v>840</v>
      </c>
      <c r="B173" t="s">
        <v>841</v>
      </c>
      <c r="C173" s="2">
        <v>46184.583333333336</v>
      </c>
      <c r="D173" t="s">
        <v>418</v>
      </c>
      <c r="E173" t="s">
        <v>59</v>
      </c>
      <c r="F173" t="s">
        <v>132</v>
      </c>
      <c r="G173" t="s">
        <v>133</v>
      </c>
      <c r="H173">
        <v>4</v>
      </c>
      <c r="I173" t="s">
        <v>842</v>
      </c>
      <c r="J173" t="s">
        <v>357</v>
      </c>
    </row>
    <row r="174" spans="1:10" x14ac:dyDescent="0.25">
      <c r="A174" t="s">
        <v>843</v>
      </c>
      <c r="B174" t="s">
        <v>844</v>
      </c>
      <c r="C174" s="2">
        <v>46184.583333333336</v>
      </c>
      <c r="D174" t="s">
        <v>418</v>
      </c>
      <c r="E174" t="s">
        <v>75</v>
      </c>
      <c r="F174" t="s">
        <v>144</v>
      </c>
      <c r="G174" t="s">
        <v>145</v>
      </c>
      <c r="H174">
        <v>1</v>
      </c>
      <c r="I174" t="s">
        <v>845</v>
      </c>
      <c r="J174" t="s">
        <v>357</v>
      </c>
    </row>
    <row r="175" spans="1:10" x14ac:dyDescent="0.25">
      <c r="A175" t="s">
        <v>846</v>
      </c>
      <c r="B175" t="s">
        <v>847</v>
      </c>
      <c r="C175" s="2">
        <v>46185.583333333336</v>
      </c>
      <c r="D175" t="s">
        <v>418</v>
      </c>
      <c r="E175" t="s">
        <v>11</v>
      </c>
      <c r="F175" t="s">
        <v>91</v>
      </c>
      <c r="G175" t="s">
        <v>92</v>
      </c>
      <c r="H175">
        <v>1</v>
      </c>
      <c r="I175" t="s">
        <v>848</v>
      </c>
      <c r="J175" t="s">
        <v>357</v>
      </c>
    </row>
    <row r="176" spans="1:10" x14ac:dyDescent="0.25">
      <c r="A176" t="s">
        <v>849</v>
      </c>
      <c r="B176" t="s">
        <v>850</v>
      </c>
      <c r="C176" s="2">
        <v>46185.583333333336</v>
      </c>
      <c r="D176" t="s">
        <v>418</v>
      </c>
      <c r="E176" t="s">
        <v>20</v>
      </c>
      <c r="F176" t="s">
        <v>96</v>
      </c>
      <c r="G176" t="s">
        <v>97</v>
      </c>
      <c r="H176">
        <v>2</v>
      </c>
      <c r="I176" t="s">
        <v>851</v>
      </c>
      <c r="J176" t="s">
        <v>357</v>
      </c>
    </row>
    <row r="177" spans="1:10" x14ac:dyDescent="0.25">
      <c r="A177" t="s">
        <v>852</v>
      </c>
      <c r="B177" t="s">
        <v>853</v>
      </c>
      <c r="C177" s="2">
        <v>46185.583333333336</v>
      </c>
      <c r="D177" t="s">
        <v>418</v>
      </c>
      <c r="E177" t="s">
        <v>22</v>
      </c>
      <c r="F177" t="s">
        <v>98</v>
      </c>
      <c r="G177" t="s">
        <v>99</v>
      </c>
      <c r="H177">
        <v>2</v>
      </c>
      <c r="I177" t="s">
        <v>854</v>
      </c>
      <c r="J177" t="s">
        <v>357</v>
      </c>
    </row>
    <row r="178" spans="1:10" x14ac:dyDescent="0.25">
      <c r="A178" t="s">
        <v>855</v>
      </c>
      <c r="B178" t="s">
        <v>856</v>
      </c>
      <c r="C178" s="2">
        <v>46185.583333333336</v>
      </c>
      <c r="D178" t="s">
        <v>418</v>
      </c>
      <c r="E178" t="s">
        <v>26</v>
      </c>
      <c r="F178" t="s">
        <v>102</v>
      </c>
      <c r="G178" t="s">
        <v>103</v>
      </c>
      <c r="H178">
        <v>1</v>
      </c>
      <c r="I178" t="s">
        <v>857</v>
      </c>
      <c r="J178" t="s">
        <v>357</v>
      </c>
    </row>
    <row r="179" spans="1:10" x14ac:dyDescent="0.25">
      <c r="A179" t="s">
        <v>858</v>
      </c>
      <c r="B179" t="s">
        <v>859</v>
      </c>
      <c r="C179" s="2">
        <v>46185.583333333336</v>
      </c>
      <c r="D179" t="s">
        <v>418</v>
      </c>
      <c r="E179" t="s">
        <v>36</v>
      </c>
      <c r="F179" t="s">
        <v>112</v>
      </c>
      <c r="G179" t="s">
        <v>113</v>
      </c>
      <c r="H179">
        <v>2</v>
      </c>
      <c r="I179" t="s">
        <v>860</v>
      </c>
      <c r="J179" t="s">
        <v>357</v>
      </c>
    </row>
    <row r="180" spans="1:10" x14ac:dyDescent="0.25">
      <c r="A180" t="s">
        <v>861</v>
      </c>
      <c r="B180" t="s">
        <v>862</v>
      </c>
      <c r="C180" s="2">
        <v>46185.583333333336</v>
      </c>
      <c r="D180" t="s">
        <v>418</v>
      </c>
      <c r="E180" t="s">
        <v>59</v>
      </c>
      <c r="F180" t="s">
        <v>132</v>
      </c>
      <c r="G180" t="s">
        <v>133</v>
      </c>
      <c r="H180">
        <v>2</v>
      </c>
      <c r="I180" t="s">
        <v>863</v>
      </c>
      <c r="J180" t="s">
        <v>357</v>
      </c>
    </row>
    <row r="181" spans="1:10" x14ac:dyDescent="0.25">
      <c r="A181" t="s">
        <v>864</v>
      </c>
      <c r="B181" t="s">
        <v>865</v>
      </c>
      <c r="C181" s="2">
        <v>46185.583333333336</v>
      </c>
      <c r="D181" t="s">
        <v>418</v>
      </c>
      <c r="E181" t="s">
        <v>73</v>
      </c>
      <c r="F181" t="s">
        <v>142</v>
      </c>
      <c r="G181" t="s">
        <v>143</v>
      </c>
      <c r="H181">
        <v>3</v>
      </c>
      <c r="I181" t="s">
        <v>866</v>
      </c>
      <c r="J181" t="s">
        <v>357</v>
      </c>
    </row>
    <row r="182" spans="1:10" x14ac:dyDescent="0.25">
      <c r="A182" t="s">
        <v>867</v>
      </c>
      <c r="B182" t="s">
        <v>868</v>
      </c>
      <c r="C182" s="2">
        <v>46185.583333333336</v>
      </c>
      <c r="D182" t="s">
        <v>418</v>
      </c>
      <c r="E182" t="s">
        <v>75</v>
      </c>
      <c r="F182" t="s">
        <v>144</v>
      </c>
      <c r="G182" t="s">
        <v>145</v>
      </c>
      <c r="H182">
        <v>1</v>
      </c>
      <c r="I182" t="s">
        <v>869</v>
      </c>
      <c r="J182" t="s">
        <v>357</v>
      </c>
    </row>
    <row r="183" spans="1:10" x14ac:dyDescent="0.25">
      <c r="A183" t="s">
        <v>870</v>
      </c>
      <c r="B183" t="s">
        <v>871</v>
      </c>
      <c r="C183" s="2">
        <v>46185.583333333336</v>
      </c>
      <c r="D183" t="s">
        <v>418</v>
      </c>
      <c r="E183" t="s">
        <v>11</v>
      </c>
      <c r="F183" t="s">
        <v>91</v>
      </c>
      <c r="G183" t="s">
        <v>92</v>
      </c>
      <c r="H183">
        <v>1</v>
      </c>
      <c r="I183" t="s">
        <v>872</v>
      </c>
      <c r="J183" t="s">
        <v>357</v>
      </c>
    </row>
    <row r="184" spans="1:10" x14ac:dyDescent="0.25">
      <c r="A184" t="s">
        <v>873</v>
      </c>
      <c r="B184" t="s">
        <v>874</v>
      </c>
      <c r="C184" s="2">
        <v>46185.583333333336</v>
      </c>
      <c r="D184" t="s">
        <v>418</v>
      </c>
      <c r="E184" t="s">
        <v>18</v>
      </c>
      <c r="F184" t="s">
        <v>94</v>
      </c>
      <c r="G184" t="s">
        <v>95</v>
      </c>
      <c r="H184">
        <v>2</v>
      </c>
      <c r="I184" t="s">
        <v>875</v>
      </c>
      <c r="J184" t="s">
        <v>357</v>
      </c>
    </row>
    <row r="185" spans="1:10" x14ac:dyDescent="0.25">
      <c r="A185" t="s">
        <v>876</v>
      </c>
      <c r="B185" t="s">
        <v>877</v>
      </c>
      <c r="C185" s="2">
        <v>46185.583333333336</v>
      </c>
      <c r="D185" t="s">
        <v>418</v>
      </c>
      <c r="E185" t="s">
        <v>20</v>
      </c>
      <c r="F185" t="s">
        <v>96</v>
      </c>
      <c r="G185" t="s">
        <v>97</v>
      </c>
      <c r="H185">
        <v>4</v>
      </c>
      <c r="I185" t="s">
        <v>878</v>
      </c>
      <c r="J185" t="s">
        <v>357</v>
      </c>
    </row>
    <row r="186" spans="1:10" x14ac:dyDescent="0.25">
      <c r="A186" t="s">
        <v>879</v>
      </c>
      <c r="B186" t="s">
        <v>880</v>
      </c>
      <c r="C186" s="2">
        <v>46185.583333333336</v>
      </c>
      <c r="D186" t="s">
        <v>418</v>
      </c>
      <c r="E186" t="s">
        <v>24</v>
      </c>
      <c r="F186" t="s">
        <v>100</v>
      </c>
      <c r="G186" t="s">
        <v>101</v>
      </c>
      <c r="H186">
        <v>4</v>
      </c>
      <c r="I186" t="s">
        <v>881</v>
      </c>
      <c r="J186" t="s">
        <v>357</v>
      </c>
    </row>
    <row r="187" spans="1:10" x14ac:dyDescent="0.25">
      <c r="A187" t="s">
        <v>882</v>
      </c>
      <c r="B187" t="s">
        <v>883</v>
      </c>
      <c r="C187" s="2">
        <v>46185.583333333336</v>
      </c>
      <c r="D187" t="s">
        <v>418</v>
      </c>
      <c r="E187" t="s">
        <v>26</v>
      </c>
      <c r="F187" t="s">
        <v>102</v>
      </c>
      <c r="G187" t="s">
        <v>103</v>
      </c>
      <c r="H187">
        <v>3</v>
      </c>
      <c r="I187" t="s">
        <v>884</v>
      </c>
      <c r="J187" t="s">
        <v>357</v>
      </c>
    </row>
    <row r="188" spans="1:10" x14ac:dyDescent="0.25">
      <c r="A188" t="s">
        <v>885</v>
      </c>
      <c r="B188" t="s">
        <v>886</v>
      </c>
      <c r="C188" s="2">
        <v>46185.583333333336</v>
      </c>
      <c r="D188" t="s">
        <v>418</v>
      </c>
      <c r="E188" t="s">
        <v>49</v>
      </c>
      <c r="F188" t="s">
        <v>122</v>
      </c>
      <c r="G188" t="s">
        <v>123</v>
      </c>
      <c r="H188">
        <v>4</v>
      </c>
      <c r="I188" t="s">
        <v>887</v>
      </c>
      <c r="J188" t="s">
        <v>357</v>
      </c>
    </row>
    <row r="189" spans="1:10" x14ac:dyDescent="0.25">
      <c r="A189" t="s">
        <v>888</v>
      </c>
      <c r="B189" t="s">
        <v>889</v>
      </c>
      <c r="C189" s="2">
        <v>46185.583333333336</v>
      </c>
      <c r="D189" t="s">
        <v>418</v>
      </c>
      <c r="E189" t="s">
        <v>51</v>
      </c>
      <c r="F189" t="s">
        <v>124</v>
      </c>
      <c r="G189" t="s">
        <v>125</v>
      </c>
      <c r="H189">
        <v>4</v>
      </c>
      <c r="I189" t="s">
        <v>890</v>
      </c>
      <c r="J189" t="s">
        <v>357</v>
      </c>
    </row>
    <row r="190" spans="1:10" x14ac:dyDescent="0.25">
      <c r="A190" t="s">
        <v>891</v>
      </c>
      <c r="B190" t="s">
        <v>892</v>
      </c>
      <c r="C190" s="2">
        <v>46185.583333333336</v>
      </c>
      <c r="D190" t="s">
        <v>418</v>
      </c>
      <c r="E190" t="s">
        <v>57</v>
      </c>
      <c r="F190" t="s">
        <v>130</v>
      </c>
      <c r="G190" t="s">
        <v>131</v>
      </c>
      <c r="H190">
        <v>1</v>
      </c>
      <c r="I190" t="s">
        <v>893</v>
      </c>
      <c r="J190" t="s">
        <v>357</v>
      </c>
    </row>
    <row r="191" spans="1:10" x14ac:dyDescent="0.25">
      <c r="A191" t="s">
        <v>894</v>
      </c>
      <c r="B191" t="s">
        <v>895</v>
      </c>
      <c r="C191" s="2">
        <v>46185.583333333336</v>
      </c>
      <c r="D191" t="s">
        <v>418</v>
      </c>
      <c r="E191" t="s">
        <v>65</v>
      </c>
      <c r="F191" t="s">
        <v>134</v>
      </c>
      <c r="G191" t="s">
        <v>135</v>
      </c>
      <c r="H191">
        <v>1</v>
      </c>
      <c r="I191" t="s">
        <v>896</v>
      </c>
      <c r="J191" t="s">
        <v>357</v>
      </c>
    </row>
    <row r="192" spans="1:10" x14ac:dyDescent="0.25">
      <c r="A192" t="s">
        <v>897</v>
      </c>
      <c r="B192" t="s">
        <v>898</v>
      </c>
      <c r="C192" s="2">
        <v>46185.583333333336</v>
      </c>
      <c r="D192" t="s">
        <v>418</v>
      </c>
      <c r="E192" t="s">
        <v>77</v>
      </c>
      <c r="F192" t="s">
        <v>146</v>
      </c>
      <c r="G192" t="s">
        <v>147</v>
      </c>
      <c r="H192">
        <v>2</v>
      </c>
      <c r="I192" t="s">
        <v>899</v>
      </c>
      <c r="J192" t="s">
        <v>357</v>
      </c>
    </row>
    <row r="193" spans="1:10" x14ac:dyDescent="0.25">
      <c r="A193" t="s">
        <v>900</v>
      </c>
      <c r="B193" t="s">
        <v>901</v>
      </c>
      <c r="C193" s="2">
        <v>46185.583333333336</v>
      </c>
      <c r="D193" t="s">
        <v>418</v>
      </c>
      <c r="E193" t="s">
        <v>11</v>
      </c>
      <c r="F193" t="s">
        <v>91</v>
      </c>
      <c r="G193" t="s">
        <v>92</v>
      </c>
      <c r="H193">
        <v>6</v>
      </c>
      <c r="I193" t="s">
        <v>902</v>
      </c>
      <c r="J193" t="s">
        <v>357</v>
      </c>
    </row>
    <row r="194" spans="1:10" x14ac:dyDescent="0.25">
      <c r="A194" t="s">
        <v>903</v>
      </c>
      <c r="B194" t="s">
        <v>904</v>
      </c>
      <c r="C194" s="2">
        <v>46185.583333333336</v>
      </c>
      <c r="D194" t="s">
        <v>418</v>
      </c>
      <c r="E194" t="s">
        <v>26</v>
      </c>
      <c r="F194" t="s">
        <v>102</v>
      </c>
      <c r="G194" t="s">
        <v>103</v>
      </c>
      <c r="H194">
        <v>6</v>
      </c>
      <c r="I194" t="s">
        <v>905</v>
      </c>
      <c r="J194" t="s">
        <v>357</v>
      </c>
    </row>
    <row r="195" spans="1:10" x14ac:dyDescent="0.25">
      <c r="A195" t="s">
        <v>906</v>
      </c>
      <c r="B195" t="s">
        <v>907</v>
      </c>
      <c r="C195" s="2">
        <v>46185.583333333336</v>
      </c>
      <c r="D195" t="s">
        <v>418</v>
      </c>
      <c r="E195" t="s">
        <v>49</v>
      </c>
      <c r="F195" t="s">
        <v>122</v>
      </c>
      <c r="G195" t="s">
        <v>123</v>
      </c>
      <c r="H195">
        <v>4</v>
      </c>
      <c r="I195" t="s">
        <v>908</v>
      </c>
      <c r="J195" t="s">
        <v>357</v>
      </c>
    </row>
    <row r="196" spans="1:10" x14ac:dyDescent="0.25">
      <c r="A196" t="s">
        <v>909</v>
      </c>
      <c r="B196" t="s">
        <v>910</v>
      </c>
      <c r="C196" s="2">
        <v>46185.583333333336</v>
      </c>
      <c r="D196" t="s">
        <v>418</v>
      </c>
      <c r="E196" t="s">
        <v>57</v>
      </c>
      <c r="F196" t="s">
        <v>130</v>
      </c>
      <c r="G196" t="s">
        <v>131</v>
      </c>
      <c r="H196">
        <v>1</v>
      </c>
      <c r="I196" t="s">
        <v>911</v>
      </c>
      <c r="J196" t="s">
        <v>357</v>
      </c>
    </row>
    <row r="197" spans="1:10" x14ac:dyDescent="0.25">
      <c r="A197" t="s">
        <v>912</v>
      </c>
      <c r="B197" t="s">
        <v>913</v>
      </c>
      <c r="C197" s="2">
        <v>46185.583333333336</v>
      </c>
      <c r="D197" t="s">
        <v>418</v>
      </c>
      <c r="E197" t="s">
        <v>65</v>
      </c>
      <c r="F197" t="s">
        <v>134</v>
      </c>
      <c r="G197" t="s">
        <v>135</v>
      </c>
      <c r="H197">
        <v>1</v>
      </c>
      <c r="I197" t="s">
        <v>914</v>
      </c>
      <c r="J197" t="s">
        <v>357</v>
      </c>
    </row>
    <row r="198" spans="1:10" x14ac:dyDescent="0.25">
      <c r="A198" t="s">
        <v>915</v>
      </c>
      <c r="B198" t="s">
        <v>916</v>
      </c>
      <c r="C198" s="2">
        <v>46185.583333333336</v>
      </c>
      <c r="D198" t="s">
        <v>418</v>
      </c>
      <c r="E198" t="s">
        <v>11</v>
      </c>
      <c r="F198" t="s">
        <v>91</v>
      </c>
      <c r="G198" t="s">
        <v>92</v>
      </c>
      <c r="H198">
        <v>3</v>
      </c>
      <c r="I198" t="s">
        <v>917</v>
      </c>
      <c r="J198" t="s">
        <v>357</v>
      </c>
    </row>
    <row r="199" spans="1:10" x14ac:dyDescent="0.25">
      <c r="A199" t="s">
        <v>918</v>
      </c>
      <c r="B199" t="s">
        <v>919</v>
      </c>
      <c r="C199" s="2">
        <v>46185.583333333336</v>
      </c>
      <c r="D199" t="s">
        <v>418</v>
      </c>
      <c r="E199" t="s">
        <v>18</v>
      </c>
      <c r="F199" t="s">
        <v>94</v>
      </c>
      <c r="G199" t="s">
        <v>95</v>
      </c>
      <c r="H199">
        <v>4</v>
      </c>
      <c r="I199" t="s">
        <v>920</v>
      </c>
      <c r="J199" t="s">
        <v>357</v>
      </c>
    </row>
    <row r="200" spans="1:10" x14ac:dyDescent="0.25">
      <c r="A200" t="s">
        <v>921</v>
      </c>
      <c r="B200" t="s">
        <v>922</v>
      </c>
      <c r="C200" s="2">
        <v>46185.583333333336</v>
      </c>
      <c r="D200" t="s">
        <v>418</v>
      </c>
      <c r="E200" t="s">
        <v>20</v>
      </c>
      <c r="F200" t="s">
        <v>96</v>
      </c>
      <c r="G200" t="s">
        <v>97</v>
      </c>
      <c r="H200">
        <v>1</v>
      </c>
      <c r="I200" t="s">
        <v>923</v>
      </c>
      <c r="J200" t="s">
        <v>357</v>
      </c>
    </row>
    <row r="201" spans="1:10" x14ac:dyDescent="0.25">
      <c r="A201" t="s">
        <v>924</v>
      </c>
      <c r="B201" t="s">
        <v>925</v>
      </c>
      <c r="C201" s="2">
        <v>46185.583333333336</v>
      </c>
      <c r="D201" t="s">
        <v>418</v>
      </c>
      <c r="E201" t="s">
        <v>22</v>
      </c>
      <c r="F201" t="s">
        <v>98</v>
      </c>
      <c r="G201" t="s">
        <v>99</v>
      </c>
      <c r="H201">
        <v>3</v>
      </c>
      <c r="I201" t="s">
        <v>926</v>
      </c>
      <c r="J201" t="s">
        <v>357</v>
      </c>
    </row>
    <row r="202" spans="1:10" x14ac:dyDescent="0.25">
      <c r="A202" t="s">
        <v>927</v>
      </c>
      <c r="B202" t="s">
        <v>928</v>
      </c>
      <c r="C202" s="2">
        <v>46185.583333333336</v>
      </c>
      <c r="D202" t="s">
        <v>418</v>
      </c>
      <c r="E202" t="s">
        <v>24</v>
      </c>
      <c r="F202" t="s">
        <v>100</v>
      </c>
      <c r="G202" t="s">
        <v>101</v>
      </c>
      <c r="H202">
        <v>6</v>
      </c>
      <c r="I202" t="s">
        <v>929</v>
      </c>
      <c r="J202" t="s">
        <v>357</v>
      </c>
    </row>
    <row r="203" spans="1:10" x14ac:dyDescent="0.25">
      <c r="A203" t="s">
        <v>930</v>
      </c>
      <c r="B203" t="s">
        <v>931</v>
      </c>
      <c r="C203" s="2">
        <v>46185.583333333336</v>
      </c>
      <c r="D203" t="s">
        <v>418</v>
      </c>
      <c r="E203" t="s">
        <v>30</v>
      </c>
      <c r="F203" t="s">
        <v>106</v>
      </c>
      <c r="G203" t="s">
        <v>107</v>
      </c>
      <c r="H203">
        <v>7</v>
      </c>
      <c r="I203" t="s">
        <v>932</v>
      </c>
      <c r="J203" t="s">
        <v>357</v>
      </c>
    </row>
    <row r="204" spans="1:10" x14ac:dyDescent="0.25">
      <c r="A204" t="s">
        <v>933</v>
      </c>
      <c r="B204" t="s">
        <v>934</v>
      </c>
      <c r="C204" s="2">
        <v>46185.583333333336</v>
      </c>
      <c r="D204" t="s">
        <v>418</v>
      </c>
      <c r="E204" t="s">
        <v>36</v>
      </c>
      <c r="F204" t="s">
        <v>112</v>
      </c>
      <c r="G204" t="s">
        <v>113</v>
      </c>
      <c r="H204">
        <v>4</v>
      </c>
      <c r="I204" t="s">
        <v>935</v>
      </c>
      <c r="J204" t="s">
        <v>357</v>
      </c>
    </row>
    <row r="205" spans="1:10" x14ac:dyDescent="0.25">
      <c r="A205" t="s">
        <v>936</v>
      </c>
      <c r="B205" t="s">
        <v>937</v>
      </c>
      <c r="C205" s="2">
        <v>46185.583333333336</v>
      </c>
      <c r="D205" t="s">
        <v>418</v>
      </c>
      <c r="E205" t="s">
        <v>49</v>
      </c>
      <c r="F205" t="s">
        <v>122</v>
      </c>
      <c r="G205" t="s">
        <v>123</v>
      </c>
      <c r="H205">
        <v>7</v>
      </c>
      <c r="I205" t="s">
        <v>938</v>
      </c>
      <c r="J205" t="s">
        <v>357</v>
      </c>
    </row>
    <row r="206" spans="1:10" x14ac:dyDescent="0.25">
      <c r="A206" t="s">
        <v>939</v>
      </c>
      <c r="B206" t="s">
        <v>940</v>
      </c>
      <c r="C206" s="2">
        <v>46185.583333333336</v>
      </c>
      <c r="D206" t="s">
        <v>418</v>
      </c>
      <c r="E206" t="s">
        <v>59</v>
      </c>
      <c r="F206" t="s">
        <v>132</v>
      </c>
      <c r="G206" t="s">
        <v>133</v>
      </c>
      <c r="H206">
        <v>1</v>
      </c>
      <c r="I206" t="s">
        <v>941</v>
      </c>
      <c r="J206" t="s">
        <v>357</v>
      </c>
    </row>
    <row r="207" spans="1:10" x14ac:dyDescent="0.25">
      <c r="A207" t="s">
        <v>942</v>
      </c>
      <c r="B207" t="s">
        <v>943</v>
      </c>
      <c r="C207" s="2">
        <v>46185.583333333336</v>
      </c>
      <c r="D207" t="s">
        <v>418</v>
      </c>
      <c r="E207" t="s">
        <v>65</v>
      </c>
      <c r="F207" t="s">
        <v>134</v>
      </c>
      <c r="G207" t="s">
        <v>135</v>
      </c>
      <c r="H207">
        <v>6</v>
      </c>
      <c r="I207" t="s">
        <v>944</v>
      </c>
      <c r="J207" t="s">
        <v>357</v>
      </c>
    </row>
    <row r="208" spans="1:10" x14ac:dyDescent="0.25">
      <c r="A208" t="s">
        <v>945</v>
      </c>
      <c r="B208" t="s">
        <v>946</v>
      </c>
      <c r="C208" s="2">
        <v>46185.583333333336</v>
      </c>
      <c r="D208" t="s">
        <v>418</v>
      </c>
      <c r="E208" t="s">
        <v>69</v>
      </c>
      <c r="F208" t="s">
        <v>138</v>
      </c>
      <c r="G208" t="s">
        <v>139</v>
      </c>
      <c r="H208">
        <v>1</v>
      </c>
      <c r="I208" t="s">
        <v>947</v>
      </c>
      <c r="J208" t="s">
        <v>357</v>
      </c>
    </row>
    <row r="209" spans="1:10" x14ac:dyDescent="0.25">
      <c r="A209" t="s">
        <v>948</v>
      </c>
      <c r="B209" t="s">
        <v>949</v>
      </c>
      <c r="C209" s="2">
        <v>46185.583333333336</v>
      </c>
      <c r="D209" t="s">
        <v>418</v>
      </c>
      <c r="E209" t="s">
        <v>73</v>
      </c>
      <c r="F209" t="s">
        <v>142</v>
      </c>
      <c r="G209" t="s">
        <v>143</v>
      </c>
      <c r="H209">
        <v>3</v>
      </c>
      <c r="I209" t="s">
        <v>950</v>
      </c>
      <c r="J209" t="s">
        <v>357</v>
      </c>
    </row>
    <row r="210" spans="1:10" x14ac:dyDescent="0.25">
      <c r="A210" t="s">
        <v>951</v>
      </c>
      <c r="B210" t="s">
        <v>952</v>
      </c>
      <c r="C210" s="2">
        <v>46185.583333333336</v>
      </c>
      <c r="D210" t="s">
        <v>418</v>
      </c>
      <c r="E210" t="s">
        <v>75</v>
      </c>
      <c r="F210" t="s">
        <v>144</v>
      </c>
      <c r="G210" t="s">
        <v>145</v>
      </c>
      <c r="H210">
        <v>1</v>
      </c>
      <c r="I210" t="s">
        <v>953</v>
      </c>
      <c r="J210" t="s">
        <v>357</v>
      </c>
    </row>
    <row r="211" spans="1:10" x14ac:dyDescent="0.25">
      <c r="A211" t="s">
        <v>954</v>
      </c>
      <c r="B211" t="s">
        <v>955</v>
      </c>
      <c r="C211" s="2">
        <v>46185.583333333336</v>
      </c>
      <c r="D211" t="s">
        <v>418</v>
      </c>
      <c r="E211" t="s">
        <v>11</v>
      </c>
      <c r="F211" t="s">
        <v>91</v>
      </c>
      <c r="G211" t="s">
        <v>92</v>
      </c>
      <c r="H211">
        <v>4</v>
      </c>
      <c r="I211" t="s">
        <v>956</v>
      </c>
      <c r="J211" t="s">
        <v>357</v>
      </c>
    </row>
    <row r="212" spans="1:10" x14ac:dyDescent="0.25">
      <c r="A212" t="s">
        <v>957</v>
      </c>
      <c r="B212" t="s">
        <v>958</v>
      </c>
      <c r="C212" s="2">
        <v>46185.583333333336</v>
      </c>
      <c r="D212" t="s">
        <v>418</v>
      </c>
      <c r="E212" t="s">
        <v>20</v>
      </c>
      <c r="F212" t="s">
        <v>96</v>
      </c>
      <c r="G212" t="s">
        <v>97</v>
      </c>
      <c r="H212">
        <v>3</v>
      </c>
      <c r="I212" t="s">
        <v>959</v>
      </c>
      <c r="J212" t="s">
        <v>357</v>
      </c>
    </row>
    <row r="213" spans="1:10" x14ac:dyDescent="0.25">
      <c r="A213" t="s">
        <v>960</v>
      </c>
      <c r="B213" t="s">
        <v>961</v>
      </c>
      <c r="C213" s="2">
        <v>46185.583333333336</v>
      </c>
      <c r="D213" t="s">
        <v>418</v>
      </c>
      <c r="E213" t="s">
        <v>26</v>
      </c>
      <c r="F213" t="s">
        <v>102</v>
      </c>
      <c r="G213" t="s">
        <v>103</v>
      </c>
      <c r="H213">
        <v>1</v>
      </c>
      <c r="I213" t="s">
        <v>962</v>
      </c>
      <c r="J213" t="s">
        <v>357</v>
      </c>
    </row>
    <row r="214" spans="1:10" x14ac:dyDescent="0.25">
      <c r="A214" t="s">
        <v>963</v>
      </c>
      <c r="B214" t="s">
        <v>964</v>
      </c>
      <c r="C214" s="2">
        <v>46185.583333333336</v>
      </c>
      <c r="D214" t="s">
        <v>418</v>
      </c>
      <c r="E214" t="s">
        <v>41</v>
      </c>
      <c r="F214" t="s">
        <v>114</v>
      </c>
      <c r="G214" t="s">
        <v>115</v>
      </c>
      <c r="H214">
        <v>1</v>
      </c>
      <c r="I214" t="s">
        <v>965</v>
      </c>
      <c r="J214" t="s">
        <v>357</v>
      </c>
    </row>
    <row r="215" spans="1:10" x14ac:dyDescent="0.25">
      <c r="A215" t="s">
        <v>966</v>
      </c>
      <c r="B215" t="s">
        <v>967</v>
      </c>
      <c r="C215" s="2">
        <v>46185.583333333336</v>
      </c>
      <c r="D215" t="s">
        <v>418</v>
      </c>
      <c r="E215" t="s">
        <v>49</v>
      </c>
      <c r="F215" t="s">
        <v>122</v>
      </c>
      <c r="G215" t="s">
        <v>123</v>
      </c>
      <c r="H215">
        <v>3</v>
      </c>
      <c r="I215" t="s">
        <v>968</v>
      </c>
      <c r="J215" t="s">
        <v>357</v>
      </c>
    </row>
    <row r="216" spans="1:10" x14ac:dyDescent="0.25">
      <c r="A216" t="s">
        <v>969</v>
      </c>
      <c r="B216" t="s">
        <v>970</v>
      </c>
      <c r="C216" s="2">
        <v>46185.583333333336</v>
      </c>
      <c r="D216" t="s">
        <v>418</v>
      </c>
      <c r="E216" t="s">
        <v>51</v>
      </c>
      <c r="F216" t="s">
        <v>124</v>
      </c>
      <c r="G216" t="s">
        <v>125</v>
      </c>
      <c r="H216">
        <v>4</v>
      </c>
      <c r="I216" t="s">
        <v>971</v>
      </c>
      <c r="J216" t="s">
        <v>357</v>
      </c>
    </row>
    <row r="217" spans="1:10" x14ac:dyDescent="0.25">
      <c r="A217" t="s">
        <v>972</v>
      </c>
      <c r="B217" t="s">
        <v>973</v>
      </c>
      <c r="C217" s="2">
        <v>46185.583333333336</v>
      </c>
      <c r="D217" t="s">
        <v>418</v>
      </c>
      <c r="E217" t="s">
        <v>59</v>
      </c>
      <c r="F217" t="s">
        <v>132</v>
      </c>
      <c r="G217" t="s">
        <v>133</v>
      </c>
      <c r="H217">
        <v>4</v>
      </c>
      <c r="I217" t="s">
        <v>974</v>
      </c>
      <c r="J217" t="s">
        <v>357</v>
      </c>
    </row>
    <row r="218" spans="1:10" x14ac:dyDescent="0.25">
      <c r="A218" t="s">
        <v>975</v>
      </c>
      <c r="B218" t="s">
        <v>976</v>
      </c>
      <c r="C218" s="2">
        <v>46185.583333333336</v>
      </c>
      <c r="D218" t="s">
        <v>418</v>
      </c>
      <c r="E218" t="s">
        <v>65</v>
      </c>
      <c r="F218" t="s">
        <v>134</v>
      </c>
      <c r="G218" t="s">
        <v>135</v>
      </c>
      <c r="H218">
        <v>4</v>
      </c>
      <c r="I218" t="s">
        <v>977</v>
      </c>
      <c r="J218" t="s">
        <v>357</v>
      </c>
    </row>
    <row r="219" spans="1:10" x14ac:dyDescent="0.25">
      <c r="A219" t="s">
        <v>978</v>
      </c>
      <c r="B219" t="s">
        <v>979</v>
      </c>
      <c r="C219" s="2">
        <v>46185.583333333336</v>
      </c>
      <c r="D219" t="s">
        <v>418</v>
      </c>
      <c r="E219" t="s">
        <v>73</v>
      </c>
      <c r="F219" t="s">
        <v>142</v>
      </c>
      <c r="G219" t="s">
        <v>143</v>
      </c>
      <c r="H219">
        <v>1</v>
      </c>
      <c r="I219" t="s">
        <v>980</v>
      </c>
      <c r="J219" t="s">
        <v>357</v>
      </c>
    </row>
    <row r="220" spans="1:10" x14ac:dyDescent="0.25">
      <c r="A220" t="s">
        <v>981</v>
      </c>
      <c r="B220" t="s">
        <v>982</v>
      </c>
      <c r="C220" s="2">
        <v>46185.583333333336</v>
      </c>
      <c r="D220" t="s">
        <v>418</v>
      </c>
      <c r="E220" t="s">
        <v>75</v>
      </c>
      <c r="F220" t="s">
        <v>144</v>
      </c>
      <c r="G220" t="s">
        <v>145</v>
      </c>
      <c r="H220">
        <v>3</v>
      </c>
      <c r="I220" t="s">
        <v>983</v>
      </c>
      <c r="J220" t="s">
        <v>357</v>
      </c>
    </row>
    <row r="221" spans="1:10" x14ac:dyDescent="0.25">
      <c r="A221" t="s">
        <v>984</v>
      </c>
      <c r="B221" t="s">
        <v>985</v>
      </c>
      <c r="C221" s="2">
        <v>46186.583333333336</v>
      </c>
      <c r="D221" t="s">
        <v>418</v>
      </c>
      <c r="E221" t="s">
        <v>11</v>
      </c>
      <c r="F221" t="s">
        <v>91</v>
      </c>
      <c r="G221" t="s">
        <v>92</v>
      </c>
      <c r="H221">
        <v>1</v>
      </c>
      <c r="I221" t="s">
        <v>986</v>
      </c>
      <c r="J221" t="s">
        <v>357</v>
      </c>
    </row>
    <row r="222" spans="1:10" x14ac:dyDescent="0.25">
      <c r="A222" t="s">
        <v>987</v>
      </c>
      <c r="B222" t="s">
        <v>988</v>
      </c>
      <c r="C222" s="2">
        <v>46186.583333333336</v>
      </c>
      <c r="D222" t="s">
        <v>418</v>
      </c>
      <c r="E222" t="s">
        <v>18</v>
      </c>
      <c r="F222" t="s">
        <v>94</v>
      </c>
      <c r="G222" t="s">
        <v>95</v>
      </c>
      <c r="H222">
        <v>2</v>
      </c>
      <c r="I222" t="s">
        <v>989</v>
      </c>
      <c r="J222" t="s">
        <v>357</v>
      </c>
    </row>
    <row r="223" spans="1:10" x14ac:dyDescent="0.25">
      <c r="A223" t="s">
        <v>990</v>
      </c>
      <c r="B223" t="s">
        <v>991</v>
      </c>
      <c r="C223" s="2">
        <v>46186.583333333336</v>
      </c>
      <c r="D223" t="s">
        <v>418</v>
      </c>
      <c r="E223" t="s">
        <v>20</v>
      </c>
      <c r="F223" t="s">
        <v>96</v>
      </c>
      <c r="G223" t="s">
        <v>97</v>
      </c>
      <c r="H223">
        <v>5</v>
      </c>
      <c r="I223" t="s">
        <v>992</v>
      </c>
      <c r="J223" t="s">
        <v>357</v>
      </c>
    </row>
    <row r="224" spans="1:10" x14ac:dyDescent="0.25">
      <c r="A224" t="s">
        <v>993</v>
      </c>
      <c r="B224" t="s">
        <v>994</v>
      </c>
      <c r="C224" s="2">
        <v>46186.583333333336</v>
      </c>
      <c r="D224" t="s">
        <v>418</v>
      </c>
      <c r="E224" t="s">
        <v>22</v>
      </c>
      <c r="F224" t="s">
        <v>98</v>
      </c>
      <c r="G224" t="s">
        <v>99</v>
      </c>
      <c r="H224">
        <v>1</v>
      </c>
      <c r="I224" t="s">
        <v>995</v>
      </c>
      <c r="J224" t="s">
        <v>357</v>
      </c>
    </row>
    <row r="225" spans="1:10" x14ac:dyDescent="0.25">
      <c r="A225" t="s">
        <v>996</v>
      </c>
      <c r="B225" t="s">
        <v>997</v>
      </c>
      <c r="C225" s="2">
        <v>46186.583333333336</v>
      </c>
      <c r="D225" t="s">
        <v>418</v>
      </c>
      <c r="E225" t="s">
        <v>30</v>
      </c>
      <c r="F225" t="s">
        <v>106</v>
      </c>
      <c r="G225" t="s">
        <v>107</v>
      </c>
      <c r="H225">
        <v>5</v>
      </c>
      <c r="I225" t="s">
        <v>998</v>
      </c>
      <c r="J225" t="s">
        <v>357</v>
      </c>
    </row>
    <row r="226" spans="1:10" x14ac:dyDescent="0.25">
      <c r="A226" t="s">
        <v>999</v>
      </c>
      <c r="B226" t="s">
        <v>1000</v>
      </c>
      <c r="C226" s="2">
        <v>46186.583333333336</v>
      </c>
      <c r="D226" t="s">
        <v>418</v>
      </c>
      <c r="E226" t="s">
        <v>32</v>
      </c>
      <c r="F226" t="s">
        <v>108</v>
      </c>
      <c r="G226" t="s">
        <v>109</v>
      </c>
      <c r="H226">
        <v>2</v>
      </c>
      <c r="I226" t="s">
        <v>1001</v>
      </c>
      <c r="J226" t="s">
        <v>357</v>
      </c>
    </row>
    <row r="227" spans="1:10" x14ac:dyDescent="0.25">
      <c r="A227" t="s">
        <v>1002</v>
      </c>
      <c r="B227" t="s">
        <v>1003</v>
      </c>
      <c r="C227" s="2">
        <v>46186.583333333336</v>
      </c>
      <c r="D227" t="s">
        <v>418</v>
      </c>
      <c r="E227" t="s">
        <v>36</v>
      </c>
      <c r="F227" t="s">
        <v>112</v>
      </c>
      <c r="G227" t="s">
        <v>113</v>
      </c>
      <c r="H227">
        <v>4</v>
      </c>
      <c r="I227" t="s">
        <v>1004</v>
      </c>
      <c r="J227" t="s">
        <v>357</v>
      </c>
    </row>
    <row r="228" spans="1:10" x14ac:dyDescent="0.25">
      <c r="A228" t="s">
        <v>1005</v>
      </c>
      <c r="B228" t="s">
        <v>1006</v>
      </c>
      <c r="C228" s="2">
        <v>46186.583333333336</v>
      </c>
      <c r="D228" t="s">
        <v>418</v>
      </c>
      <c r="E228" t="s">
        <v>45</v>
      </c>
      <c r="F228" t="s">
        <v>118</v>
      </c>
      <c r="G228" t="s">
        <v>119</v>
      </c>
      <c r="H228">
        <v>1</v>
      </c>
      <c r="I228" t="s">
        <v>1007</v>
      </c>
      <c r="J228" t="s">
        <v>357</v>
      </c>
    </row>
    <row r="229" spans="1:10" x14ac:dyDescent="0.25">
      <c r="A229" t="s">
        <v>1008</v>
      </c>
      <c r="B229" t="s">
        <v>1009</v>
      </c>
      <c r="C229" s="2">
        <v>46186.583333333336</v>
      </c>
      <c r="D229" t="s">
        <v>418</v>
      </c>
      <c r="E229" t="s">
        <v>49</v>
      </c>
      <c r="F229" t="s">
        <v>122</v>
      </c>
      <c r="G229" t="s">
        <v>123</v>
      </c>
      <c r="H229">
        <v>5</v>
      </c>
      <c r="I229" t="s">
        <v>1010</v>
      </c>
      <c r="J229" t="s">
        <v>357</v>
      </c>
    </row>
    <row r="230" spans="1:10" x14ac:dyDescent="0.25">
      <c r="A230" t="s">
        <v>1011</v>
      </c>
      <c r="B230" t="s">
        <v>1012</v>
      </c>
      <c r="C230" s="2">
        <v>46186.583333333336</v>
      </c>
      <c r="D230" t="s">
        <v>418</v>
      </c>
      <c r="E230" t="s">
        <v>73</v>
      </c>
      <c r="F230" t="s">
        <v>142</v>
      </c>
      <c r="G230" t="s">
        <v>143</v>
      </c>
      <c r="H230">
        <v>1</v>
      </c>
      <c r="I230" t="s">
        <v>1013</v>
      </c>
      <c r="J230" t="s">
        <v>357</v>
      </c>
    </row>
    <row r="231" spans="1:10" x14ac:dyDescent="0.25">
      <c r="A231" t="s">
        <v>1014</v>
      </c>
      <c r="B231" t="s">
        <v>1015</v>
      </c>
      <c r="C231" s="2">
        <v>46186.583333333336</v>
      </c>
      <c r="D231" t="s">
        <v>418</v>
      </c>
      <c r="E231" t="s">
        <v>75</v>
      </c>
      <c r="F231" t="s">
        <v>144</v>
      </c>
      <c r="G231" t="s">
        <v>145</v>
      </c>
      <c r="H231">
        <v>1</v>
      </c>
      <c r="I231" t="s">
        <v>1016</v>
      </c>
      <c r="J231" t="s">
        <v>357</v>
      </c>
    </row>
    <row r="232" spans="1:10" x14ac:dyDescent="0.25">
      <c r="A232" t="s">
        <v>1017</v>
      </c>
      <c r="B232" t="s">
        <v>1018</v>
      </c>
      <c r="C232" s="2">
        <v>46186.583333333336</v>
      </c>
      <c r="D232" t="s">
        <v>418</v>
      </c>
      <c r="E232" t="s">
        <v>11</v>
      </c>
      <c r="F232" t="s">
        <v>91</v>
      </c>
      <c r="G232" t="s">
        <v>92</v>
      </c>
      <c r="H232">
        <v>4</v>
      </c>
      <c r="I232" t="s">
        <v>1019</v>
      </c>
      <c r="J232" t="s">
        <v>357</v>
      </c>
    </row>
    <row r="233" spans="1:10" x14ac:dyDescent="0.25">
      <c r="A233" t="s">
        <v>1020</v>
      </c>
      <c r="B233" t="s">
        <v>1021</v>
      </c>
      <c r="C233" s="2">
        <v>46186.583333333336</v>
      </c>
      <c r="D233" t="s">
        <v>418</v>
      </c>
      <c r="E233" t="s">
        <v>18</v>
      </c>
      <c r="F233" t="s">
        <v>94</v>
      </c>
      <c r="G233" t="s">
        <v>95</v>
      </c>
      <c r="H233">
        <v>1</v>
      </c>
      <c r="I233" t="s">
        <v>1022</v>
      </c>
      <c r="J233" t="s">
        <v>357</v>
      </c>
    </row>
    <row r="234" spans="1:10" x14ac:dyDescent="0.25">
      <c r="A234" t="s">
        <v>1023</v>
      </c>
      <c r="B234" t="s">
        <v>1024</v>
      </c>
      <c r="C234" s="2">
        <v>46186.583333333336</v>
      </c>
      <c r="D234" t="s">
        <v>418</v>
      </c>
      <c r="E234" t="s">
        <v>22</v>
      </c>
      <c r="F234" t="s">
        <v>98</v>
      </c>
      <c r="G234" t="s">
        <v>99</v>
      </c>
      <c r="H234">
        <v>3</v>
      </c>
      <c r="I234" t="s">
        <v>1025</v>
      </c>
      <c r="J234" t="s">
        <v>357</v>
      </c>
    </row>
    <row r="235" spans="1:10" x14ac:dyDescent="0.25">
      <c r="A235" t="s">
        <v>1026</v>
      </c>
      <c r="B235" t="s">
        <v>1027</v>
      </c>
      <c r="C235" s="2">
        <v>46186.583333333336</v>
      </c>
      <c r="D235" t="s">
        <v>418</v>
      </c>
      <c r="E235" t="s">
        <v>30</v>
      </c>
      <c r="F235" t="s">
        <v>106</v>
      </c>
      <c r="G235" t="s">
        <v>107</v>
      </c>
      <c r="H235">
        <v>4</v>
      </c>
      <c r="I235" t="s">
        <v>1028</v>
      </c>
      <c r="J235" t="s">
        <v>357</v>
      </c>
    </row>
    <row r="236" spans="1:10" x14ac:dyDescent="0.25">
      <c r="A236" t="s">
        <v>1029</v>
      </c>
      <c r="B236" t="s">
        <v>1030</v>
      </c>
      <c r="C236" s="2">
        <v>46186.583333333336</v>
      </c>
      <c r="D236" t="s">
        <v>418</v>
      </c>
      <c r="E236" t="s">
        <v>41</v>
      </c>
      <c r="F236" t="s">
        <v>114</v>
      </c>
      <c r="G236" t="s">
        <v>115</v>
      </c>
      <c r="H236">
        <v>5</v>
      </c>
      <c r="I236" t="s">
        <v>1031</v>
      </c>
      <c r="J236" t="s">
        <v>357</v>
      </c>
    </row>
    <row r="237" spans="1:10" x14ac:dyDescent="0.25">
      <c r="A237" t="s">
        <v>1032</v>
      </c>
      <c r="B237" t="s">
        <v>1033</v>
      </c>
      <c r="C237" s="2">
        <v>46186.583333333336</v>
      </c>
      <c r="D237" t="s">
        <v>418</v>
      </c>
      <c r="E237" t="s">
        <v>51</v>
      </c>
      <c r="F237" t="s">
        <v>124</v>
      </c>
      <c r="G237" t="s">
        <v>125</v>
      </c>
      <c r="H237">
        <v>4</v>
      </c>
      <c r="I237" t="s">
        <v>1034</v>
      </c>
      <c r="J237" t="s">
        <v>357</v>
      </c>
    </row>
    <row r="238" spans="1:10" x14ac:dyDescent="0.25">
      <c r="A238" t="s">
        <v>1035</v>
      </c>
      <c r="B238" t="s">
        <v>1036</v>
      </c>
      <c r="C238" s="2">
        <v>46186.583333333336</v>
      </c>
      <c r="D238" t="s">
        <v>418</v>
      </c>
      <c r="E238" t="s">
        <v>53</v>
      </c>
      <c r="F238" t="s">
        <v>126</v>
      </c>
      <c r="G238" t="s">
        <v>127</v>
      </c>
      <c r="H238">
        <v>3</v>
      </c>
      <c r="I238" t="s">
        <v>1037</v>
      </c>
      <c r="J238" t="s">
        <v>357</v>
      </c>
    </row>
    <row r="239" spans="1:10" x14ac:dyDescent="0.25">
      <c r="A239" t="s">
        <v>1038</v>
      </c>
      <c r="B239" t="s">
        <v>1039</v>
      </c>
      <c r="C239" s="2">
        <v>46186.583333333336</v>
      </c>
      <c r="D239" t="s">
        <v>418</v>
      </c>
      <c r="E239" t="s">
        <v>71</v>
      </c>
      <c r="F239" t="s">
        <v>140</v>
      </c>
      <c r="G239" t="s">
        <v>141</v>
      </c>
      <c r="H239">
        <v>5</v>
      </c>
      <c r="I239" t="s">
        <v>1040</v>
      </c>
      <c r="J239" t="s">
        <v>357</v>
      </c>
    </row>
    <row r="240" spans="1:10" x14ac:dyDescent="0.25">
      <c r="A240" t="s">
        <v>1041</v>
      </c>
      <c r="B240" t="s">
        <v>1042</v>
      </c>
      <c r="C240" s="2">
        <v>46186.583333333336</v>
      </c>
      <c r="D240" t="s">
        <v>418</v>
      </c>
      <c r="E240" t="s">
        <v>77</v>
      </c>
      <c r="F240" t="s">
        <v>146</v>
      </c>
      <c r="G240" t="s">
        <v>147</v>
      </c>
      <c r="H240">
        <v>5</v>
      </c>
      <c r="I240" t="s">
        <v>1043</v>
      </c>
      <c r="J240" t="s">
        <v>357</v>
      </c>
    </row>
    <row r="241" spans="1:10" x14ac:dyDescent="0.25">
      <c r="A241" t="s">
        <v>1044</v>
      </c>
      <c r="B241" t="s">
        <v>1045</v>
      </c>
      <c r="C241" s="2">
        <v>46186.583333333336</v>
      </c>
      <c r="D241" t="s">
        <v>418</v>
      </c>
      <c r="E241" t="s">
        <v>22</v>
      </c>
      <c r="F241" t="s">
        <v>98</v>
      </c>
      <c r="G241" t="s">
        <v>99</v>
      </c>
      <c r="H241">
        <v>3</v>
      </c>
      <c r="I241" t="s">
        <v>1046</v>
      </c>
      <c r="J241" t="s">
        <v>357</v>
      </c>
    </row>
    <row r="242" spans="1:10" x14ac:dyDescent="0.25">
      <c r="A242" t="s">
        <v>1047</v>
      </c>
      <c r="B242" t="s">
        <v>1048</v>
      </c>
      <c r="C242" s="2">
        <v>46186.583333333336</v>
      </c>
      <c r="D242" t="s">
        <v>418</v>
      </c>
      <c r="E242" t="s">
        <v>24</v>
      </c>
      <c r="F242" t="s">
        <v>100</v>
      </c>
      <c r="G242" t="s">
        <v>101</v>
      </c>
      <c r="H242">
        <v>8</v>
      </c>
      <c r="I242" t="s">
        <v>1049</v>
      </c>
      <c r="J242" t="s">
        <v>357</v>
      </c>
    </row>
    <row r="243" spans="1:10" x14ac:dyDescent="0.25">
      <c r="A243" t="s">
        <v>1050</v>
      </c>
      <c r="B243" t="s">
        <v>1051</v>
      </c>
      <c r="C243" s="2">
        <v>46186.583333333336</v>
      </c>
      <c r="D243" t="s">
        <v>418</v>
      </c>
      <c r="E243" t="s">
        <v>26</v>
      </c>
      <c r="F243" t="s">
        <v>102</v>
      </c>
      <c r="G243" t="s">
        <v>103</v>
      </c>
      <c r="H243">
        <v>6</v>
      </c>
      <c r="I243" t="s">
        <v>1052</v>
      </c>
      <c r="J243" t="s">
        <v>357</v>
      </c>
    </row>
    <row r="244" spans="1:10" x14ac:dyDescent="0.25">
      <c r="A244" t="s">
        <v>1053</v>
      </c>
      <c r="B244" t="s">
        <v>1054</v>
      </c>
      <c r="C244" s="2">
        <v>46186.583333333336</v>
      </c>
      <c r="D244" t="s">
        <v>418</v>
      </c>
      <c r="E244" t="s">
        <v>28</v>
      </c>
      <c r="F244" t="s">
        <v>104</v>
      </c>
      <c r="G244" t="s">
        <v>105</v>
      </c>
      <c r="H244">
        <v>2</v>
      </c>
      <c r="I244" t="s">
        <v>1055</v>
      </c>
      <c r="J244" t="s">
        <v>357</v>
      </c>
    </row>
    <row r="245" spans="1:10" x14ac:dyDescent="0.25">
      <c r="A245" t="s">
        <v>1056</v>
      </c>
      <c r="B245" t="s">
        <v>1057</v>
      </c>
      <c r="C245" s="2">
        <v>46186.583333333336</v>
      </c>
      <c r="D245" t="s">
        <v>418</v>
      </c>
      <c r="E245" t="s">
        <v>51</v>
      </c>
      <c r="F245" t="s">
        <v>124</v>
      </c>
      <c r="G245" t="s">
        <v>125</v>
      </c>
      <c r="H245">
        <v>3</v>
      </c>
      <c r="I245" t="s">
        <v>1058</v>
      </c>
      <c r="J245" t="s">
        <v>357</v>
      </c>
    </row>
    <row r="246" spans="1:10" x14ac:dyDescent="0.25">
      <c r="A246" t="s">
        <v>1059</v>
      </c>
      <c r="B246" t="s">
        <v>1060</v>
      </c>
      <c r="C246" s="2">
        <v>46186.583333333336</v>
      </c>
      <c r="D246" t="s">
        <v>418</v>
      </c>
      <c r="E246" t="s">
        <v>53</v>
      </c>
      <c r="F246" t="s">
        <v>126</v>
      </c>
      <c r="G246" t="s">
        <v>127</v>
      </c>
      <c r="H246">
        <v>5</v>
      </c>
      <c r="I246" t="s">
        <v>1061</v>
      </c>
      <c r="J246" t="s">
        <v>357</v>
      </c>
    </row>
    <row r="247" spans="1:10" x14ac:dyDescent="0.25">
      <c r="A247" t="s">
        <v>1062</v>
      </c>
      <c r="B247" t="s">
        <v>1063</v>
      </c>
      <c r="C247" s="2">
        <v>46186.583333333336</v>
      </c>
      <c r="D247" t="s">
        <v>418</v>
      </c>
      <c r="E247" t="s">
        <v>69</v>
      </c>
      <c r="F247" t="s">
        <v>138</v>
      </c>
      <c r="G247" t="s">
        <v>139</v>
      </c>
      <c r="H247">
        <v>2</v>
      </c>
      <c r="I247" t="s">
        <v>1064</v>
      </c>
      <c r="J247" t="s">
        <v>357</v>
      </c>
    </row>
    <row r="248" spans="1:10" x14ac:dyDescent="0.25">
      <c r="A248" t="s">
        <v>1065</v>
      </c>
      <c r="B248" t="s">
        <v>1066</v>
      </c>
      <c r="C248" s="2">
        <v>46186.583333333336</v>
      </c>
      <c r="D248" t="s">
        <v>418</v>
      </c>
      <c r="E248" t="s">
        <v>73</v>
      </c>
      <c r="F248" t="s">
        <v>142</v>
      </c>
      <c r="G248" t="s">
        <v>143</v>
      </c>
      <c r="H248">
        <v>8</v>
      </c>
      <c r="I248" t="s">
        <v>1067</v>
      </c>
      <c r="J248" t="s">
        <v>357</v>
      </c>
    </row>
    <row r="249" spans="1:10" x14ac:dyDescent="0.25">
      <c r="A249" t="s">
        <v>1068</v>
      </c>
      <c r="B249" t="s">
        <v>1069</v>
      </c>
      <c r="C249" s="2">
        <v>46186.583333333336</v>
      </c>
      <c r="D249" t="s">
        <v>418</v>
      </c>
      <c r="E249" t="s">
        <v>75</v>
      </c>
      <c r="F249" t="s">
        <v>144</v>
      </c>
      <c r="G249" t="s">
        <v>145</v>
      </c>
      <c r="H249">
        <v>3</v>
      </c>
      <c r="I249" t="s">
        <v>1070</v>
      </c>
      <c r="J249" t="s">
        <v>357</v>
      </c>
    </row>
    <row r="250" spans="1:10" x14ac:dyDescent="0.25">
      <c r="A250" t="s">
        <v>1071</v>
      </c>
      <c r="B250" t="s">
        <v>1072</v>
      </c>
      <c r="C250" s="2">
        <v>46186.583333333336</v>
      </c>
      <c r="D250" t="s">
        <v>418</v>
      </c>
      <c r="E250" t="s">
        <v>22</v>
      </c>
      <c r="F250" t="s">
        <v>98</v>
      </c>
      <c r="G250" t="s">
        <v>99</v>
      </c>
      <c r="H250">
        <v>9</v>
      </c>
      <c r="I250" t="s">
        <v>1073</v>
      </c>
      <c r="J250" t="s">
        <v>357</v>
      </c>
    </row>
    <row r="251" spans="1:10" x14ac:dyDescent="0.25">
      <c r="A251" t="s">
        <v>1074</v>
      </c>
      <c r="B251" t="s">
        <v>1075</v>
      </c>
      <c r="C251" s="2">
        <v>46186.583333333336</v>
      </c>
      <c r="D251" t="s">
        <v>418</v>
      </c>
      <c r="E251" t="s">
        <v>24</v>
      </c>
      <c r="F251" t="s">
        <v>100</v>
      </c>
      <c r="G251" t="s">
        <v>101</v>
      </c>
      <c r="H251">
        <v>9</v>
      </c>
      <c r="I251" t="s">
        <v>1076</v>
      </c>
      <c r="J251" t="s">
        <v>357</v>
      </c>
    </row>
    <row r="252" spans="1:10" x14ac:dyDescent="0.25">
      <c r="A252" t="s">
        <v>1077</v>
      </c>
      <c r="B252" t="s">
        <v>1078</v>
      </c>
      <c r="C252" s="2">
        <v>46186.583333333336</v>
      </c>
      <c r="D252" t="s">
        <v>418</v>
      </c>
      <c r="E252" t="s">
        <v>26</v>
      </c>
      <c r="F252" t="s">
        <v>102</v>
      </c>
      <c r="G252" t="s">
        <v>103</v>
      </c>
      <c r="H252">
        <v>7</v>
      </c>
      <c r="I252" t="s">
        <v>1079</v>
      </c>
      <c r="J252" t="s">
        <v>357</v>
      </c>
    </row>
    <row r="253" spans="1:10" x14ac:dyDescent="0.25">
      <c r="A253" t="s">
        <v>1080</v>
      </c>
      <c r="B253" t="s">
        <v>1081</v>
      </c>
      <c r="C253" s="2">
        <v>46186.583333333336</v>
      </c>
      <c r="D253" t="s">
        <v>418</v>
      </c>
      <c r="E253" t="s">
        <v>47</v>
      </c>
      <c r="F253" t="s">
        <v>120</v>
      </c>
      <c r="G253" t="s">
        <v>121</v>
      </c>
      <c r="H253">
        <v>4</v>
      </c>
      <c r="I253" t="s">
        <v>1082</v>
      </c>
      <c r="J253" t="s">
        <v>357</v>
      </c>
    </row>
    <row r="254" spans="1:10" x14ac:dyDescent="0.25">
      <c r="A254" t="s">
        <v>1083</v>
      </c>
      <c r="B254" t="s">
        <v>1084</v>
      </c>
      <c r="C254" s="2">
        <v>46186.583333333336</v>
      </c>
      <c r="D254" t="s">
        <v>418</v>
      </c>
      <c r="E254" t="s">
        <v>57</v>
      </c>
      <c r="F254" t="s">
        <v>130</v>
      </c>
      <c r="G254" t="s">
        <v>131</v>
      </c>
      <c r="H254">
        <v>9</v>
      </c>
      <c r="I254" t="s">
        <v>1085</v>
      </c>
      <c r="J254" t="s">
        <v>357</v>
      </c>
    </row>
    <row r="255" spans="1:10" x14ac:dyDescent="0.25">
      <c r="A255" t="s">
        <v>1086</v>
      </c>
      <c r="B255" t="s">
        <v>1087</v>
      </c>
      <c r="C255" s="2">
        <v>46186.583333333336</v>
      </c>
      <c r="D255" t="s">
        <v>418</v>
      </c>
      <c r="E255" t="s">
        <v>65</v>
      </c>
      <c r="F255" t="s">
        <v>134</v>
      </c>
      <c r="G255" t="s">
        <v>135</v>
      </c>
      <c r="H255">
        <v>2</v>
      </c>
      <c r="I255" t="s">
        <v>1088</v>
      </c>
      <c r="J255" t="s">
        <v>357</v>
      </c>
    </row>
    <row r="256" spans="1:10" x14ac:dyDescent="0.25">
      <c r="A256" t="s">
        <v>1089</v>
      </c>
      <c r="B256" t="s">
        <v>1090</v>
      </c>
      <c r="C256" s="2">
        <v>46186.583333333336</v>
      </c>
      <c r="D256" t="s">
        <v>418</v>
      </c>
      <c r="E256" t="s">
        <v>67</v>
      </c>
      <c r="F256" t="s">
        <v>136</v>
      </c>
      <c r="G256" t="s">
        <v>137</v>
      </c>
      <c r="H256">
        <v>9</v>
      </c>
      <c r="I256" t="s">
        <v>1091</v>
      </c>
      <c r="J256" t="s">
        <v>357</v>
      </c>
    </row>
    <row r="257" spans="1:10" x14ac:dyDescent="0.25">
      <c r="A257" t="s">
        <v>1092</v>
      </c>
      <c r="B257" t="s">
        <v>1093</v>
      </c>
      <c r="C257" s="2">
        <v>46186.583333333336</v>
      </c>
      <c r="D257" t="s">
        <v>418</v>
      </c>
      <c r="E257" t="s">
        <v>69</v>
      </c>
      <c r="F257" t="s">
        <v>138</v>
      </c>
      <c r="G257" t="s">
        <v>139</v>
      </c>
      <c r="H257">
        <v>4</v>
      </c>
      <c r="I257" t="s">
        <v>1094</v>
      </c>
      <c r="J257" t="s">
        <v>357</v>
      </c>
    </row>
    <row r="258" spans="1:10" x14ac:dyDescent="0.25">
      <c r="A258" t="s">
        <v>1095</v>
      </c>
      <c r="B258" t="s">
        <v>1096</v>
      </c>
      <c r="C258" s="2">
        <v>46186.583333333336</v>
      </c>
      <c r="D258" t="s">
        <v>418</v>
      </c>
      <c r="E258" t="s">
        <v>71</v>
      </c>
      <c r="F258" t="s">
        <v>140</v>
      </c>
      <c r="G258" t="s">
        <v>141</v>
      </c>
      <c r="H258">
        <v>5</v>
      </c>
      <c r="I258" t="s">
        <v>1097</v>
      </c>
      <c r="J258" t="s">
        <v>357</v>
      </c>
    </row>
    <row r="259" spans="1:10" x14ac:dyDescent="0.25">
      <c r="A259" t="s">
        <v>1098</v>
      </c>
      <c r="B259" t="s">
        <v>1099</v>
      </c>
      <c r="C259" s="2">
        <v>46186.583333333336</v>
      </c>
      <c r="D259" t="s">
        <v>418</v>
      </c>
      <c r="E259" t="s">
        <v>75</v>
      </c>
      <c r="F259" t="s">
        <v>144</v>
      </c>
      <c r="G259" t="s">
        <v>145</v>
      </c>
      <c r="H259">
        <v>4</v>
      </c>
      <c r="I259" t="s">
        <v>1100</v>
      </c>
      <c r="J259" t="s">
        <v>357</v>
      </c>
    </row>
    <row r="260" spans="1:10" x14ac:dyDescent="0.25">
      <c r="A260" t="s">
        <v>1101</v>
      </c>
      <c r="B260" t="s">
        <v>1102</v>
      </c>
      <c r="C260" s="2">
        <v>46186.583333333336</v>
      </c>
      <c r="D260" t="s">
        <v>418</v>
      </c>
      <c r="E260" t="s">
        <v>11</v>
      </c>
      <c r="F260" t="s">
        <v>91</v>
      </c>
      <c r="G260" t="s">
        <v>92</v>
      </c>
      <c r="H260">
        <v>5</v>
      </c>
      <c r="I260" t="s">
        <v>1103</v>
      </c>
      <c r="J260" t="s">
        <v>357</v>
      </c>
    </row>
    <row r="261" spans="1:10" x14ac:dyDescent="0.25">
      <c r="A261" t="s">
        <v>1104</v>
      </c>
      <c r="B261" t="s">
        <v>1105</v>
      </c>
      <c r="C261" s="2">
        <v>46186.583333333336</v>
      </c>
      <c r="D261" t="s">
        <v>418</v>
      </c>
      <c r="E261" t="s">
        <v>20</v>
      </c>
      <c r="F261" t="s">
        <v>96</v>
      </c>
      <c r="G261" t="s">
        <v>97</v>
      </c>
      <c r="H261">
        <v>5</v>
      </c>
      <c r="I261" t="s">
        <v>1106</v>
      </c>
      <c r="J261" t="s">
        <v>357</v>
      </c>
    </row>
    <row r="262" spans="1:10" x14ac:dyDescent="0.25">
      <c r="A262" t="s">
        <v>1107</v>
      </c>
      <c r="B262" t="s">
        <v>1108</v>
      </c>
      <c r="C262" s="2">
        <v>46186.583333333336</v>
      </c>
      <c r="D262" t="s">
        <v>418</v>
      </c>
      <c r="E262" t="s">
        <v>22</v>
      </c>
      <c r="F262" t="s">
        <v>98</v>
      </c>
      <c r="G262" t="s">
        <v>99</v>
      </c>
      <c r="H262">
        <v>5</v>
      </c>
      <c r="I262" t="s">
        <v>1109</v>
      </c>
      <c r="J262" t="s">
        <v>357</v>
      </c>
    </row>
    <row r="263" spans="1:10" x14ac:dyDescent="0.25">
      <c r="A263" t="s">
        <v>1110</v>
      </c>
      <c r="B263" t="s">
        <v>1111</v>
      </c>
      <c r="C263" s="2">
        <v>46186.583333333336</v>
      </c>
      <c r="D263" t="s">
        <v>418</v>
      </c>
      <c r="E263" t="s">
        <v>24</v>
      </c>
      <c r="F263" t="s">
        <v>100</v>
      </c>
      <c r="G263" t="s">
        <v>101</v>
      </c>
      <c r="H263">
        <v>6</v>
      </c>
      <c r="I263" t="s">
        <v>1112</v>
      </c>
      <c r="J263" t="s">
        <v>357</v>
      </c>
    </row>
    <row r="264" spans="1:10" x14ac:dyDescent="0.25">
      <c r="A264" t="s">
        <v>1113</v>
      </c>
      <c r="B264" t="s">
        <v>1114</v>
      </c>
      <c r="C264" s="2">
        <v>46186.583333333336</v>
      </c>
      <c r="D264" t="s">
        <v>418</v>
      </c>
      <c r="E264" t="s">
        <v>43</v>
      </c>
      <c r="F264" t="s">
        <v>116</v>
      </c>
      <c r="G264" t="s">
        <v>117</v>
      </c>
      <c r="H264">
        <v>2</v>
      </c>
      <c r="I264" t="s">
        <v>1115</v>
      </c>
      <c r="J264" t="s">
        <v>357</v>
      </c>
    </row>
    <row r="265" spans="1:10" x14ac:dyDescent="0.25">
      <c r="A265" t="s">
        <v>1116</v>
      </c>
      <c r="B265" t="s">
        <v>1117</v>
      </c>
      <c r="C265" s="2">
        <v>46186.583333333336</v>
      </c>
      <c r="D265" t="s">
        <v>418</v>
      </c>
      <c r="E265" t="s">
        <v>57</v>
      </c>
      <c r="F265" t="s">
        <v>130</v>
      </c>
      <c r="G265" t="s">
        <v>131</v>
      </c>
      <c r="H265">
        <v>6</v>
      </c>
      <c r="I265" t="s">
        <v>1118</v>
      </c>
      <c r="J265" t="s">
        <v>357</v>
      </c>
    </row>
    <row r="266" spans="1:10" x14ac:dyDescent="0.25">
      <c r="A266" t="s">
        <v>1119</v>
      </c>
      <c r="B266" t="s">
        <v>1120</v>
      </c>
      <c r="C266" s="2">
        <v>46186.583333333336</v>
      </c>
      <c r="D266" t="s">
        <v>418</v>
      </c>
      <c r="E266" t="s">
        <v>69</v>
      </c>
      <c r="F266" t="s">
        <v>138</v>
      </c>
      <c r="G266" t="s">
        <v>139</v>
      </c>
      <c r="H266">
        <v>4</v>
      </c>
      <c r="I266" t="s">
        <v>1121</v>
      </c>
      <c r="J266" t="s">
        <v>357</v>
      </c>
    </row>
    <row r="267" spans="1:10" x14ac:dyDescent="0.25">
      <c r="A267" t="s">
        <v>1122</v>
      </c>
      <c r="B267" t="s">
        <v>1123</v>
      </c>
      <c r="C267" s="2">
        <v>46186.583333333336</v>
      </c>
      <c r="D267" t="s">
        <v>418</v>
      </c>
      <c r="E267" t="s">
        <v>75</v>
      </c>
      <c r="F267" t="s">
        <v>144</v>
      </c>
      <c r="G267" t="s">
        <v>145</v>
      </c>
      <c r="H267">
        <v>1</v>
      </c>
      <c r="I267" t="s">
        <v>1124</v>
      </c>
      <c r="J267" t="s">
        <v>357</v>
      </c>
    </row>
    <row r="268" spans="1:10" x14ac:dyDescent="0.25">
      <c r="A268" t="s">
        <v>1125</v>
      </c>
      <c r="B268" t="s">
        <v>1126</v>
      </c>
      <c r="C268" s="2">
        <v>46186.583333333336</v>
      </c>
      <c r="D268" t="s">
        <v>418</v>
      </c>
      <c r="E268" t="s">
        <v>77</v>
      </c>
      <c r="F268" t="s">
        <v>146</v>
      </c>
      <c r="G268" t="s">
        <v>147</v>
      </c>
      <c r="H268">
        <v>6</v>
      </c>
      <c r="I268" t="s">
        <v>1127</v>
      </c>
      <c r="J268" t="s">
        <v>357</v>
      </c>
    </row>
    <row r="269" spans="1:10" x14ac:dyDescent="0.25">
      <c r="A269" t="s">
        <v>1128</v>
      </c>
      <c r="B269" t="s">
        <v>1129</v>
      </c>
      <c r="C269" s="2">
        <v>46187.583333333336</v>
      </c>
      <c r="D269" t="s">
        <v>418</v>
      </c>
      <c r="E269" t="s">
        <v>11</v>
      </c>
      <c r="F269" t="s">
        <v>91</v>
      </c>
      <c r="G269" t="s">
        <v>92</v>
      </c>
      <c r="H269">
        <v>4</v>
      </c>
      <c r="I269" t="s">
        <v>1130</v>
      </c>
      <c r="J269" t="s">
        <v>357</v>
      </c>
    </row>
    <row r="270" spans="1:10" x14ac:dyDescent="0.25">
      <c r="A270" t="s">
        <v>1131</v>
      </c>
      <c r="B270" t="s">
        <v>1132</v>
      </c>
      <c r="C270" s="2">
        <v>46187.583333333336</v>
      </c>
      <c r="D270" t="s">
        <v>418</v>
      </c>
      <c r="E270" t="s">
        <v>18</v>
      </c>
      <c r="F270" t="s">
        <v>94</v>
      </c>
      <c r="G270" t="s">
        <v>95</v>
      </c>
      <c r="H270">
        <v>3</v>
      </c>
      <c r="I270" t="s">
        <v>1133</v>
      </c>
      <c r="J270" t="s">
        <v>357</v>
      </c>
    </row>
    <row r="271" spans="1:10" x14ac:dyDescent="0.25">
      <c r="A271" t="s">
        <v>1134</v>
      </c>
      <c r="B271" t="s">
        <v>1135</v>
      </c>
      <c r="C271" s="2">
        <v>46187.583333333336</v>
      </c>
      <c r="D271" t="s">
        <v>418</v>
      </c>
      <c r="E271" t="s">
        <v>20</v>
      </c>
      <c r="F271" t="s">
        <v>96</v>
      </c>
      <c r="G271" t="s">
        <v>97</v>
      </c>
      <c r="H271">
        <v>5</v>
      </c>
      <c r="I271" t="s">
        <v>1136</v>
      </c>
      <c r="J271" t="s">
        <v>357</v>
      </c>
    </row>
    <row r="272" spans="1:10" x14ac:dyDescent="0.25">
      <c r="A272" t="s">
        <v>1137</v>
      </c>
      <c r="B272" t="s">
        <v>1138</v>
      </c>
      <c r="C272" s="2">
        <v>46187.583333333336</v>
      </c>
      <c r="D272" t="s">
        <v>418</v>
      </c>
      <c r="E272" t="s">
        <v>22</v>
      </c>
      <c r="F272" t="s">
        <v>98</v>
      </c>
      <c r="G272" t="s">
        <v>99</v>
      </c>
      <c r="H272">
        <v>1</v>
      </c>
      <c r="I272" t="s">
        <v>1139</v>
      </c>
      <c r="J272" t="s">
        <v>357</v>
      </c>
    </row>
    <row r="273" spans="1:10" x14ac:dyDescent="0.25">
      <c r="A273" t="s">
        <v>1140</v>
      </c>
      <c r="B273" t="s">
        <v>1141</v>
      </c>
      <c r="C273" s="2">
        <v>46187.583333333336</v>
      </c>
      <c r="D273" t="s">
        <v>418</v>
      </c>
      <c r="E273" t="s">
        <v>24</v>
      </c>
      <c r="F273" t="s">
        <v>100</v>
      </c>
      <c r="G273" t="s">
        <v>101</v>
      </c>
      <c r="H273">
        <v>5</v>
      </c>
      <c r="I273" t="s">
        <v>1142</v>
      </c>
      <c r="J273" t="s">
        <v>357</v>
      </c>
    </row>
    <row r="274" spans="1:10" x14ac:dyDescent="0.25">
      <c r="A274" t="s">
        <v>1143</v>
      </c>
      <c r="B274" t="s">
        <v>1144</v>
      </c>
      <c r="C274" s="2">
        <v>46187.583333333336</v>
      </c>
      <c r="D274" t="s">
        <v>418</v>
      </c>
      <c r="E274" t="s">
        <v>32</v>
      </c>
      <c r="F274" t="s">
        <v>108</v>
      </c>
      <c r="G274" t="s">
        <v>109</v>
      </c>
      <c r="H274">
        <v>3</v>
      </c>
      <c r="I274" t="s">
        <v>1145</v>
      </c>
      <c r="J274" t="s">
        <v>357</v>
      </c>
    </row>
    <row r="275" spans="1:10" x14ac:dyDescent="0.25">
      <c r="A275" t="s">
        <v>1146</v>
      </c>
      <c r="B275" t="s">
        <v>1147</v>
      </c>
      <c r="C275" s="2">
        <v>46187.583333333336</v>
      </c>
      <c r="D275" t="s">
        <v>418</v>
      </c>
      <c r="E275" t="s">
        <v>41</v>
      </c>
      <c r="F275" t="s">
        <v>114</v>
      </c>
      <c r="G275" t="s">
        <v>115</v>
      </c>
      <c r="H275">
        <v>4</v>
      </c>
      <c r="I275" t="s">
        <v>1148</v>
      </c>
      <c r="J275" t="s">
        <v>357</v>
      </c>
    </row>
    <row r="276" spans="1:10" x14ac:dyDescent="0.25">
      <c r="A276" t="s">
        <v>1149</v>
      </c>
      <c r="B276" t="s">
        <v>1150</v>
      </c>
      <c r="C276" s="2">
        <v>46187.583333333336</v>
      </c>
      <c r="D276" t="s">
        <v>418</v>
      </c>
      <c r="E276" t="s">
        <v>43</v>
      </c>
      <c r="F276" t="s">
        <v>116</v>
      </c>
      <c r="G276" t="s">
        <v>117</v>
      </c>
      <c r="H276">
        <v>2</v>
      </c>
      <c r="I276" t="s">
        <v>1151</v>
      </c>
      <c r="J276" t="s">
        <v>357</v>
      </c>
    </row>
    <row r="277" spans="1:10" x14ac:dyDescent="0.25">
      <c r="A277" t="s">
        <v>1152</v>
      </c>
      <c r="B277" t="s">
        <v>1153</v>
      </c>
      <c r="C277" s="2">
        <v>46187.583333333336</v>
      </c>
      <c r="D277" t="s">
        <v>418</v>
      </c>
      <c r="E277" t="s">
        <v>47</v>
      </c>
      <c r="F277" t="s">
        <v>120</v>
      </c>
      <c r="G277" t="s">
        <v>121</v>
      </c>
      <c r="H277">
        <v>2</v>
      </c>
      <c r="I277" t="s">
        <v>1154</v>
      </c>
      <c r="J277" t="s">
        <v>357</v>
      </c>
    </row>
    <row r="278" spans="1:10" x14ac:dyDescent="0.25">
      <c r="A278" t="s">
        <v>1155</v>
      </c>
      <c r="B278" t="s">
        <v>1156</v>
      </c>
      <c r="C278" s="2">
        <v>46187.583333333336</v>
      </c>
      <c r="D278" t="s">
        <v>418</v>
      </c>
      <c r="E278" t="s">
        <v>51</v>
      </c>
      <c r="F278" t="s">
        <v>124</v>
      </c>
      <c r="G278" t="s">
        <v>125</v>
      </c>
      <c r="H278">
        <v>2</v>
      </c>
      <c r="I278" t="s">
        <v>1157</v>
      </c>
      <c r="J278" t="s">
        <v>357</v>
      </c>
    </row>
    <row r="279" spans="1:10" x14ac:dyDescent="0.25">
      <c r="A279" t="s">
        <v>1158</v>
      </c>
      <c r="B279" t="s">
        <v>1159</v>
      </c>
      <c r="C279" s="2">
        <v>46187.583333333336</v>
      </c>
      <c r="D279" t="s">
        <v>418</v>
      </c>
      <c r="E279" t="s">
        <v>67</v>
      </c>
      <c r="F279" t="s">
        <v>136</v>
      </c>
      <c r="G279" t="s">
        <v>137</v>
      </c>
      <c r="H279">
        <v>4</v>
      </c>
      <c r="I279" t="s">
        <v>1160</v>
      </c>
      <c r="J279" t="s">
        <v>357</v>
      </c>
    </row>
    <row r="280" spans="1:10" x14ac:dyDescent="0.25">
      <c r="A280" t="s">
        <v>1161</v>
      </c>
      <c r="B280" t="s">
        <v>1162</v>
      </c>
      <c r="C280" s="2">
        <v>46187.583333333336</v>
      </c>
      <c r="D280" t="s">
        <v>418</v>
      </c>
      <c r="E280" t="s">
        <v>71</v>
      </c>
      <c r="F280" t="s">
        <v>140</v>
      </c>
      <c r="G280" t="s">
        <v>141</v>
      </c>
      <c r="H280">
        <v>2</v>
      </c>
      <c r="I280" t="s">
        <v>1163</v>
      </c>
      <c r="J280" t="s">
        <v>357</v>
      </c>
    </row>
    <row r="281" spans="1:10" x14ac:dyDescent="0.25">
      <c r="A281" t="s">
        <v>1164</v>
      </c>
      <c r="B281" t="s">
        <v>1165</v>
      </c>
      <c r="C281" s="2">
        <v>46187.583333333336</v>
      </c>
      <c r="D281" t="s">
        <v>418</v>
      </c>
      <c r="E281" t="s">
        <v>18</v>
      </c>
      <c r="F281" t="s">
        <v>94</v>
      </c>
      <c r="G281" t="s">
        <v>95</v>
      </c>
      <c r="H281">
        <v>3</v>
      </c>
      <c r="I281" t="s">
        <v>1166</v>
      </c>
      <c r="J281" t="s">
        <v>357</v>
      </c>
    </row>
    <row r="282" spans="1:10" x14ac:dyDescent="0.25">
      <c r="A282" t="s">
        <v>1167</v>
      </c>
      <c r="B282" t="s">
        <v>1168</v>
      </c>
      <c r="C282" s="2">
        <v>46187.583333333336</v>
      </c>
      <c r="D282" t="s">
        <v>418</v>
      </c>
      <c r="E282" t="s">
        <v>20</v>
      </c>
      <c r="F282" t="s">
        <v>96</v>
      </c>
      <c r="G282" t="s">
        <v>97</v>
      </c>
      <c r="H282">
        <v>5</v>
      </c>
      <c r="I282" t="s">
        <v>1169</v>
      </c>
      <c r="J282" t="s">
        <v>357</v>
      </c>
    </row>
    <row r="283" spans="1:10" x14ac:dyDescent="0.25">
      <c r="A283" t="s">
        <v>1170</v>
      </c>
      <c r="B283" t="s">
        <v>1171</v>
      </c>
      <c r="C283" s="2">
        <v>46187.583333333336</v>
      </c>
      <c r="D283" t="s">
        <v>418</v>
      </c>
      <c r="E283" t="s">
        <v>24</v>
      </c>
      <c r="F283" t="s">
        <v>100</v>
      </c>
      <c r="G283" t="s">
        <v>101</v>
      </c>
      <c r="H283">
        <v>4</v>
      </c>
      <c r="I283" t="s">
        <v>1172</v>
      </c>
      <c r="J283" t="s">
        <v>357</v>
      </c>
    </row>
    <row r="284" spans="1:10" x14ac:dyDescent="0.25">
      <c r="A284" t="s">
        <v>1173</v>
      </c>
      <c r="B284" t="s">
        <v>1174</v>
      </c>
      <c r="C284" s="2">
        <v>46187.583333333336</v>
      </c>
      <c r="D284" t="s">
        <v>418</v>
      </c>
      <c r="E284" t="s">
        <v>28</v>
      </c>
      <c r="F284" t="s">
        <v>104</v>
      </c>
      <c r="G284" t="s">
        <v>105</v>
      </c>
      <c r="H284">
        <v>4</v>
      </c>
      <c r="I284" t="s">
        <v>1175</v>
      </c>
      <c r="J284" t="s">
        <v>357</v>
      </c>
    </row>
    <row r="285" spans="1:10" x14ac:dyDescent="0.25">
      <c r="A285" t="s">
        <v>1176</v>
      </c>
      <c r="B285" t="s">
        <v>1177</v>
      </c>
      <c r="C285" s="2">
        <v>46187.583333333336</v>
      </c>
      <c r="D285" t="s">
        <v>418</v>
      </c>
      <c r="E285" t="s">
        <v>30</v>
      </c>
      <c r="F285" t="s">
        <v>106</v>
      </c>
      <c r="G285" t="s">
        <v>107</v>
      </c>
      <c r="H285">
        <v>5</v>
      </c>
      <c r="I285" t="s">
        <v>1178</v>
      </c>
      <c r="J285" t="s">
        <v>357</v>
      </c>
    </row>
    <row r="286" spans="1:10" x14ac:dyDescent="0.25">
      <c r="A286" t="s">
        <v>1179</v>
      </c>
      <c r="B286" t="s">
        <v>1180</v>
      </c>
      <c r="C286" s="2">
        <v>46187.583333333336</v>
      </c>
      <c r="D286" t="s">
        <v>418</v>
      </c>
      <c r="E286" t="s">
        <v>32</v>
      </c>
      <c r="F286" t="s">
        <v>108</v>
      </c>
      <c r="G286" t="s">
        <v>109</v>
      </c>
      <c r="H286">
        <v>1</v>
      </c>
      <c r="I286" t="s">
        <v>1181</v>
      </c>
      <c r="J286" t="s">
        <v>357</v>
      </c>
    </row>
    <row r="287" spans="1:10" x14ac:dyDescent="0.25">
      <c r="A287" t="s">
        <v>1182</v>
      </c>
      <c r="B287" t="s">
        <v>1183</v>
      </c>
      <c r="C287" s="2">
        <v>46187.583333333336</v>
      </c>
      <c r="D287" t="s">
        <v>418</v>
      </c>
      <c r="E287" t="s">
        <v>36</v>
      </c>
      <c r="F287" t="s">
        <v>112</v>
      </c>
      <c r="G287" t="s">
        <v>113</v>
      </c>
      <c r="H287">
        <v>3</v>
      </c>
      <c r="I287" t="s">
        <v>1184</v>
      </c>
      <c r="J287" t="s">
        <v>357</v>
      </c>
    </row>
    <row r="288" spans="1:10" x14ac:dyDescent="0.25">
      <c r="A288" t="s">
        <v>1185</v>
      </c>
      <c r="B288" t="s">
        <v>1186</v>
      </c>
      <c r="C288" s="2">
        <v>46187.583333333336</v>
      </c>
      <c r="D288" t="s">
        <v>418</v>
      </c>
      <c r="E288" t="s">
        <v>11</v>
      </c>
      <c r="F288" t="s">
        <v>91</v>
      </c>
      <c r="G288" t="s">
        <v>92</v>
      </c>
      <c r="H288">
        <v>2</v>
      </c>
      <c r="I288" t="s">
        <v>1187</v>
      </c>
      <c r="J288" t="s">
        <v>357</v>
      </c>
    </row>
    <row r="289" spans="1:10" x14ac:dyDescent="0.25">
      <c r="A289" t="s">
        <v>1188</v>
      </c>
      <c r="B289" t="s">
        <v>1189</v>
      </c>
      <c r="C289" s="2">
        <v>46187.583333333336</v>
      </c>
      <c r="D289" t="s">
        <v>418</v>
      </c>
      <c r="E289" t="s">
        <v>20</v>
      </c>
      <c r="F289" t="s">
        <v>96</v>
      </c>
      <c r="G289" t="s">
        <v>97</v>
      </c>
      <c r="H289">
        <v>3</v>
      </c>
      <c r="I289" t="s">
        <v>1190</v>
      </c>
      <c r="J289" t="s">
        <v>357</v>
      </c>
    </row>
    <row r="290" spans="1:10" x14ac:dyDescent="0.25">
      <c r="A290" t="s">
        <v>1191</v>
      </c>
      <c r="B290" t="s">
        <v>1192</v>
      </c>
      <c r="C290" s="2">
        <v>46187.583333333336</v>
      </c>
      <c r="D290" t="s">
        <v>418</v>
      </c>
      <c r="E290" t="s">
        <v>26</v>
      </c>
      <c r="F290" t="s">
        <v>102</v>
      </c>
      <c r="G290" t="s">
        <v>103</v>
      </c>
      <c r="H290">
        <v>6</v>
      </c>
      <c r="I290" t="s">
        <v>1193</v>
      </c>
      <c r="J290" t="s">
        <v>357</v>
      </c>
    </row>
    <row r="291" spans="1:10" x14ac:dyDescent="0.25">
      <c r="A291" t="s">
        <v>1194</v>
      </c>
      <c r="B291" t="s">
        <v>1195</v>
      </c>
      <c r="C291" s="2">
        <v>46187.583333333336</v>
      </c>
      <c r="D291" t="s">
        <v>418</v>
      </c>
      <c r="E291" t="s">
        <v>32</v>
      </c>
      <c r="F291" t="s">
        <v>108</v>
      </c>
      <c r="G291" t="s">
        <v>109</v>
      </c>
      <c r="H291">
        <v>6</v>
      </c>
      <c r="I291" t="s">
        <v>1196</v>
      </c>
      <c r="J291" t="s">
        <v>357</v>
      </c>
    </row>
    <row r="292" spans="1:10" x14ac:dyDescent="0.25">
      <c r="A292" t="s">
        <v>1197</v>
      </c>
      <c r="B292" t="s">
        <v>1198</v>
      </c>
      <c r="C292" s="2">
        <v>46187.583333333336</v>
      </c>
      <c r="D292" t="s">
        <v>418</v>
      </c>
      <c r="E292" t="s">
        <v>41</v>
      </c>
      <c r="F292" t="s">
        <v>114</v>
      </c>
      <c r="G292" t="s">
        <v>115</v>
      </c>
      <c r="H292">
        <v>3</v>
      </c>
      <c r="I292" t="s">
        <v>1199</v>
      </c>
      <c r="J292" t="s">
        <v>357</v>
      </c>
    </row>
    <row r="293" spans="1:10" x14ac:dyDescent="0.25">
      <c r="A293" t="s">
        <v>1200</v>
      </c>
      <c r="B293" t="s">
        <v>1201</v>
      </c>
      <c r="C293" s="2">
        <v>46187.583333333336</v>
      </c>
      <c r="D293" t="s">
        <v>418</v>
      </c>
      <c r="E293" t="s">
        <v>51</v>
      </c>
      <c r="F293" t="s">
        <v>124</v>
      </c>
      <c r="G293" t="s">
        <v>125</v>
      </c>
      <c r="H293">
        <v>3</v>
      </c>
      <c r="I293" t="s">
        <v>1202</v>
      </c>
      <c r="J293" t="s">
        <v>357</v>
      </c>
    </row>
    <row r="294" spans="1:10" x14ac:dyDescent="0.25">
      <c r="A294" t="s">
        <v>1203</v>
      </c>
      <c r="B294" t="s">
        <v>1204</v>
      </c>
      <c r="C294" s="2">
        <v>46187.583333333336</v>
      </c>
      <c r="D294" t="s">
        <v>418</v>
      </c>
      <c r="E294" t="s">
        <v>59</v>
      </c>
      <c r="F294" t="s">
        <v>132</v>
      </c>
      <c r="G294" t="s">
        <v>133</v>
      </c>
      <c r="H294">
        <v>5</v>
      </c>
      <c r="I294" t="s">
        <v>1205</v>
      </c>
      <c r="J294" t="s">
        <v>357</v>
      </c>
    </row>
    <row r="295" spans="1:10" x14ac:dyDescent="0.25">
      <c r="A295" t="s">
        <v>1206</v>
      </c>
      <c r="B295" t="s">
        <v>1207</v>
      </c>
      <c r="C295" s="2">
        <v>46187.583333333336</v>
      </c>
      <c r="D295" t="s">
        <v>418</v>
      </c>
      <c r="E295" t="s">
        <v>11</v>
      </c>
      <c r="F295" t="s">
        <v>91</v>
      </c>
      <c r="G295" t="s">
        <v>92</v>
      </c>
      <c r="H295">
        <v>2</v>
      </c>
      <c r="I295" t="s">
        <v>1208</v>
      </c>
      <c r="J295" t="s">
        <v>357</v>
      </c>
    </row>
    <row r="296" spans="1:10" x14ac:dyDescent="0.25">
      <c r="A296" t="s">
        <v>1209</v>
      </c>
      <c r="B296" t="s">
        <v>1210</v>
      </c>
      <c r="C296" s="2">
        <v>46187.583333333336</v>
      </c>
      <c r="D296" t="s">
        <v>418</v>
      </c>
      <c r="E296" t="s">
        <v>18</v>
      </c>
      <c r="F296" t="s">
        <v>94</v>
      </c>
      <c r="G296" t="s">
        <v>95</v>
      </c>
      <c r="H296">
        <v>7</v>
      </c>
      <c r="I296" t="s">
        <v>1211</v>
      </c>
      <c r="J296" t="s">
        <v>357</v>
      </c>
    </row>
    <row r="297" spans="1:10" x14ac:dyDescent="0.25">
      <c r="A297" t="s">
        <v>1212</v>
      </c>
      <c r="B297" t="s">
        <v>1213</v>
      </c>
      <c r="C297" s="2">
        <v>46187.583333333336</v>
      </c>
      <c r="D297" t="s">
        <v>418</v>
      </c>
      <c r="E297" t="s">
        <v>20</v>
      </c>
      <c r="F297" t="s">
        <v>96</v>
      </c>
      <c r="G297" t="s">
        <v>97</v>
      </c>
      <c r="H297">
        <v>7</v>
      </c>
      <c r="I297" t="s">
        <v>1214</v>
      </c>
      <c r="J297" t="s">
        <v>357</v>
      </c>
    </row>
    <row r="298" spans="1:10" x14ac:dyDescent="0.25">
      <c r="A298" t="s">
        <v>1215</v>
      </c>
      <c r="B298" t="s">
        <v>1216</v>
      </c>
      <c r="C298" s="2">
        <v>46187.583333333336</v>
      </c>
      <c r="D298" t="s">
        <v>418</v>
      </c>
      <c r="E298" t="s">
        <v>26</v>
      </c>
      <c r="F298" t="s">
        <v>102</v>
      </c>
      <c r="G298" t="s">
        <v>103</v>
      </c>
      <c r="H298">
        <v>4</v>
      </c>
      <c r="I298" t="s">
        <v>1217</v>
      </c>
      <c r="J298" t="s">
        <v>357</v>
      </c>
    </row>
    <row r="299" spans="1:10" x14ac:dyDescent="0.25">
      <c r="A299" t="s">
        <v>1218</v>
      </c>
      <c r="B299" t="s">
        <v>1219</v>
      </c>
      <c r="C299" s="2">
        <v>46187.583333333336</v>
      </c>
      <c r="D299" t="s">
        <v>418</v>
      </c>
      <c r="E299" t="s">
        <v>59</v>
      </c>
      <c r="F299" t="s">
        <v>132</v>
      </c>
      <c r="G299" t="s">
        <v>133</v>
      </c>
      <c r="H299">
        <v>4</v>
      </c>
      <c r="I299" t="s">
        <v>1220</v>
      </c>
      <c r="J299" t="s">
        <v>357</v>
      </c>
    </row>
    <row r="300" spans="1:10" x14ac:dyDescent="0.25">
      <c r="A300" t="s">
        <v>1221</v>
      </c>
      <c r="B300" t="s">
        <v>1222</v>
      </c>
      <c r="C300" s="2">
        <v>46187.583333333336</v>
      </c>
      <c r="D300" t="s">
        <v>418</v>
      </c>
      <c r="E300" t="s">
        <v>11</v>
      </c>
      <c r="F300" t="s">
        <v>91</v>
      </c>
      <c r="G300" t="s">
        <v>92</v>
      </c>
      <c r="H300">
        <v>1</v>
      </c>
      <c r="I300" t="s">
        <v>1223</v>
      </c>
      <c r="J300" t="s">
        <v>357</v>
      </c>
    </row>
    <row r="301" spans="1:10" x14ac:dyDescent="0.25">
      <c r="A301" t="s">
        <v>1224</v>
      </c>
      <c r="B301" t="s">
        <v>1225</v>
      </c>
      <c r="C301" s="2">
        <v>46187.583333333336</v>
      </c>
      <c r="D301" t="s">
        <v>418</v>
      </c>
      <c r="E301" t="s">
        <v>18</v>
      </c>
      <c r="F301" t="s">
        <v>94</v>
      </c>
      <c r="G301" t="s">
        <v>95</v>
      </c>
      <c r="H301">
        <v>1</v>
      </c>
      <c r="I301" t="s">
        <v>1226</v>
      </c>
      <c r="J301" t="s">
        <v>357</v>
      </c>
    </row>
    <row r="302" spans="1:10" x14ac:dyDescent="0.25">
      <c r="A302" t="s">
        <v>1227</v>
      </c>
      <c r="B302" t="s">
        <v>1228</v>
      </c>
      <c r="C302" s="2">
        <v>46187.583333333336</v>
      </c>
      <c r="D302" t="s">
        <v>418</v>
      </c>
      <c r="E302" t="s">
        <v>20</v>
      </c>
      <c r="F302" t="s">
        <v>96</v>
      </c>
      <c r="G302" t="s">
        <v>97</v>
      </c>
      <c r="H302">
        <v>1</v>
      </c>
      <c r="I302" t="s">
        <v>1229</v>
      </c>
      <c r="J302" t="s">
        <v>357</v>
      </c>
    </row>
    <row r="303" spans="1:10" x14ac:dyDescent="0.25">
      <c r="A303" t="s">
        <v>1230</v>
      </c>
      <c r="B303" t="s">
        <v>1231</v>
      </c>
      <c r="C303" s="2">
        <v>46187.583333333336</v>
      </c>
      <c r="D303" t="s">
        <v>418</v>
      </c>
      <c r="E303" t="s">
        <v>22</v>
      </c>
      <c r="F303" t="s">
        <v>98</v>
      </c>
      <c r="G303" t="s">
        <v>99</v>
      </c>
      <c r="H303">
        <v>6</v>
      </c>
      <c r="I303" t="s">
        <v>1232</v>
      </c>
      <c r="J303" t="s">
        <v>357</v>
      </c>
    </row>
    <row r="304" spans="1:10" x14ac:dyDescent="0.25">
      <c r="A304" t="s">
        <v>1233</v>
      </c>
      <c r="B304" t="s">
        <v>1234</v>
      </c>
      <c r="C304" s="2">
        <v>46187.583333333336</v>
      </c>
      <c r="D304" t="s">
        <v>418</v>
      </c>
      <c r="E304" t="s">
        <v>24</v>
      </c>
      <c r="F304" t="s">
        <v>100</v>
      </c>
      <c r="G304" t="s">
        <v>101</v>
      </c>
      <c r="H304">
        <v>4</v>
      </c>
      <c r="I304" t="s">
        <v>1235</v>
      </c>
      <c r="J304" t="s">
        <v>357</v>
      </c>
    </row>
    <row r="305" spans="1:10" x14ac:dyDescent="0.25">
      <c r="A305" t="s">
        <v>1236</v>
      </c>
      <c r="B305" t="s">
        <v>1237</v>
      </c>
      <c r="C305" s="2">
        <v>46187.583333333336</v>
      </c>
      <c r="D305" t="s">
        <v>418</v>
      </c>
      <c r="E305" t="s">
        <v>51</v>
      </c>
      <c r="F305" t="s">
        <v>124</v>
      </c>
      <c r="G305" t="s">
        <v>125</v>
      </c>
      <c r="H305">
        <v>4</v>
      </c>
      <c r="I305" t="s">
        <v>1238</v>
      </c>
      <c r="J305" t="s">
        <v>357</v>
      </c>
    </row>
    <row r="306" spans="1:10" x14ac:dyDescent="0.25">
      <c r="A306" t="s">
        <v>1239</v>
      </c>
      <c r="B306" t="s">
        <v>1240</v>
      </c>
      <c r="C306" s="2">
        <v>46187.583333333336</v>
      </c>
      <c r="D306" t="s">
        <v>418</v>
      </c>
      <c r="E306" t="s">
        <v>55</v>
      </c>
      <c r="F306" t="s">
        <v>128</v>
      </c>
      <c r="G306" t="s">
        <v>129</v>
      </c>
      <c r="H306">
        <v>1</v>
      </c>
      <c r="I306" t="s">
        <v>1241</v>
      </c>
      <c r="J306" t="s">
        <v>357</v>
      </c>
    </row>
    <row r="307" spans="1:10" x14ac:dyDescent="0.25">
      <c r="A307" t="s">
        <v>1242</v>
      </c>
      <c r="B307" t="s">
        <v>1243</v>
      </c>
      <c r="C307" s="2">
        <v>46187.583333333336</v>
      </c>
      <c r="D307" t="s">
        <v>418</v>
      </c>
      <c r="E307" t="s">
        <v>59</v>
      </c>
      <c r="F307" t="s">
        <v>132</v>
      </c>
      <c r="G307" t="s">
        <v>133</v>
      </c>
      <c r="H307">
        <v>5</v>
      </c>
      <c r="I307" t="s">
        <v>1244</v>
      </c>
      <c r="J307" t="s">
        <v>357</v>
      </c>
    </row>
    <row r="308" spans="1:10" x14ac:dyDescent="0.25">
      <c r="A308" t="s">
        <v>1245</v>
      </c>
      <c r="B308" t="s">
        <v>1246</v>
      </c>
      <c r="C308" s="2">
        <v>46187.583333333336</v>
      </c>
      <c r="D308" t="s">
        <v>418</v>
      </c>
      <c r="E308" t="s">
        <v>75</v>
      </c>
      <c r="F308" t="s">
        <v>144</v>
      </c>
      <c r="G308" t="s">
        <v>145</v>
      </c>
      <c r="H308">
        <v>1</v>
      </c>
      <c r="I308" t="s">
        <v>1247</v>
      </c>
      <c r="J308" t="s">
        <v>357</v>
      </c>
    </row>
    <row r="309" spans="1:10" x14ac:dyDescent="0.25">
      <c r="A309" t="s">
        <v>1248</v>
      </c>
      <c r="B309" t="s">
        <v>1249</v>
      </c>
      <c r="C309" s="2">
        <v>46188.583333333336</v>
      </c>
      <c r="D309" t="s">
        <v>418</v>
      </c>
      <c r="E309" t="s">
        <v>11</v>
      </c>
      <c r="F309" t="s">
        <v>91</v>
      </c>
      <c r="G309" t="s">
        <v>92</v>
      </c>
      <c r="H309">
        <v>1</v>
      </c>
      <c r="I309" t="s">
        <v>1250</v>
      </c>
      <c r="J309" t="s">
        <v>357</v>
      </c>
    </row>
    <row r="310" spans="1:10" x14ac:dyDescent="0.25">
      <c r="A310" t="s">
        <v>1251</v>
      </c>
      <c r="B310" t="s">
        <v>1252</v>
      </c>
      <c r="C310" s="2">
        <v>46188.583333333336</v>
      </c>
      <c r="D310" t="s">
        <v>418</v>
      </c>
      <c r="E310" t="s">
        <v>22</v>
      </c>
      <c r="F310" t="s">
        <v>98</v>
      </c>
      <c r="G310" t="s">
        <v>99</v>
      </c>
      <c r="H310">
        <v>1</v>
      </c>
      <c r="I310" t="s">
        <v>1253</v>
      </c>
      <c r="J310" t="s">
        <v>357</v>
      </c>
    </row>
    <row r="311" spans="1:10" x14ac:dyDescent="0.25">
      <c r="A311" t="s">
        <v>1254</v>
      </c>
      <c r="B311" t="s">
        <v>1255</v>
      </c>
      <c r="C311" s="2">
        <v>46188.583333333336</v>
      </c>
      <c r="D311" t="s">
        <v>418</v>
      </c>
      <c r="E311" t="s">
        <v>32</v>
      </c>
      <c r="F311" t="s">
        <v>108</v>
      </c>
      <c r="G311" t="s">
        <v>109</v>
      </c>
      <c r="H311">
        <v>1</v>
      </c>
      <c r="I311" t="s">
        <v>1256</v>
      </c>
      <c r="J311" t="s">
        <v>357</v>
      </c>
    </row>
    <row r="312" spans="1:10" x14ac:dyDescent="0.25">
      <c r="A312" t="s">
        <v>1257</v>
      </c>
      <c r="B312" t="s">
        <v>1258</v>
      </c>
      <c r="C312" s="2">
        <v>46188.583333333336</v>
      </c>
      <c r="D312" t="s">
        <v>418</v>
      </c>
      <c r="E312" t="s">
        <v>65</v>
      </c>
      <c r="F312" t="s">
        <v>134</v>
      </c>
      <c r="G312" t="s">
        <v>135</v>
      </c>
      <c r="H312">
        <v>2</v>
      </c>
      <c r="I312" t="s">
        <v>1259</v>
      </c>
      <c r="J312" t="s">
        <v>357</v>
      </c>
    </row>
    <row r="313" spans="1:10" x14ac:dyDescent="0.25">
      <c r="A313" t="s">
        <v>1260</v>
      </c>
      <c r="B313" t="s">
        <v>1261</v>
      </c>
      <c r="C313" s="2">
        <v>46188.583333333336</v>
      </c>
      <c r="D313" t="s">
        <v>418</v>
      </c>
      <c r="E313" t="s">
        <v>67</v>
      </c>
      <c r="F313" t="s">
        <v>136</v>
      </c>
      <c r="G313" t="s">
        <v>137</v>
      </c>
      <c r="H313">
        <v>1</v>
      </c>
      <c r="I313" t="s">
        <v>1262</v>
      </c>
      <c r="J313" t="s">
        <v>357</v>
      </c>
    </row>
    <row r="314" spans="1:10" x14ac:dyDescent="0.25">
      <c r="A314" t="s">
        <v>1263</v>
      </c>
      <c r="B314" t="s">
        <v>1264</v>
      </c>
      <c r="C314" s="2">
        <v>46188.583333333336</v>
      </c>
      <c r="D314" t="s">
        <v>418</v>
      </c>
      <c r="E314" t="s">
        <v>71</v>
      </c>
      <c r="F314" t="s">
        <v>140</v>
      </c>
      <c r="G314" t="s">
        <v>141</v>
      </c>
      <c r="H314">
        <v>2</v>
      </c>
      <c r="I314" t="s">
        <v>1265</v>
      </c>
      <c r="J314" t="s">
        <v>357</v>
      </c>
    </row>
    <row r="315" spans="1:10" x14ac:dyDescent="0.25">
      <c r="A315" t="s">
        <v>1266</v>
      </c>
      <c r="B315" t="s">
        <v>1267</v>
      </c>
      <c r="C315" s="2">
        <v>46188.583333333336</v>
      </c>
      <c r="D315" t="s">
        <v>418</v>
      </c>
      <c r="E315" t="s">
        <v>11</v>
      </c>
      <c r="F315" t="s">
        <v>91</v>
      </c>
      <c r="G315" t="s">
        <v>92</v>
      </c>
      <c r="H315">
        <v>3</v>
      </c>
      <c r="I315" t="s">
        <v>1268</v>
      </c>
      <c r="J315" t="s">
        <v>357</v>
      </c>
    </row>
    <row r="316" spans="1:10" x14ac:dyDescent="0.25">
      <c r="A316" t="s">
        <v>1269</v>
      </c>
      <c r="B316" t="s">
        <v>1270</v>
      </c>
      <c r="C316" s="2">
        <v>46188.583333333336</v>
      </c>
      <c r="D316" t="s">
        <v>418</v>
      </c>
      <c r="E316" t="s">
        <v>18</v>
      </c>
      <c r="F316" t="s">
        <v>94</v>
      </c>
      <c r="G316" t="s">
        <v>95</v>
      </c>
      <c r="H316">
        <v>5</v>
      </c>
      <c r="I316" t="s">
        <v>1271</v>
      </c>
      <c r="J316" t="s">
        <v>357</v>
      </c>
    </row>
    <row r="317" spans="1:10" x14ac:dyDescent="0.25">
      <c r="A317" t="s">
        <v>1272</v>
      </c>
      <c r="B317" t="s">
        <v>1273</v>
      </c>
      <c r="C317" s="2">
        <v>46188.583333333336</v>
      </c>
      <c r="D317" t="s">
        <v>418</v>
      </c>
      <c r="E317" t="s">
        <v>24</v>
      </c>
      <c r="F317" t="s">
        <v>100</v>
      </c>
      <c r="G317" t="s">
        <v>101</v>
      </c>
      <c r="H317">
        <v>1</v>
      </c>
      <c r="I317" t="s">
        <v>1274</v>
      </c>
      <c r="J317" t="s">
        <v>357</v>
      </c>
    </row>
    <row r="318" spans="1:10" x14ac:dyDescent="0.25">
      <c r="A318" t="s">
        <v>1275</v>
      </c>
      <c r="B318" t="s">
        <v>1276</v>
      </c>
      <c r="C318" s="2">
        <v>46188.583333333336</v>
      </c>
      <c r="D318" t="s">
        <v>418</v>
      </c>
      <c r="E318" t="s">
        <v>26</v>
      </c>
      <c r="F318" t="s">
        <v>102</v>
      </c>
      <c r="G318" t="s">
        <v>103</v>
      </c>
      <c r="H318">
        <v>5</v>
      </c>
      <c r="I318" t="s">
        <v>1277</v>
      </c>
      <c r="J318" t="s">
        <v>357</v>
      </c>
    </row>
    <row r="319" spans="1:10" x14ac:dyDescent="0.25">
      <c r="A319" t="s">
        <v>1278</v>
      </c>
      <c r="B319" t="s">
        <v>1279</v>
      </c>
      <c r="C319" s="2">
        <v>46188.583333333336</v>
      </c>
      <c r="D319" t="s">
        <v>418</v>
      </c>
      <c r="E319" t="s">
        <v>28</v>
      </c>
      <c r="F319" t="s">
        <v>104</v>
      </c>
      <c r="G319" t="s">
        <v>105</v>
      </c>
      <c r="H319">
        <v>3</v>
      </c>
      <c r="I319" t="s">
        <v>1280</v>
      </c>
      <c r="J319" t="s">
        <v>357</v>
      </c>
    </row>
    <row r="320" spans="1:10" x14ac:dyDescent="0.25">
      <c r="A320" t="s">
        <v>1281</v>
      </c>
      <c r="B320" t="s">
        <v>1282</v>
      </c>
      <c r="C320" s="2">
        <v>46188.583333333336</v>
      </c>
      <c r="D320" t="s">
        <v>418</v>
      </c>
      <c r="E320" t="s">
        <v>32</v>
      </c>
      <c r="F320" t="s">
        <v>108</v>
      </c>
      <c r="G320" t="s">
        <v>109</v>
      </c>
      <c r="H320">
        <v>5</v>
      </c>
      <c r="I320" t="s">
        <v>1283</v>
      </c>
      <c r="J320" t="s">
        <v>357</v>
      </c>
    </row>
    <row r="321" spans="1:10" x14ac:dyDescent="0.25">
      <c r="A321" t="s">
        <v>1284</v>
      </c>
      <c r="B321" t="s">
        <v>1285</v>
      </c>
      <c r="C321" s="2">
        <v>46188.583333333336</v>
      </c>
      <c r="D321" t="s">
        <v>418</v>
      </c>
      <c r="E321" t="s">
        <v>45</v>
      </c>
      <c r="F321" t="s">
        <v>118</v>
      </c>
      <c r="G321" t="s">
        <v>119</v>
      </c>
      <c r="H321">
        <v>5</v>
      </c>
      <c r="I321" t="s">
        <v>1286</v>
      </c>
      <c r="J321" t="s">
        <v>357</v>
      </c>
    </row>
    <row r="322" spans="1:10" x14ac:dyDescent="0.25">
      <c r="A322" t="s">
        <v>1287</v>
      </c>
      <c r="B322" t="s">
        <v>1288</v>
      </c>
      <c r="C322" s="2">
        <v>46188.583333333336</v>
      </c>
      <c r="D322" t="s">
        <v>418</v>
      </c>
      <c r="E322" t="s">
        <v>47</v>
      </c>
      <c r="F322" t="s">
        <v>120</v>
      </c>
      <c r="G322" t="s">
        <v>121</v>
      </c>
      <c r="H322">
        <v>1</v>
      </c>
      <c r="I322" t="s">
        <v>1289</v>
      </c>
      <c r="J322" t="s">
        <v>357</v>
      </c>
    </row>
    <row r="323" spans="1:10" x14ac:dyDescent="0.25">
      <c r="A323" t="s">
        <v>1290</v>
      </c>
      <c r="B323" t="s">
        <v>1291</v>
      </c>
      <c r="C323" s="2">
        <v>46188.583333333336</v>
      </c>
      <c r="D323" t="s">
        <v>418</v>
      </c>
      <c r="E323" t="s">
        <v>51</v>
      </c>
      <c r="F323" t="s">
        <v>124</v>
      </c>
      <c r="G323" t="s">
        <v>125</v>
      </c>
      <c r="H323">
        <v>3</v>
      </c>
      <c r="I323" t="s">
        <v>1292</v>
      </c>
      <c r="J323" t="s">
        <v>357</v>
      </c>
    </row>
    <row r="324" spans="1:10" x14ac:dyDescent="0.25">
      <c r="A324" t="s">
        <v>1293</v>
      </c>
      <c r="B324" t="s">
        <v>1294</v>
      </c>
      <c r="C324" s="2">
        <v>46188.583333333336</v>
      </c>
      <c r="D324" t="s">
        <v>418</v>
      </c>
      <c r="E324" t="s">
        <v>57</v>
      </c>
      <c r="F324" t="s">
        <v>130</v>
      </c>
      <c r="G324" t="s">
        <v>131</v>
      </c>
      <c r="H324">
        <v>2</v>
      </c>
      <c r="I324" t="s">
        <v>1295</v>
      </c>
      <c r="J324" t="s">
        <v>357</v>
      </c>
    </row>
    <row r="325" spans="1:10" x14ac:dyDescent="0.25">
      <c r="A325" t="s">
        <v>1296</v>
      </c>
      <c r="B325" t="s">
        <v>1297</v>
      </c>
      <c r="C325" s="2">
        <v>46188.583333333336</v>
      </c>
      <c r="D325" t="s">
        <v>418</v>
      </c>
      <c r="E325" t="s">
        <v>59</v>
      </c>
      <c r="F325" t="s">
        <v>132</v>
      </c>
      <c r="G325" t="s">
        <v>133</v>
      </c>
      <c r="H325">
        <v>3</v>
      </c>
      <c r="I325" t="s">
        <v>1298</v>
      </c>
      <c r="J325" t="s">
        <v>357</v>
      </c>
    </row>
    <row r="326" spans="1:10" x14ac:dyDescent="0.25">
      <c r="A326" t="s">
        <v>1299</v>
      </c>
      <c r="B326" t="s">
        <v>1300</v>
      </c>
      <c r="C326" s="2">
        <v>46188.583333333336</v>
      </c>
      <c r="D326" t="s">
        <v>418</v>
      </c>
      <c r="E326" t="s">
        <v>71</v>
      </c>
      <c r="F326" t="s">
        <v>140</v>
      </c>
      <c r="G326" t="s">
        <v>141</v>
      </c>
      <c r="H326">
        <v>2</v>
      </c>
      <c r="I326" t="s">
        <v>1301</v>
      </c>
      <c r="J326" t="s">
        <v>357</v>
      </c>
    </row>
    <row r="327" spans="1:10" x14ac:dyDescent="0.25">
      <c r="A327" t="s">
        <v>1302</v>
      </c>
      <c r="B327" t="s">
        <v>1303</v>
      </c>
      <c r="C327" s="2">
        <v>46188.583333333336</v>
      </c>
      <c r="D327" t="s">
        <v>418</v>
      </c>
      <c r="E327" t="s">
        <v>75</v>
      </c>
      <c r="F327" t="s">
        <v>144</v>
      </c>
      <c r="G327" t="s">
        <v>145</v>
      </c>
      <c r="H327">
        <v>2</v>
      </c>
      <c r="I327" t="s">
        <v>1304</v>
      </c>
      <c r="J327" t="s">
        <v>357</v>
      </c>
    </row>
    <row r="328" spans="1:10" x14ac:dyDescent="0.25">
      <c r="A328" t="s">
        <v>1305</v>
      </c>
      <c r="B328" t="s">
        <v>1306</v>
      </c>
      <c r="C328" s="2">
        <v>46188.583333333336</v>
      </c>
      <c r="D328" t="s">
        <v>418</v>
      </c>
      <c r="E328" t="s">
        <v>11</v>
      </c>
      <c r="F328" t="s">
        <v>91</v>
      </c>
      <c r="G328" t="s">
        <v>92</v>
      </c>
      <c r="H328">
        <v>6</v>
      </c>
      <c r="I328" t="s">
        <v>1307</v>
      </c>
      <c r="J328" t="s">
        <v>357</v>
      </c>
    </row>
    <row r="329" spans="1:10" x14ac:dyDescent="0.25">
      <c r="A329" t="s">
        <v>1308</v>
      </c>
      <c r="B329" t="s">
        <v>1309</v>
      </c>
      <c r="C329" s="2">
        <v>46188.583333333336</v>
      </c>
      <c r="D329" t="s">
        <v>418</v>
      </c>
      <c r="E329" t="s">
        <v>18</v>
      </c>
      <c r="F329" t="s">
        <v>94</v>
      </c>
      <c r="G329" t="s">
        <v>95</v>
      </c>
      <c r="H329">
        <v>1</v>
      </c>
      <c r="I329" t="s">
        <v>1310</v>
      </c>
      <c r="J329" t="s">
        <v>357</v>
      </c>
    </row>
    <row r="330" spans="1:10" x14ac:dyDescent="0.25">
      <c r="A330" t="s">
        <v>1311</v>
      </c>
      <c r="B330" t="s">
        <v>1312</v>
      </c>
      <c r="C330" s="2">
        <v>46188.583333333336</v>
      </c>
      <c r="D330" t="s">
        <v>418</v>
      </c>
      <c r="E330" t="s">
        <v>22</v>
      </c>
      <c r="F330" t="s">
        <v>98</v>
      </c>
      <c r="G330" t="s">
        <v>99</v>
      </c>
      <c r="H330">
        <v>6</v>
      </c>
      <c r="I330" t="s">
        <v>1313</v>
      </c>
      <c r="J330" t="s">
        <v>357</v>
      </c>
    </row>
    <row r="331" spans="1:10" x14ac:dyDescent="0.25">
      <c r="A331" t="s">
        <v>1314</v>
      </c>
      <c r="B331" t="s">
        <v>1315</v>
      </c>
      <c r="C331" s="2">
        <v>46188.583333333336</v>
      </c>
      <c r="D331" t="s">
        <v>418</v>
      </c>
      <c r="E331" t="s">
        <v>24</v>
      </c>
      <c r="F331" t="s">
        <v>100</v>
      </c>
      <c r="G331" t="s">
        <v>101</v>
      </c>
      <c r="H331">
        <v>2</v>
      </c>
      <c r="I331" t="s">
        <v>1316</v>
      </c>
      <c r="J331" t="s">
        <v>357</v>
      </c>
    </row>
    <row r="332" spans="1:10" x14ac:dyDescent="0.25">
      <c r="A332" t="s">
        <v>1317</v>
      </c>
      <c r="B332" t="s">
        <v>1318</v>
      </c>
      <c r="C332" s="2">
        <v>46188.583333333336</v>
      </c>
      <c r="D332" t="s">
        <v>418</v>
      </c>
      <c r="E332" t="s">
        <v>26</v>
      </c>
      <c r="F332" t="s">
        <v>102</v>
      </c>
      <c r="G332" t="s">
        <v>103</v>
      </c>
      <c r="H332">
        <v>5</v>
      </c>
      <c r="I332" t="s">
        <v>1319</v>
      </c>
      <c r="J332" t="s">
        <v>357</v>
      </c>
    </row>
    <row r="333" spans="1:10" x14ac:dyDescent="0.25">
      <c r="A333" t="s">
        <v>1320</v>
      </c>
      <c r="B333" t="s">
        <v>1321</v>
      </c>
      <c r="C333" s="2">
        <v>46188.583333333336</v>
      </c>
      <c r="D333" t="s">
        <v>418</v>
      </c>
      <c r="E333" t="s">
        <v>28</v>
      </c>
      <c r="F333" t="s">
        <v>104</v>
      </c>
      <c r="G333" t="s">
        <v>105</v>
      </c>
      <c r="H333">
        <v>6</v>
      </c>
      <c r="I333" t="s">
        <v>1322</v>
      </c>
      <c r="J333" t="s">
        <v>357</v>
      </c>
    </row>
    <row r="334" spans="1:10" x14ac:dyDescent="0.25">
      <c r="A334" t="s">
        <v>1323</v>
      </c>
      <c r="B334" t="s">
        <v>1324</v>
      </c>
      <c r="C334" s="2">
        <v>46188.583333333336</v>
      </c>
      <c r="D334" t="s">
        <v>418</v>
      </c>
      <c r="E334" t="s">
        <v>36</v>
      </c>
      <c r="F334" t="s">
        <v>112</v>
      </c>
      <c r="G334" t="s">
        <v>113</v>
      </c>
      <c r="H334">
        <v>6</v>
      </c>
      <c r="I334" t="s">
        <v>1325</v>
      </c>
      <c r="J334" t="s">
        <v>357</v>
      </c>
    </row>
    <row r="335" spans="1:10" x14ac:dyDescent="0.25">
      <c r="A335" t="s">
        <v>1326</v>
      </c>
      <c r="B335" t="s">
        <v>1327</v>
      </c>
      <c r="C335" s="2">
        <v>46188.583333333336</v>
      </c>
      <c r="D335" t="s">
        <v>418</v>
      </c>
      <c r="E335" t="s">
        <v>43</v>
      </c>
      <c r="F335" t="s">
        <v>116</v>
      </c>
      <c r="G335" t="s">
        <v>117</v>
      </c>
      <c r="H335">
        <v>4</v>
      </c>
      <c r="I335" t="s">
        <v>1328</v>
      </c>
      <c r="J335" t="s">
        <v>357</v>
      </c>
    </row>
    <row r="336" spans="1:10" x14ac:dyDescent="0.25">
      <c r="A336" t="s">
        <v>1329</v>
      </c>
      <c r="B336" t="s">
        <v>1330</v>
      </c>
      <c r="C336" s="2">
        <v>46188.583333333336</v>
      </c>
      <c r="D336" t="s">
        <v>418</v>
      </c>
      <c r="E336" t="s">
        <v>45</v>
      </c>
      <c r="F336" t="s">
        <v>118</v>
      </c>
      <c r="G336" t="s">
        <v>119</v>
      </c>
      <c r="H336">
        <v>2</v>
      </c>
      <c r="I336" t="s">
        <v>1331</v>
      </c>
      <c r="J336" t="s">
        <v>357</v>
      </c>
    </row>
    <row r="337" spans="1:10" x14ac:dyDescent="0.25">
      <c r="A337" t="s">
        <v>1332</v>
      </c>
      <c r="B337" t="s">
        <v>1333</v>
      </c>
      <c r="C337" s="2">
        <v>46188.583333333336</v>
      </c>
      <c r="D337" t="s">
        <v>418</v>
      </c>
      <c r="E337" t="s">
        <v>53</v>
      </c>
      <c r="F337" t="s">
        <v>126</v>
      </c>
      <c r="G337" t="s">
        <v>127</v>
      </c>
      <c r="H337">
        <v>6</v>
      </c>
      <c r="I337" t="s">
        <v>1334</v>
      </c>
      <c r="J337" t="s">
        <v>357</v>
      </c>
    </row>
    <row r="338" spans="1:10" x14ac:dyDescent="0.25">
      <c r="A338" t="s">
        <v>1335</v>
      </c>
      <c r="B338" t="s">
        <v>1336</v>
      </c>
      <c r="C338" s="2">
        <v>46188.583333333336</v>
      </c>
      <c r="D338" t="s">
        <v>418</v>
      </c>
      <c r="E338" t="s">
        <v>59</v>
      </c>
      <c r="F338" t="s">
        <v>132</v>
      </c>
      <c r="G338" t="s">
        <v>133</v>
      </c>
      <c r="H338">
        <v>1</v>
      </c>
      <c r="I338" t="s">
        <v>1337</v>
      </c>
      <c r="J338" t="s">
        <v>357</v>
      </c>
    </row>
    <row r="339" spans="1:10" x14ac:dyDescent="0.25">
      <c r="A339" t="s">
        <v>1338</v>
      </c>
      <c r="B339" t="s">
        <v>1339</v>
      </c>
      <c r="C339" s="2">
        <v>46188.583333333336</v>
      </c>
      <c r="D339" t="s">
        <v>418</v>
      </c>
      <c r="E339" t="s">
        <v>67</v>
      </c>
      <c r="F339" t="s">
        <v>136</v>
      </c>
      <c r="G339" t="s">
        <v>137</v>
      </c>
      <c r="H339">
        <v>4</v>
      </c>
      <c r="I339" t="s">
        <v>1340</v>
      </c>
      <c r="J339" t="s">
        <v>357</v>
      </c>
    </row>
    <row r="340" spans="1:10" x14ac:dyDescent="0.25">
      <c r="A340" t="s">
        <v>1341</v>
      </c>
      <c r="B340" t="s">
        <v>1342</v>
      </c>
      <c r="C340" s="2">
        <v>46188.583333333336</v>
      </c>
      <c r="D340" t="s">
        <v>418</v>
      </c>
      <c r="E340" t="s">
        <v>11</v>
      </c>
      <c r="F340" t="s">
        <v>91</v>
      </c>
      <c r="G340" t="s">
        <v>92</v>
      </c>
      <c r="H340">
        <v>3</v>
      </c>
      <c r="I340" t="s">
        <v>1343</v>
      </c>
      <c r="J340" t="s">
        <v>357</v>
      </c>
    </row>
    <row r="341" spans="1:10" x14ac:dyDescent="0.25">
      <c r="A341" t="s">
        <v>1344</v>
      </c>
      <c r="B341" t="s">
        <v>1345</v>
      </c>
      <c r="C341" s="2">
        <v>46188.583333333336</v>
      </c>
      <c r="D341" t="s">
        <v>418</v>
      </c>
      <c r="E341" t="s">
        <v>18</v>
      </c>
      <c r="F341" t="s">
        <v>94</v>
      </c>
      <c r="G341" t="s">
        <v>95</v>
      </c>
      <c r="H341">
        <v>7</v>
      </c>
      <c r="I341" t="s">
        <v>1346</v>
      </c>
      <c r="J341" t="s">
        <v>357</v>
      </c>
    </row>
    <row r="342" spans="1:10" x14ac:dyDescent="0.25">
      <c r="A342" t="s">
        <v>1347</v>
      </c>
      <c r="B342" t="s">
        <v>1348</v>
      </c>
      <c r="C342" s="2">
        <v>46188.583333333336</v>
      </c>
      <c r="D342" t="s">
        <v>418</v>
      </c>
      <c r="E342" t="s">
        <v>22</v>
      </c>
      <c r="F342" t="s">
        <v>98</v>
      </c>
      <c r="G342" t="s">
        <v>99</v>
      </c>
      <c r="H342">
        <v>1</v>
      </c>
      <c r="I342" t="s">
        <v>1349</v>
      </c>
      <c r="J342" t="s">
        <v>357</v>
      </c>
    </row>
    <row r="343" spans="1:10" x14ac:dyDescent="0.25">
      <c r="A343" t="s">
        <v>1350</v>
      </c>
      <c r="B343" t="s">
        <v>1351</v>
      </c>
      <c r="C343" s="2">
        <v>46188.583333333336</v>
      </c>
      <c r="D343" t="s">
        <v>418</v>
      </c>
      <c r="E343" t="s">
        <v>30</v>
      </c>
      <c r="F343" t="s">
        <v>106</v>
      </c>
      <c r="G343" t="s">
        <v>107</v>
      </c>
      <c r="H343">
        <v>6</v>
      </c>
      <c r="I343" t="s">
        <v>1352</v>
      </c>
      <c r="J343" t="s">
        <v>357</v>
      </c>
    </row>
    <row r="344" spans="1:10" x14ac:dyDescent="0.25">
      <c r="A344" t="s">
        <v>1353</v>
      </c>
      <c r="B344" t="s">
        <v>1354</v>
      </c>
      <c r="C344" s="2">
        <v>46188.583333333336</v>
      </c>
      <c r="D344" t="s">
        <v>418</v>
      </c>
      <c r="E344" t="s">
        <v>32</v>
      </c>
      <c r="F344" t="s">
        <v>108</v>
      </c>
      <c r="G344" t="s">
        <v>109</v>
      </c>
      <c r="H344">
        <v>4</v>
      </c>
      <c r="I344" t="s">
        <v>1355</v>
      </c>
      <c r="J344" t="s">
        <v>357</v>
      </c>
    </row>
    <row r="345" spans="1:10" x14ac:dyDescent="0.25">
      <c r="A345" t="s">
        <v>1356</v>
      </c>
      <c r="B345" t="s">
        <v>1357</v>
      </c>
      <c r="C345" s="2">
        <v>46188.583333333336</v>
      </c>
      <c r="D345" t="s">
        <v>418</v>
      </c>
      <c r="E345" t="s">
        <v>45</v>
      </c>
      <c r="F345" t="s">
        <v>118</v>
      </c>
      <c r="G345" t="s">
        <v>119</v>
      </c>
      <c r="H345">
        <v>3</v>
      </c>
      <c r="I345" t="s">
        <v>1358</v>
      </c>
      <c r="J345" t="s">
        <v>357</v>
      </c>
    </row>
    <row r="346" spans="1:10" x14ac:dyDescent="0.25">
      <c r="A346" t="s">
        <v>1359</v>
      </c>
      <c r="B346" t="s">
        <v>1360</v>
      </c>
      <c r="C346" s="2">
        <v>46188.583333333336</v>
      </c>
      <c r="D346" t="s">
        <v>418</v>
      </c>
      <c r="E346" t="s">
        <v>49</v>
      </c>
      <c r="F346" t="s">
        <v>122</v>
      </c>
      <c r="G346" t="s">
        <v>123</v>
      </c>
      <c r="H346">
        <v>7</v>
      </c>
      <c r="I346" t="s">
        <v>1361</v>
      </c>
      <c r="J346" t="s">
        <v>357</v>
      </c>
    </row>
    <row r="347" spans="1:10" x14ac:dyDescent="0.25">
      <c r="A347" t="s">
        <v>1362</v>
      </c>
      <c r="B347" t="s">
        <v>1363</v>
      </c>
      <c r="C347" s="2">
        <v>46188.583333333336</v>
      </c>
      <c r="D347" t="s">
        <v>418</v>
      </c>
      <c r="E347" t="s">
        <v>53</v>
      </c>
      <c r="F347" t="s">
        <v>126</v>
      </c>
      <c r="G347" t="s">
        <v>127</v>
      </c>
      <c r="H347">
        <v>1</v>
      </c>
      <c r="I347" t="s">
        <v>1364</v>
      </c>
      <c r="J347" t="s">
        <v>357</v>
      </c>
    </row>
    <row r="348" spans="1:10" x14ac:dyDescent="0.25">
      <c r="A348" t="s">
        <v>1365</v>
      </c>
      <c r="B348" t="s">
        <v>1366</v>
      </c>
      <c r="C348" s="2">
        <v>46188.583333333336</v>
      </c>
      <c r="D348" t="s">
        <v>418</v>
      </c>
      <c r="E348" t="s">
        <v>57</v>
      </c>
      <c r="F348" t="s">
        <v>130</v>
      </c>
      <c r="G348" t="s">
        <v>131</v>
      </c>
      <c r="H348">
        <v>6</v>
      </c>
      <c r="I348" t="s">
        <v>1367</v>
      </c>
      <c r="J348" t="s">
        <v>357</v>
      </c>
    </row>
    <row r="349" spans="1:10" x14ac:dyDescent="0.25">
      <c r="A349" t="s">
        <v>1368</v>
      </c>
      <c r="B349" t="s">
        <v>1369</v>
      </c>
      <c r="C349" s="2">
        <v>46188.583333333336</v>
      </c>
      <c r="D349" t="s">
        <v>418</v>
      </c>
      <c r="E349" t="s">
        <v>67</v>
      </c>
      <c r="F349" t="s">
        <v>136</v>
      </c>
      <c r="G349" t="s">
        <v>137</v>
      </c>
      <c r="H349">
        <v>1</v>
      </c>
      <c r="I349" t="s">
        <v>1370</v>
      </c>
      <c r="J349" t="s">
        <v>357</v>
      </c>
    </row>
    <row r="350" spans="1:10" x14ac:dyDescent="0.25">
      <c r="A350" t="s">
        <v>1371</v>
      </c>
      <c r="B350" t="s">
        <v>1372</v>
      </c>
      <c r="C350" s="2">
        <v>46188.583333333336</v>
      </c>
      <c r="D350" t="s">
        <v>418</v>
      </c>
      <c r="E350" t="s">
        <v>71</v>
      </c>
      <c r="F350" t="s">
        <v>140</v>
      </c>
      <c r="G350" t="s">
        <v>141</v>
      </c>
      <c r="H350">
        <v>1</v>
      </c>
      <c r="I350" t="s">
        <v>1373</v>
      </c>
      <c r="J350" t="s">
        <v>357</v>
      </c>
    </row>
    <row r="351" spans="1:10" x14ac:dyDescent="0.25">
      <c r="A351" t="s">
        <v>1374</v>
      </c>
      <c r="B351" t="s">
        <v>1375</v>
      </c>
      <c r="C351" s="2">
        <v>46188.583333333336</v>
      </c>
      <c r="D351" t="s">
        <v>418</v>
      </c>
      <c r="E351" t="s">
        <v>77</v>
      </c>
      <c r="F351" t="s">
        <v>146</v>
      </c>
      <c r="G351" t="s">
        <v>147</v>
      </c>
      <c r="H351">
        <v>4</v>
      </c>
      <c r="I351" t="s">
        <v>1376</v>
      </c>
      <c r="J351" t="s">
        <v>357</v>
      </c>
    </row>
    <row r="352" spans="1:10" x14ac:dyDescent="0.25">
      <c r="A352" t="s">
        <v>1377</v>
      </c>
      <c r="B352" t="s">
        <v>1378</v>
      </c>
      <c r="C352" s="2">
        <v>46188.583333333336</v>
      </c>
      <c r="D352" t="s">
        <v>418</v>
      </c>
      <c r="E352" t="s">
        <v>11</v>
      </c>
      <c r="F352" t="s">
        <v>91</v>
      </c>
      <c r="G352" t="s">
        <v>92</v>
      </c>
      <c r="H352">
        <v>3</v>
      </c>
      <c r="I352" t="s">
        <v>1379</v>
      </c>
      <c r="J352" t="s">
        <v>357</v>
      </c>
    </row>
    <row r="353" spans="1:10" x14ac:dyDescent="0.25">
      <c r="A353" t="s">
        <v>1380</v>
      </c>
      <c r="B353" t="s">
        <v>1381</v>
      </c>
      <c r="C353" s="2">
        <v>46188.583333333336</v>
      </c>
      <c r="D353" t="s">
        <v>418</v>
      </c>
      <c r="E353" t="s">
        <v>18</v>
      </c>
      <c r="F353" t="s">
        <v>94</v>
      </c>
      <c r="G353" t="s">
        <v>95</v>
      </c>
      <c r="H353">
        <v>4</v>
      </c>
      <c r="I353" t="s">
        <v>1382</v>
      </c>
      <c r="J353" t="s">
        <v>357</v>
      </c>
    </row>
    <row r="354" spans="1:10" x14ac:dyDescent="0.25">
      <c r="A354" t="s">
        <v>1383</v>
      </c>
      <c r="B354" t="s">
        <v>1384</v>
      </c>
      <c r="C354" s="2">
        <v>46188.583333333336</v>
      </c>
      <c r="D354" t="s">
        <v>418</v>
      </c>
      <c r="E354" t="s">
        <v>22</v>
      </c>
      <c r="F354" t="s">
        <v>98</v>
      </c>
      <c r="G354" t="s">
        <v>99</v>
      </c>
      <c r="H354">
        <v>3</v>
      </c>
      <c r="I354" t="s">
        <v>1385</v>
      </c>
      <c r="J354" t="s">
        <v>357</v>
      </c>
    </row>
    <row r="355" spans="1:10" x14ac:dyDescent="0.25">
      <c r="A355" t="s">
        <v>1386</v>
      </c>
      <c r="B355" t="s">
        <v>1387</v>
      </c>
      <c r="C355" s="2">
        <v>46188.583333333336</v>
      </c>
      <c r="D355" t="s">
        <v>418</v>
      </c>
      <c r="E355" t="s">
        <v>24</v>
      </c>
      <c r="F355" t="s">
        <v>100</v>
      </c>
      <c r="G355" t="s">
        <v>101</v>
      </c>
      <c r="H355">
        <v>2</v>
      </c>
      <c r="I355" t="s">
        <v>1388</v>
      </c>
      <c r="J355" t="s">
        <v>357</v>
      </c>
    </row>
    <row r="356" spans="1:10" x14ac:dyDescent="0.25">
      <c r="A356" t="s">
        <v>1389</v>
      </c>
      <c r="B356" t="s">
        <v>1390</v>
      </c>
      <c r="C356" s="2">
        <v>46188.583333333336</v>
      </c>
      <c r="D356" t="s">
        <v>418</v>
      </c>
      <c r="E356" t="s">
        <v>36</v>
      </c>
      <c r="F356" t="s">
        <v>112</v>
      </c>
      <c r="G356" t="s">
        <v>113</v>
      </c>
      <c r="H356">
        <v>4</v>
      </c>
      <c r="I356" t="s">
        <v>1391</v>
      </c>
      <c r="J356" t="s">
        <v>357</v>
      </c>
    </row>
    <row r="357" spans="1:10" x14ac:dyDescent="0.25">
      <c r="A357" t="s">
        <v>1392</v>
      </c>
      <c r="B357" t="s">
        <v>1393</v>
      </c>
      <c r="C357" s="2">
        <v>46188.583333333336</v>
      </c>
      <c r="D357" t="s">
        <v>418</v>
      </c>
      <c r="E357" t="s">
        <v>41</v>
      </c>
      <c r="F357" t="s">
        <v>114</v>
      </c>
      <c r="G357" t="s">
        <v>115</v>
      </c>
      <c r="H357">
        <v>3</v>
      </c>
      <c r="I357" t="s">
        <v>1394</v>
      </c>
      <c r="J357" t="s">
        <v>357</v>
      </c>
    </row>
    <row r="358" spans="1:10" x14ac:dyDescent="0.25">
      <c r="A358" t="s">
        <v>1395</v>
      </c>
      <c r="B358" t="s">
        <v>1396</v>
      </c>
      <c r="C358" s="2">
        <v>46188.583333333336</v>
      </c>
      <c r="D358" t="s">
        <v>418</v>
      </c>
      <c r="E358" t="s">
        <v>45</v>
      </c>
      <c r="F358" t="s">
        <v>118</v>
      </c>
      <c r="G358" t="s">
        <v>119</v>
      </c>
      <c r="H358">
        <v>4</v>
      </c>
      <c r="I358" t="s">
        <v>1397</v>
      </c>
      <c r="J358" t="s">
        <v>357</v>
      </c>
    </row>
    <row r="359" spans="1:10" x14ac:dyDescent="0.25">
      <c r="A359" t="s">
        <v>1398</v>
      </c>
      <c r="B359" t="s">
        <v>1399</v>
      </c>
      <c r="C359" s="2">
        <v>46188.583333333336</v>
      </c>
      <c r="D359" t="s">
        <v>418</v>
      </c>
      <c r="E359" t="s">
        <v>53</v>
      </c>
      <c r="F359" t="s">
        <v>126</v>
      </c>
      <c r="G359" t="s">
        <v>127</v>
      </c>
      <c r="H359">
        <v>4</v>
      </c>
      <c r="I359" t="s">
        <v>1400</v>
      </c>
      <c r="J359" t="s">
        <v>357</v>
      </c>
    </row>
    <row r="360" spans="1:10" x14ac:dyDescent="0.25">
      <c r="A360" t="s">
        <v>1401</v>
      </c>
      <c r="B360" t="s">
        <v>1402</v>
      </c>
      <c r="C360" s="2">
        <v>46188.583333333336</v>
      </c>
      <c r="D360" t="s">
        <v>418</v>
      </c>
      <c r="E360" t="s">
        <v>57</v>
      </c>
      <c r="F360" t="s">
        <v>130</v>
      </c>
      <c r="G360" t="s">
        <v>131</v>
      </c>
      <c r="H360">
        <v>2</v>
      </c>
      <c r="I360" t="s">
        <v>1403</v>
      </c>
      <c r="J360" t="s">
        <v>357</v>
      </c>
    </row>
    <row r="361" spans="1:10" x14ac:dyDescent="0.25">
      <c r="A361" t="s">
        <v>1404</v>
      </c>
      <c r="B361" t="s">
        <v>1405</v>
      </c>
      <c r="C361" s="2">
        <v>46188.583333333336</v>
      </c>
      <c r="D361" t="s">
        <v>418</v>
      </c>
      <c r="E361" t="s">
        <v>71</v>
      </c>
      <c r="F361" t="s">
        <v>140</v>
      </c>
      <c r="G361" t="s">
        <v>141</v>
      </c>
      <c r="H361">
        <v>4</v>
      </c>
      <c r="I361" t="s">
        <v>1406</v>
      </c>
      <c r="J361" t="s">
        <v>357</v>
      </c>
    </row>
    <row r="362" spans="1:10" x14ac:dyDescent="0.25">
      <c r="A362" t="s">
        <v>1407</v>
      </c>
      <c r="B362" t="s">
        <v>1408</v>
      </c>
      <c r="C362" s="2">
        <v>46188.583333333336</v>
      </c>
      <c r="D362" t="s">
        <v>418</v>
      </c>
      <c r="E362" t="s">
        <v>77</v>
      </c>
      <c r="F362" t="s">
        <v>146</v>
      </c>
      <c r="G362" t="s">
        <v>147</v>
      </c>
      <c r="H362">
        <v>2</v>
      </c>
      <c r="I362" t="s">
        <v>1409</v>
      </c>
      <c r="J362" t="s">
        <v>357</v>
      </c>
    </row>
    <row r="363" spans="1:10" x14ac:dyDescent="0.25">
      <c r="A363" t="s">
        <v>1410</v>
      </c>
      <c r="B363" t="s">
        <v>1411</v>
      </c>
      <c r="C363" s="2">
        <v>46189.333333333336</v>
      </c>
      <c r="D363" t="s">
        <v>1412</v>
      </c>
      <c r="E363" t="s">
        <v>11</v>
      </c>
      <c r="F363" t="s">
        <v>152</v>
      </c>
      <c r="G363" t="s">
        <v>92</v>
      </c>
      <c r="H363">
        <v>80</v>
      </c>
      <c r="I363" t="s">
        <v>357</v>
      </c>
      <c r="J363" t="s">
        <v>1413</v>
      </c>
    </row>
    <row r="364" spans="1:10" x14ac:dyDescent="0.25">
      <c r="A364" t="s">
        <v>1414</v>
      </c>
      <c r="B364" t="s">
        <v>1415</v>
      </c>
      <c r="C364" s="2">
        <v>46189.333333333336</v>
      </c>
      <c r="D364" t="s">
        <v>1412</v>
      </c>
      <c r="E364" t="s">
        <v>18</v>
      </c>
      <c r="F364" t="s">
        <v>153</v>
      </c>
      <c r="G364" t="s">
        <v>95</v>
      </c>
      <c r="H364">
        <v>81</v>
      </c>
      <c r="I364" t="s">
        <v>357</v>
      </c>
      <c r="J364" t="s">
        <v>1416</v>
      </c>
    </row>
    <row r="365" spans="1:10" x14ac:dyDescent="0.25">
      <c r="A365" t="s">
        <v>1417</v>
      </c>
      <c r="B365" t="s">
        <v>1418</v>
      </c>
      <c r="C365" s="2">
        <v>46189.333333333336</v>
      </c>
      <c r="D365" t="s">
        <v>1412</v>
      </c>
      <c r="E365" t="s">
        <v>20</v>
      </c>
      <c r="F365" t="s">
        <v>154</v>
      </c>
      <c r="G365" t="s">
        <v>97</v>
      </c>
      <c r="H365">
        <v>67</v>
      </c>
      <c r="I365" t="s">
        <v>357</v>
      </c>
      <c r="J365" t="s">
        <v>1419</v>
      </c>
    </row>
    <row r="366" spans="1:10" x14ac:dyDescent="0.25">
      <c r="A366" t="s">
        <v>1420</v>
      </c>
      <c r="B366" t="s">
        <v>1421</v>
      </c>
      <c r="C366" s="2">
        <v>46189.333333333336</v>
      </c>
      <c r="D366" t="s">
        <v>1412</v>
      </c>
      <c r="E366" t="s">
        <v>22</v>
      </c>
      <c r="F366" t="s">
        <v>155</v>
      </c>
      <c r="G366" t="s">
        <v>99</v>
      </c>
      <c r="H366">
        <v>68</v>
      </c>
      <c r="I366" t="s">
        <v>357</v>
      </c>
      <c r="J366" t="s">
        <v>1422</v>
      </c>
    </row>
    <row r="367" spans="1:10" x14ac:dyDescent="0.25">
      <c r="A367" t="s">
        <v>1423</v>
      </c>
      <c r="B367" t="s">
        <v>1424</v>
      </c>
      <c r="C367" s="2">
        <v>46189.333333333336</v>
      </c>
      <c r="D367" t="s">
        <v>1412</v>
      </c>
      <c r="E367" t="s">
        <v>24</v>
      </c>
      <c r="F367" t="s">
        <v>156</v>
      </c>
      <c r="G367" t="s">
        <v>101</v>
      </c>
      <c r="H367">
        <v>99</v>
      </c>
      <c r="I367" t="s">
        <v>357</v>
      </c>
      <c r="J367" t="s">
        <v>1425</v>
      </c>
    </row>
    <row r="368" spans="1:10" x14ac:dyDescent="0.25">
      <c r="A368" t="s">
        <v>1426</v>
      </c>
      <c r="B368" t="s">
        <v>1427</v>
      </c>
      <c r="C368" s="2">
        <v>46189.333333333336</v>
      </c>
      <c r="D368" t="s">
        <v>1412</v>
      </c>
      <c r="E368" t="s">
        <v>26</v>
      </c>
      <c r="F368" t="s">
        <v>157</v>
      </c>
      <c r="G368" t="s">
        <v>103</v>
      </c>
      <c r="H368">
        <v>78</v>
      </c>
      <c r="I368" t="s">
        <v>357</v>
      </c>
      <c r="J368" t="s">
        <v>1428</v>
      </c>
    </row>
    <row r="369" spans="1:10" x14ac:dyDescent="0.25">
      <c r="A369" t="s">
        <v>1429</v>
      </c>
      <c r="B369" t="s">
        <v>1430</v>
      </c>
      <c r="C369" s="2">
        <v>46189.333333333336</v>
      </c>
      <c r="D369" t="s">
        <v>1412</v>
      </c>
      <c r="E369" t="s">
        <v>28</v>
      </c>
      <c r="F369" t="s">
        <v>158</v>
      </c>
      <c r="G369" t="s">
        <v>105</v>
      </c>
      <c r="H369">
        <v>99</v>
      </c>
      <c r="I369" t="s">
        <v>357</v>
      </c>
      <c r="J369" t="s">
        <v>1431</v>
      </c>
    </row>
    <row r="370" spans="1:10" x14ac:dyDescent="0.25">
      <c r="A370" t="s">
        <v>1432</v>
      </c>
      <c r="B370" t="s">
        <v>1433</v>
      </c>
      <c r="C370" s="2">
        <v>46189.333333333336</v>
      </c>
      <c r="D370" t="s">
        <v>1412</v>
      </c>
      <c r="E370" t="s">
        <v>30</v>
      </c>
      <c r="F370" t="s">
        <v>159</v>
      </c>
      <c r="G370" t="s">
        <v>107</v>
      </c>
      <c r="H370">
        <v>92</v>
      </c>
      <c r="I370" t="s">
        <v>357</v>
      </c>
      <c r="J370" t="s">
        <v>1434</v>
      </c>
    </row>
    <row r="371" spans="1:10" x14ac:dyDescent="0.25">
      <c r="A371" t="s">
        <v>1435</v>
      </c>
      <c r="B371" t="s">
        <v>1436</v>
      </c>
      <c r="C371" s="2">
        <v>46189.333333333336</v>
      </c>
      <c r="D371" t="s">
        <v>1412</v>
      </c>
      <c r="E371" t="s">
        <v>32</v>
      </c>
      <c r="F371" t="s">
        <v>160</v>
      </c>
      <c r="G371" t="s">
        <v>109</v>
      </c>
      <c r="H371">
        <v>76</v>
      </c>
      <c r="I371" t="s">
        <v>357</v>
      </c>
      <c r="J371" t="s">
        <v>1437</v>
      </c>
    </row>
    <row r="372" spans="1:10" x14ac:dyDescent="0.25">
      <c r="A372" t="s">
        <v>1438</v>
      </c>
      <c r="B372" t="s">
        <v>1439</v>
      </c>
      <c r="C372" s="2">
        <v>46189.333333333336</v>
      </c>
      <c r="D372" t="s">
        <v>1412</v>
      </c>
      <c r="E372" t="s">
        <v>34</v>
      </c>
      <c r="F372" t="s">
        <v>161</v>
      </c>
      <c r="G372" t="s">
        <v>111</v>
      </c>
      <c r="H372">
        <v>86</v>
      </c>
      <c r="I372" t="s">
        <v>357</v>
      </c>
      <c r="J372" t="s">
        <v>1440</v>
      </c>
    </row>
    <row r="373" spans="1:10" x14ac:dyDescent="0.25">
      <c r="A373" t="s">
        <v>1441</v>
      </c>
      <c r="B373" t="s">
        <v>1442</v>
      </c>
      <c r="C373" s="2">
        <v>46189.333333333336</v>
      </c>
      <c r="D373" t="s">
        <v>1412</v>
      </c>
      <c r="E373" t="s">
        <v>36</v>
      </c>
      <c r="F373" t="s">
        <v>162</v>
      </c>
      <c r="G373" t="s">
        <v>113</v>
      </c>
      <c r="H373">
        <v>80</v>
      </c>
      <c r="I373" t="s">
        <v>357</v>
      </c>
      <c r="J373" t="s">
        <v>1443</v>
      </c>
    </row>
    <row r="374" spans="1:10" x14ac:dyDescent="0.25">
      <c r="A374" t="s">
        <v>1444</v>
      </c>
      <c r="B374" t="s">
        <v>1445</v>
      </c>
      <c r="C374" s="2">
        <v>46189.333333333336</v>
      </c>
      <c r="D374" t="s">
        <v>1412</v>
      </c>
      <c r="E374" t="s">
        <v>41</v>
      </c>
      <c r="F374" t="s">
        <v>163</v>
      </c>
      <c r="G374" t="s">
        <v>115</v>
      </c>
      <c r="H374">
        <v>60</v>
      </c>
      <c r="I374" t="s">
        <v>357</v>
      </c>
      <c r="J374" t="s">
        <v>1446</v>
      </c>
    </row>
    <row r="375" spans="1:10" x14ac:dyDescent="0.25">
      <c r="A375" t="s">
        <v>1447</v>
      </c>
      <c r="B375" t="s">
        <v>1448</v>
      </c>
      <c r="C375" s="2">
        <v>46189.333333333336</v>
      </c>
      <c r="D375" t="s">
        <v>1412</v>
      </c>
      <c r="E375" t="s">
        <v>43</v>
      </c>
      <c r="F375" t="s">
        <v>164</v>
      </c>
      <c r="G375" t="s">
        <v>117</v>
      </c>
      <c r="H375">
        <v>68</v>
      </c>
      <c r="I375" t="s">
        <v>357</v>
      </c>
      <c r="J375" t="s">
        <v>1449</v>
      </c>
    </row>
    <row r="376" spans="1:10" x14ac:dyDescent="0.25">
      <c r="A376" t="s">
        <v>1450</v>
      </c>
      <c r="B376" t="s">
        <v>1451</v>
      </c>
      <c r="C376" s="2">
        <v>46189.333333333336</v>
      </c>
      <c r="D376" t="s">
        <v>1412</v>
      </c>
      <c r="E376" t="s">
        <v>45</v>
      </c>
      <c r="F376" t="s">
        <v>165</v>
      </c>
      <c r="G376" t="s">
        <v>119</v>
      </c>
      <c r="H376">
        <v>82</v>
      </c>
      <c r="I376" t="s">
        <v>357</v>
      </c>
      <c r="J376" t="s">
        <v>1452</v>
      </c>
    </row>
    <row r="377" spans="1:10" x14ac:dyDescent="0.25">
      <c r="A377" t="s">
        <v>1453</v>
      </c>
      <c r="B377" t="s">
        <v>1454</v>
      </c>
      <c r="C377" s="2">
        <v>46189.333333333336</v>
      </c>
      <c r="D377" t="s">
        <v>1412</v>
      </c>
      <c r="E377" t="s">
        <v>47</v>
      </c>
      <c r="F377" t="s">
        <v>166</v>
      </c>
      <c r="G377" t="s">
        <v>121</v>
      </c>
      <c r="H377">
        <v>68</v>
      </c>
      <c r="I377" t="s">
        <v>357</v>
      </c>
      <c r="J377" t="s">
        <v>1455</v>
      </c>
    </row>
    <row r="378" spans="1:10" x14ac:dyDescent="0.25">
      <c r="A378" t="s">
        <v>1456</v>
      </c>
      <c r="B378" t="s">
        <v>1457</v>
      </c>
      <c r="C378" s="2">
        <v>46189.333333333336</v>
      </c>
      <c r="D378" t="s">
        <v>1412</v>
      </c>
      <c r="E378" t="s">
        <v>49</v>
      </c>
      <c r="F378" t="s">
        <v>167</v>
      </c>
      <c r="G378" t="s">
        <v>123</v>
      </c>
      <c r="H378">
        <v>83</v>
      </c>
      <c r="I378" t="s">
        <v>357</v>
      </c>
      <c r="J378" t="s">
        <v>1458</v>
      </c>
    </row>
    <row r="379" spans="1:10" x14ac:dyDescent="0.25">
      <c r="A379" t="s">
        <v>1459</v>
      </c>
      <c r="B379" t="s">
        <v>1460</v>
      </c>
      <c r="C379" s="2">
        <v>46189.333333333336</v>
      </c>
      <c r="D379" t="s">
        <v>1412</v>
      </c>
      <c r="E379" t="s">
        <v>51</v>
      </c>
      <c r="F379" t="s">
        <v>168</v>
      </c>
      <c r="G379" t="s">
        <v>125</v>
      </c>
      <c r="H379">
        <v>92</v>
      </c>
      <c r="I379" t="s">
        <v>357</v>
      </c>
      <c r="J379" t="s">
        <v>1461</v>
      </c>
    </row>
    <row r="380" spans="1:10" x14ac:dyDescent="0.25">
      <c r="A380" t="s">
        <v>1462</v>
      </c>
      <c r="B380" t="s">
        <v>1463</v>
      </c>
      <c r="C380" s="2">
        <v>46189.333333333336</v>
      </c>
      <c r="D380" t="s">
        <v>1412</v>
      </c>
      <c r="E380" t="s">
        <v>53</v>
      </c>
      <c r="F380" t="s">
        <v>169</v>
      </c>
      <c r="G380" t="s">
        <v>127</v>
      </c>
      <c r="H380">
        <v>79</v>
      </c>
      <c r="I380" t="s">
        <v>357</v>
      </c>
      <c r="J380" t="s">
        <v>1464</v>
      </c>
    </row>
    <row r="381" spans="1:10" x14ac:dyDescent="0.25">
      <c r="A381" t="s">
        <v>1465</v>
      </c>
      <c r="B381" t="s">
        <v>1466</v>
      </c>
      <c r="C381" s="2">
        <v>46189.333333333336</v>
      </c>
      <c r="D381" t="s">
        <v>1412</v>
      </c>
      <c r="E381" t="s">
        <v>55</v>
      </c>
      <c r="F381" t="s">
        <v>170</v>
      </c>
      <c r="G381" t="s">
        <v>129</v>
      </c>
      <c r="H381">
        <v>99</v>
      </c>
      <c r="I381" t="s">
        <v>357</v>
      </c>
      <c r="J381" t="s">
        <v>1467</v>
      </c>
    </row>
    <row r="382" spans="1:10" x14ac:dyDescent="0.25">
      <c r="A382" t="s">
        <v>1468</v>
      </c>
      <c r="B382" t="s">
        <v>1469</v>
      </c>
      <c r="C382" s="2">
        <v>46189.333333333336</v>
      </c>
      <c r="D382" t="s">
        <v>1412</v>
      </c>
      <c r="E382" t="s">
        <v>57</v>
      </c>
      <c r="F382" t="s">
        <v>171</v>
      </c>
      <c r="G382" t="s">
        <v>131</v>
      </c>
      <c r="H382">
        <v>68</v>
      </c>
      <c r="I382" t="s">
        <v>357</v>
      </c>
      <c r="J382" t="s">
        <v>1470</v>
      </c>
    </row>
    <row r="383" spans="1:10" x14ac:dyDescent="0.25">
      <c r="A383" t="s">
        <v>1471</v>
      </c>
      <c r="B383" t="s">
        <v>1472</v>
      </c>
      <c r="C383" s="2">
        <v>46189.333333333336</v>
      </c>
      <c r="D383" t="s">
        <v>1412</v>
      </c>
      <c r="E383" t="s">
        <v>59</v>
      </c>
      <c r="F383" t="s">
        <v>172</v>
      </c>
      <c r="G383" t="s">
        <v>133</v>
      </c>
      <c r="H383">
        <v>87</v>
      </c>
      <c r="I383" t="s">
        <v>357</v>
      </c>
      <c r="J383" t="s">
        <v>1473</v>
      </c>
    </row>
    <row r="384" spans="1:10" x14ac:dyDescent="0.25">
      <c r="A384" t="s">
        <v>1474</v>
      </c>
      <c r="B384" t="s">
        <v>1475</v>
      </c>
      <c r="C384" s="2">
        <v>46189.333333333336</v>
      </c>
      <c r="D384" t="s">
        <v>1412</v>
      </c>
      <c r="E384" t="s">
        <v>65</v>
      </c>
      <c r="F384" t="s">
        <v>173</v>
      </c>
      <c r="G384" t="s">
        <v>135</v>
      </c>
      <c r="H384">
        <v>84</v>
      </c>
      <c r="I384" t="s">
        <v>357</v>
      </c>
      <c r="J384" t="s">
        <v>1476</v>
      </c>
    </row>
    <row r="385" spans="1:10" x14ac:dyDescent="0.25">
      <c r="A385" t="s">
        <v>1477</v>
      </c>
      <c r="B385" t="s">
        <v>1478</v>
      </c>
      <c r="C385" s="2">
        <v>46189.333333333336</v>
      </c>
      <c r="D385" t="s">
        <v>1412</v>
      </c>
      <c r="E385" t="s">
        <v>67</v>
      </c>
      <c r="F385" t="s">
        <v>174</v>
      </c>
      <c r="G385" t="s">
        <v>137</v>
      </c>
      <c r="H385">
        <v>78</v>
      </c>
      <c r="I385" t="s">
        <v>357</v>
      </c>
      <c r="J385" t="s">
        <v>1479</v>
      </c>
    </row>
    <row r="386" spans="1:10" x14ac:dyDescent="0.25">
      <c r="A386" t="s">
        <v>1480</v>
      </c>
      <c r="B386" t="s">
        <v>1481</v>
      </c>
      <c r="C386" s="2">
        <v>46189.333333333336</v>
      </c>
      <c r="D386" t="s">
        <v>1412</v>
      </c>
      <c r="E386" t="s">
        <v>69</v>
      </c>
      <c r="F386" t="s">
        <v>175</v>
      </c>
      <c r="G386" t="s">
        <v>139</v>
      </c>
      <c r="H386">
        <v>74</v>
      </c>
      <c r="I386" t="s">
        <v>357</v>
      </c>
      <c r="J386" t="s">
        <v>1482</v>
      </c>
    </row>
    <row r="387" spans="1:10" x14ac:dyDescent="0.25">
      <c r="A387" t="s">
        <v>1483</v>
      </c>
      <c r="B387" t="s">
        <v>1484</v>
      </c>
      <c r="C387" s="2">
        <v>46189.333333333336</v>
      </c>
      <c r="D387" t="s">
        <v>1412</v>
      </c>
      <c r="E387" t="s">
        <v>71</v>
      </c>
      <c r="F387" t="s">
        <v>176</v>
      </c>
      <c r="G387" t="s">
        <v>141</v>
      </c>
      <c r="H387">
        <v>67</v>
      </c>
      <c r="I387" t="s">
        <v>357</v>
      </c>
      <c r="J387" t="s">
        <v>1485</v>
      </c>
    </row>
    <row r="388" spans="1:10" x14ac:dyDescent="0.25">
      <c r="A388" t="s">
        <v>1486</v>
      </c>
      <c r="B388" t="s">
        <v>1487</v>
      </c>
      <c r="C388" s="2">
        <v>46189.333333333336</v>
      </c>
      <c r="D388" t="s">
        <v>1412</v>
      </c>
      <c r="E388" t="s">
        <v>73</v>
      </c>
      <c r="F388" t="s">
        <v>177</v>
      </c>
      <c r="G388" t="s">
        <v>143</v>
      </c>
      <c r="H388">
        <v>77</v>
      </c>
      <c r="I388" t="s">
        <v>357</v>
      </c>
      <c r="J388" t="s">
        <v>1488</v>
      </c>
    </row>
    <row r="389" spans="1:10" x14ac:dyDescent="0.25">
      <c r="A389" t="s">
        <v>1489</v>
      </c>
      <c r="B389" t="s">
        <v>1490</v>
      </c>
      <c r="C389" s="2">
        <v>46189.333333333336</v>
      </c>
      <c r="D389" t="s">
        <v>1412</v>
      </c>
      <c r="E389" t="s">
        <v>75</v>
      </c>
      <c r="F389" t="s">
        <v>178</v>
      </c>
      <c r="G389" t="s">
        <v>145</v>
      </c>
      <c r="H389">
        <v>73</v>
      </c>
      <c r="I389" t="s">
        <v>357</v>
      </c>
      <c r="J389" t="s">
        <v>1491</v>
      </c>
    </row>
    <row r="390" spans="1:10" x14ac:dyDescent="0.25">
      <c r="A390" t="s">
        <v>1492</v>
      </c>
      <c r="B390" t="s">
        <v>1493</v>
      </c>
      <c r="C390" s="2">
        <v>46189.333333333336</v>
      </c>
      <c r="D390" t="s">
        <v>1412</v>
      </c>
      <c r="E390" t="s">
        <v>77</v>
      </c>
      <c r="F390" t="s">
        <v>179</v>
      </c>
      <c r="G390" t="s">
        <v>147</v>
      </c>
      <c r="H390">
        <v>71</v>
      </c>
      <c r="I390" t="s">
        <v>357</v>
      </c>
      <c r="J390" t="s">
        <v>1494</v>
      </c>
    </row>
    <row r="391" spans="1:10" x14ac:dyDescent="0.25">
      <c r="A391" t="s">
        <v>1495</v>
      </c>
      <c r="B391" t="s">
        <v>1496</v>
      </c>
      <c r="C391" s="2">
        <v>46189.583333333336</v>
      </c>
      <c r="D391" t="s">
        <v>418</v>
      </c>
      <c r="E391" t="s">
        <v>18</v>
      </c>
      <c r="F391" t="s">
        <v>94</v>
      </c>
      <c r="G391" t="s">
        <v>95</v>
      </c>
      <c r="H391">
        <v>2</v>
      </c>
      <c r="I391" t="s">
        <v>1497</v>
      </c>
      <c r="J391" t="s">
        <v>357</v>
      </c>
    </row>
    <row r="392" spans="1:10" x14ac:dyDescent="0.25">
      <c r="A392" t="s">
        <v>1498</v>
      </c>
      <c r="B392" t="s">
        <v>1499</v>
      </c>
      <c r="C392" s="2">
        <v>46189.583333333336</v>
      </c>
      <c r="D392" t="s">
        <v>418</v>
      </c>
      <c r="E392" t="s">
        <v>20</v>
      </c>
      <c r="F392" t="s">
        <v>154</v>
      </c>
      <c r="G392" t="s">
        <v>97</v>
      </c>
      <c r="H392">
        <v>2</v>
      </c>
      <c r="I392" t="s">
        <v>1500</v>
      </c>
      <c r="J392" t="s">
        <v>357</v>
      </c>
    </row>
    <row r="393" spans="1:10" x14ac:dyDescent="0.25">
      <c r="A393" t="s">
        <v>1501</v>
      </c>
      <c r="B393" t="s">
        <v>1502</v>
      </c>
      <c r="C393" s="2">
        <v>46189.583333333336</v>
      </c>
      <c r="D393" t="s">
        <v>418</v>
      </c>
      <c r="E393" t="s">
        <v>24</v>
      </c>
      <c r="F393" t="s">
        <v>100</v>
      </c>
      <c r="G393" t="s">
        <v>101</v>
      </c>
      <c r="H393">
        <v>2</v>
      </c>
      <c r="I393" t="s">
        <v>1503</v>
      </c>
      <c r="J393" t="s">
        <v>357</v>
      </c>
    </row>
    <row r="394" spans="1:10" x14ac:dyDescent="0.25">
      <c r="A394" t="s">
        <v>1504</v>
      </c>
      <c r="B394" t="s">
        <v>1505</v>
      </c>
      <c r="C394" s="2">
        <v>46189.583333333336</v>
      </c>
      <c r="D394" t="s">
        <v>418</v>
      </c>
      <c r="E394" t="s">
        <v>26</v>
      </c>
      <c r="F394" t="s">
        <v>157</v>
      </c>
      <c r="G394" t="s">
        <v>103</v>
      </c>
      <c r="H394">
        <v>3</v>
      </c>
      <c r="I394" t="s">
        <v>1506</v>
      </c>
      <c r="J394" t="s">
        <v>357</v>
      </c>
    </row>
    <row r="395" spans="1:10" x14ac:dyDescent="0.25">
      <c r="A395" t="s">
        <v>1507</v>
      </c>
      <c r="B395" t="s">
        <v>1508</v>
      </c>
      <c r="C395" s="2">
        <v>46189.583333333336</v>
      </c>
      <c r="D395" t="s">
        <v>418</v>
      </c>
      <c r="E395" t="s">
        <v>28</v>
      </c>
      <c r="F395" t="s">
        <v>158</v>
      </c>
      <c r="G395" t="s">
        <v>105</v>
      </c>
      <c r="H395">
        <v>4</v>
      </c>
      <c r="I395" t="s">
        <v>1509</v>
      </c>
      <c r="J395" t="s">
        <v>357</v>
      </c>
    </row>
    <row r="396" spans="1:10" x14ac:dyDescent="0.25">
      <c r="A396" t="s">
        <v>1510</v>
      </c>
      <c r="B396" t="s">
        <v>1511</v>
      </c>
      <c r="C396" s="2">
        <v>46189.583333333336</v>
      </c>
      <c r="D396" t="s">
        <v>418</v>
      </c>
      <c r="E396" t="s">
        <v>32</v>
      </c>
      <c r="F396" t="s">
        <v>160</v>
      </c>
      <c r="G396" t="s">
        <v>109</v>
      </c>
      <c r="H396">
        <v>2</v>
      </c>
      <c r="I396" t="s">
        <v>1512</v>
      </c>
      <c r="J396" t="s">
        <v>357</v>
      </c>
    </row>
    <row r="397" spans="1:10" x14ac:dyDescent="0.25">
      <c r="A397" t="s">
        <v>1513</v>
      </c>
      <c r="B397" t="s">
        <v>1514</v>
      </c>
      <c r="C397" s="2">
        <v>46189.583333333336</v>
      </c>
      <c r="D397" t="s">
        <v>418</v>
      </c>
      <c r="E397" t="s">
        <v>36</v>
      </c>
      <c r="F397" t="s">
        <v>162</v>
      </c>
      <c r="G397" t="s">
        <v>113</v>
      </c>
      <c r="H397">
        <v>2</v>
      </c>
      <c r="I397" t="s">
        <v>1515</v>
      </c>
      <c r="J397" t="s">
        <v>357</v>
      </c>
    </row>
    <row r="398" spans="1:10" x14ac:dyDescent="0.25">
      <c r="A398" t="s">
        <v>1516</v>
      </c>
      <c r="B398" t="s">
        <v>1517</v>
      </c>
      <c r="C398" s="2">
        <v>46189.583333333336</v>
      </c>
      <c r="D398" t="s">
        <v>418</v>
      </c>
      <c r="E398" t="s">
        <v>45</v>
      </c>
      <c r="F398" t="s">
        <v>118</v>
      </c>
      <c r="G398" t="s">
        <v>119</v>
      </c>
      <c r="H398">
        <v>1</v>
      </c>
      <c r="I398" t="s">
        <v>1518</v>
      </c>
      <c r="J398" t="s">
        <v>357</v>
      </c>
    </row>
    <row r="399" spans="1:10" x14ac:dyDescent="0.25">
      <c r="A399" t="s">
        <v>1519</v>
      </c>
      <c r="B399" t="s">
        <v>1520</v>
      </c>
      <c r="C399" s="2">
        <v>46189.583333333336</v>
      </c>
      <c r="D399" t="s">
        <v>418</v>
      </c>
      <c r="E399" t="s">
        <v>49</v>
      </c>
      <c r="F399" t="s">
        <v>122</v>
      </c>
      <c r="G399" t="s">
        <v>123</v>
      </c>
      <c r="H399">
        <v>4</v>
      </c>
      <c r="I399" t="s">
        <v>1521</v>
      </c>
      <c r="J399" t="s">
        <v>357</v>
      </c>
    </row>
    <row r="400" spans="1:10" x14ac:dyDescent="0.25">
      <c r="A400" t="s">
        <v>1522</v>
      </c>
      <c r="B400" t="s">
        <v>1523</v>
      </c>
      <c r="C400" s="2">
        <v>46189.583333333336</v>
      </c>
      <c r="D400" t="s">
        <v>418</v>
      </c>
      <c r="E400" t="s">
        <v>51</v>
      </c>
      <c r="F400" t="s">
        <v>124</v>
      </c>
      <c r="G400" t="s">
        <v>125</v>
      </c>
      <c r="H400">
        <v>1</v>
      </c>
      <c r="I400" t="s">
        <v>1524</v>
      </c>
      <c r="J400" t="s">
        <v>357</v>
      </c>
    </row>
    <row r="401" spans="1:10" x14ac:dyDescent="0.25">
      <c r="A401" t="s">
        <v>1525</v>
      </c>
      <c r="B401" t="s">
        <v>1526</v>
      </c>
      <c r="C401" s="2">
        <v>46189.583333333336</v>
      </c>
      <c r="D401" t="s">
        <v>418</v>
      </c>
      <c r="E401" t="s">
        <v>57</v>
      </c>
      <c r="F401" t="s">
        <v>130</v>
      </c>
      <c r="G401" t="s">
        <v>131</v>
      </c>
      <c r="H401">
        <v>4</v>
      </c>
      <c r="I401" t="s">
        <v>1527</v>
      </c>
      <c r="J401" t="s">
        <v>357</v>
      </c>
    </row>
    <row r="402" spans="1:10" x14ac:dyDescent="0.25">
      <c r="A402" t="s">
        <v>1528</v>
      </c>
      <c r="B402" t="s">
        <v>1529</v>
      </c>
      <c r="C402" s="2">
        <v>46189.583333333336</v>
      </c>
      <c r="D402" t="s">
        <v>418</v>
      </c>
      <c r="E402" t="s">
        <v>59</v>
      </c>
      <c r="F402" t="s">
        <v>132</v>
      </c>
      <c r="G402" t="s">
        <v>133</v>
      </c>
      <c r="H402">
        <v>2</v>
      </c>
      <c r="I402" t="s">
        <v>1530</v>
      </c>
      <c r="J402" t="s">
        <v>357</v>
      </c>
    </row>
    <row r="403" spans="1:10" x14ac:dyDescent="0.25">
      <c r="A403" t="s">
        <v>1531</v>
      </c>
      <c r="B403" t="s">
        <v>1532</v>
      </c>
      <c r="C403" s="2">
        <v>46189.583333333336</v>
      </c>
      <c r="D403" t="s">
        <v>418</v>
      </c>
      <c r="E403" t="s">
        <v>69</v>
      </c>
      <c r="F403" t="s">
        <v>138</v>
      </c>
      <c r="G403" t="s">
        <v>139</v>
      </c>
      <c r="H403">
        <v>1</v>
      </c>
      <c r="I403" t="s">
        <v>1533</v>
      </c>
      <c r="J403" t="s">
        <v>357</v>
      </c>
    </row>
    <row r="404" spans="1:10" x14ac:dyDescent="0.25">
      <c r="A404" t="s">
        <v>1534</v>
      </c>
      <c r="B404" t="s">
        <v>1535</v>
      </c>
      <c r="C404" s="2">
        <v>46189.583333333336</v>
      </c>
      <c r="D404" t="s">
        <v>418</v>
      </c>
      <c r="E404" t="s">
        <v>73</v>
      </c>
      <c r="F404" t="s">
        <v>142</v>
      </c>
      <c r="G404" t="s">
        <v>143</v>
      </c>
      <c r="H404">
        <v>1</v>
      </c>
      <c r="I404" t="s">
        <v>1536</v>
      </c>
      <c r="J404" t="s">
        <v>357</v>
      </c>
    </row>
    <row r="405" spans="1:10" x14ac:dyDescent="0.25">
      <c r="A405" t="s">
        <v>1537</v>
      </c>
      <c r="B405" t="s">
        <v>1538</v>
      </c>
      <c r="C405" s="2">
        <v>46189.583333333336</v>
      </c>
      <c r="D405" t="s">
        <v>418</v>
      </c>
      <c r="E405" t="s">
        <v>75</v>
      </c>
      <c r="F405" t="s">
        <v>144</v>
      </c>
      <c r="G405" t="s">
        <v>145</v>
      </c>
      <c r="H405">
        <v>1</v>
      </c>
      <c r="I405" t="s">
        <v>1539</v>
      </c>
      <c r="J405" t="s">
        <v>357</v>
      </c>
    </row>
    <row r="406" spans="1:10" x14ac:dyDescent="0.25">
      <c r="A406" t="s">
        <v>1540</v>
      </c>
      <c r="B406" t="s">
        <v>1541</v>
      </c>
      <c r="C406" s="2">
        <v>46189.583333333336</v>
      </c>
      <c r="D406" t="s">
        <v>418</v>
      </c>
      <c r="E406" t="s">
        <v>20</v>
      </c>
      <c r="F406" t="s">
        <v>154</v>
      </c>
      <c r="G406" t="s">
        <v>97</v>
      </c>
      <c r="H406">
        <v>4</v>
      </c>
      <c r="I406" t="s">
        <v>1542</v>
      </c>
      <c r="J406" t="s">
        <v>357</v>
      </c>
    </row>
    <row r="407" spans="1:10" x14ac:dyDescent="0.25">
      <c r="A407" t="s">
        <v>1543</v>
      </c>
      <c r="B407" t="s">
        <v>1544</v>
      </c>
      <c r="C407" s="2">
        <v>46189.583333333336</v>
      </c>
      <c r="D407" t="s">
        <v>418</v>
      </c>
      <c r="E407" t="s">
        <v>22</v>
      </c>
      <c r="F407" t="s">
        <v>155</v>
      </c>
      <c r="G407" t="s">
        <v>99</v>
      </c>
      <c r="H407">
        <v>2</v>
      </c>
      <c r="I407" t="s">
        <v>1545</v>
      </c>
      <c r="J407" t="s">
        <v>357</v>
      </c>
    </row>
    <row r="408" spans="1:10" x14ac:dyDescent="0.25">
      <c r="A408" t="s">
        <v>1546</v>
      </c>
      <c r="B408" t="s">
        <v>1547</v>
      </c>
      <c r="C408" s="2">
        <v>46189.583333333336</v>
      </c>
      <c r="D408" t="s">
        <v>418</v>
      </c>
      <c r="E408" t="s">
        <v>30</v>
      </c>
      <c r="F408" t="s">
        <v>106</v>
      </c>
      <c r="G408" t="s">
        <v>107</v>
      </c>
      <c r="H408">
        <v>5</v>
      </c>
      <c r="I408" t="s">
        <v>1548</v>
      </c>
      <c r="J408" t="s">
        <v>357</v>
      </c>
    </row>
    <row r="409" spans="1:10" x14ac:dyDescent="0.25">
      <c r="A409" t="s">
        <v>1549</v>
      </c>
      <c r="B409" t="s">
        <v>1550</v>
      </c>
      <c r="C409" s="2">
        <v>46189.583333333336</v>
      </c>
      <c r="D409" t="s">
        <v>418</v>
      </c>
      <c r="E409" t="s">
        <v>41</v>
      </c>
      <c r="F409" t="s">
        <v>114</v>
      </c>
      <c r="G409" t="s">
        <v>115</v>
      </c>
      <c r="H409">
        <v>1</v>
      </c>
      <c r="I409" t="s">
        <v>1551</v>
      </c>
      <c r="J409" t="s">
        <v>357</v>
      </c>
    </row>
    <row r="410" spans="1:10" x14ac:dyDescent="0.25">
      <c r="A410" t="s">
        <v>1552</v>
      </c>
      <c r="B410" t="s">
        <v>1553</v>
      </c>
      <c r="C410" s="2">
        <v>46189.583333333336</v>
      </c>
      <c r="D410" t="s">
        <v>418</v>
      </c>
      <c r="E410" t="s">
        <v>47</v>
      </c>
      <c r="F410" t="s">
        <v>166</v>
      </c>
      <c r="G410" t="s">
        <v>121</v>
      </c>
      <c r="H410">
        <v>1</v>
      </c>
      <c r="I410" t="s">
        <v>1554</v>
      </c>
      <c r="J410" t="s">
        <v>357</v>
      </c>
    </row>
    <row r="411" spans="1:10" x14ac:dyDescent="0.25">
      <c r="A411" t="s">
        <v>1555</v>
      </c>
      <c r="B411" t="s">
        <v>1556</v>
      </c>
      <c r="C411" s="2">
        <v>46189.583333333336</v>
      </c>
      <c r="D411" t="s">
        <v>418</v>
      </c>
      <c r="E411" t="s">
        <v>49</v>
      </c>
      <c r="F411" t="s">
        <v>122</v>
      </c>
      <c r="G411" t="s">
        <v>123</v>
      </c>
      <c r="H411">
        <v>1</v>
      </c>
      <c r="I411" t="s">
        <v>1557</v>
      </c>
      <c r="J411" t="s">
        <v>357</v>
      </c>
    </row>
    <row r="412" spans="1:10" x14ac:dyDescent="0.25">
      <c r="A412" t="s">
        <v>1558</v>
      </c>
      <c r="B412" t="s">
        <v>1559</v>
      </c>
      <c r="C412" s="2">
        <v>46189.583333333336</v>
      </c>
      <c r="D412" t="s">
        <v>418</v>
      </c>
      <c r="E412" t="s">
        <v>65</v>
      </c>
      <c r="F412" t="s">
        <v>134</v>
      </c>
      <c r="G412" t="s">
        <v>135</v>
      </c>
      <c r="H412">
        <v>5</v>
      </c>
      <c r="I412" t="s">
        <v>1560</v>
      </c>
      <c r="J412" t="s">
        <v>357</v>
      </c>
    </row>
    <row r="413" spans="1:10" x14ac:dyDescent="0.25">
      <c r="A413" t="s">
        <v>1561</v>
      </c>
      <c r="B413" t="s">
        <v>1562</v>
      </c>
      <c r="C413" s="2">
        <v>46189.583333333336</v>
      </c>
      <c r="D413" t="s">
        <v>418</v>
      </c>
      <c r="E413" t="s">
        <v>69</v>
      </c>
      <c r="F413" t="s">
        <v>138</v>
      </c>
      <c r="G413" t="s">
        <v>139</v>
      </c>
      <c r="H413">
        <v>2</v>
      </c>
      <c r="I413" t="s">
        <v>1563</v>
      </c>
      <c r="J413" t="s">
        <v>357</v>
      </c>
    </row>
    <row r="414" spans="1:10" x14ac:dyDescent="0.25">
      <c r="A414" t="s">
        <v>1564</v>
      </c>
      <c r="B414" t="s">
        <v>1565</v>
      </c>
      <c r="C414" s="2">
        <v>46189.583333333336</v>
      </c>
      <c r="D414" t="s">
        <v>418</v>
      </c>
      <c r="E414" t="s">
        <v>11</v>
      </c>
      <c r="F414" t="s">
        <v>152</v>
      </c>
      <c r="G414" t="s">
        <v>92</v>
      </c>
      <c r="H414">
        <v>1</v>
      </c>
      <c r="I414" t="s">
        <v>1566</v>
      </c>
      <c r="J414" t="s">
        <v>357</v>
      </c>
    </row>
    <row r="415" spans="1:10" x14ac:dyDescent="0.25">
      <c r="A415" t="s">
        <v>1567</v>
      </c>
      <c r="B415" t="s">
        <v>1568</v>
      </c>
      <c r="C415" s="2">
        <v>46189.583333333336</v>
      </c>
      <c r="D415" t="s">
        <v>418</v>
      </c>
      <c r="E415" t="s">
        <v>20</v>
      </c>
      <c r="F415" t="s">
        <v>154</v>
      </c>
      <c r="G415" t="s">
        <v>97</v>
      </c>
      <c r="H415">
        <v>6</v>
      </c>
      <c r="I415" t="s">
        <v>1569</v>
      </c>
      <c r="J415" t="s">
        <v>357</v>
      </c>
    </row>
    <row r="416" spans="1:10" x14ac:dyDescent="0.25">
      <c r="A416" t="s">
        <v>1570</v>
      </c>
      <c r="B416" t="s">
        <v>1571</v>
      </c>
      <c r="C416" s="2">
        <v>46189.583333333336</v>
      </c>
      <c r="D416" t="s">
        <v>418</v>
      </c>
      <c r="E416" t="s">
        <v>22</v>
      </c>
      <c r="F416" t="s">
        <v>155</v>
      </c>
      <c r="G416" t="s">
        <v>99</v>
      </c>
      <c r="H416">
        <v>2</v>
      </c>
      <c r="I416" t="s">
        <v>1572</v>
      </c>
      <c r="J416" t="s">
        <v>357</v>
      </c>
    </row>
    <row r="417" spans="1:10" x14ac:dyDescent="0.25">
      <c r="A417" t="s">
        <v>1573</v>
      </c>
      <c r="B417" t="s">
        <v>1574</v>
      </c>
      <c r="C417" s="2">
        <v>46189.583333333336</v>
      </c>
      <c r="D417" t="s">
        <v>418</v>
      </c>
      <c r="E417" t="s">
        <v>26</v>
      </c>
      <c r="F417" t="s">
        <v>157</v>
      </c>
      <c r="G417" t="s">
        <v>103</v>
      </c>
      <c r="H417">
        <v>5</v>
      </c>
      <c r="I417" t="s">
        <v>1575</v>
      </c>
      <c r="J417" t="s">
        <v>357</v>
      </c>
    </row>
    <row r="418" spans="1:10" x14ac:dyDescent="0.25">
      <c r="A418" t="s">
        <v>1576</v>
      </c>
      <c r="B418" t="s">
        <v>1577</v>
      </c>
      <c r="C418" s="2">
        <v>46189.583333333336</v>
      </c>
      <c r="D418" t="s">
        <v>418</v>
      </c>
      <c r="E418" t="s">
        <v>49</v>
      </c>
      <c r="F418" t="s">
        <v>122</v>
      </c>
      <c r="G418" t="s">
        <v>123</v>
      </c>
      <c r="H418">
        <v>6</v>
      </c>
      <c r="I418" t="s">
        <v>1578</v>
      </c>
      <c r="J418" t="s">
        <v>357</v>
      </c>
    </row>
    <row r="419" spans="1:10" x14ac:dyDescent="0.25">
      <c r="A419" t="s">
        <v>1579</v>
      </c>
      <c r="B419" t="s">
        <v>1580</v>
      </c>
      <c r="C419" s="2">
        <v>46189.583333333336</v>
      </c>
      <c r="D419" t="s">
        <v>418</v>
      </c>
      <c r="E419" t="s">
        <v>53</v>
      </c>
      <c r="F419" t="s">
        <v>169</v>
      </c>
      <c r="G419" t="s">
        <v>127</v>
      </c>
      <c r="H419">
        <v>5</v>
      </c>
      <c r="I419" t="s">
        <v>1581</v>
      </c>
      <c r="J419" t="s">
        <v>357</v>
      </c>
    </row>
    <row r="420" spans="1:10" x14ac:dyDescent="0.25">
      <c r="A420" t="s">
        <v>1582</v>
      </c>
      <c r="B420" t="s">
        <v>1583</v>
      </c>
      <c r="C420" s="2">
        <v>46189.583333333336</v>
      </c>
      <c r="D420" t="s">
        <v>418</v>
      </c>
      <c r="E420" t="s">
        <v>57</v>
      </c>
      <c r="F420" t="s">
        <v>130</v>
      </c>
      <c r="G420" t="s">
        <v>131</v>
      </c>
      <c r="H420">
        <v>5</v>
      </c>
      <c r="I420" t="s">
        <v>1584</v>
      </c>
      <c r="J420" t="s">
        <v>357</v>
      </c>
    </row>
    <row r="421" spans="1:10" x14ac:dyDescent="0.25">
      <c r="A421" t="s">
        <v>1585</v>
      </c>
      <c r="B421" t="s">
        <v>1586</v>
      </c>
      <c r="C421" s="2">
        <v>46189.583333333336</v>
      </c>
      <c r="D421" t="s">
        <v>418</v>
      </c>
      <c r="E421" t="s">
        <v>65</v>
      </c>
      <c r="F421" t="s">
        <v>134</v>
      </c>
      <c r="G421" t="s">
        <v>135</v>
      </c>
      <c r="H421">
        <v>2</v>
      </c>
      <c r="I421" t="s">
        <v>1587</v>
      </c>
      <c r="J421" t="s">
        <v>357</v>
      </c>
    </row>
    <row r="422" spans="1:10" x14ac:dyDescent="0.25">
      <c r="A422" t="s">
        <v>1588</v>
      </c>
      <c r="B422" t="s">
        <v>1589</v>
      </c>
      <c r="C422" s="2">
        <v>46189.583333333336</v>
      </c>
      <c r="D422" t="s">
        <v>418</v>
      </c>
      <c r="E422" t="s">
        <v>67</v>
      </c>
      <c r="F422" t="s">
        <v>136</v>
      </c>
      <c r="G422" t="s">
        <v>137</v>
      </c>
      <c r="H422">
        <v>2</v>
      </c>
      <c r="I422" t="s">
        <v>1590</v>
      </c>
      <c r="J422" t="s">
        <v>357</v>
      </c>
    </row>
    <row r="423" spans="1:10" x14ac:dyDescent="0.25">
      <c r="A423" t="s">
        <v>1591</v>
      </c>
      <c r="B423" t="s">
        <v>1592</v>
      </c>
      <c r="C423" s="2">
        <v>46189.583333333336</v>
      </c>
      <c r="D423" t="s">
        <v>418</v>
      </c>
      <c r="E423" t="s">
        <v>71</v>
      </c>
      <c r="F423" t="s">
        <v>140</v>
      </c>
      <c r="G423" t="s">
        <v>141</v>
      </c>
      <c r="H423">
        <v>2</v>
      </c>
      <c r="I423" t="s">
        <v>1593</v>
      </c>
      <c r="J423" t="s">
        <v>357</v>
      </c>
    </row>
    <row r="424" spans="1:10" x14ac:dyDescent="0.25">
      <c r="A424" t="s">
        <v>1594</v>
      </c>
      <c r="B424" t="s">
        <v>1595</v>
      </c>
      <c r="C424" s="2">
        <v>46189.583333333336</v>
      </c>
      <c r="D424" t="s">
        <v>418</v>
      </c>
      <c r="E424" t="s">
        <v>77</v>
      </c>
      <c r="F424" t="s">
        <v>146</v>
      </c>
      <c r="G424" t="s">
        <v>147</v>
      </c>
      <c r="H424">
        <v>2</v>
      </c>
      <c r="I424" t="s">
        <v>1596</v>
      </c>
      <c r="J424" t="s">
        <v>357</v>
      </c>
    </row>
    <row r="425" spans="1:10" x14ac:dyDescent="0.25">
      <c r="A425" t="s">
        <v>1597</v>
      </c>
      <c r="B425" t="s">
        <v>1598</v>
      </c>
      <c r="C425" s="2">
        <v>46189.583333333336</v>
      </c>
      <c r="D425" t="s">
        <v>418</v>
      </c>
      <c r="E425" t="s">
        <v>11</v>
      </c>
      <c r="F425" t="s">
        <v>152</v>
      </c>
      <c r="G425" t="s">
        <v>92</v>
      </c>
      <c r="H425">
        <v>6</v>
      </c>
      <c r="I425" t="s">
        <v>1599</v>
      </c>
      <c r="J425" t="s">
        <v>357</v>
      </c>
    </row>
    <row r="426" spans="1:10" x14ac:dyDescent="0.25">
      <c r="A426" t="s">
        <v>1600</v>
      </c>
      <c r="B426" t="s">
        <v>1601</v>
      </c>
      <c r="C426" s="2">
        <v>46189.583333333336</v>
      </c>
      <c r="D426" t="s">
        <v>418</v>
      </c>
      <c r="E426" t="s">
        <v>18</v>
      </c>
      <c r="F426" t="s">
        <v>94</v>
      </c>
      <c r="G426" t="s">
        <v>95</v>
      </c>
      <c r="H426">
        <v>4</v>
      </c>
      <c r="I426" t="s">
        <v>1602</v>
      </c>
      <c r="J426" t="s">
        <v>357</v>
      </c>
    </row>
    <row r="427" spans="1:10" x14ac:dyDescent="0.25">
      <c r="A427" t="s">
        <v>1603</v>
      </c>
      <c r="B427" t="s">
        <v>1604</v>
      </c>
      <c r="C427" s="2">
        <v>46189.583333333336</v>
      </c>
      <c r="D427" t="s">
        <v>418</v>
      </c>
      <c r="E427" t="s">
        <v>20</v>
      </c>
      <c r="F427" t="s">
        <v>154</v>
      </c>
      <c r="G427" t="s">
        <v>97</v>
      </c>
      <c r="H427">
        <v>3</v>
      </c>
      <c r="I427" t="s">
        <v>1605</v>
      </c>
      <c r="J427" t="s">
        <v>357</v>
      </c>
    </row>
    <row r="428" spans="1:10" x14ac:dyDescent="0.25">
      <c r="A428" t="s">
        <v>1606</v>
      </c>
      <c r="B428" t="s">
        <v>1607</v>
      </c>
      <c r="C428" s="2">
        <v>46189.583333333336</v>
      </c>
      <c r="D428" t="s">
        <v>418</v>
      </c>
      <c r="E428" t="s">
        <v>22</v>
      </c>
      <c r="F428" t="s">
        <v>155</v>
      </c>
      <c r="G428" t="s">
        <v>99</v>
      </c>
      <c r="H428">
        <v>7</v>
      </c>
      <c r="I428" t="s">
        <v>1608</v>
      </c>
      <c r="J428" t="s">
        <v>357</v>
      </c>
    </row>
    <row r="429" spans="1:10" x14ac:dyDescent="0.25">
      <c r="A429" t="s">
        <v>1609</v>
      </c>
      <c r="B429" t="s">
        <v>1610</v>
      </c>
      <c r="C429" s="2">
        <v>46189.583333333336</v>
      </c>
      <c r="D429" t="s">
        <v>418</v>
      </c>
      <c r="E429" t="s">
        <v>26</v>
      </c>
      <c r="F429" t="s">
        <v>157</v>
      </c>
      <c r="G429" t="s">
        <v>103</v>
      </c>
      <c r="H429">
        <v>6</v>
      </c>
      <c r="I429" t="s">
        <v>1611</v>
      </c>
      <c r="J429" t="s">
        <v>357</v>
      </c>
    </row>
    <row r="430" spans="1:10" x14ac:dyDescent="0.25">
      <c r="A430" t="s">
        <v>1612</v>
      </c>
      <c r="B430" t="s">
        <v>1613</v>
      </c>
      <c r="C430" s="2">
        <v>46189.583333333336</v>
      </c>
      <c r="D430" t="s">
        <v>418</v>
      </c>
      <c r="E430" t="s">
        <v>32</v>
      </c>
      <c r="F430" t="s">
        <v>160</v>
      </c>
      <c r="G430" t="s">
        <v>109</v>
      </c>
      <c r="H430">
        <v>7</v>
      </c>
      <c r="I430" t="s">
        <v>1614</v>
      </c>
      <c r="J430" t="s">
        <v>357</v>
      </c>
    </row>
    <row r="431" spans="1:10" x14ac:dyDescent="0.25">
      <c r="A431" t="s">
        <v>1615</v>
      </c>
      <c r="B431" t="s">
        <v>1616</v>
      </c>
      <c r="C431" s="2">
        <v>46189.583333333336</v>
      </c>
      <c r="D431" t="s">
        <v>418</v>
      </c>
      <c r="E431" t="s">
        <v>36</v>
      </c>
      <c r="F431" t="s">
        <v>162</v>
      </c>
      <c r="G431" t="s">
        <v>113</v>
      </c>
      <c r="H431">
        <v>1</v>
      </c>
      <c r="I431" t="s">
        <v>1617</v>
      </c>
      <c r="J431" t="s">
        <v>357</v>
      </c>
    </row>
    <row r="432" spans="1:10" x14ac:dyDescent="0.25">
      <c r="A432" t="s">
        <v>1618</v>
      </c>
      <c r="B432" t="s">
        <v>1619</v>
      </c>
      <c r="C432" s="2">
        <v>46189.583333333336</v>
      </c>
      <c r="D432" t="s">
        <v>418</v>
      </c>
      <c r="E432" t="s">
        <v>45</v>
      </c>
      <c r="F432" t="s">
        <v>118</v>
      </c>
      <c r="G432" t="s">
        <v>119</v>
      </c>
      <c r="H432">
        <v>3</v>
      </c>
      <c r="I432" t="s">
        <v>1620</v>
      </c>
      <c r="J432" t="s">
        <v>357</v>
      </c>
    </row>
    <row r="433" spans="1:10" x14ac:dyDescent="0.25">
      <c r="A433" t="s">
        <v>1621</v>
      </c>
      <c r="B433" t="s">
        <v>1622</v>
      </c>
      <c r="C433" s="2">
        <v>46189.583333333336</v>
      </c>
      <c r="D433" t="s">
        <v>418</v>
      </c>
      <c r="E433" t="s">
        <v>47</v>
      </c>
      <c r="F433" t="s">
        <v>166</v>
      </c>
      <c r="G433" t="s">
        <v>121</v>
      </c>
      <c r="H433">
        <v>3</v>
      </c>
      <c r="I433" t="s">
        <v>1623</v>
      </c>
      <c r="J433" t="s">
        <v>357</v>
      </c>
    </row>
    <row r="434" spans="1:10" x14ac:dyDescent="0.25">
      <c r="A434" t="s">
        <v>1624</v>
      </c>
      <c r="B434" t="s">
        <v>1625</v>
      </c>
      <c r="C434" s="2">
        <v>46189.583333333336</v>
      </c>
      <c r="D434" t="s">
        <v>418</v>
      </c>
      <c r="E434" t="s">
        <v>65</v>
      </c>
      <c r="F434" t="s">
        <v>134</v>
      </c>
      <c r="G434" t="s">
        <v>135</v>
      </c>
      <c r="H434">
        <v>7</v>
      </c>
      <c r="I434" t="s">
        <v>1626</v>
      </c>
      <c r="J434" t="s">
        <v>357</v>
      </c>
    </row>
    <row r="435" spans="1:10" x14ac:dyDescent="0.25">
      <c r="A435" t="s">
        <v>1627</v>
      </c>
      <c r="B435" t="s">
        <v>1628</v>
      </c>
      <c r="C435" s="2">
        <v>46189.583333333336</v>
      </c>
      <c r="D435" t="s">
        <v>418</v>
      </c>
      <c r="E435" t="s">
        <v>71</v>
      </c>
      <c r="F435" t="s">
        <v>140</v>
      </c>
      <c r="G435" t="s">
        <v>141</v>
      </c>
      <c r="H435">
        <v>3</v>
      </c>
      <c r="I435" t="s">
        <v>1629</v>
      </c>
      <c r="J435" t="s">
        <v>357</v>
      </c>
    </row>
    <row r="436" spans="1:10" x14ac:dyDescent="0.25">
      <c r="A436" t="s">
        <v>1630</v>
      </c>
      <c r="B436" t="s">
        <v>1631</v>
      </c>
      <c r="C436" s="2">
        <v>46189.583333333336</v>
      </c>
      <c r="D436" t="s">
        <v>418</v>
      </c>
      <c r="E436" t="s">
        <v>20</v>
      </c>
      <c r="F436" t="s">
        <v>154</v>
      </c>
      <c r="G436" t="s">
        <v>97</v>
      </c>
      <c r="H436">
        <v>3</v>
      </c>
      <c r="I436" t="s">
        <v>1632</v>
      </c>
      <c r="J436" t="s">
        <v>357</v>
      </c>
    </row>
    <row r="437" spans="1:10" x14ac:dyDescent="0.25">
      <c r="A437" t="s">
        <v>1633</v>
      </c>
      <c r="B437" t="s">
        <v>1634</v>
      </c>
      <c r="C437" s="2">
        <v>46189.583333333336</v>
      </c>
      <c r="D437" t="s">
        <v>418</v>
      </c>
      <c r="E437" t="s">
        <v>22</v>
      </c>
      <c r="F437" t="s">
        <v>155</v>
      </c>
      <c r="G437" t="s">
        <v>99</v>
      </c>
      <c r="H437">
        <v>4</v>
      </c>
      <c r="I437" t="s">
        <v>1635</v>
      </c>
      <c r="J437" t="s">
        <v>357</v>
      </c>
    </row>
    <row r="438" spans="1:10" x14ac:dyDescent="0.25">
      <c r="A438" t="s">
        <v>1636</v>
      </c>
      <c r="B438" t="s">
        <v>1637</v>
      </c>
      <c r="C438" s="2">
        <v>46189.583333333336</v>
      </c>
      <c r="D438" t="s">
        <v>418</v>
      </c>
      <c r="E438" t="s">
        <v>24</v>
      </c>
      <c r="F438" t="s">
        <v>100</v>
      </c>
      <c r="G438" t="s">
        <v>101</v>
      </c>
      <c r="H438">
        <v>3</v>
      </c>
      <c r="I438" t="s">
        <v>1638</v>
      </c>
      <c r="J438" t="s">
        <v>357</v>
      </c>
    </row>
    <row r="439" spans="1:10" x14ac:dyDescent="0.25">
      <c r="A439" t="s">
        <v>1639</v>
      </c>
      <c r="B439" t="s">
        <v>1640</v>
      </c>
      <c r="C439" s="2">
        <v>46189.583333333336</v>
      </c>
      <c r="D439" t="s">
        <v>418</v>
      </c>
      <c r="E439" t="s">
        <v>26</v>
      </c>
      <c r="F439" t="s">
        <v>157</v>
      </c>
      <c r="G439" t="s">
        <v>103</v>
      </c>
      <c r="H439">
        <v>4</v>
      </c>
      <c r="I439" t="s">
        <v>1641</v>
      </c>
      <c r="J439" t="s">
        <v>357</v>
      </c>
    </row>
    <row r="440" spans="1:10" x14ac:dyDescent="0.25">
      <c r="A440" t="s">
        <v>1642</v>
      </c>
      <c r="B440" t="s">
        <v>1643</v>
      </c>
      <c r="C440" s="2">
        <v>46189.583333333336</v>
      </c>
      <c r="D440" t="s">
        <v>418</v>
      </c>
      <c r="E440" t="s">
        <v>57</v>
      </c>
      <c r="F440" t="s">
        <v>130</v>
      </c>
      <c r="G440" t="s">
        <v>131</v>
      </c>
      <c r="H440">
        <v>3</v>
      </c>
      <c r="I440" t="s">
        <v>1644</v>
      </c>
      <c r="J440" t="s">
        <v>357</v>
      </c>
    </row>
    <row r="441" spans="1:10" x14ac:dyDescent="0.25">
      <c r="A441" t="s">
        <v>1645</v>
      </c>
      <c r="B441" t="s">
        <v>1646</v>
      </c>
      <c r="C441" s="2">
        <v>46189.583333333336</v>
      </c>
      <c r="D441" t="s">
        <v>418</v>
      </c>
      <c r="E441" t="s">
        <v>67</v>
      </c>
      <c r="F441" t="s">
        <v>136</v>
      </c>
      <c r="G441" t="s">
        <v>137</v>
      </c>
      <c r="H441">
        <v>2</v>
      </c>
      <c r="I441" t="s">
        <v>1647</v>
      </c>
      <c r="J441" t="s">
        <v>357</v>
      </c>
    </row>
    <row r="442" spans="1:10" x14ac:dyDescent="0.25">
      <c r="A442" t="s">
        <v>1648</v>
      </c>
      <c r="B442" t="s">
        <v>1649</v>
      </c>
      <c r="C442" s="2">
        <v>46189.583333333336</v>
      </c>
      <c r="D442" t="s">
        <v>418</v>
      </c>
      <c r="E442" t="s">
        <v>69</v>
      </c>
      <c r="F442" t="s">
        <v>138</v>
      </c>
      <c r="G442" t="s">
        <v>139</v>
      </c>
      <c r="H442">
        <v>4</v>
      </c>
      <c r="I442" t="s">
        <v>1650</v>
      </c>
      <c r="J442" t="s">
        <v>357</v>
      </c>
    </row>
    <row r="443" spans="1:10" x14ac:dyDescent="0.25">
      <c r="A443" t="s">
        <v>1651</v>
      </c>
      <c r="B443" t="s">
        <v>1652</v>
      </c>
      <c r="C443" s="2">
        <v>46190.583333333336</v>
      </c>
      <c r="D443" t="s">
        <v>418</v>
      </c>
      <c r="E443" t="s">
        <v>11</v>
      </c>
      <c r="F443" t="s">
        <v>152</v>
      </c>
      <c r="G443" t="s">
        <v>92</v>
      </c>
      <c r="H443">
        <v>3</v>
      </c>
      <c r="I443" t="s">
        <v>1653</v>
      </c>
      <c r="J443" t="s">
        <v>357</v>
      </c>
    </row>
    <row r="444" spans="1:10" x14ac:dyDescent="0.25">
      <c r="A444" t="s">
        <v>1654</v>
      </c>
      <c r="B444" t="s">
        <v>1655</v>
      </c>
      <c r="C444" s="2">
        <v>46190.583333333336</v>
      </c>
      <c r="D444" t="s">
        <v>418</v>
      </c>
      <c r="E444" t="s">
        <v>18</v>
      </c>
      <c r="F444" t="s">
        <v>94</v>
      </c>
      <c r="G444" t="s">
        <v>95</v>
      </c>
      <c r="H444">
        <v>3</v>
      </c>
      <c r="I444" t="s">
        <v>1656</v>
      </c>
      <c r="J444" t="s">
        <v>357</v>
      </c>
    </row>
    <row r="445" spans="1:10" x14ac:dyDescent="0.25">
      <c r="A445" t="s">
        <v>1657</v>
      </c>
      <c r="B445" t="s">
        <v>1658</v>
      </c>
      <c r="C445" s="2">
        <v>46190.583333333336</v>
      </c>
      <c r="D445" t="s">
        <v>418</v>
      </c>
      <c r="E445" t="s">
        <v>24</v>
      </c>
      <c r="F445" t="s">
        <v>100</v>
      </c>
      <c r="G445" t="s">
        <v>101</v>
      </c>
      <c r="H445">
        <v>2</v>
      </c>
      <c r="I445" t="s">
        <v>1659</v>
      </c>
      <c r="J445" t="s">
        <v>357</v>
      </c>
    </row>
    <row r="446" spans="1:10" x14ac:dyDescent="0.25">
      <c r="A446" t="s">
        <v>1660</v>
      </c>
      <c r="B446" t="s">
        <v>1661</v>
      </c>
      <c r="C446" s="2">
        <v>46190.583333333336</v>
      </c>
      <c r="D446" t="s">
        <v>418</v>
      </c>
      <c r="E446" t="s">
        <v>26</v>
      </c>
      <c r="F446" t="s">
        <v>157</v>
      </c>
      <c r="G446" t="s">
        <v>103</v>
      </c>
      <c r="H446">
        <v>1</v>
      </c>
      <c r="I446" t="s">
        <v>1662</v>
      </c>
      <c r="J446" t="s">
        <v>357</v>
      </c>
    </row>
    <row r="447" spans="1:10" x14ac:dyDescent="0.25">
      <c r="A447" t="s">
        <v>1663</v>
      </c>
      <c r="B447" t="s">
        <v>1664</v>
      </c>
      <c r="C447" s="2">
        <v>46190.583333333336</v>
      </c>
      <c r="D447" t="s">
        <v>418</v>
      </c>
      <c r="E447" t="s">
        <v>45</v>
      </c>
      <c r="F447" t="s">
        <v>118</v>
      </c>
      <c r="G447" t="s">
        <v>119</v>
      </c>
      <c r="H447">
        <v>4</v>
      </c>
      <c r="I447" t="s">
        <v>1665</v>
      </c>
      <c r="J447" t="s">
        <v>357</v>
      </c>
    </row>
    <row r="448" spans="1:10" x14ac:dyDescent="0.25">
      <c r="A448" t="s">
        <v>1666</v>
      </c>
      <c r="B448" t="s">
        <v>1667</v>
      </c>
      <c r="C448" s="2">
        <v>46190.583333333336</v>
      </c>
      <c r="D448" t="s">
        <v>418</v>
      </c>
      <c r="E448" t="s">
        <v>47</v>
      </c>
      <c r="F448" t="s">
        <v>166</v>
      </c>
      <c r="G448" t="s">
        <v>121</v>
      </c>
      <c r="H448">
        <v>1</v>
      </c>
      <c r="I448" t="s">
        <v>1668</v>
      </c>
      <c r="J448" t="s">
        <v>357</v>
      </c>
    </row>
    <row r="449" spans="1:10" x14ac:dyDescent="0.25">
      <c r="A449" t="s">
        <v>1669</v>
      </c>
      <c r="B449" t="s">
        <v>1670</v>
      </c>
      <c r="C449" s="2">
        <v>46190.583333333336</v>
      </c>
      <c r="D449" t="s">
        <v>418</v>
      </c>
      <c r="E449" t="s">
        <v>67</v>
      </c>
      <c r="F449" t="s">
        <v>136</v>
      </c>
      <c r="G449" t="s">
        <v>137</v>
      </c>
      <c r="H449">
        <v>4</v>
      </c>
      <c r="I449" t="s">
        <v>1671</v>
      </c>
      <c r="J449" t="s">
        <v>357</v>
      </c>
    </row>
    <row r="450" spans="1:10" x14ac:dyDescent="0.25">
      <c r="A450" t="s">
        <v>1672</v>
      </c>
      <c r="B450" t="s">
        <v>1673</v>
      </c>
      <c r="C450" s="2">
        <v>46190.583333333336</v>
      </c>
      <c r="D450" t="s">
        <v>418</v>
      </c>
      <c r="E450" t="s">
        <v>75</v>
      </c>
      <c r="F450" t="s">
        <v>144</v>
      </c>
      <c r="G450" t="s">
        <v>145</v>
      </c>
      <c r="H450">
        <v>2</v>
      </c>
      <c r="I450" t="s">
        <v>1674</v>
      </c>
      <c r="J450" t="s">
        <v>357</v>
      </c>
    </row>
    <row r="451" spans="1:10" x14ac:dyDescent="0.25">
      <c r="A451" t="s">
        <v>1675</v>
      </c>
      <c r="B451" t="s">
        <v>1676</v>
      </c>
      <c r="C451" s="2">
        <v>46190.583333333336</v>
      </c>
      <c r="D451" t="s">
        <v>418</v>
      </c>
      <c r="E451" t="s">
        <v>11</v>
      </c>
      <c r="F451" t="s">
        <v>152</v>
      </c>
      <c r="G451" t="s">
        <v>92</v>
      </c>
      <c r="H451">
        <v>3</v>
      </c>
      <c r="I451" t="s">
        <v>1677</v>
      </c>
      <c r="J451" t="s">
        <v>357</v>
      </c>
    </row>
    <row r="452" spans="1:10" x14ac:dyDescent="0.25">
      <c r="A452" t="s">
        <v>1678</v>
      </c>
      <c r="B452" t="s">
        <v>1679</v>
      </c>
      <c r="C452" s="2">
        <v>46190.583333333336</v>
      </c>
      <c r="D452" t="s">
        <v>418</v>
      </c>
      <c r="E452" t="s">
        <v>20</v>
      </c>
      <c r="F452" t="s">
        <v>154</v>
      </c>
      <c r="G452" t="s">
        <v>97</v>
      </c>
      <c r="H452">
        <v>2</v>
      </c>
      <c r="I452" t="s">
        <v>1680</v>
      </c>
      <c r="J452" t="s">
        <v>357</v>
      </c>
    </row>
    <row r="453" spans="1:10" x14ac:dyDescent="0.25">
      <c r="A453" t="s">
        <v>1681</v>
      </c>
      <c r="B453" t="s">
        <v>1682</v>
      </c>
      <c r="C453" s="2">
        <v>46190.583333333336</v>
      </c>
      <c r="D453" t="s">
        <v>418</v>
      </c>
      <c r="E453" t="s">
        <v>22</v>
      </c>
      <c r="F453" t="s">
        <v>155</v>
      </c>
      <c r="G453" t="s">
        <v>99</v>
      </c>
      <c r="H453">
        <v>4</v>
      </c>
      <c r="I453" t="s">
        <v>1683</v>
      </c>
      <c r="J453" t="s">
        <v>357</v>
      </c>
    </row>
    <row r="454" spans="1:10" x14ac:dyDescent="0.25">
      <c r="A454" t="s">
        <v>1684</v>
      </c>
      <c r="B454" t="s">
        <v>1685</v>
      </c>
      <c r="C454" s="2">
        <v>46190.583333333336</v>
      </c>
      <c r="D454" t="s">
        <v>418</v>
      </c>
      <c r="E454" t="s">
        <v>24</v>
      </c>
      <c r="F454" t="s">
        <v>100</v>
      </c>
      <c r="G454" t="s">
        <v>101</v>
      </c>
      <c r="H454">
        <v>1</v>
      </c>
      <c r="I454" t="s">
        <v>1686</v>
      </c>
      <c r="J454" t="s">
        <v>357</v>
      </c>
    </row>
    <row r="455" spans="1:10" x14ac:dyDescent="0.25">
      <c r="A455" t="s">
        <v>1687</v>
      </c>
      <c r="B455" t="s">
        <v>1688</v>
      </c>
      <c r="C455" s="2">
        <v>46190.583333333336</v>
      </c>
      <c r="D455" t="s">
        <v>418</v>
      </c>
      <c r="E455" t="s">
        <v>26</v>
      </c>
      <c r="F455" t="s">
        <v>157</v>
      </c>
      <c r="G455" t="s">
        <v>103</v>
      </c>
      <c r="H455">
        <v>5</v>
      </c>
      <c r="I455" t="s">
        <v>1689</v>
      </c>
      <c r="J455" t="s">
        <v>357</v>
      </c>
    </row>
    <row r="456" spans="1:10" x14ac:dyDescent="0.25">
      <c r="A456" t="s">
        <v>1690</v>
      </c>
      <c r="B456" t="s">
        <v>1691</v>
      </c>
      <c r="C456" s="2">
        <v>46190.583333333336</v>
      </c>
      <c r="D456" t="s">
        <v>418</v>
      </c>
      <c r="E456" t="s">
        <v>32</v>
      </c>
      <c r="F456" t="s">
        <v>160</v>
      </c>
      <c r="G456" t="s">
        <v>109</v>
      </c>
      <c r="H456">
        <v>2</v>
      </c>
      <c r="I456" t="s">
        <v>1692</v>
      </c>
      <c r="J456" t="s">
        <v>357</v>
      </c>
    </row>
    <row r="457" spans="1:10" x14ac:dyDescent="0.25">
      <c r="A457" t="s">
        <v>1693</v>
      </c>
      <c r="B457" t="s">
        <v>1694</v>
      </c>
      <c r="C457" s="2">
        <v>46190.583333333336</v>
      </c>
      <c r="D457" t="s">
        <v>418</v>
      </c>
      <c r="E457" t="s">
        <v>36</v>
      </c>
      <c r="F457" t="s">
        <v>162</v>
      </c>
      <c r="G457" t="s">
        <v>113</v>
      </c>
      <c r="H457">
        <v>1</v>
      </c>
      <c r="I457" t="s">
        <v>1695</v>
      </c>
      <c r="J457" t="s">
        <v>357</v>
      </c>
    </row>
    <row r="458" spans="1:10" x14ac:dyDescent="0.25">
      <c r="A458" t="s">
        <v>1696</v>
      </c>
      <c r="B458" t="s">
        <v>1697</v>
      </c>
      <c r="C458" s="2">
        <v>46190.583333333336</v>
      </c>
      <c r="D458" t="s">
        <v>418</v>
      </c>
      <c r="E458" t="s">
        <v>49</v>
      </c>
      <c r="F458" t="s">
        <v>122</v>
      </c>
      <c r="G458" t="s">
        <v>123</v>
      </c>
      <c r="H458">
        <v>3</v>
      </c>
      <c r="I458" t="s">
        <v>1698</v>
      </c>
      <c r="J458" t="s">
        <v>357</v>
      </c>
    </row>
    <row r="459" spans="1:10" x14ac:dyDescent="0.25">
      <c r="A459" t="s">
        <v>1699</v>
      </c>
      <c r="B459" t="s">
        <v>1700</v>
      </c>
      <c r="C459" s="2">
        <v>46190.583333333336</v>
      </c>
      <c r="D459" t="s">
        <v>418</v>
      </c>
      <c r="E459" t="s">
        <v>55</v>
      </c>
      <c r="F459" t="s">
        <v>128</v>
      </c>
      <c r="G459" t="s">
        <v>129</v>
      </c>
      <c r="H459">
        <v>1</v>
      </c>
      <c r="I459" t="s">
        <v>1701</v>
      </c>
      <c r="J459" t="s">
        <v>357</v>
      </c>
    </row>
    <row r="460" spans="1:10" x14ac:dyDescent="0.25">
      <c r="A460" t="s">
        <v>1702</v>
      </c>
      <c r="B460" t="s">
        <v>1703</v>
      </c>
      <c r="C460" s="2">
        <v>46190.583333333336</v>
      </c>
      <c r="D460" t="s">
        <v>418</v>
      </c>
      <c r="E460" t="s">
        <v>57</v>
      </c>
      <c r="F460" t="s">
        <v>130</v>
      </c>
      <c r="G460" t="s">
        <v>131</v>
      </c>
      <c r="H460">
        <v>5</v>
      </c>
      <c r="I460" t="s">
        <v>1704</v>
      </c>
      <c r="J460" t="s">
        <v>357</v>
      </c>
    </row>
    <row r="461" spans="1:10" x14ac:dyDescent="0.25">
      <c r="A461" t="s">
        <v>1705</v>
      </c>
      <c r="B461" t="s">
        <v>1706</v>
      </c>
      <c r="C461" s="2">
        <v>46190.583333333336</v>
      </c>
      <c r="D461" t="s">
        <v>418</v>
      </c>
      <c r="E461" t="s">
        <v>67</v>
      </c>
      <c r="F461" t="s">
        <v>136</v>
      </c>
      <c r="G461" t="s">
        <v>137</v>
      </c>
      <c r="H461">
        <v>3</v>
      </c>
      <c r="I461" t="s">
        <v>1707</v>
      </c>
      <c r="J461" t="s">
        <v>357</v>
      </c>
    </row>
    <row r="462" spans="1:10" x14ac:dyDescent="0.25">
      <c r="A462" t="s">
        <v>1708</v>
      </c>
      <c r="B462" t="s">
        <v>1709</v>
      </c>
      <c r="C462" s="2">
        <v>46190.583333333336</v>
      </c>
      <c r="D462" t="s">
        <v>418</v>
      </c>
      <c r="E462" t="s">
        <v>69</v>
      </c>
      <c r="F462" t="s">
        <v>138</v>
      </c>
      <c r="G462" t="s">
        <v>139</v>
      </c>
      <c r="H462">
        <v>2</v>
      </c>
      <c r="I462" t="s">
        <v>1710</v>
      </c>
      <c r="J462" t="s">
        <v>357</v>
      </c>
    </row>
    <row r="463" spans="1:10" x14ac:dyDescent="0.25">
      <c r="A463" t="s">
        <v>1711</v>
      </c>
      <c r="B463" t="s">
        <v>1712</v>
      </c>
      <c r="C463" s="2">
        <v>46190.583333333336</v>
      </c>
      <c r="D463" t="s">
        <v>418</v>
      </c>
      <c r="E463" t="s">
        <v>73</v>
      </c>
      <c r="F463" t="s">
        <v>142</v>
      </c>
      <c r="G463" t="s">
        <v>143</v>
      </c>
      <c r="H463">
        <v>3</v>
      </c>
      <c r="I463" t="s">
        <v>1713</v>
      </c>
      <c r="J463" t="s">
        <v>357</v>
      </c>
    </row>
    <row r="464" spans="1:10" x14ac:dyDescent="0.25">
      <c r="A464" t="s">
        <v>1714</v>
      </c>
      <c r="B464" t="s">
        <v>1715</v>
      </c>
      <c r="C464" s="2">
        <v>46190.583333333336</v>
      </c>
      <c r="D464" t="s">
        <v>418</v>
      </c>
      <c r="E464" t="s">
        <v>11</v>
      </c>
      <c r="F464" t="s">
        <v>152</v>
      </c>
      <c r="G464" t="s">
        <v>92</v>
      </c>
      <c r="H464">
        <v>2</v>
      </c>
      <c r="I464" t="s">
        <v>1716</v>
      </c>
      <c r="J464" t="s">
        <v>357</v>
      </c>
    </row>
    <row r="465" spans="1:10" x14ac:dyDescent="0.25">
      <c r="A465" t="s">
        <v>1717</v>
      </c>
      <c r="B465" t="s">
        <v>1718</v>
      </c>
      <c r="C465" s="2">
        <v>46190.583333333336</v>
      </c>
      <c r="D465" t="s">
        <v>418</v>
      </c>
      <c r="E465" t="s">
        <v>20</v>
      </c>
      <c r="F465" t="s">
        <v>154</v>
      </c>
      <c r="G465" t="s">
        <v>97</v>
      </c>
      <c r="H465">
        <v>4</v>
      </c>
      <c r="I465" t="s">
        <v>1719</v>
      </c>
      <c r="J465" t="s">
        <v>357</v>
      </c>
    </row>
    <row r="466" spans="1:10" x14ac:dyDescent="0.25">
      <c r="A466" t="s">
        <v>1720</v>
      </c>
      <c r="B466" t="s">
        <v>1721</v>
      </c>
      <c r="C466" s="2">
        <v>46190.583333333336</v>
      </c>
      <c r="D466" t="s">
        <v>418</v>
      </c>
      <c r="E466" t="s">
        <v>22</v>
      </c>
      <c r="F466" t="s">
        <v>155</v>
      </c>
      <c r="G466" t="s">
        <v>99</v>
      </c>
      <c r="H466">
        <v>5</v>
      </c>
      <c r="I466" t="s">
        <v>1722</v>
      </c>
      <c r="J466" t="s">
        <v>357</v>
      </c>
    </row>
    <row r="467" spans="1:10" x14ac:dyDescent="0.25">
      <c r="A467" t="s">
        <v>1723</v>
      </c>
      <c r="B467" t="s">
        <v>1724</v>
      </c>
      <c r="C467" s="2">
        <v>46190.583333333336</v>
      </c>
      <c r="D467" t="s">
        <v>418</v>
      </c>
      <c r="E467" t="s">
        <v>24</v>
      </c>
      <c r="F467" t="s">
        <v>100</v>
      </c>
      <c r="G467" t="s">
        <v>101</v>
      </c>
      <c r="H467">
        <v>2</v>
      </c>
      <c r="I467" t="s">
        <v>1725</v>
      </c>
      <c r="J467" t="s">
        <v>357</v>
      </c>
    </row>
    <row r="468" spans="1:10" x14ac:dyDescent="0.25">
      <c r="A468" t="s">
        <v>1726</v>
      </c>
      <c r="B468" t="s">
        <v>1727</v>
      </c>
      <c r="C468" s="2">
        <v>46190.583333333336</v>
      </c>
      <c r="D468" t="s">
        <v>418</v>
      </c>
      <c r="E468" t="s">
        <v>26</v>
      </c>
      <c r="F468" t="s">
        <v>157</v>
      </c>
      <c r="G468" t="s">
        <v>103</v>
      </c>
      <c r="H468">
        <v>2</v>
      </c>
      <c r="I468" t="s">
        <v>1728</v>
      </c>
      <c r="J468" t="s">
        <v>357</v>
      </c>
    </row>
    <row r="469" spans="1:10" x14ac:dyDescent="0.25">
      <c r="A469" t="s">
        <v>1729</v>
      </c>
      <c r="B469" t="s">
        <v>1730</v>
      </c>
      <c r="C469" s="2">
        <v>46190.583333333336</v>
      </c>
      <c r="D469" t="s">
        <v>418</v>
      </c>
      <c r="E469" t="s">
        <v>30</v>
      </c>
      <c r="F469" t="s">
        <v>106</v>
      </c>
      <c r="G469" t="s">
        <v>107</v>
      </c>
      <c r="H469">
        <v>6</v>
      </c>
      <c r="I469" t="s">
        <v>1731</v>
      </c>
      <c r="J469" t="s">
        <v>357</v>
      </c>
    </row>
    <row r="470" spans="1:10" x14ac:dyDescent="0.25">
      <c r="A470" t="s">
        <v>1732</v>
      </c>
      <c r="B470" t="s">
        <v>1733</v>
      </c>
      <c r="C470" s="2">
        <v>46190.583333333336</v>
      </c>
      <c r="D470" t="s">
        <v>418</v>
      </c>
      <c r="E470" t="s">
        <v>41</v>
      </c>
      <c r="F470" t="s">
        <v>114</v>
      </c>
      <c r="G470" t="s">
        <v>115</v>
      </c>
      <c r="H470">
        <v>6</v>
      </c>
      <c r="I470" t="s">
        <v>1734</v>
      </c>
      <c r="J470" t="s">
        <v>357</v>
      </c>
    </row>
    <row r="471" spans="1:10" x14ac:dyDescent="0.25">
      <c r="A471" t="s">
        <v>1735</v>
      </c>
      <c r="B471" t="s">
        <v>1736</v>
      </c>
      <c r="C471" s="2">
        <v>46190.583333333336</v>
      </c>
      <c r="D471" t="s">
        <v>418</v>
      </c>
      <c r="E471" t="s">
        <v>43</v>
      </c>
      <c r="F471" t="s">
        <v>164</v>
      </c>
      <c r="G471" t="s">
        <v>117</v>
      </c>
      <c r="H471">
        <v>4</v>
      </c>
      <c r="I471" t="s">
        <v>1737</v>
      </c>
      <c r="J471" t="s">
        <v>357</v>
      </c>
    </row>
    <row r="472" spans="1:10" x14ac:dyDescent="0.25">
      <c r="A472" t="s">
        <v>1738</v>
      </c>
      <c r="B472" t="s">
        <v>1739</v>
      </c>
      <c r="C472" s="2">
        <v>46190.583333333336</v>
      </c>
      <c r="D472" t="s">
        <v>418</v>
      </c>
      <c r="E472" t="s">
        <v>49</v>
      </c>
      <c r="F472" t="s">
        <v>122</v>
      </c>
      <c r="G472" t="s">
        <v>123</v>
      </c>
      <c r="H472">
        <v>5</v>
      </c>
      <c r="I472" t="s">
        <v>1740</v>
      </c>
      <c r="J472" t="s">
        <v>357</v>
      </c>
    </row>
    <row r="473" spans="1:10" x14ac:dyDescent="0.25">
      <c r="A473" t="s">
        <v>1741</v>
      </c>
      <c r="B473" t="s">
        <v>1742</v>
      </c>
      <c r="C473" s="2">
        <v>46190.583333333336</v>
      </c>
      <c r="D473" t="s">
        <v>418</v>
      </c>
      <c r="E473" t="s">
        <v>51</v>
      </c>
      <c r="F473" t="s">
        <v>124</v>
      </c>
      <c r="G473" t="s">
        <v>125</v>
      </c>
      <c r="H473">
        <v>4</v>
      </c>
      <c r="I473" t="s">
        <v>1743</v>
      </c>
      <c r="J473" t="s">
        <v>357</v>
      </c>
    </row>
    <row r="474" spans="1:10" x14ac:dyDescent="0.25">
      <c r="A474" t="s">
        <v>1744</v>
      </c>
      <c r="B474" t="s">
        <v>1745</v>
      </c>
      <c r="C474" s="2">
        <v>46190.583333333336</v>
      </c>
      <c r="D474" t="s">
        <v>418</v>
      </c>
      <c r="E474" t="s">
        <v>55</v>
      </c>
      <c r="F474" t="s">
        <v>128</v>
      </c>
      <c r="G474" t="s">
        <v>129</v>
      </c>
      <c r="H474">
        <v>4</v>
      </c>
      <c r="I474" t="s">
        <v>1746</v>
      </c>
      <c r="J474" t="s">
        <v>357</v>
      </c>
    </row>
    <row r="475" spans="1:10" x14ac:dyDescent="0.25">
      <c r="A475" t="s">
        <v>1747</v>
      </c>
      <c r="B475" t="s">
        <v>1748</v>
      </c>
      <c r="C475" s="2">
        <v>46190.583333333336</v>
      </c>
      <c r="D475" t="s">
        <v>418</v>
      </c>
      <c r="E475" t="s">
        <v>57</v>
      </c>
      <c r="F475" t="s">
        <v>130</v>
      </c>
      <c r="G475" t="s">
        <v>131</v>
      </c>
      <c r="H475">
        <v>6</v>
      </c>
      <c r="I475" t="s">
        <v>1749</v>
      </c>
      <c r="J475" t="s">
        <v>357</v>
      </c>
    </row>
    <row r="476" spans="1:10" x14ac:dyDescent="0.25">
      <c r="A476" t="s">
        <v>1750</v>
      </c>
      <c r="B476" t="s">
        <v>1751</v>
      </c>
      <c r="C476" s="2">
        <v>46190.583333333336</v>
      </c>
      <c r="D476" t="s">
        <v>418</v>
      </c>
      <c r="E476" t="s">
        <v>59</v>
      </c>
      <c r="F476" t="s">
        <v>132</v>
      </c>
      <c r="G476" t="s">
        <v>133</v>
      </c>
      <c r="H476">
        <v>1</v>
      </c>
      <c r="I476" t="s">
        <v>1752</v>
      </c>
      <c r="J476" t="s">
        <v>357</v>
      </c>
    </row>
    <row r="477" spans="1:10" x14ac:dyDescent="0.25">
      <c r="A477" t="s">
        <v>1753</v>
      </c>
      <c r="B477" t="s">
        <v>1754</v>
      </c>
      <c r="C477" s="2">
        <v>46190.583333333336</v>
      </c>
      <c r="D477" t="s">
        <v>418</v>
      </c>
      <c r="E477" t="s">
        <v>65</v>
      </c>
      <c r="F477" t="s">
        <v>134</v>
      </c>
      <c r="G477" t="s">
        <v>135</v>
      </c>
      <c r="H477">
        <v>5</v>
      </c>
      <c r="I477" t="s">
        <v>1755</v>
      </c>
      <c r="J477" t="s">
        <v>357</v>
      </c>
    </row>
    <row r="478" spans="1:10" x14ac:dyDescent="0.25">
      <c r="A478" t="s">
        <v>1756</v>
      </c>
      <c r="B478" t="s">
        <v>1757</v>
      </c>
      <c r="C478" s="2">
        <v>46190.583333333336</v>
      </c>
      <c r="D478" t="s">
        <v>418</v>
      </c>
      <c r="E478" t="s">
        <v>69</v>
      </c>
      <c r="F478" t="s">
        <v>138</v>
      </c>
      <c r="G478" t="s">
        <v>139</v>
      </c>
      <c r="H478">
        <v>4</v>
      </c>
      <c r="I478" t="s">
        <v>1758</v>
      </c>
      <c r="J478" t="s">
        <v>357</v>
      </c>
    </row>
    <row r="479" spans="1:10" x14ac:dyDescent="0.25">
      <c r="A479" t="s">
        <v>1759</v>
      </c>
      <c r="B479" t="s">
        <v>1760</v>
      </c>
      <c r="C479" s="2">
        <v>46190.583333333336</v>
      </c>
      <c r="D479" t="s">
        <v>418</v>
      </c>
      <c r="E479" t="s">
        <v>11</v>
      </c>
      <c r="F479" t="s">
        <v>152</v>
      </c>
      <c r="G479" t="s">
        <v>92</v>
      </c>
      <c r="H479">
        <v>7</v>
      </c>
      <c r="I479" t="s">
        <v>1761</v>
      </c>
      <c r="J479" t="s">
        <v>357</v>
      </c>
    </row>
    <row r="480" spans="1:10" x14ac:dyDescent="0.25">
      <c r="A480" t="s">
        <v>1762</v>
      </c>
      <c r="B480" t="s">
        <v>1763</v>
      </c>
      <c r="C480" s="2">
        <v>46190.583333333336</v>
      </c>
      <c r="D480" t="s">
        <v>418</v>
      </c>
      <c r="E480" t="s">
        <v>20</v>
      </c>
      <c r="F480" t="s">
        <v>154</v>
      </c>
      <c r="G480" t="s">
        <v>97</v>
      </c>
      <c r="H480">
        <v>3</v>
      </c>
      <c r="I480" t="s">
        <v>1764</v>
      </c>
      <c r="J480" t="s">
        <v>357</v>
      </c>
    </row>
    <row r="481" spans="1:10" x14ac:dyDescent="0.25">
      <c r="A481" t="s">
        <v>1765</v>
      </c>
      <c r="B481" t="s">
        <v>1766</v>
      </c>
      <c r="C481" s="2">
        <v>46190.583333333336</v>
      </c>
      <c r="D481" t="s">
        <v>418</v>
      </c>
      <c r="E481" t="s">
        <v>22</v>
      </c>
      <c r="F481" t="s">
        <v>155</v>
      </c>
      <c r="G481" t="s">
        <v>99</v>
      </c>
      <c r="H481">
        <v>7</v>
      </c>
      <c r="I481" t="s">
        <v>1767</v>
      </c>
      <c r="J481" t="s">
        <v>357</v>
      </c>
    </row>
    <row r="482" spans="1:10" x14ac:dyDescent="0.25">
      <c r="A482" t="s">
        <v>1768</v>
      </c>
      <c r="B482" t="s">
        <v>1769</v>
      </c>
      <c r="C482" s="2">
        <v>46190.583333333336</v>
      </c>
      <c r="D482" t="s">
        <v>418</v>
      </c>
      <c r="E482" t="s">
        <v>36</v>
      </c>
      <c r="F482" t="s">
        <v>162</v>
      </c>
      <c r="G482" t="s">
        <v>113</v>
      </c>
      <c r="H482">
        <v>7</v>
      </c>
      <c r="I482" t="s">
        <v>1770</v>
      </c>
      <c r="J482" t="s">
        <v>357</v>
      </c>
    </row>
    <row r="483" spans="1:10" x14ac:dyDescent="0.25">
      <c r="A483" t="s">
        <v>1771</v>
      </c>
      <c r="B483" t="s">
        <v>1772</v>
      </c>
      <c r="C483" s="2">
        <v>46190.583333333336</v>
      </c>
      <c r="D483" t="s">
        <v>418</v>
      </c>
      <c r="E483" t="s">
        <v>41</v>
      </c>
      <c r="F483" t="s">
        <v>114</v>
      </c>
      <c r="G483" t="s">
        <v>115</v>
      </c>
      <c r="H483">
        <v>6</v>
      </c>
      <c r="I483" t="s">
        <v>1773</v>
      </c>
      <c r="J483" t="s">
        <v>357</v>
      </c>
    </row>
    <row r="484" spans="1:10" x14ac:dyDescent="0.25">
      <c r="A484" t="s">
        <v>1774</v>
      </c>
      <c r="B484" t="s">
        <v>1775</v>
      </c>
      <c r="C484" s="2">
        <v>46190.583333333336</v>
      </c>
      <c r="D484" t="s">
        <v>418</v>
      </c>
      <c r="E484" t="s">
        <v>57</v>
      </c>
      <c r="F484" t="s">
        <v>130</v>
      </c>
      <c r="G484" t="s">
        <v>131</v>
      </c>
      <c r="H484">
        <v>7</v>
      </c>
      <c r="I484" t="s">
        <v>1776</v>
      </c>
      <c r="J484" t="s">
        <v>357</v>
      </c>
    </row>
    <row r="485" spans="1:10" x14ac:dyDescent="0.25">
      <c r="A485" t="s">
        <v>1777</v>
      </c>
      <c r="B485" t="s">
        <v>1778</v>
      </c>
      <c r="C485" s="2">
        <v>46190.583333333336</v>
      </c>
      <c r="D485" t="s">
        <v>418</v>
      </c>
      <c r="E485" t="s">
        <v>59</v>
      </c>
      <c r="F485" t="s">
        <v>132</v>
      </c>
      <c r="G485" t="s">
        <v>133</v>
      </c>
      <c r="H485">
        <v>4</v>
      </c>
      <c r="I485" t="s">
        <v>1779</v>
      </c>
      <c r="J485" t="s">
        <v>357</v>
      </c>
    </row>
    <row r="486" spans="1:10" x14ac:dyDescent="0.25">
      <c r="A486" t="s">
        <v>1780</v>
      </c>
      <c r="B486" t="s">
        <v>1781</v>
      </c>
      <c r="C486" s="2">
        <v>46190.583333333336</v>
      </c>
      <c r="D486" t="s">
        <v>418</v>
      </c>
      <c r="E486" t="s">
        <v>20</v>
      </c>
      <c r="F486" t="s">
        <v>154</v>
      </c>
      <c r="G486" t="s">
        <v>97</v>
      </c>
      <c r="H486">
        <v>2</v>
      </c>
      <c r="I486" t="s">
        <v>1782</v>
      </c>
      <c r="J486" t="s">
        <v>357</v>
      </c>
    </row>
    <row r="487" spans="1:10" x14ac:dyDescent="0.25">
      <c r="A487" t="s">
        <v>1783</v>
      </c>
      <c r="B487" t="s">
        <v>1784</v>
      </c>
      <c r="C487" s="2">
        <v>46190.583333333336</v>
      </c>
      <c r="D487" t="s">
        <v>418</v>
      </c>
      <c r="E487" t="s">
        <v>22</v>
      </c>
      <c r="F487" t="s">
        <v>155</v>
      </c>
      <c r="G487" t="s">
        <v>99</v>
      </c>
      <c r="H487">
        <v>4</v>
      </c>
      <c r="I487" t="s">
        <v>1785</v>
      </c>
      <c r="J487" t="s">
        <v>357</v>
      </c>
    </row>
    <row r="488" spans="1:10" x14ac:dyDescent="0.25">
      <c r="A488" t="s">
        <v>1786</v>
      </c>
      <c r="B488" t="s">
        <v>1787</v>
      </c>
      <c r="C488" s="2">
        <v>46190.583333333336</v>
      </c>
      <c r="D488" t="s">
        <v>418</v>
      </c>
      <c r="E488" t="s">
        <v>30</v>
      </c>
      <c r="F488" t="s">
        <v>106</v>
      </c>
      <c r="G488" t="s">
        <v>107</v>
      </c>
      <c r="H488">
        <v>1</v>
      </c>
      <c r="I488" t="s">
        <v>1788</v>
      </c>
      <c r="J488" t="s">
        <v>357</v>
      </c>
    </row>
    <row r="489" spans="1:10" x14ac:dyDescent="0.25">
      <c r="A489" t="s">
        <v>1789</v>
      </c>
      <c r="B489" t="s">
        <v>1790</v>
      </c>
      <c r="C489" s="2">
        <v>46190.583333333336</v>
      </c>
      <c r="D489" t="s">
        <v>418</v>
      </c>
      <c r="E489" t="s">
        <v>36</v>
      </c>
      <c r="F489" t="s">
        <v>162</v>
      </c>
      <c r="G489" t="s">
        <v>113</v>
      </c>
      <c r="H489">
        <v>4</v>
      </c>
      <c r="I489" t="s">
        <v>1791</v>
      </c>
      <c r="J489" t="s">
        <v>357</v>
      </c>
    </row>
    <row r="490" spans="1:10" x14ac:dyDescent="0.25">
      <c r="A490" t="s">
        <v>1792</v>
      </c>
      <c r="B490" t="s">
        <v>1793</v>
      </c>
      <c r="C490" s="2">
        <v>46190.583333333336</v>
      </c>
      <c r="D490" t="s">
        <v>418</v>
      </c>
      <c r="E490" t="s">
        <v>41</v>
      </c>
      <c r="F490" t="s">
        <v>114</v>
      </c>
      <c r="G490" t="s">
        <v>115</v>
      </c>
      <c r="H490">
        <v>4</v>
      </c>
      <c r="I490" t="s">
        <v>1794</v>
      </c>
      <c r="J490" t="s">
        <v>357</v>
      </c>
    </row>
    <row r="491" spans="1:10" x14ac:dyDescent="0.25">
      <c r="A491" t="s">
        <v>1795</v>
      </c>
      <c r="B491" t="s">
        <v>1796</v>
      </c>
      <c r="C491" s="2">
        <v>46190.583333333336</v>
      </c>
      <c r="D491" t="s">
        <v>418</v>
      </c>
      <c r="E491" t="s">
        <v>45</v>
      </c>
      <c r="F491" t="s">
        <v>118</v>
      </c>
      <c r="G491" t="s">
        <v>119</v>
      </c>
      <c r="H491">
        <v>3</v>
      </c>
      <c r="I491" t="s">
        <v>1797</v>
      </c>
      <c r="J491" t="s">
        <v>357</v>
      </c>
    </row>
    <row r="492" spans="1:10" x14ac:dyDescent="0.25">
      <c r="A492" t="s">
        <v>1798</v>
      </c>
      <c r="B492" t="s">
        <v>1799</v>
      </c>
      <c r="C492" s="2">
        <v>46190.583333333336</v>
      </c>
      <c r="D492" t="s">
        <v>418</v>
      </c>
      <c r="E492" t="s">
        <v>47</v>
      </c>
      <c r="F492" t="s">
        <v>166</v>
      </c>
      <c r="G492" t="s">
        <v>121</v>
      </c>
      <c r="H492">
        <v>3</v>
      </c>
      <c r="I492" t="s">
        <v>1800</v>
      </c>
      <c r="J492" t="s">
        <v>357</v>
      </c>
    </row>
    <row r="493" spans="1:10" x14ac:dyDescent="0.25">
      <c r="A493" t="s">
        <v>1801</v>
      </c>
      <c r="B493" t="s">
        <v>1802</v>
      </c>
      <c r="C493" s="2">
        <v>46190.583333333336</v>
      </c>
      <c r="D493" t="s">
        <v>418</v>
      </c>
      <c r="E493" t="s">
        <v>55</v>
      </c>
      <c r="F493" t="s">
        <v>128</v>
      </c>
      <c r="G493" t="s">
        <v>129</v>
      </c>
      <c r="H493">
        <v>2</v>
      </c>
      <c r="I493" t="s">
        <v>1803</v>
      </c>
      <c r="J493" t="s">
        <v>357</v>
      </c>
    </row>
    <row r="494" spans="1:10" x14ac:dyDescent="0.25">
      <c r="A494" t="s">
        <v>1804</v>
      </c>
      <c r="B494" t="s">
        <v>1805</v>
      </c>
      <c r="C494" s="2">
        <v>46190.583333333336</v>
      </c>
      <c r="D494" t="s">
        <v>418</v>
      </c>
      <c r="E494" t="s">
        <v>69</v>
      </c>
      <c r="F494" t="s">
        <v>138</v>
      </c>
      <c r="G494" t="s">
        <v>139</v>
      </c>
      <c r="H494">
        <v>2</v>
      </c>
      <c r="I494" t="s">
        <v>1806</v>
      </c>
      <c r="J494" t="s">
        <v>357</v>
      </c>
    </row>
    <row r="495" spans="1:10" x14ac:dyDescent="0.25">
      <c r="A495" t="s">
        <v>1807</v>
      </c>
      <c r="B495" t="s">
        <v>1808</v>
      </c>
      <c r="C495" s="2">
        <v>46190.583333333336</v>
      </c>
      <c r="D495" t="s">
        <v>418</v>
      </c>
      <c r="E495" t="s">
        <v>71</v>
      </c>
      <c r="F495" t="s">
        <v>140</v>
      </c>
      <c r="G495" t="s">
        <v>141</v>
      </c>
      <c r="H495">
        <v>4</v>
      </c>
      <c r="I495" t="s">
        <v>1809</v>
      </c>
      <c r="J495" t="s">
        <v>357</v>
      </c>
    </row>
    <row r="496" spans="1:10" x14ac:dyDescent="0.25">
      <c r="A496" t="s">
        <v>1810</v>
      </c>
      <c r="B496" t="s">
        <v>1811</v>
      </c>
      <c r="C496" s="2">
        <v>46190.583333333336</v>
      </c>
      <c r="D496" t="s">
        <v>418</v>
      </c>
      <c r="E496" t="s">
        <v>73</v>
      </c>
      <c r="F496" t="s">
        <v>142</v>
      </c>
      <c r="G496" t="s">
        <v>143</v>
      </c>
      <c r="H496">
        <v>1</v>
      </c>
      <c r="I496" t="s">
        <v>1812</v>
      </c>
      <c r="J496" t="s">
        <v>357</v>
      </c>
    </row>
    <row r="497" spans="1:10" x14ac:dyDescent="0.25">
      <c r="A497" t="s">
        <v>1813</v>
      </c>
      <c r="B497" t="s">
        <v>1814</v>
      </c>
      <c r="C497" s="2">
        <v>46191.583333333336</v>
      </c>
      <c r="D497" t="s">
        <v>418</v>
      </c>
      <c r="E497" t="s">
        <v>11</v>
      </c>
      <c r="F497" t="s">
        <v>152</v>
      </c>
      <c r="G497" t="s">
        <v>92</v>
      </c>
      <c r="H497">
        <v>2</v>
      </c>
      <c r="I497" t="s">
        <v>1815</v>
      </c>
      <c r="J497" t="s">
        <v>357</v>
      </c>
    </row>
    <row r="498" spans="1:10" x14ac:dyDescent="0.25">
      <c r="A498" t="s">
        <v>1816</v>
      </c>
      <c r="B498" t="s">
        <v>1817</v>
      </c>
      <c r="C498" s="2">
        <v>46191.583333333336</v>
      </c>
      <c r="D498" t="s">
        <v>418</v>
      </c>
      <c r="E498" t="s">
        <v>18</v>
      </c>
      <c r="F498" t="s">
        <v>94</v>
      </c>
      <c r="G498" t="s">
        <v>95</v>
      </c>
      <c r="H498">
        <v>1</v>
      </c>
      <c r="I498" t="s">
        <v>1818</v>
      </c>
      <c r="J498" t="s">
        <v>357</v>
      </c>
    </row>
    <row r="499" spans="1:10" x14ac:dyDescent="0.25">
      <c r="A499" t="s">
        <v>1819</v>
      </c>
      <c r="B499" t="s">
        <v>1820</v>
      </c>
      <c r="C499" s="2">
        <v>46191.583333333336</v>
      </c>
      <c r="D499" t="s">
        <v>418</v>
      </c>
      <c r="E499" t="s">
        <v>20</v>
      </c>
      <c r="F499" t="s">
        <v>154</v>
      </c>
      <c r="G499" t="s">
        <v>97</v>
      </c>
      <c r="H499">
        <v>2</v>
      </c>
      <c r="I499" t="s">
        <v>1821</v>
      </c>
      <c r="J499" t="s">
        <v>357</v>
      </c>
    </row>
    <row r="500" spans="1:10" x14ac:dyDescent="0.25">
      <c r="A500" t="s">
        <v>1822</v>
      </c>
      <c r="B500" t="s">
        <v>1823</v>
      </c>
      <c r="C500" s="2">
        <v>46191.583333333336</v>
      </c>
      <c r="D500" t="s">
        <v>418</v>
      </c>
      <c r="E500" t="s">
        <v>22</v>
      </c>
      <c r="F500" t="s">
        <v>155</v>
      </c>
      <c r="G500" t="s">
        <v>99</v>
      </c>
      <c r="H500">
        <v>2</v>
      </c>
      <c r="I500" t="s">
        <v>1824</v>
      </c>
      <c r="J500" t="s">
        <v>357</v>
      </c>
    </row>
    <row r="501" spans="1:10" x14ac:dyDescent="0.25">
      <c r="A501" t="s">
        <v>1825</v>
      </c>
      <c r="B501" t="s">
        <v>1826</v>
      </c>
      <c r="C501" s="2">
        <v>46191.583333333336</v>
      </c>
      <c r="D501" t="s">
        <v>418</v>
      </c>
      <c r="E501" t="s">
        <v>26</v>
      </c>
      <c r="F501" t="s">
        <v>157</v>
      </c>
      <c r="G501" t="s">
        <v>103</v>
      </c>
      <c r="H501">
        <v>2</v>
      </c>
      <c r="I501" t="s">
        <v>1827</v>
      </c>
      <c r="J501" t="s">
        <v>357</v>
      </c>
    </row>
    <row r="502" spans="1:10" x14ac:dyDescent="0.25">
      <c r="A502" t="s">
        <v>1828</v>
      </c>
      <c r="B502" t="s">
        <v>1829</v>
      </c>
      <c r="C502" s="2">
        <v>46191.583333333336</v>
      </c>
      <c r="D502" t="s">
        <v>418</v>
      </c>
      <c r="E502" t="s">
        <v>30</v>
      </c>
      <c r="F502" t="s">
        <v>106</v>
      </c>
      <c r="G502" t="s">
        <v>107</v>
      </c>
      <c r="H502">
        <v>2</v>
      </c>
      <c r="I502" t="s">
        <v>1830</v>
      </c>
      <c r="J502" t="s">
        <v>357</v>
      </c>
    </row>
    <row r="503" spans="1:10" x14ac:dyDescent="0.25">
      <c r="A503" t="s">
        <v>1831</v>
      </c>
      <c r="B503" t="s">
        <v>1832</v>
      </c>
      <c r="C503" s="2">
        <v>46191.583333333336</v>
      </c>
      <c r="D503" t="s">
        <v>418</v>
      </c>
      <c r="E503" t="s">
        <v>47</v>
      </c>
      <c r="F503" t="s">
        <v>166</v>
      </c>
      <c r="G503" t="s">
        <v>121</v>
      </c>
      <c r="H503">
        <v>4</v>
      </c>
      <c r="I503" t="s">
        <v>1833</v>
      </c>
      <c r="J503" t="s">
        <v>357</v>
      </c>
    </row>
    <row r="504" spans="1:10" x14ac:dyDescent="0.25">
      <c r="A504" t="s">
        <v>1834</v>
      </c>
      <c r="B504" t="s">
        <v>1835</v>
      </c>
      <c r="C504" s="2">
        <v>46191.583333333336</v>
      </c>
      <c r="D504" t="s">
        <v>418</v>
      </c>
      <c r="E504" t="s">
        <v>51</v>
      </c>
      <c r="F504" t="s">
        <v>124</v>
      </c>
      <c r="G504" t="s">
        <v>125</v>
      </c>
      <c r="H504">
        <v>2</v>
      </c>
      <c r="I504" t="s">
        <v>1836</v>
      </c>
      <c r="J504" t="s">
        <v>357</v>
      </c>
    </row>
    <row r="505" spans="1:10" x14ac:dyDescent="0.25">
      <c r="A505" t="s">
        <v>1837</v>
      </c>
      <c r="B505" t="s">
        <v>1838</v>
      </c>
      <c r="C505" s="2">
        <v>46191.583333333336</v>
      </c>
      <c r="D505" t="s">
        <v>418</v>
      </c>
      <c r="E505" t="s">
        <v>53</v>
      </c>
      <c r="F505" t="s">
        <v>169</v>
      </c>
      <c r="G505" t="s">
        <v>127</v>
      </c>
      <c r="H505">
        <v>2</v>
      </c>
      <c r="I505" t="s">
        <v>1839</v>
      </c>
      <c r="J505" t="s">
        <v>357</v>
      </c>
    </row>
    <row r="506" spans="1:10" x14ac:dyDescent="0.25">
      <c r="A506" t="s">
        <v>1840</v>
      </c>
      <c r="B506" t="s">
        <v>1841</v>
      </c>
      <c r="C506" s="2">
        <v>46191.583333333336</v>
      </c>
      <c r="D506" t="s">
        <v>418</v>
      </c>
      <c r="E506" t="s">
        <v>71</v>
      </c>
      <c r="F506" t="s">
        <v>140</v>
      </c>
      <c r="G506" t="s">
        <v>141</v>
      </c>
      <c r="H506">
        <v>2</v>
      </c>
      <c r="I506" t="s">
        <v>1842</v>
      </c>
      <c r="J506" t="s">
        <v>357</v>
      </c>
    </row>
    <row r="507" spans="1:10" x14ac:dyDescent="0.25">
      <c r="A507" t="s">
        <v>1843</v>
      </c>
      <c r="B507" t="s">
        <v>1844</v>
      </c>
      <c r="C507" s="2">
        <v>46191.583333333336</v>
      </c>
      <c r="D507" t="s">
        <v>418</v>
      </c>
      <c r="E507" t="s">
        <v>11</v>
      </c>
      <c r="F507" t="s">
        <v>152</v>
      </c>
      <c r="G507" t="s">
        <v>92</v>
      </c>
      <c r="H507">
        <v>5</v>
      </c>
      <c r="I507" t="s">
        <v>1845</v>
      </c>
      <c r="J507" t="s">
        <v>357</v>
      </c>
    </row>
    <row r="508" spans="1:10" x14ac:dyDescent="0.25">
      <c r="A508" t="s">
        <v>1846</v>
      </c>
      <c r="B508" t="s">
        <v>1847</v>
      </c>
      <c r="C508" s="2">
        <v>46191.583333333336</v>
      </c>
      <c r="D508" t="s">
        <v>418</v>
      </c>
      <c r="E508" t="s">
        <v>18</v>
      </c>
      <c r="F508" t="s">
        <v>94</v>
      </c>
      <c r="G508" t="s">
        <v>95</v>
      </c>
      <c r="H508">
        <v>3</v>
      </c>
      <c r="I508" t="s">
        <v>1848</v>
      </c>
      <c r="J508" t="s">
        <v>357</v>
      </c>
    </row>
    <row r="509" spans="1:10" x14ac:dyDescent="0.25">
      <c r="A509" t="s">
        <v>1849</v>
      </c>
      <c r="B509" t="s">
        <v>1850</v>
      </c>
      <c r="C509" s="2">
        <v>46191.583333333336</v>
      </c>
      <c r="D509" t="s">
        <v>418</v>
      </c>
      <c r="E509" t="s">
        <v>22</v>
      </c>
      <c r="F509" t="s">
        <v>155</v>
      </c>
      <c r="G509" t="s">
        <v>99</v>
      </c>
      <c r="H509">
        <v>2</v>
      </c>
      <c r="I509" t="s">
        <v>1851</v>
      </c>
      <c r="J509" t="s">
        <v>357</v>
      </c>
    </row>
    <row r="510" spans="1:10" x14ac:dyDescent="0.25">
      <c r="A510" t="s">
        <v>1852</v>
      </c>
      <c r="B510" t="s">
        <v>1853</v>
      </c>
      <c r="C510" s="2">
        <v>46191.583333333336</v>
      </c>
      <c r="D510" t="s">
        <v>418</v>
      </c>
      <c r="E510" t="s">
        <v>24</v>
      </c>
      <c r="F510" t="s">
        <v>156</v>
      </c>
      <c r="G510" t="s">
        <v>101</v>
      </c>
      <c r="H510">
        <v>4</v>
      </c>
      <c r="I510" t="s">
        <v>1854</v>
      </c>
      <c r="J510" t="s">
        <v>357</v>
      </c>
    </row>
    <row r="511" spans="1:10" x14ac:dyDescent="0.25">
      <c r="A511" t="s">
        <v>1855</v>
      </c>
      <c r="B511" t="s">
        <v>1856</v>
      </c>
      <c r="C511" s="2">
        <v>46191.583333333336</v>
      </c>
      <c r="D511" t="s">
        <v>418</v>
      </c>
      <c r="E511" t="s">
        <v>26</v>
      </c>
      <c r="F511" t="s">
        <v>157</v>
      </c>
      <c r="G511" t="s">
        <v>103</v>
      </c>
      <c r="H511">
        <v>5</v>
      </c>
      <c r="I511" t="s">
        <v>1857</v>
      </c>
      <c r="J511" t="s">
        <v>357</v>
      </c>
    </row>
    <row r="512" spans="1:10" x14ac:dyDescent="0.25">
      <c r="A512" t="s">
        <v>1858</v>
      </c>
      <c r="B512" t="s">
        <v>1859</v>
      </c>
      <c r="C512" s="2">
        <v>46191.583333333336</v>
      </c>
      <c r="D512" t="s">
        <v>418</v>
      </c>
      <c r="E512" t="s">
        <v>41</v>
      </c>
      <c r="F512" t="s">
        <v>114</v>
      </c>
      <c r="G512" t="s">
        <v>115</v>
      </c>
      <c r="H512">
        <v>3</v>
      </c>
      <c r="I512" t="s">
        <v>1860</v>
      </c>
      <c r="J512" t="s">
        <v>357</v>
      </c>
    </row>
    <row r="513" spans="1:10" x14ac:dyDescent="0.25">
      <c r="A513" t="s">
        <v>1861</v>
      </c>
      <c r="B513" t="s">
        <v>1862</v>
      </c>
      <c r="C513" s="2">
        <v>46191.583333333336</v>
      </c>
      <c r="D513" t="s">
        <v>418</v>
      </c>
      <c r="E513" t="s">
        <v>45</v>
      </c>
      <c r="F513" t="s">
        <v>118</v>
      </c>
      <c r="G513" t="s">
        <v>119</v>
      </c>
      <c r="H513">
        <v>3</v>
      </c>
      <c r="I513" t="s">
        <v>1863</v>
      </c>
      <c r="J513" t="s">
        <v>357</v>
      </c>
    </row>
    <row r="514" spans="1:10" x14ac:dyDescent="0.25">
      <c r="A514" t="s">
        <v>1864</v>
      </c>
      <c r="B514" t="s">
        <v>1865</v>
      </c>
      <c r="C514" s="2">
        <v>46191.583333333336</v>
      </c>
      <c r="D514" t="s">
        <v>418</v>
      </c>
      <c r="E514" t="s">
        <v>47</v>
      </c>
      <c r="F514" t="s">
        <v>166</v>
      </c>
      <c r="G514" t="s">
        <v>121</v>
      </c>
      <c r="H514">
        <v>1</v>
      </c>
      <c r="I514" t="s">
        <v>1866</v>
      </c>
      <c r="J514" t="s">
        <v>357</v>
      </c>
    </row>
    <row r="515" spans="1:10" x14ac:dyDescent="0.25">
      <c r="A515" t="s">
        <v>1867</v>
      </c>
      <c r="B515" t="s">
        <v>1868</v>
      </c>
      <c r="C515" s="2">
        <v>46191.583333333336</v>
      </c>
      <c r="D515" t="s">
        <v>418</v>
      </c>
      <c r="E515" t="s">
        <v>55</v>
      </c>
      <c r="F515" t="s">
        <v>128</v>
      </c>
      <c r="G515" t="s">
        <v>129</v>
      </c>
      <c r="H515">
        <v>1</v>
      </c>
      <c r="I515" t="s">
        <v>1869</v>
      </c>
      <c r="J515" t="s">
        <v>357</v>
      </c>
    </row>
    <row r="516" spans="1:10" x14ac:dyDescent="0.25">
      <c r="A516" t="s">
        <v>1870</v>
      </c>
      <c r="B516" t="s">
        <v>1871</v>
      </c>
      <c r="C516" s="2">
        <v>46191.583333333336</v>
      </c>
      <c r="D516" t="s">
        <v>418</v>
      </c>
      <c r="E516" t="s">
        <v>57</v>
      </c>
      <c r="F516" t="s">
        <v>130</v>
      </c>
      <c r="G516" t="s">
        <v>131</v>
      </c>
      <c r="H516">
        <v>3</v>
      </c>
      <c r="I516" t="s">
        <v>1872</v>
      </c>
      <c r="J516" t="s">
        <v>357</v>
      </c>
    </row>
    <row r="517" spans="1:10" x14ac:dyDescent="0.25">
      <c r="A517" t="s">
        <v>1873</v>
      </c>
      <c r="B517" t="s">
        <v>1874</v>
      </c>
      <c r="C517" s="2">
        <v>46191.583333333336</v>
      </c>
      <c r="D517" t="s">
        <v>418</v>
      </c>
      <c r="E517" t="s">
        <v>71</v>
      </c>
      <c r="F517" t="s">
        <v>140</v>
      </c>
      <c r="G517" t="s">
        <v>141</v>
      </c>
      <c r="H517">
        <v>1</v>
      </c>
      <c r="I517" t="s">
        <v>1875</v>
      </c>
      <c r="J517" t="s">
        <v>357</v>
      </c>
    </row>
    <row r="518" spans="1:10" x14ac:dyDescent="0.25">
      <c r="A518" t="s">
        <v>1876</v>
      </c>
      <c r="B518" t="s">
        <v>1877</v>
      </c>
      <c r="C518" s="2">
        <v>46191.583333333336</v>
      </c>
      <c r="D518" t="s">
        <v>418</v>
      </c>
      <c r="E518" t="s">
        <v>75</v>
      </c>
      <c r="F518" t="s">
        <v>144</v>
      </c>
      <c r="G518" t="s">
        <v>145</v>
      </c>
      <c r="H518">
        <v>2</v>
      </c>
      <c r="I518" t="s">
        <v>1878</v>
      </c>
      <c r="J518" t="s">
        <v>357</v>
      </c>
    </row>
    <row r="519" spans="1:10" x14ac:dyDescent="0.25">
      <c r="A519" t="s">
        <v>1879</v>
      </c>
      <c r="B519" t="s">
        <v>1880</v>
      </c>
      <c r="C519" s="2">
        <v>46191.583333333336</v>
      </c>
      <c r="D519" t="s">
        <v>418</v>
      </c>
      <c r="E519" t="s">
        <v>18</v>
      </c>
      <c r="F519" t="s">
        <v>94</v>
      </c>
      <c r="G519" t="s">
        <v>95</v>
      </c>
      <c r="H519">
        <v>5</v>
      </c>
      <c r="I519" t="s">
        <v>1881</v>
      </c>
      <c r="J519" t="s">
        <v>357</v>
      </c>
    </row>
    <row r="520" spans="1:10" x14ac:dyDescent="0.25">
      <c r="A520" t="s">
        <v>1882</v>
      </c>
      <c r="B520" t="s">
        <v>1883</v>
      </c>
      <c r="C520" s="2">
        <v>46191.583333333336</v>
      </c>
      <c r="D520" t="s">
        <v>418</v>
      </c>
      <c r="E520" t="s">
        <v>20</v>
      </c>
      <c r="F520" t="s">
        <v>154</v>
      </c>
      <c r="G520" t="s">
        <v>97</v>
      </c>
      <c r="H520">
        <v>5</v>
      </c>
      <c r="I520" t="s">
        <v>1884</v>
      </c>
      <c r="J520" t="s">
        <v>357</v>
      </c>
    </row>
    <row r="521" spans="1:10" x14ac:dyDescent="0.25">
      <c r="A521" t="s">
        <v>1885</v>
      </c>
      <c r="B521" t="s">
        <v>1886</v>
      </c>
      <c r="C521" s="2">
        <v>46191.583333333336</v>
      </c>
      <c r="D521" t="s">
        <v>418</v>
      </c>
      <c r="E521" t="s">
        <v>22</v>
      </c>
      <c r="F521" t="s">
        <v>155</v>
      </c>
      <c r="G521" t="s">
        <v>99</v>
      </c>
      <c r="H521">
        <v>6</v>
      </c>
      <c r="I521" t="s">
        <v>1887</v>
      </c>
      <c r="J521" t="s">
        <v>357</v>
      </c>
    </row>
    <row r="522" spans="1:10" x14ac:dyDescent="0.25">
      <c r="A522" t="s">
        <v>1888</v>
      </c>
      <c r="B522" t="s">
        <v>1889</v>
      </c>
      <c r="C522" s="2">
        <v>46191.583333333336</v>
      </c>
      <c r="D522" t="s">
        <v>418</v>
      </c>
      <c r="E522" t="s">
        <v>24</v>
      </c>
      <c r="F522" t="s">
        <v>156</v>
      </c>
      <c r="G522" t="s">
        <v>101</v>
      </c>
      <c r="H522">
        <v>6</v>
      </c>
      <c r="I522" t="s">
        <v>1890</v>
      </c>
      <c r="J522" t="s">
        <v>357</v>
      </c>
    </row>
    <row r="523" spans="1:10" x14ac:dyDescent="0.25">
      <c r="A523" t="s">
        <v>1891</v>
      </c>
      <c r="B523" t="s">
        <v>1892</v>
      </c>
      <c r="C523" s="2">
        <v>46191.583333333336</v>
      </c>
      <c r="D523" t="s">
        <v>418</v>
      </c>
      <c r="E523" t="s">
        <v>32</v>
      </c>
      <c r="F523" t="s">
        <v>160</v>
      </c>
      <c r="G523" t="s">
        <v>109</v>
      </c>
      <c r="H523">
        <v>1</v>
      </c>
      <c r="I523" t="s">
        <v>1893</v>
      </c>
      <c r="J523" t="s">
        <v>357</v>
      </c>
    </row>
    <row r="524" spans="1:10" x14ac:dyDescent="0.25">
      <c r="A524" t="s">
        <v>1894</v>
      </c>
      <c r="B524" t="s">
        <v>1895</v>
      </c>
      <c r="C524" s="2">
        <v>46191.583333333336</v>
      </c>
      <c r="D524" t="s">
        <v>418</v>
      </c>
      <c r="E524" t="s">
        <v>36</v>
      </c>
      <c r="F524" t="s">
        <v>162</v>
      </c>
      <c r="G524" t="s">
        <v>113</v>
      </c>
      <c r="H524">
        <v>5</v>
      </c>
      <c r="I524" t="s">
        <v>1896</v>
      </c>
      <c r="J524" t="s">
        <v>357</v>
      </c>
    </row>
    <row r="525" spans="1:10" x14ac:dyDescent="0.25">
      <c r="A525" t="s">
        <v>1897</v>
      </c>
      <c r="B525" t="s">
        <v>1898</v>
      </c>
      <c r="C525" s="2">
        <v>46191.583333333336</v>
      </c>
      <c r="D525" t="s">
        <v>418</v>
      </c>
      <c r="E525" t="s">
        <v>65</v>
      </c>
      <c r="F525" t="s">
        <v>134</v>
      </c>
      <c r="G525" t="s">
        <v>135</v>
      </c>
      <c r="H525">
        <v>6</v>
      </c>
      <c r="I525" t="s">
        <v>1899</v>
      </c>
      <c r="J525" t="s">
        <v>357</v>
      </c>
    </row>
    <row r="526" spans="1:10" x14ac:dyDescent="0.25">
      <c r="A526" t="s">
        <v>1900</v>
      </c>
      <c r="B526" t="s">
        <v>1901</v>
      </c>
      <c r="C526" s="2">
        <v>46191.583333333336</v>
      </c>
      <c r="D526" t="s">
        <v>418</v>
      </c>
      <c r="E526" t="s">
        <v>75</v>
      </c>
      <c r="F526" t="s">
        <v>144</v>
      </c>
      <c r="G526" t="s">
        <v>145</v>
      </c>
      <c r="H526">
        <v>2</v>
      </c>
      <c r="I526" t="s">
        <v>1902</v>
      </c>
      <c r="J526" t="s">
        <v>357</v>
      </c>
    </row>
    <row r="527" spans="1:10" x14ac:dyDescent="0.25">
      <c r="A527" t="s">
        <v>1903</v>
      </c>
      <c r="B527" t="s">
        <v>1904</v>
      </c>
      <c r="C527" s="2">
        <v>46191.583333333336</v>
      </c>
      <c r="D527" t="s">
        <v>418</v>
      </c>
      <c r="E527" t="s">
        <v>11</v>
      </c>
      <c r="F527" t="s">
        <v>152</v>
      </c>
      <c r="G527" t="s">
        <v>92</v>
      </c>
      <c r="H527">
        <v>4</v>
      </c>
      <c r="I527" t="s">
        <v>1905</v>
      </c>
      <c r="J527" t="s">
        <v>357</v>
      </c>
    </row>
    <row r="528" spans="1:10" x14ac:dyDescent="0.25">
      <c r="A528" t="s">
        <v>1906</v>
      </c>
      <c r="B528" t="s">
        <v>1907</v>
      </c>
      <c r="C528" s="2">
        <v>46191.583333333336</v>
      </c>
      <c r="D528" t="s">
        <v>418</v>
      </c>
      <c r="E528" t="s">
        <v>20</v>
      </c>
      <c r="F528" t="s">
        <v>154</v>
      </c>
      <c r="G528" t="s">
        <v>97</v>
      </c>
      <c r="H528">
        <v>1</v>
      </c>
      <c r="I528" t="s">
        <v>1908</v>
      </c>
      <c r="J528" t="s">
        <v>357</v>
      </c>
    </row>
    <row r="529" spans="1:10" x14ac:dyDescent="0.25">
      <c r="A529" t="s">
        <v>1909</v>
      </c>
      <c r="B529" t="s">
        <v>1910</v>
      </c>
      <c r="C529" s="2">
        <v>46191.583333333336</v>
      </c>
      <c r="D529" t="s">
        <v>418</v>
      </c>
      <c r="E529" t="s">
        <v>22</v>
      </c>
      <c r="F529" t="s">
        <v>155</v>
      </c>
      <c r="G529" t="s">
        <v>99</v>
      </c>
      <c r="H529">
        <v>6</v>
      </c>
      <c r="I529" t="s">
        <v>1911</v>
      </c>
      <c r="J529" t="s">
        <v>357</v>
      </c>
    </row>
    <row r="530" spans="1:10" x14ac:dyDescent="0.25">
      <c r="A530" t="s">
        <v>1912</v>
      </c>
      <c r="B530" t="s">
        <v>1913</v>
      </c>
      <c r="C530" s="2">
        <v>46191.583333333336</v>
      </c>
      <c r="D530" t="s">
        <v>418</v>
      </c>
      <c r="E530" t="s">
        <v>24</v>
      </c>
      <c r="F530" t="s">
        <v>156</v>
      </c>
      <c r="G530" t="s">
        <v>101</v>
      </c>
      <c r="H530">
        <v>3</v>
      </c>
      <c r="I530" t="s">
        <v>1914</v>
      </c>
      <c r="J530" t="s">
        <v>357</v>
      </c>
    </row>
    <row r="531" spans="1:10" x14ac:dyDescent="0.25">
      <c r="A531" t="s">
        <v>1915</v>
      </c>
      <c r="B531" t="s">
        <v>1916</v>
      </c>
      <c r="C531" s="2">
        <v>46191.583333333336</v>
      </c>
      <c r="D531" t="s">
        <v>418</v>
      </c>
      <c r="E531" t="s">
        <v>26</v>
      </c>
      <c r="F531" t="s">
        <v>157</v>
      </c>
      <c r="G531" t="s">
        <v>103</v>
      </c>
      <c r="H531">
        <v>7</v>
      </c>
      <c r="I531" t="s">
        <v>1917</v>
      </c>
      <c r="J531" t="s">
        <v>357</v>
      </c>
    </row>
    <row r="532" spans="1:10" x14ac:dyDescent="0.25">
      <c r="A532" t="s">
        <v>1918</v>
      </c>
      <c r="B532" t="s">
        <v>1919</v>
      </c>
      <c r="C532" s="2">
        <v>46191.583333333336</v>
      </c>
      <c r="D532" t="s">
        <v>418</v>
      </c>
      <c r="E532" t="s">
        <v>47</v>
      </c>
      <c r="F532" t="s">
        <v>166</v>
      </c>
      <c r="G532" t="s">
        <v>121</v>
      </c>
      <c r="H532">
        <v>4</v>
      </c>
      <c r="I532" t="s">
        <v>1920</v>
      </c>
      <c r="J532" t="s">
        <v>357</v>
      </c>
    </row>
    <row r="533" spans="1:10" x14ac:dyDescent="0.25">
      <c r="A533" t="s">
        <v>1921</v>
      </c>
      <c r="B533" t="s">
        <v>1922</v>
      </c>
      <c r="C533" s="2">
        <v>46191.583333333336</v>
      </c>
      <c r="D533" t="s">
        <v>418</v>
      </c>
      <c r="E533" t="s">
        <v>71</v>
      </c>
      <c r="F533" t="s">
        <v>140</v>
      </c>
      <c r="G533" t="s">
        <v>141</v>
      </c>
      <c r="H533">
        <v>6</v>
      </c>
      <c r="I533" t="s">
        <v>1923</v>
      </c>
      <c r="J533" t="s">
        <v>357</v>
      </c>
    </row>
    <row r="534" spans="1:10" x14ac:dyDescent="0.25">
      <c r="A534" t="s">
        <v>1924</v>
      </c>
      <c r="B534" t="s">
        <v>1925</v>
      </c>
      <c r="C534" s="2">
        <v>46191.583333333336</v>
      </c>
      <c r="D534" t="s">
        <v>418</v>
      </c>
      <c r="E534" t="s">
        <v>11</v>
      </c>
      <c r="F534" t="s">
        <v>152</v>
      </c>
      <c r="G534" t="s">
        <v>92</v>
      </c>
      <c r="H534">
        <v>4</v>
      </c>
      <c r="I534" t="s">
        <v>1926</v>
      </c>
      <c r="J534" t="s">
        <v>357</v>
      </c>
    </row>
    <row r="535" spans="1:10" x14ac:dyDescent="0.25">
      <c r="A535" t="s">
        <v>1927</v>
      </c>
      <c r="B535" t="s">
        <v>1928</v>
      </c>
      <c r="C535" s="2">
        <v>46191.583333333336</v>
      </c>
      <c r="D535" t="s">
        <v>418</v>
      </c>
      <c r="E535" t="s">
        <v>18</v>
      </c>
      <c r="F535" t="s">
        <v>94</v>
      </c>
      <c r="G535" t="s">
        <v>95</v>
      </c>
      <c r="H535">
        <v>3</v>
      </c>
      <c r="I535" t="s">
        <v>1929</v>
      </c>
      <c r="J535" t="s">
        <v>357</v>
      </c>
    </row>
    <row r="536" spans="1:10" x14ac:dyDescent="0.25">
      <c r="A536" t="s">
        <v>1930</v>
      </c>
      <c r="B536" t="s">
        <v>1931</v>
      </c>
      <c r="C536" s="2">
        <v>46191.583333333336</v>
      </c>
      <c r="D536" t="s">
        <v>418</v>
      </c>
      <c r="E536" t="s">
        <v>18</v>
      </c>
      <c r="F536" t="s">
        <v>153</v>
      </c>
      <c r="G536" t="s">
        <v>95</v>
      </c>
      <c r="H536">
        <v>1</v>
      </c>
      <c r="I536" t="s">
        <v>1929</v>
      </c>
      <c r="J536" t="s">
        <v>357</v>
      </c>
    </row>
    <row r="537" spans="1:10" x14ac:dyDescent="0.25">
      <c r="A537" t="s">
        <v>1932</v>
      </c>
      <c r="B537" t="s">
        <v>1933</v>
      </c>
      <c r="C537" s="2">
        <v>46191.583333333336</v>
      </c>
      <c r="D537" t="s">
        <v>418</v>
      </c>
      <c r="E537" t="s">
        <v>20</v>
      </c>
      <c r="F537" t="s">
        <v>154</v>
      </c>
      <c r="G537" t="s">
        <v>97</v>
      </c>
      <c r="H537">
        <v>4</v>
      </c>
      <c r="I537" t="s">
        <v>1934</v>
      </c>
      <c r="J537" t="s">
        <v>357</v>
      </c>
    </row>
    <row r="538" spans="1:10" x14ac:dyDescent="0.25">
      <c r="A538" t="s">
        <v>1935</v>
      </c>
      <c r="B538" t="s">
        <v>1936</v>
      </c>
      <c r="C538" s="2">
        <v>46191.583333333336</v>
      </c>
      <c r="D538" t="s">
        <v>418</v>
      </c>
      <c r="E538" t="s">
        <v>22</v>
      </c>
      <c r="F538" t="s">
        <v>155</v>
      </c>
      <c r="G538" t="s">
        <v>99</v>
      </c>
      <c r="H538">
        <v>3</v>
      </c>
      <c r="I538" t="s">
        <v>1937</v>
      </c>
      <c r="J538" t="s">
        <v>357</v>
      </c>
    </row>
    <row r="539" spans="1:10" x14ac:dyDescent="0.25">
      <c r="A539" t="s">
        <v>1938</v>
      </c>
      <c r="B539" t="s">
        <v>1939</v>
      </c>
      <c r="C539" s="2">
        <v>46191.583333333336</v>
      </c>
      <c r="D539" t="s">
        <v>418</v>
      </c>
      <c r="E539" t="s">
        <v>24</v>
      </c>
      <c r="F539" t="s">
        <v>156</v>
      </c>
      <c r="G539" t="s">
        <v>101</v>
      </c>
      <c r="H539">
        <v>4</v>
      </c>
      <c r="I539" t="s">
        <v>1940</v>
      </c>
      <c r="J539" t="s">
        <v>357</v>
      </c>
    </row>
    <row r="540" spans="1:10" x14ac:dyDescent="0.25">
      <c r="A540" t="s">
        <v>1941</v>
      </c>
      <c r="B540" t="s">
        <v>1942</v>
      </c>
      <c r="C540" s="2">
        <v>46191.583333333336</v>
      </c>
      <c r="D540" t="s">
        <v>418</v>
      </c>
      <c r="E540" t="s">
        <v>43</v>
      </c>
      <c r="F540" t="s">
        <v>164</v>
      </c>
      <c r="G540" t="s">
        <v>117</v>
      </c>
      <c r="H540">
        <v>4</v>
      </c>
      <c r="I540" t="s">
        <v>1943</v>
      </c>
      <c r="J540" t="s">
        <v>357</v>
      </c>
    </row>
    <row r="541" spans="1:10" x14ac:dyDescent="0.25">
      <c r="A541" t="s">
        <v>1944</v>
      </c>
      <c r="B541" t="s">
        <v>1945</v>
      </c>
      <c r="C541" s="2">
        <v>46191.583333333336</v>
      </c>
      <c r="D541" t="s">
        <v>418</v>
      </c>
      <c r="E541" t="s">
        <v>47</v>
      </c>
      <c r="F541" t="s">
        <v>166</v>
      </c>
      <c r="G541" t="s">
        <v>121</v>
      </c>
      <c r="H541">
        <v>1</v>
      </c>
      <c r="I541" t="s">
        <v>1946</v>
      </c>
      <c r="J541" t="s">
        <v>357</v>
      </c>
    </row>
    <row r="542" spans="1:10" x14ac:dyDescent="0.25">
      <c r="A542" t="s">
        <v>1947</v>
      </c>
      <c r="B542" t="s">
        <v>1948</v>
      </c>
      <c r="C542" s="2">
        <v>46191.583333333336</v>
      </c>
      <c r="D542" t="s">
        <v>418</v>
      </c>
      <c r="E542" t="s">
        <v>53</v>
      </c>
      <c r="F542" t="s">
        <v>169</v>
      </c>
      <c r="G542" t="s">
        <v>127</v>
      </c>
      <c r="H542">
        <v>3</v>
      </c>
      <c r="I542" t="s">
        <v>1949</v>
      </c>
      <c r="J542" t="s">
        <v>357</v>
      </c>
    </row>
    <row r="543" spans="1:10" x14ac:dyDescent="0.25">
      <c r="A543" t="s">
        <v>1950</v>
      </c>
      <c r="B543" t="s">
        <v>1951</v>
      </c>
      <c r="C543" s="2">
        <v>46191.583333333336</v>
      </c>
      <c r="D543" t="s">
        <v>418</v>
      </c>
      <c r="E543" t="s">
        <v>55</v>
      </c>
      <c r="F543" t="s">
        <v>128</v>
      </c>
      <c r="G543" t="s">
        <v>129</v>
      </c>
      <c r="H543">
        <v>1</v>
      </c>
      <c r="I543" t="s">
        <v>1952</v>
      </c>
      <c r="J543" t="s">
        <v>357</v>
      </c>
    </row>
    <row r="544" spans="1:10" x14ac:dyDescent="0.25">
      <c r="A544" t="s">
        <v>1953</v>
      </c>
      <c r="B544" t="s">
        <v>1954</v>
      </c>
      <c r="C544" s="2">
        <v>46191.583333333336</v>
      </c>
      <c r="D544" t="s">
        <v>418</v>
      </c>
      <c r="E544" t="s">
        <v>57</v>
      </c>
      <c r="F544" t="s">
        <v>130</v>
      </c>
      <c r="G544" t="s">
        <v>131</v>
      </c>
      <c r="H544">
        <v>4</v>
      </c>
      <c r="I544" t="s">
        <v>1955</v>
      </c>
      <c r="J544" t="s">
        <v>357</v>
      </c>
    </row>
    <row r="545" spans="1:10" x14ac:dyDescent="0.25">
      <c r="A545" t="s">
        <v>1956</v>
      </c>
      <c r="B545" t="s">
        <v>1957</v>
      </c>
      <c r="C545" s="2">
        <v>46191.583333333336</v>
      </c>
      <c r="D545" t="s">
        <v>418</v>
      </c>
      <c r="E545" t="s">
        <v>59</v>
      </c>
      <c r="F545" t="s">
        <v>132</v>
      </c>
      <c r="G545" t="s">
        <v>133</v>
      </c>
      <c r="H545">
        <v>4</v>
      </c>
      <c r="I545" t="s">
        <v>1958</v>
      </c>
      <c r="J545" t="s">
        <v>357</v>
      </c>
    </row>
    <row r="546" spans="1:10" x14ac:dyDescent="0.25">
      <c r="A546" t="s">
        <v>1959</v>
      </c>
      <c r="B546" t="s">
        <v>1960</v>
      </c>
      <c r="C546" s="2">
        <v>46191.583333333336</v>
      </c>
      <c r="D546" t="s">
        <v>418</v>
      </c>
      <c r="E546" t="s">
        <v>65</v>
      </c>
      <c r="F546" t="s">
        <v>134</v>
      </c>
      <c r="G546" t="s">
        <v>135</v>
      </c>
      <c r="H546">
        <v>3</v>
      </c>
      <c r="I546" t="s">
        <v>1961</v>
      </c>
      <c r="J546" t="s">
        <v>357</v>
      </c>
    </row>
    <row r="547" spans="1:10" x14ac:dyDescent="0.25">
      <c r="A547" t="s">
        <v>1962</v>
      </c>
      <c r="B547" t="s">
        <v>1963</v>
      </c>
      <c r="C547" s="2">
        <v>46192.583333333336</v>
      </c>
      <c r="D547" t="s">
        <v>418</v>
      </c>
      <c r="E547" t="s">
        <v>18</v>
      </c>
      <c r="F547" t="s">
        <v>153</v>
      </c>
      <c r="G547" t="s">
        <v>95</v>
      </c>
      <c r="H547">
        <v>2</v>
      </c>
      <c r="I547" t="s">
        <v>1964</v>
      </c>
      <c r="J547" t="s">
        <v>357</v>
      </c>
    </row>
    <row r="548" spans="1:10" x14ac:dyDescent="0.25">
      <c r="A548" t="s">
        <v>1965</v>
      </c>
      <c r="B548" t="s">
        <v>1966</v>
      </c>
      <c r="C548" s="2">
        <v>46192.583333333336</v>
      </c>
      <c r="D548" t="s">
        <v>418</v>
      </c>
      <c r="E548" t="s">
        <v>22</v>
      </c>
      <c r="F548" t="s">
        <v>155</v>
      </c>
      <c r="G548" t="s">
        <v>99</v>
      </c>
      <c r="H548">
        <v>1</v>
      </c>
      <c r="I548" t="s">
        <v>1967</v>
      </c>
      <c r="J548" t="s">
        <v>357</v>
      </c>
    </row>
    <row r="549" spans="1:10" x14ac:dyDescent="0.25">
      <c r="A549" t="s">
        <v>1968</v>
      </c>
      <c r="B549" t="s">
        <v>1969</v>
      </c>
      <c r="C549" s="2">
        <v>46192.583333333336</v>
      </c>
      <c r="D549" t="s">
        <v>418</v>
      </c>
      <c r="E549" t="s">
        <v>24</v>
      </c>
      <c r="F549" t="s">
        <v>156</v>
      </c>
      <c r="G549" t="s">
        <v>101</v>
      </c>
      <c r="H549">
        <v>3</v>
      </c>
      <c r="I549" t="s">
        <v>1970</v>
      </c>
      <c r="J549" t="s">
        <v>357</v>
      </c>
    </row>
    <row r="550" spans="1:10" x14ac:dyDescent="0.25">
      <c r="A550" t="s">
        <v>1971</v>
      </c>
      <c r="B550" t="s">
        <v>1972</v>
      </c>
      <c r="C550" s="2">
        <v>46192.583333333336</v>
      </c>
      <c r="D550" t="s">
        <v>418</v>
      </c>
      <c r="E550" t="s">
        <v>32</v>
      </c>
      <c r="F550" t="s">
        <v>160</v>
      </c>
      <c r="G550" t="s">
        <v>109</v>
      </c>
      <c r="H550">
        <v>1</v>
      </c>
      <c r="I550" t="s">
        <v>1973</v>
      </c>
      <c r="J550" t="s">
        <v>357</v>
      </c>
    </row>
    <row r="551" spans="1:10" x14ac:dyDescent="0.25">
      <c r="A551" t="s">
        <v>1974</v>
      </c>
      <c r="B551" t="s">
        <v>1975</v>
      </c>
      <c r="C551" s="2">
        <v>46192.583333333336</v>
      </c>
      <c r="D551" t="s">
        <v>418</v>
      </c>
      <c r="E551" t="s">
        <v>49</v>
      </c>
      <c r="F551" t="s">
        <v>122</v>
      </c>
      <c r="G551" t="s">
        <v>123</v>
      </c>
      <c r="H551">
        <v>2</v>
      </c>
      <c r="I551" t="s">
        <v>1976</v>
      </c>
      <c r="J551" t="s">
        <v>357</v>
      </c>
    </row>
    <row r="552" spans="1:10" x14ac:dyDescent="0.25">
      <c r="A552" t="s">
        <v>1977</v>
      </c>
      <c r="B552" t="s">
        <v>1978</v>
      </c>
      <c r="C552" s="2">
        <v>46192.583333333336</v>
      </c>
      <c r="D552" t="s">
        <v>418</v>
      </c>
      <c r="E552" t="s">
        <v>51</v>
      </c>
      <c r="F552" t="s">
        <v>124</v>
      </c>
      <c r="G552" t="s">
        <v>125</v>
      </c>
      <c r="H552">
        <v>2</v>
      </c>
      <c r="I552" t="s">
        <v>1979</v>
      </c>
      <c r="J552" t="s">
        <v>357</v>
      </c>
    </row>
    <row r="553" spans="1:10" x14ac:dyDescent="0.25">
      <c r="A553" t="s">
        <v>1980</v>
      </c>
      <c r="B553" t="s">
        <v>1981</v>
      </c>
      <c r="C553" s="2">
        <v>46192.583333333336</v>
      </c>
      <c r="D553" t="s">
        <v>418</v>
      </c>
      <c r="E553" t="s">
        <v>67</v>
      </c>
      <c r="F553" t="s">
        <v>136</v>
      </c>
      <c r="G553" t="s">
        <v>137</v>
      </c>
      <c r="H553">
        <v>2</v>
      </c>
      <c r="I553" t="s">
        <v>1982</v>
      </c>
      <c r="J553" t="s">
        <v>357</v>
      </c>
    </row>
    <row r="554" spans="1:10" x14ac:dyDescent="0.25">
      <c r="A554" t="s">
        <v>1983</v>
      </c>
      <c r="B554" t="s">
        <v>1984</v>
      </c>
      <c r="C554" s="2">
        <v>46192.583333333336</v>
      </c>
      <c r="D554" t="s">
        <v>418</v>
      </c>
      <c r="E554" t="s">
        <v>11</v>
      </c>
      <c r="F554" t="s">
        <v>152</v>
      </c>
      <c r="G554" t="s">
        <v>92</v>
      </c>
      <c r="H554">
        <v>2</v>
      </c>
      <c r="I554" t="s">
        <v>1985</v>
      </c>
      <c r="J554" t="s">
        <v>357</v>
      </c>
    </row>
    <row r="555" spans="1:10" x14ac:dyDescent="0.25">
      <c r="A555" t="s">
        <v>1986</v>
      </c>
      <c r="B555" t="s">
        <v>1987</v>
      </c>
      <c r="C555" s="2">
        <v>46192.583333333336</v>
      </c>
      <c r="D555" t="s">
        <v>418</v>
      </c>
      <c r="E555" t="s">
        <v>24</v>
      </c>
      <c r="F555" t="s">
        <v>156</v>
      </c>
      <c r="G555" t="s">
        <v>101</v>
      </c>
      <c r="H555">
        <v>1</v>
      </c>
      <c r="I555" t="s">
        <v>1988</v>
      </c>
      <c r="J555" t="s">
        <v>357</v>
      </c>
    </row>
    <row r="556" spans="1:10" x14ac:dyDescent="0.25">
      <c r="A556" t="s">
        <v>1989</v>
      </c>
      <c r="B556" t="s">
        <v>1990</v>
      </c>
      <c r="C556" s="2">
        <v>46192.583333333336</v>
      </c>
      <c r="D556" t="s">
        <v>418</v>
      </c>
      <c r="E556" t="s">
        <v>28</v>
      </c>
      <c r="F556" t="s">
        <v>158</v>
      </c>
      <c r="G556" t="s">
        <v>105</v>
      </c>
      <c r="H556">
        <v>1</v>
      </c>
      <c r="I556" t="s">
        <v>1991</v>
      </c>
      <c r="J556" t="s">
        <v>357</v>
      </c>
    </row>
    <row r="557" spans="1:10" x14ac:dyDescent="0.25">
      <c r="A557" t="s">
        <v>1992</v>
      </c>
      <c r="B557" t="s">
        <v>1993</v>
      </c>
      <c r="C557" s="2">
        <v>46192.583333333336</v>
      </c>
      <c r="D557" t="s">
        <v>418</v>
      </c>
      <c r="E557" t="s">
        <v>32</v>
      </c>
      <c r="F557" t="s">
        <v>160</v>
      </c>
      <c r="G557" t="s">
        <v>109</v>
      </c>
      <c r="H557">
        <v>5</v>
      </c>
      <c r="I557" t="s">
        <v>1994</v>
      </c>
      <c r="J557" t="s">
        <v>357</v>
      </c>
    </row>
    <row r="558" spans="1:10" x14ac:dyDescent="0.25">
      <c r="A558" t="s">
        <v>1995</v>
      </c>
      <c r="B558" t="s">
        <v>1996</v>
      </c>
      <c r="C558" s="2">
        <v>46192.583333333336</v>
      </c>
      <c r="D558" t="s">
        <v>418</v>
      </c>
      <c r="E558" t="s">
        <v>36</v>
      </c>
      <c r="F558" t="s">
        <v>162</v>
      </c>
      <c r="G558" t="s">
        <v>113</v>
      </c>
      <c r="H558">
        <v>2</v>
      </c>
      <c r="I558" t="s">
        <v>1997</v>
      </c>
      <c r="J558" t="s">
        <v>357</v>
      </c>
    </row>
    <row r="559" spans="1:10" x14ac:dyDescent="0.25">
      <c r="A559" t="s">
        <v>1998</v>
      </c>
      <c r="B559" t="s">
        <v>1999</v>
      </c>
      <c r="C559" s="2">
        <v>46192.583333333336</v>
      </c>
      <c r="D559" t="s">
        <v>418</v>
      </c>
      <c r="E559" t="s">
        <v>41</v>
      </c>
      <c r="F559" t="s">
        <v>114</v>
      </c>
      <c r="G559" t="s">
        <v>115</v>
      </c>
      <c r="H559">
        <v>4</v>
      </c>
      <c r="I559" t="s">
        <v>2000</v>
      </c>
      <c r="J559" t="s">
        <v>357</v>
      </c>
    </row>
    <row r="560" spans="1:10" x14ac:dyDescent="0.25">
      <c r="A560" t="s">
        <v>2001</v>
      </c>
      <c r="B560" t="s">
        <v>2002</v>
      </c>
      <c r="C560" s="2">
        <v>46192.583333333336</v>
      </c>
      <c r="D560" t="s">
        <v>418</v>
      </c>
      <c r="E560" t="s">
        <v>49</v>
      </c>
      <c r="F560" t="s">
        <v>122</v>
      </c>
      <c r="G560" t="s">
        <v>123</v>
      </c>
      <c r="H560">
        <v>3</v>
      </c>
      <c r="I560" t="s">
        <v>2003</v>
      </c>
      <c r="J560" t="s">
        <v>357</v>
      </c>
    </row>
    <row r="561" spans="1:10" x14ac:dyDescent="0.25">
      <c r="A561" t="s">
        <v>2004</v>
      </c>
      <c r="B561" t="s">
        <v>2005</v>
      </c>
      <c r="C561" s="2">
        <v>46192.583333333336</v>
      </c>
      <c r="D561" t="s">
        <v>418</v>
      </c>
      <c r="E561" t="s">
        <v>57</v>
      </c>
      <c r="F561" t="s">
        <v>130</v>
      </c>
      <c r="G561" t="s">
        <v>131</v>
      </c>
      <c r="H561">
        <v>1</v>
      </c>
      <c r="I561" t="s">
        <v>2006</v>
      </c>
      <c r="J561" t="s">
        <v>357</v>
      </c>
    </row>
    <row r="562" spans="1:10" x14ac:dyDescent="0.25">
      <c r="A562" t="s">
        <v>2007</v>
      </c>
      <c r="B562" t="s">
        <v>2008</v>
      </c>
      <c r="C562" s="2">
        <v>46192.583333333336</v>
      </c>
      <c r="D562" t="s">
        <v>418</v>
      </c>
      <c r="E562" t="s">
        <v>11</v>
      </c>
      <c r="F562" t="s">
        <v>152</v>
      </c>
      <c r="G562" t="s">
        <v>92</v>
      </c>
      <c r="H562">
        <v>1</v>
      </c>
      <c r="I562" t="s">
        <v>2009</v>
      </c>
      <c r="J562" t="s">
        <v>357</v>
      </c>
    </row>
    <row r="563" spans="1:10" x14ac:dyDescent="0.25">
      <c r="A563" t="s">
        <v>2010</v>
      </c>
      <c r="B563" t="s">
        <v>2011</v>
      </c>
      <c r="C563" s="2">
        <v>46192.583333333336</v>
      </c>
      <c r="D563" t="s">
        <v>418</v>
      </c>
      <c r="E563" t="s">
        <v>20</v>
      </c>
      <c r="F563" t="s">
        <v>154</v>
      </c>
      <c r="G563" t="s">
        <v>97</v>
      </c>
      <c r="H563">
        <v>2</v>
      </c>
      <c r="I563" t="s">
        <v>2012</v>
      </c>
      <c r="J563" t="s">
        <v>357</v>
      </c>
    </row>
    <row r="564" spans="1:10" x14ac:dyDescent="0.25">
      <c r="A564" t="s">
        <v>2013</v>
      </c>
      <c r="B564" t="s">
        <v>2014</v>
      </c>
      <c r="C564" s="2">
        <v>46192.583333333336</v>
      </c>
      <c r="D564" t="s">
        <v>418</v>
      </c>
      <c r="E564" t="s">
        <v>24</v>
      </c>
      <c r="F564" t="s">
        <v>156</v>
      </c>
      <c r="G564" t="s">
        <v>101</v>
      </c>
      <c r="H564">
        <v>2</v>
      </c>
      <c r="I564" t="s">
        <v>2015</v>
      </c>
      <c r="J564" t="s">
        <v>357</v>
      </c>
    </row>
    <row r="565" spans="1:10" x14ac:dyDescent="0.25">
      <c r="A565" t="s">
        <v>2016</v>
      </c>
      <c r="B565" t="s">
        <v>2017</v>
      </c>
      <c r="C565" s="2">
        <v>46192.583333333336</v>
      </c>
      <c r="D565" t="s">
        <v>418</v>
      </c>
      <c r="E565" t="s">
        <v>26</v>
      </c>
      <c r="F565" t="s">
        <v>157</v>
      </c>
      <c r="G565" t="s">
        <v>103</v>
      </c>
      <c r="H565">
        <v>1</v>
      </c>
      <c r="I565" t="s">
        <v>2018</v>
      </c>
      <c r="J565" t="s">
        <v>357</v>
      </c>
    </row>
    <row r="566" spans="1:10" x14ac:dyDescent="0.25">
      <c r="A566" t="s">
        <v>2019</v>
      </c>
      <c r="B566" t="s">
        <v>2020</v>
      </c>
      <c r="C566" s="2">
        <v>46192.583333333336</v>
      </c>
      <c r="D566" t="s">
        <v>418</v>
      </c>
      <c r="E566" t="s">
        <v>32</v>
      </c>
      <c r="F566" t="s">
        <v>160</v>
      </c>
      <c r="G566" t="s">
        <v>109</v>
      </c>
      <c r="H566">
        <v>6</v>
      </c>
      <c r="I566" t="s">
        <v>2021</v>
      </c>
      <c r="J566" t="s">
        <v>357</v>
      </c>
    </row>
    <row r="567" spans="1:10" x14ac:dyDescent="0.25">
      <c r="A567" t="s">
        <v>2022</v>
      </c>
      <c r="B567" t="s">
        <v>2023</v>
      </c>
      <c r="C567" s="2">
        <v>46192.583333333336</v>
      </c>
      <c r="D567" t="s">
        <v>418</v>
      </c>
      <c r="E567" t="s">
        <v>41</v>
      </c>
      <c r="F567" t="s">
        <v>114</v>
      </c>
      <c r="G567" t="s">
        <v>115</v>
      </c>
      <c r="H567">
        <v>6</v>
      </c>
      <c r="I567" t="s">
        <v>2024</v>
      </c>
      <c r="J567" t="s">
        <v>357</v>
      </c>
    </row>
    <row r="568" spans="1:10" x14ac:dyDescent="0.25">
      <c r="A568" t="s">
        <v>2025</v>
      </c>
      <c r="B568" t="s">
        <v>2026</v>
      </c>
      <c r="C568" s="2">
        <v>46192.583333333336</v>
      </c>
      <c r="D568" t="s">
        <v>418</v>
      </c>
      <c r="E568" t="s">
        <v>67</v>
      </c>
      <c r="F568" t="s">
        <v>136</v>
      </c>
      <c r="G568" t="s">
        <v>137</v>
      </c>
      <c r="H568">
        <v>1</v>
      </c>
      <c r="I568" t="s">
        <v>2027</v>
      </c>
      <c r="J568" t="s">
        <v>357</v>
      </c>
    </row>
    <row r="569" spans="1:10" x14ac:dyDescent="0.25">
      <c r="A569" t="s">
        <v>2028</v>
      </c>
      <c r="B569" t="s">
        <v>2029</v>
      </c>
      <c r="C569" s="2">
        <v>46192.583333333336</v>
      </c>
      <c r="D569" t="s">
        <v>418</v>
      </c>
      <c r="E569" t="s">
        <v>71</v>
      </c>
      <c r="F569" t="s">
        <v>140</v>
      </c>
      <c r="G569" t="s">
        <v>141</v>
      </c>
      <c r="H569">
        <v>6</v>
      </c>
      <c r="I569" t="s">
        <v>2030</v>
      </c>
      <c r="J569" t="s">
        <v>357</v>
      </c>
    </row>
    <row r="570" spans="1:10" x14ac:dyDescent="0.25">
      <c r="A570" t="s">
        <v>2031</v>
      </c>
      <c r="B570" t="s">
        <v>2032</v>
      </c>
      <c r="C570" s="2">
        <v>46192.583333333336</v>
      </c>
      <c r="D570" t="s">
        <v>418</v>
      </c>
      <c r="E570" t="s">
        <v>73</v>
      </c>
      <c r="F570" t="s">
        <v>142</v>
      </c>
      <c r="G570" t="s">
        <v>143</v>
      </c>
      <c r="H570">
        <v>2</v>
      </c>
      <c r="I570" t="s">
        <v>2033</v>
      </c>
      <c r="J570" t="s">
        <v>357</v>
      </c>
    </row>
    <row r="571" spans="1:10" x14ac:dyDescent="0.25">
      <c r="A571" t="s">
        <v>2034</v>
      </c>
      <c r="B571" t="s">
        <v>2035</v>
      </c>
      <c r="C571" s="2">
        <v>46192.583333333336</v>
      </c>
      <c r="D571" t="s">
        <v>418</v>
      </c>
      <c r="E571" t="s">
        <v>75</v>
      </c>
      <c r="F571" t="s">
        <v>144</v>
      </c>
      <c r="G571" t="s">
        <v>145</v>
      </c>
      <c r="H571">
        <v>6</v>
      </c>
      <c r="I571" t="s">
        <v>2036</v>
      </c>
      <c r="J571" t="s">
        <v>357</v>
      </c>
    </row>
    <row r="572" spans="1:10" x14ac:dyDescent="0.25">
      <c r="A572" t="s">
        <v>2037</v>
      </c>
      <c r="B572" t="s">
        <v>2038</v>
      </c>
      <c r="C572" s="2">
        <v>46192.583333333336</v>
      </c>
      <c r="D572" t="s">
        <v>418</v>
      </c>
      <c r="E572" t="s">
        <v>18</v>
      </c>
      <c r="F572" t="s">
        <v>153</v>
      </c>
      <c r="G572" t="s">
        <v>95</v>
      </c>
      <c r="H572">
        <v>7</v>
      </c>
      <c r="I572" t="s">
        <v>2039</v>
      </c>
      <c r="J572" t="s">
        <v>357</v>
      </c>
    </row>
    <row r="573" spans="1:10" x14ac:dyDescent="0.25">
      <c r="A573" t="s">
        <v>2040</v>
      </c>
      <c r="B573" t="s">
        <v>2041</v>
      </c>
      <c r="C573" s="2">
        <v>46192.583333333336</v>
      </c>
      <c r="D573" t="s">
        <v>418</v>
      </c>
      <c r="E573" t="s">
        <v>20</v>
      </c>
      <c r="F573" t="s">
        <v>154</v>
      </c>
      <c r="G573" t="s">
        <v>97</v>
      </c>
      <c r="H573">
        <v>4</v>
      </c>
      <c r="I573" t="s">
        <v>2042</v>
      </c>
      <c r="J573" t="s">
        <v>357</v>
      </c>
    </row>
    <row r="574" spans="1:10" x14ac:dyDescent="0.25">
      <c r="A574" t="s">
        <v>2043</v>
      </c>
      <c r="B574" t="s">
        <v>2044</v>
      </c>
      <c r="C574" s="2">
        <v>46192.583333333336</v>
      </c>
      <c r="D574" t="s">
        <v>418</v>
      </c>
      <c r="E574" t="s">
        <v>22</v>
      </c>
      <c r="F574" t="s">
        <v>155</v>
      </c>
      <c r="G574" t="s">
        <v>99</v>
      </c>
      <c r="H574">
        <v>4</v>
      </c>
      <c r="I574" t="s">
        <v>2045</v>
      </c>
      <c r="J574" t="s">
        <v>357</v>
      </c>
    </row>
    <row r="575" spans="1:10" x14ac:dyDescent="0.25">
      <c r="A575" t="s">
        <v>2046</v>
      </c>
      <c r="B575" t="s">
        <v>2047</v>
      </c>
      <c r="C575" s="2">
        <v>46192.583333333336</v>
      </c>
      <c r="D575" t="s">
        <v>418</v>
      </c>
      <c r="E575" t="s">
        <v>24</v>
      </c>
      <c r="F575" t="s">
        <v>156</v>
      </c>
      <c r="G575" t="s">
        <v>101</v>
      </c>
      <c r="H575">
        <v>7</v>
      </c>
      <c r="I575" t="s">
        <v>2048</v>
      </c>
      <c r="J575" t="s">
        <v>357</v>
      </c>
    </row>
    <row r="576" spans="1:10" x14ac:dyDescent="0.25">
      <c r="A576" t="s">
        <v>2049</v>
      </c>
      <c r="B576" t="s">
        <v>2050</v>
      </c>
      <c r="C576" s="2">
        <v>46192.583333333336</v>
      </c>
      <c r="D576" t="s">
        <v>418</v>
      </c>
      <c r="E576" t="s">
        <v>26</v>
      </c>
      <c r="F576" t="s">
        <v>157</v>
      </c>
      <c r="G576" t="s">
        <v>103</v>
      </c>
      <c r="H576">
        <v>3</v>
      </c>
      <c r="I576" t="s">
        <v>2051</v>
      </c>
      <c r="J576" t="s">
        <v>357</v>
      </c>
    </row>
    <row r="577" spans="1:10" x14ac:dyDescent="0.25">
      <c r="A577" t="s">
        <v>2052</v>
      </c>
      <c r="B577" t="s">
        <v>2053</v>
      </c>
      <c r="C577" s="2">
        <v>46192.583333333336</v>
      </c>
      <c r="D577" t="s">
        <v>418</v>
      </c>
      <c r="E577" t="s">
        <v>45</v>
      </c>
      <c r="F577" t="s">
        <v>118</v>
      </c>
      <c r="G577" t="s">
        <v>119</v>
      </c>
      <c r="H577">
        <v>4</v>
      </c>
      <c r="I577" t="s">
        <v>2054</v>
      </c>
      <c r="J577" t="s">
        <v>357</v>
      </c>
    </row>
    <row r="578" spans="1:10" x14ac:dyDescent="0.25">
      <c r="A578" t="s">
        <v>2055</v>
      </c>
      <c r="B578" t="s">
        <v>2056</v>
      </c>
      <c r="C578" s="2">
        <v>46192.583333333336</v>
      </c>
      <c r="D578" t="s">
        <v>418</v>
      </c>
      <c r="E578" t="s">
        <v>59</v>
      </c>
      <c r="F578" t="s">
        <v>132</v>
      </c>
      <c r="G578" t="s">
        <v>133</v>
      </c>
      <c r="H578">
        <v>7</v>
      </c>
      <c r="I578" t="s">
        <v>2057</v>
      </c>
      <c r="J578" t="s">
        <v>357</v>
      </c>
    </row>
    <row r="579" spans="1:10" x14ac:dyDescent="0.25">
      <c r="A579" t="s">
        <v>2058</v>
      </c>
      <c r="B579" t="s">
        <v>2059</v>
      </c>
      <c r="C579" s="2">
        <v>46192.583333333336</v>
      </c>
      <c r="D579" t="s">
        <v>418</v>
      </c>
      <c r="E579" t="s">
        <v>75</v>
      </c>
      <c r="F579" t="s">
        <v>144</v>
      </c>
      <c r="G579" t="s">
        <v>145</v>
      </c>
      <c r="H579">
        <v>7</v>
      </c>
      <c r="I579" t="s">
        <v>2060</v>
      </c>
      <c r="J579" t="s">
        <v>357</v>
      </c>
    </row>
    <row r="580" spans="1:10" x14ac:dyDescent="0.25">
      <c r="A580" t="s">
        <v>2061</v>
      </c>
      <c r="B580" t="s">
        <v>2062</v>
      </c>
      <c r="C580" s="2">
        <v>46192.583333333336</v>
      </c>
      <c r="D580" t="s">
        <v>418</v>
      </c>
      <c r="E580" t="s">
        <v>77</v>
      </c>
      <c r="F580" t="s">
        <v>146</v>
      </c>
      <c r="G580" t="s">
        <v>147</v>
      </c>
      <c r="H580">
        <v>1</v>
      </c>
      <c r="I580" t="s">
        <v>2063</v>
      </c>
      <c r="J580" t="s">
        <v>357</v>
      </c>
    </row>
    <row r="581" spans="1:10" x14ac:dyDescent="0.25">
      <c r="A581" t="s">
        <v>2064</v>
      </c>
      <c r="B581" t="s">
        <v>2065</v>
      </c>
      <c r="C581" s="2">
        <v>46192.583333333336</v>
      </c>
      <c r="D581" t="s">
        <v>418</v>
      </c>
      <c r="E581" t="s">
        <v>11</v>
      </c>
      <c r="F581" t="s">
        <v>152</v>
      </c>
      <c r="G581" t="s">
        <v>92</v>
      </c>
      <c r="H581">
        <v>4</v>
      </c>
      <c r="I581" t="s">
        <v>2066</v>
      </c>
      <c r="J581" t="s">
        <v>357</v>
      </c>
    </row>
    <row r="582" spans="1:10" x14ac:dyDescent="0.25">
      <c r="A582" t="s">
        <v>2067</v>
      </c>
      <c r="B582" t="s">
        <v>2068</v>
      </c>
      <c r="C582" s="2">
        <v>46192.583333333336</v>
      </c>
      <c r="D582" t="s">
        <v>418</v>
      </c>
      <c r="E582" t="s">
        <v>18</v>
      </c>
      <c r="F582" t="s">
        <v>153</v>
      </c>
      <c r="G582" t="s">
        <v>95</v>
      </c>
      <c r="H582">
        <v>2</v>
      </c>
      <c r="I582" t="s">
        <v>2069</v>
      </c>
      <c r="J582" t="s">
        <v>357</v>
      </c>
    </row>
    <row r="583" spans="1:10" x14ac:dyDescent="0.25">
      <c r="A583" t="s">
        <v>2070</v>
      </c>
      <c r="B583" t="s">
        <v>2071</v>
      </c>
      <c r="C583" s="2">
        <v>46192.583333333336</v>
      </c>
      <c r="D583" t="s">
        <v>418</v>
      </c>
      <c r="E583" t="s">
        <v>20</v>
      </c>
      <c r="F583" t="s">
        <v>154</v>
      </c>
      <c r="G583" t="s">
        <v>97</v>
      </c>
      <c r="H583">
        <v>1</v>
      </c>
      <c r="I583" t="s">
        <v>2072</v>
      </c>
      <c r="J583" t="s">
        <v>357</v>
      </c>
    </row>
    <row r="584" spans="1:10" x14ac:dyDescent="0.25">
      <c r="A584" t="s">
        <v>2073</v>
      </c>
      <c r="B584" t="s">
        <v>2074</v>
      </c>
      <c r="C584" s="2">
        <v>46192.583333333336</v>
      </c>
      <c r="D584" t="s">
        <v>418</v>
      </c>
      <c r="E584" t="s">
        <v>22</v>
      </c>
      <c r="F584" t="s">
        <v>155</v>
      </c>
      <c r="G584" t="s">
        <v>99</v>
      </c>
      <c r="H584">
        <v>3</v>
      </c>
      <c r="I584" t="s">
        <v>2075</v>
      </c>
      <c r="J584" t="s">
        <v>357</v>
      </c>
    </row>
    <row r="585" spans="1:10" x14ac:dyDescent="0.25">
      <c r="A585" t="s">
        <v>2076</v>
      </c>
      <c r="B585" t="s">
        <v>2077</v>
      </c>
      <c r="C585" s="2">
        <v>46192.583333333336</v>
      </c>
      <c r="D585" t="s">
        <v>418</v>
      </c>
      <c r="E585" t="s">
        <v>49</v>
      </c>
      <c r="F585" t="s">
        <v>122</v>
      </c>
      <c r="G585" t="s">
        <v>123</v>
      </c>
      <c r="H585">
        <v>1</v>
      </c>
      <c r="I585" t="s">
        <v>2078</v>
      </c>
      <c r="J585" t="s">
        <v>357</v>
      </c>
    </row>
    <row r="586" spans="1:10" x14ac:dyDescent="0.25">
      <c r="A586" t="s">
        <v>2079</v>
      </c>
      <c r="B586" t="s">
        <v>2080</v>
      </c>
      <c r="C586" s="2">
        <v>46192.583333333336</v>
      </c>
      <c r="D586" t="s">
        <v>418</v>
      </c>
      <c r="E586" t="s">
        <v>55</v>
      </c>
      <c r="F586" t="s">
        <v>128</v>
      </c>
      <c r="G586" t="s">
        <v>129</v>
      </c>
      <c r="H586">
        <v>4</v>
      </c>
      <c r="I586" t="s">
        <v>2081</v>
      </c>
      <c r="J586" t="s">
        <v>357</v>
      </c>
    </row>
    <row r="587" spans="1:10" x14ac:dyDescent="0.25">
      <c r="A587" t="s">
        <v>2082</v>
      </c>
      <c r="B587" t="s">
        <v>2083</v>
      </c>
      <c r="C587" s="2">
        <v>46193.583333333336</v>
      </c>
      <c r="D587" t="s">
        <v>418</v>
      </c>
      <c r="E587" t="s">
        <v>11</v>
      </c>
      <c r="F587" t="s">
        <v>152</v>
      </c>
      <c r="G587" t="s">
        <v>92</v>
      </c>
      <c r="H587">
        <v>4</v>
      </c>
      <c r="I587" t="s">
        <v>2084</v>
      </c>
      <c r="J587" t="s">
        <v>357</v>
      </c>
    </row>
    <row r="588" spans="1:10" x14ac:dyDescent="0.25">
      <c r="A588" t="s">
        <v>2085</v>
      </c>
      <c r="B588" t="s">
        <v>2086</v>
      </c>
      <c r="C588" s="2">
        <v>46193.583333333336</v>
      </c>
      <c r="D588" t="s">
        <v>418</v>
      </c>
      <c r="E588" t="s">
        <v>20</v>
      </c>
      <c r="F588" t="s">
        <v>154</v>
      </c>
      <c r="G588" t="s">
        <v>97</v>
      </c>
      <c r="H588">
        <v>3</v>
      </c>
      <c r="I588" t="s">
        <v>2087</v>
      </c>
      <c r="J588" t="s">
        <v>357</v>
      </c>
    </row>
    <row r="589" spans="1:10" x14ac:dyDescent="0.25">
      <c r="A589" t="s">
        <v>2088</v>
      </c>
      <c r="B589" t="s">
        <v>2089</v>
      </c>
      <c r="C589" s="2">
        <v>46193.583333333336</v>
      </c>
      <c r="D589" t="s">
        <v>418</v>
      </c>
      <c r="E589" t="s">
        <v>24</v>
      </c>
      <c r="F589" t="s">
        <v>156</v>
      </c>
      <c r="G589" t="s">
        <v>101</v>
      </c>
      <c r="H589">
        <v>5</v>
      </c>
      <c r="I589" t="s">
        <v>2090</v>
      </c>
      <c r="J589" t="s">
        <v>357</v>
      </c>
    </row>
    <row r="590" spans="1:10" x14ac:dyDescent="0.25">
      <c r="A590" t="s">
        <v>2091</v>
      </c>
      <c r="B590" t="s">
        <v>2092</v>
      </c>
      <c r="C590" s="2">
        <v>46193.583333333336</v>
      </c>
      <c r="D590" t="s">
        <v>418</v>
      </c>
      <c r="E590" t="s">
        <v>26</v>
      </c>
      <c r="F590" t="s">
        <v>157</v>
      </c>
      <c r="G590" t="s">
        <v>103</v>
      </c>
      <c r="H590">
        <v>3</v>
      </c>
      <c r="I590" t="s">
        <v>2093</v>
      </c>
      <c r="J590" t="s">
        <v>357</v>
      </c>
    </row>
    <row r="591" spans="1:10" x14ac:dyDescent="0.25">
      <c r="A591" t="s">
        <v>2094</v>
      </c>
      <c r="B591" t="s">
        <v>2095</v>
      </c>
      <c r="C591" s="2">
        <v>46193.583333333336</v>
      </c>
      <c r="D591" t="s">
        <v>418</v>
      </c>
      <c r="E591" t="s">
        <v>30</v>
      </c>
      <c r="F591" t="s">
        <v>106</v>
      </c>
      <c r="G591" t="s">
        <v>107</v>
      </c>
      <c r="H591">
        <v>4</v>
      </c>
      <c r="I591" t="s">
        <v>2096</v>
      </c>
      <c r="J591" t="s">
        <v>357</v>
      </c>
    </row>
    <row r="592" spans="1:10" x14ac:dyDescent="0.25">
      <c r="A592" t="s">
        <v>2097</v>
      </c>
      <c r="B592" t="s">
        <v>2098</v>
      </c>
      <c r="C592" s="2">
        <v>46193.583333333336</v>
      </c>
      <c r="D592" t="s">
        <v>418</v>
      </c>
      <c r="E592" t="s">
        <v>45</v>
      </c>
      <c r="F592" t="s">
        <v>118</v>
      </c>
      <c r="G592" t="s">
        <v>119</v>
      </c>
      <c r="H592">
        <v>4</v>
      </c>
      <c r="I592" t="s">
        <v>2099</v>
      </c>
      <c r="J592" t="s">
        <v>357</v>
      </c>
    </row>
    <row r="593" spans="1:10" x14ac:dyDescent="0.25">
      <c r="A593" t="s">
        <v>2100</v>
      </c>
      <c r="B593" t="s">
        <v>2101</v>
      </c>
      <c r="C593" s="2">
        <v>46193.583333333336</v>
      </c>
      <c r="D593" t="s">
        <v>418</v>
      </c>
      <c r="E593" t="s">
        <v>49</v>
      </c>
      <c r="F593" t="s">
        <v>122</v>
      </c>
      <c r="G593" t="s">
        <v>123</v>
      </c>
      <c r="H593">
        <v>3</v>
      </c>
      <c r="I593" t="s">
        <v>2102</v>
      </c>
      <c r="J593" t="s">
        <v>357</v>
      </c>
    </row>
    <row r="594" spans="1:10" x14ac:dyDescent="0.25">
      <c r="A594" t="s">
        <v>2103</v>
      </c>
      <c r="B594" t="s">
        <v>2104</v>
      </c>
      <c r="C594" s="2">
        <v>46193.583333333336</v>
      </c>
      <c r="D594" t="s">
        <v>418</v>
      </c>
      <c r="E594" t="s">
        <v>55</v>
      </c>
      <c r="F594" t="s">
        <v>128</v>
      </c>
      <c r="G594" t="s">
        <v>129</v>
      </c>
      <c r="H594">
        <v>3</v>
      </c>
      <c r="I594" t="s">
        <v>2105</v>
      </c>
      <c r="J594" t="s">
        <v>357</v>
      </c>
    </row>
    <row r="595" spans="1:10" x14ac:dyDescent="0.25">
      <c r="A595" t="s">
        <v>2106</v>
      </c>
      <c r="B595" t="s">
        <v>2107</v>
      </c>
      <c r="C595" s="2">
        <v>46193.583333333336</v>
      </c>
      <c r="D595" t="s">
        <v>418</v>
      </c>
      <c r="E595" t="s">
        <v>57</v>
      </c>
      <c r="F595" t="s">
        <v>130</v>
      </c>
      <c r="G595" t="s">
        <v>131</v>
      </c>
      <c r="H595">
        <v>4</v>
      </c>
      <c r="I595" t="s">
        <v>2108</v>
      </c>
      <c r="J595" t="s">
        <v>357</v>
      </c>
    </row>
    <row r="596" spans="1:10" x14ac:dyDescent="0.25">
      <c r="A596" t="s">
        <v>2109</v>
      </c>
      <c r="B596" t="s">
        <v>2110</v>
      </c>
      <c r="C596" s="2">
        <v>46193.583333333336</v>
      </c>
      <c r="D596" t="s">
        <v>418</v>
      </c>
      <c r="E596" t="s">
        <v>75</v>
      </c>
      <c r="F596" t="s">
        <v>144</v>
      </c>
      <c r="G596" t="s">
        <v>145</v>
      </c>
      <c r="H596">
        <v>2</v>
      </c>
      <c r="I596" t="s">
        <v>2111</v>
      </c>
      <c r="J596" t="s">
        <v>357</v>
      </c>
    </row>
    <row r="597" spans="1:10" x14ac:dyDescent="0.25">
      <c r="A597" t="s">
        <v>2112</v>
      </c>
      <c r="B597" t="s">
        <v>2113</v>
      </c>
      <c r="C597" s="2">
        <v>46193.583333333336</v>
      </c>
      <c r="D597" t="s">
        <v>418</v>
      </c>
      <c r="E597" t="s">
        <v>77</v>
      </c>
      <c r="F597" t="s">
        <v>146</v>
      </c>
      <c r="G597" t="s">
        <v>147</v>
      </c>
      <c r="H597">
        <v>1</v>
      </c>
      <c r="I597" t="s">
        <v>2114</v>
      </c>
      <c r="J597" t="s">
        <v>357</v>
      </c>
    </row>
    <row r="598" spans="1:10" x14ac:dyDescent="0.25">
      <c r="A598" t="s">
        <v>2115</v>
      </c>
      <c r="B598" t="s">
        <v>2116</v>
      </c>
      <c r="C598" s="2">
        <v>46193.583333333336</v>
      </c>
      <c r="D598" t="s">
        <v>418</v>
      </c>
      <c r="E598" t="s">
        <v>11</v>
      </c>
      <c r="F598" t="s">
        <v>152</v>
      </c>
      <c r="G598" t="s">
        <v>92</v>
      </c>
      <c r="H598">
        <v>1</v>
      </c>
      <c r="I598" t="s">
        <v>2117</v>
      </c>
      <c r="J598" t="s">
        <v>357</v>
      </c>
    </row>
    <row r="599" spans="1:10" x14ac:dyDescent="0.25">
      <c r="A599" t="s">
        <v>2118</v>
      </c>
      <c r="B599" t="s">
        <v>2119</v>
      </c>
      <c r="C599" s="2">
        <v>46193.583333333336</v>
      </c>
      <c r="D599" t="s">
        <v>418</v>
      </c>
      <c r="E599" t="s">
        <v>20</v>
      </c>
      <c r="F599" t="s">
        <v>154</v>
      </c>
      <c r="G599" t="s">
        <v>97</v>
      </c>
      <c r="H599">
        <v>4</v>
      </c>
      <c r="I599" t="s">
        <v>2120</v>
      </c>
      <c r="J599" t="s">
        <v>357</v>
      </c>
    </row>
    <row r="600" spans="1:10" x14ac:dyDescent="0.25">
      <c r="A600" t="s">
        <v>2121</v>
      </c>
      <c r="B600" t="s">
        <v>2122</v>
      </c>
      <c r="C600" s="2">
        <v>46193.583333333336</v>
      </c>
      <c r="D600" t="s">
        <v>418</v>
      </c>
      <c r="E600" t="s">
        <v>28</v>
      </c>
      <c r="F600" t="s">
        <v>158</v>
      </c>
      <c r="G600" t="s">
        <v>105</v>
      </c>
      <c r="H600">
        <v>3</v>
      </c>
      <c r="I600" t="s">
        <v>2123</v>
      </c>
      <c r="J600" t="s">
        <v>357</v>
      </c>
    </row>
    <row r="601" spans="1:10" x14ac:dyDescent="0.25">
      <c r="A601" t="s">
        <v>2124</v>
      </c>
      <c r="B601" t="s">
        <v>2125</v>
      </c>
      <c r="C601" s="2">
        <v>46193.583333333336</v>
      </c>
      <c r="D601" t="s">
        <v>418</v>
      </c>
      <c r="E601" t="s">
        <v>32</v>
      </c>
      <c r="F601" t="s">
        <v>160</v>
      </c>
      <c r="G601" t="s">
        <v>109</v>
      </c>
      <c r="H601">
        <v>4</v>
      </c>
      <c r="I601" t="s">
        <v>2126</v>
      </c>
      <c r="J601" t="s">
        <v>357</v>
      </c>
    </row>
    <row r="602" spans="1:10" x14ac:dyDescent="0.25">
      <c r="A602" t="s">
        <v>2127</v>
      </c>
      <c r="B602" t="s">
        <v>2128</v>
      </c>
      <c r="C602" s="2">
        <v>46193.583333333336</v>
      </c>
      <c r="D602" t="s">
        <v>418</v>
      </c>
      <c r="E602" t="s">
        <v>36</v>
      </c>
      <c r="F602" t="s">
        <v>162</v>
      </c>
      <c r="G602" t="s">
        <v>113</v>
      </c>
      <c r="H602">
        <v>6</v>
      </c>
      <c r="I602" t="s">
        <v>2129</v>
      </c>
      <c r="J602" t="s">
        <v>357</v>
      </c>
    </row>
    <row r="603" spans="1:10" x14ac:dyDescent="0.25">
      <c r="A603" t="s">
        <v>2130</v>
      </c>
      <c r="B603" t="s">
        <v>2131</v>
      </c>
      <c r="C603" s="2">
        <v>46193.583333333336</v>
      </c>
      <c r="D603" t="s">
        <v>418</v>
      </c>
      <c r="E603" t="s">
        <v>41</v>
      </c>
      <c r="F603" t="s">
        <v>114</v>
      </c>
      <c r="G603" t="s">
        <v>115</v>
      </c>
      <c r="H603">
        <v>4</v>
      </c>
      <c r="I603" t="s">
        <v>2132</v>
      </c>
      <c r="J603" t="s">
        <v>357</v>
      </c>
    </row>
    <row r="604" spans="1:10" x14ac:dyDescent="0.25">
      <c r="A604" t="s">
        <v>2133</v>
      </c>
      <c r="B604" t="s">
        <v>2134</v>
      </c>
      <c r="C604" s="2">
        <v>46193.583333333336</v>
      </c>
      <c r="D604" t="s">
        <v>418</v>
      </c>
      <c r="E604" t="s">
        <v>47</v>
      </c>
      <c r="F604" t="s">
        <v>166</v>
      </c>
      <c r="G604" t="s">
        <v>121</v>
      </c>
      <c r="H604">
        <v>1</v>
      </c>
      <c r="I604" t="s">
        <v>2135</v>
      </c>
      <c r="J604" t="s">
        <v>357</v>
      </c>
    </row>
    <row r="605" spans="1:10" x14ac:dyDescent="0.25">
      <c r="A605" t="s">
        <v>2136</v>
      </c>
      <c r="B605" t="s">
        <v>2137</v>
      </c>
      <c r="C605" s="2">
        <v>46193.583333333336</v>
      </c>
      <c r="D605" t="s">
        <v>418</v>
      </c>
      <c r="E605" t="s">
        <v>49</v>
      </c>
      <c r="F605" t="s">
        <v>122</v>
      </c>
      <c r="G605" t="s">
        <v>123</v>
      </c>
      <c r="H605">
        <v>1</v>
      </c>
      <c r="I605" t="s">
        <v>2138</v>
      </c>
      <c r="J605" t="s">
        <v>357</v>
      </c>
    </row>
    <row r="606" spans="1:10" x14ac:dyDescent="0.25">
      <c r="A606" t="s">
        <v>2139</v>
      </c>
      <c r="B606" t="s">
        <v>2140</v>
      </c>
      <c r="C606" s="2">
        <v>46193.583333333336</v>
      </c>
      <c r="D606" t="s">
        <v>418</v>
      </c>
      <c r="E606" t="s">
        <v>55</v>
      </c>
      <c r="F606" t="s">
        <v>128</v>
      </c>
      <c r="G606" t="s">
        <v>129</v>
      </c>
      <c r="H606">
        <v>5</v>
      </c>
      <c r="I606" t="s">
        <v>2141</v>
      </c>
      <c r="J606" t="s">
        <v>357</v>
      </c>
    </row>
    <row r="607" spans="1:10" x14ac:dyDescent="0.25">
      <c r="A607" t="s">
        <v>2142</v>
      </c>
      <c r="B607" t="s">
        <v>2143</v>
      </c>
      <c r="C607" s="2">
        <v>46193.583333333336</v>
      </c>
      <c r="D607" t="s">
        <v>418</v>
      </c>
      <c r="E607" t="s">
        <v>57</v>
      </c>
      <c r="F607" t="s">
        <v>130</v>
      </c>
      <c r="G607" t="s">
        <v>131</v>
      </c>
      <c r="H607">
        <v>1</v>
      </c>
      <c r="I607" t="s">
        <v>2144</v>
      </c>
      <c r="J607" t="s">
        <v>357</v>
      </c>
    </row>
    <row r="608" spans="1:10" x14ac:dyDescent="0.25">
      <c r="A608" t="s">
        <v>2145</v>
      </c>
      <c r="B608" t="s">
        <v>2146</v>
      </c>
      <c r="C608" s="2">
        <v>46193.583333333336</v>
      </c>
      <c r="D608" t="s">
        <v>418</v>
      </c>
      <c r="E608" t="s">
        <v>57</v>
      </c>
      <c r="F608" t="s">
        <v>171</v>
      </c>
      <c r="G608" t="s">
        <v>131</v>
      </c>
      <c r="H608">
        <v>3</v>
      </c>
      <c r="I608" t="s">
        <v>2144</v>
      </c>
      <c r="J608" t="s">
        <v>357</v>
      </c>
    </row>
    <row r="609" spans="1:10" x14ac:dyDescent="0.25">
      <c r="A609" t="s">
        <v>2147</v>
      </c>
      <c r="B609" t="s">
        <v>2148</v>
      </c>
      <c r="C609" s="2">
        <v>46193.583333333336</v>
      </c>
      <c r="D609" t="s">
        <v>418</v>
      </c>
      <c r="E609" t="s">
        <v>67</v>
      </c>
      <c r="F609" t="s">
        <v>136</v>
      </c>
      <c r="G609" t="s">
        <v>137</v>
      </c>
      <c r="H609">
        <v>5</v>
      </c>
      <c r="I609" t="s">
        <v>2149</v>
      </c>
      <c r="J609" t="s">
        <v>357</v>
      </c>
    </row>
    <row r="610" spans="1:10" x14ac:dyDescent="0.25">
      <c r="A610" t="s">
        <v>2150</v>
      </c>
      <c r="B610" t="s">
        <v>2151</v>
      </c>
      <c r="C610" s="2">
        <v>46193.583333333336</v>
      </c>
      <c r="D610" t="s">
        <v>418</v>
      </c>
      <c r="E610" t="s">
        <v>69</v>
      </c>
      <c r="F610" t="s">
        <v>138</v>
      </c>
      <c r="G610" t="s">
        <v>139</v>
      </c>
      <c r="H610">
        <v>3</v>
      </c>
      <c r="I610" t="s">
        <v>2152</v>
      </c>
      <c r="J610" t="s">
        <v>357</v>
      </c>
    </row>
    <row r="611" spans="1:10" x14ac:dyDescent="0.25">
      <c r="A611" t="s">
        <v>2153</v>
      </c>
      <c r="B611" t="s">
        <v>2154</v>
      </c>
      <c r="C611" s="2">
        <v>46193.583333333336</v>
      </c>
      <c r="D611" t="s">
        <v>418</v>
      </c>
      <c r="E611" t="s">
        <v>22</v>
      </c>
      <c r="F611" t="s">
        <v>155</v>
      </c>
      <c r="G611" t="s">
        <v>99</v>
      </c>
      <c r="H611">
        <v>3</v>
      </c>
      <c r="I611" t="s">
        <v>2155</v>
      </c>
      <c r="J611" t="s">
        <v>357</v>
      </c>
    </row>
    <row r="612" spans="1:10" x14ac:dyDescent="0.25">
      <c r="A612" t="s">
        <v>2156</v>
      </c>
      <c r="B612" t="s">
        <v>2157</v>
      </c>
      <c r="C612" s="2">
        <v>46193.583333333336</v>
      </c>
      <c r="D612" t="s">
        <v>418</v>
      </c>
      <c r="E612" t="s">
        <v>47</v>
      </c>
      <c r="F612" t="s">
        <v>166</v>
      </c>
      <c r="G612" t="s">
        <v>121</v>
      </c>
      <c r="H612">
        <v>8</v>
      </c>
      <c r="I612" t="s">
        <v>2158</v>
      </c>
      <c r="J612" t="s">
        <v>357</v>
      </c>
    </row>
    <row r="613" spans="1:10" x14ac:dyDescent="0.25">
      <c r="A613" t="s">
        <v>2159</v>
      </c>
      <c r="B613" t="s">
        <v>2160</v>
      </c>
      <c r="C613" s="2">
        <v>46193.583333333336</v>
      </c>
      <c r="D613" t="s">
        <v>418</v>
      </c>
      <c r="E613" t="s">
        <v>55</v>
      </c>
      <c r="F613" t="s">
        <v>128</v>
      </c>
      <c r="G613" t="s">
        <v>129</v>
      </c>
      <c r="H613">
        <v>2</v>
      </c>
      <c r="I613" t="s">
        <v>2161</v>
      </c>
      <c r="J613" t="s">
        <v>357</v>
      </c>
    </row>
    <row r="614" spans="1:10" x14ac:dyDescent="0.25">
      <c r="A614" t="s">
        <v>2162</v>
      </c>
      <c r="B614" t="s">
        <v>2163</v>
      </c>
      <c r="C614" s="2">
        <v>46193.583333333336</v>
      </c>
      <c r="D614" t="s">
        <v>418</v>
      </c>
      <c r="E614" t="s">
        <v>71</v>
      </c>
      <c r="F614" t="s">
        <v>140</v>
      </c>
      <c r="G614" t="s">
        <v>141</v>
      </c>
      <c r="H614">
        <v>3</v>
      </c>
      <c r="I614" t="s">
        <v>2164</v>
      </c>
      <c r="J614" t="s">
        <v>357</v>
      </c>
    </row>
    <row r="615" spans="1:10" x14ac:dyDescent="0.25">
      <c r="A615" t="s">
        <v>2165</v>
      </c>
      <c r="B615" t="s">
        <v>2166</v>
      </c>
      <c r="C615" s="2">
        <v>46193.583333333336</v>
      </c>
      <c r="D615" t="s">
        <v>418</v>
      </c>
      <c r="E615" t="s">
        <v>11</v>
      </c>
      <c r="F615" t="s">
        <v>152</v>
      </c>
      <c r="G615" t="s">
        <v>92</v>
      </c>
      <c r="H615">
        <v>9</v>
      </c>
      <c r="I615" t="s">
        <v>2167</v>
      </c>
      <c r="J615" t="s">
        <v>357</v>
      </c>
    </row>
    <row r="616" spans="1:10" x14ac:dyDescent="0.25">
      <c r="A616" t="s">
        <v>2168</v>
      </c>
      <c r="B616" t="s">
        <v>2169</v>
      </c>
      <c r="C616" s="2">
        <v>46193.583333333336</v>
      </c>
      <c r="D616" t="s">
        <v>418</v>
      </c>
      <c r="E616" t="s">
        <v>20</v>
      </c>
      <c r="F616" t="s">
        <v>154</v>
      </c>
      <c r="G616" t="s">
        <v>97</v>
      </c>
      <c r="H616">
        <v>2</v>
      </c>
      <c r="I616" t="s">
        <v>2170</v>
      </c>
      <c r="J616" t="s">
        <v>357</v>
      </c>
    </row>
    <row r="617" spans="1:10" x14ac:dyDescent="0.25">
      <c r="A617" t="s">
        <v>2171</v>
      </c>
      <c r="B617" t="s">
        <v>2172</v>
      </c>
      <c r="C617" s="2">
        <v>46193.583333333336</v>
      </c>
      <c r="D617" t="s">
        <v>418</v>
      </c>
      <c r="E617" t="s">
        <v>22</v>
      </c>
      <c r="F617" t="s">
        <v>155</v>
      </c>
      <c r="G617" t="s">
        <v>99</v>
      </c>
      <c r="H617">
        <v>3</v>
      </c>
      <c r="I617" t="s">
        <v>2173</v>
      </c>
      <c r="J617" t="s">
        <v>357</v>
      </c>
    </row>
    <row r="618" spans="1:10" x14ac:dyDescent="0.25">
      <c r="A618" t="s">
        <v>2174</v>
      </c>
      <c r="B618" t="s">
        <v>2175</v>
      </c>
      <c r="C618" s="2">
        <v>46193.583333333336</v>
      </c>
      <c r="D618" t="s">
        <v>418</v>
      </c>
      <c r="E618" t="s">
        <v>22</v>
      </c>
      <c r="F618" t="s">
        <v>98</v>
      </c>
      <c r="G618" t="s">
        <v>99</v>
      </c>
      <c r="H618">
        <v>2</v>
      </c>
      <c r="I618" t="s">
        <v>2173</v>
      </c>
      <c r="J618" t="s">
        <v>357</v>
      </c>
    </row>
    <row r="619" spans="1:10" x14ac:dyDescent="0.25">
      <c r="A619" t="s">
        <v>2176</v>
      </c>
      <c r="B619" t="s">
        <v>2177</v>
      </c>
      <c r="C619" s="2">
        <v>46193.583333333336</v>
      </c>
      <c r="D619" t="s">
        <v>418</v>
      </c>
      <c r="E619" t="s">
        <v>24</v>
      </c>
      <c r="F619" t="s">
        <v>156</v>
      </c>
      <c r="G619" t="s">
        <v>101</v>
      </c>
      <c r="H619">
        <v>5</v>
      </c>
      <c r="I619" t="s">
        <v>2178</v>
      </c>
      <c r="J619" t="s">
        <v>357</v>
      </c>
    </row>
    <row r="620" spans="1:10" x14ac:dyDescent="0.25">
      <c r="A620" t="s">
        <v>2179</v>
      </c>
      <c r="B620" t="s">
        <v>2180</v>
      </c>
      <c r="C620" s="2">
        <v>46193.583333333336</v>
      </c>
      <c r="D620" t="s">
        <v>418</v>
      </c>
      <c r="E620" t="s">
        <v>26</v>
      </c>
      <c r="F620" t="s">
        <v>157</v>
      </c>
      <c r="G620" t="s">
        <v>103</v>
      </c>
      <c r="H620">
        <v>2</v>
      </c>
      <c r="I620" t="s">
        <v>2181</v>
      </c>
      <c r="J620" t="s">
        <v>357</v>
      </c>
    </row>
    <row r="621" spans="1:10" x14ac:dyDescent="0.25">
      <c r="A621" t="s">
        <v>2182</v>
      </c>
      <c r="B621" t="s">
        <v>2183</v>
      </c>
      <c r="C621" s="2">
        <v>46193.583333333336</v>
      </c>
      <c r="D621" t="s">
        <v>418</v>
      </c>
      <c r="E621" t="s">
        <v>41</v>
      </c>
      <c r="F621" t="s">
        <v>114</v>
      </c>
      <c r="G621" t="s">
        <v>115</v>
      </c>
      <c r="H621">
        <v>2</v>
      </c>
      <c r="I621" t="s">
        <v>2184</v>
      </c>
      <c r="J621" t="s">
        <v>357</v>
      </c>
    </row>
    <row r="622" spans="1:10" x14ac:dyDescent="0.25">
      <c r="A622" t="s">
        <v>2185</v>
      </c>
      <c r="B622" t="s">
        <v>2186</v>
      </c>
      <c r="C622" s="2">
        <v>46193.583333333336</v>
      </c>
      <c r="D622" t="s">
        <v>418</v>
      </c>
      <c r="E622" t="s">
        <v>51</v>
      </c>
      <c r="F622" t="s">
        <v>124</v>
      </c>
      <c r="G622" t="s">
        <v>125</v>
      </c>
      <c r="H622">
        <v>4</v>
      </c>
      <c r="I622" t="s">
        <v>2187</v>
      </c>
      <c r="J622" t="s">
        <v>357</v>
      </c>
    </row>
    <row r="623" spans="1:10" x14ac:dyDescent="0.25">
      <c r="A623" t="s">
        <v>2188</v>
      </c>
      <c r="B623" t="s">
        <v>2189</v>
      </c>
      <c r="C623" s="2">
        <v>46193.583333333336</v>
      </c>
      <c r="D623" t="s">
        <v>418</v>
      </c>
      <c r="E623" t="s">
        <v>55</v>
      </c>
      <c r="F623" t="s">
        <v>128</v>
      </c>
      <c r="G623" t="s">
        <v>129</v>
      </c>
      <c r="H623">
        <v>9</v>
      </c>
      <c r="I623" t="s">
        <v>2190</v>
      </c>
      <c r="J623" t="s">
        <v>357</v>
      </c>
    </row>
    <row r="624" spans="1:10" x14ac:dyDescent="0.25">
      <c r="A624" t="s">
        <v>2191</v>
      </c>
      <c r="B624" t="s">
        <v>2192</v>
      </c>
      <c r="C624" s="2">
        <v>46193.583333333336</v>
      </c>
      <c r="D624" t="s">
        <v>418</v>
      </c>
      <c r="E624" t="s">
        <v>57</v>
      </c>
      <c r="F624" t="s">
        <v>171</v>
      </c>
      <c r="G624" t="s">
        <v>131</v>
      </c>
      <c r="H624">
        <v>9</v>
      </c>
      <c r="I624" t="s">
        <v>2193</v>
      </c>
      <c r="J624" t="s">
        <v>357</v>
      </c>
    </row>
    <row r="625" spans="1:10" x14ac:dyDescent="0.25">
      <c r="A625" t="s">
        <v>2194</v>
      </c>
      <c r="B625" t="s">
        <v>2195</v>
      </c>
      <c r="C625" s="2">
        <v>46193.583333333336</v>
      </c>
      <c r="D625" t="s">
        <v>418</v>
      </c>
      <c r="E625" t="s">
        <v>59</v>
      </c>
      <c r="F625" t="s">
        <v>132</v>
      </c>
      <c r="G625" t="s">
        <v>133</v>
      </c>
      <c r="H625">
        <v>2</v>
      </c>
      <c r="I625" t="s">
        <v>2196</v>
      </c>
      <c r="J625" t="s">
        <v>357</v>
      </c>
    </row>
    <row r="626" spans="1:10" x14ac:dyDescent="0.25">
      <c r="A626" t="s">
        <v>2197</v>
      </c>
      <c r="B626" t="s">
        <v>2198</v>
      </c>
      <c r="C626" s="2">
        <v>46193.583333333336</v>
      </c>
      <c r="D626" t="s">
        <v>418</v>
      </c>
      <c r="E626" t="s">
        <v>20</v>
      </c>
      <c r="F626" t="s">
        <v>154</v>
      </c>
      <c r="G626" t="s">
        <v>97</v>
      </c>
      <c r="H626">
        <v>5</v>
      </c>
      <c r="I626" t="s">
        <v>2199</v>
      </c>
      <c r="J626" t="s">
        <v>357</v>
      </c>
    </row>
    <row r="627" spans="1:10" x14ac:dyDescent="0.25">
      <c r="A627" t="s">
        <v>2200</v>
      </c>
      <c r="B627" t="s">
        <v>2201</v>
      </c>
      <c r="C627" s="2">
        <v>46193.583333333336</v>
      </c>
      <c r="D627" t="s">
        <v>418</v>
      </c>
      <c r="E627" t="s">
        <v>22</v>
      </c>
      <c r="F627" t="s">
        <v>98</v>
      </c>
      <c r="G627" t="s">
        <v>99</v>
      </c>
      <c r="H627">
        <v>2</v>
      </c>
      <c r="I627" t="s">
        <v>2202</v>
      </c>
      <c r="J627" t="s">
        <v>357</v>
      </c>
    </row>
    <row r="628" spans="1:10" x14ac:dyDescent="0.25">
      <c r="A628" t="s">
        <v>2203</v>
      </c>
      <c r="B628" t="s">
        <v>2204</v>
      </c>
      <c r="C628" s="2">
        <v>46193.583333333336</v>
      </c>
      <c r="D628" t="s">
        <v>418</v>
      </c>
      <c r="E628" t="s">
        <v>26</v>
      </c>
      <c r="F628" t="s">
        <v>157</v>
      </c>
      <c r="G628" t="s">
        <v>103</v>
      </c>
      <c r="H628">
        <v>5</v>
      </c>
      <c r="I628" t="s">
        <v>2205</v>
      </c>
      <c r="J628" t="s">
        <v>357</v>
      </c>
    </row>
    <row r="629" spans="1:10" x14ac:dyDescent="0.25">
      <c r="A629" t="s">
        <v>2206</v>
      </c>
      <c r="B629" t="s">
        <v>2207</v>
      </c>
      <c r="C629" s="2">
        <v>46193.583333333336</v>
      </c>
      <c r="D629" t="s">
        <v>418</v>
      </c>
      <c r="E629" t="s">
        <v>55</v>
      </c>
      <c r="F629" t="s">
        <v>128</v>
      </c>
      <c r="G629" t="s">
        <v>129</v>
      </c>
      <c r="H629">
        <v>1</v>
      </c>
      <c r="I629" t="s">
        <v>2208</v>
      </c>
      <c r="J629" t="s">
        <v>357</v>
      </c>
    </row>
    <row r="630" spans="1:10" x14ac:dyDescent="0.25">
      <c r="A630" t="s">
        <v>2209</v>
      </c>
      <c r="B630" t="s">
        <v>2210</v>
      </c>
      <c r="C630" s="2">
        <v>46194.583333333336</v>
      </c>
      <c r="D630" t="s">
        <v>418</v>
      </c>
      <c r="E630" t="s">
        <v>11</v>
      </c>
      <c r="F630" t="s">
        <v>152</v>
      </c>
      <c r="G630" t="s">
        <v>92</v>
      </c>
      <c r="H630">
        <v>4</v>
      </c>
      <c r="I630" t="s">
        <v>2211</v>
      </c>
      <c r="J630" t="s">
        <v>357</v>
      </c>
    </row>
    <row r="631" spans="1:10" x14ac:dyDescent="0.25">
      <c r="A631" t="s">
        <v>2212</v>
      </c>
      <c r="B631" t="s">
        <v>2213</v>
      </c>
      <c r="C631" s="2">
        <v>46194.583333333336</v>
      </c>
      <c r="D631" t="s">
        <v>418</v>
      </c>
      <c r="E631" t="s">
        <v>18</v>
      </c>
      <c r="F631" t="s">
        <v>153</v>
      </c>
      <c r="G631" t="s">
        <v>95</v>
      </c>
      <c r="H631">
        <v>5</v>
      </c>
      <c r="I631" t="s">
        <v>2214</v>
      </c>
      <c r="J631" t="s">
        <v>357</v>
      </c>
    </row>
    <row r="632" spans="1:10" x14ac:dyDescent="0.25">
      <c r="A632" t="s">
        <v>2215</v>
      </c>
      <c r="B632" t="s">
        <v>2216</v>
      </c>
      <c r="C632" s="2">
        <v>46194.583333333336</v>
      </c>
      <c r="D632" t="s">
        <v>418</v>
      </c>
      <c r="E632" t="s">
        <v>20</v>
      </c>
      <c r="F632" t="s">
        <v>154</v>
      </c>
      <c r="G632" t="s">
        <v>97</v>
      </c>
      <c r="H632">
        <v>3</v>
      </c>
      <c r="I632" t="s">
        <v>2217</v>
      </c>
      <c r="J632" t="s">
        <v>357</v>
      </c>
    </row>
    <row r="633" spans="1:10" x14ac:dyDescent="0.25">
      <c r="A633" t="s">
        <v>2218</v>
      </c>
      <c r="B633" t="s">
        <v>2219</v>
      </c>
      <c r="C633" s="2">
        <v>46194.583333333336</v>
      </c>
      <c r="D633" t="s">
        <v>418</v>
      </c>
      <c r="E633" t="s">
        <v>24</v>
      </c>
      <c r="F633" t="s">
        <v>156</v>
      </c>
      <c r="G633" t="s">
        <v>101</v>
      </c>
      <c r="H633">
        <v>4</v>
      </c>
      <c r="I633" t="s">
        <v>2220</v>
      </c>
      <c r="J633" t="s">
        <v>357</v>
      </c>
    </row>
    <row r="634" spans="1:10" x14ac:dyDescent="0.25">
      <c r="A634" t="s">
        <v>2221</v>
      </c>
      <c r="B634" t="s">
        <v>2222</v>
      </c>
      <c r="C634" s="2">
        <v>46194.583333333336</v>
      </c>
      <c r="D634" t="s">
        <v>418</v>
      </c>
      <c r="E634" t="s">
        <v>28</v>
      </c>
      <c r="F634" t="s">
        <v>158</v>
      </c>
      <c r="G634" t="s">
        <v>105</v>
      </c>
      <c r="H634">
        <v>4</v>
      </c>
      <c r="I634" t="s">
        <v>2223</v>
      </c>
      <c r="J634" t="s">
        <v>357</v>
      </c>
    </row>
    <row r="635" spans="1:10" x14ac:dyDescent="0.25">
      <c r="A635" t="s">
        <v>2224</v>
      </c>
      <c r="B635" t="s">
        <v>2225</v>
      </c>
      <c r="C635" s="2">
        <v>46194.583333333336</v>
      </c>
      <c r="D635" t="s">
        <v>418</v>
      </c>
      <c r="E635" t="s">
        <v>45</v>
      </c>
      <c r="F635" t="s">
        <v>118</v>
      </c>
      <c r="G635" t="s">
        <v>119</v>
      </c>
      <c r="H635">
        <v>1</v>
      </c>
      <c r="I635" t="s">
        <v>2226</v>
      </c>
      <c r="J635" t="s">
        <v>357</v>
      </c>
    </row>
    <row r="636" spans="1:10" x14ac:dyDescent="0.25">
      <c r="A636" t="s">
        <v>2227</v>
      </c>
      <c r="B636" t="s">
        <v>2228</v>
      </c>
      <c r="C636" s="2">
        <v>46194.583333333336</v>
      </c>
      <c r="D636" t="s">
        <v>418</v>
      </c>
      <c r="E636" t="s">
        <v>55</v>
      </c>
      <c r="F636" t="s">
        <v>128</v>
      </c>
      <c r="G636" t="s">
        <v>129</v>
      </c>
      <c r="H636">
        <v>3</v>
      </c>
      <c r="I636" t="s">
        <v>2229</v>
      </c>
      <c r="J636" t="s">
        <v>357</v>
      </c>
    </row>
    <row r="637" spans="1:10" x14ac:dyDescent="0.25">
      <c r="A637" t="s">
        <v>2230</v>
      </c>
      <c r="B637" t="s">
        <v>2231</v>
      </c>
      <c r="C637" s="2">
        <v>46194.583333333336</v>
      </c>
      <c r="D637" t="s">
        <v>418</v>
      </c>
      <c r="E637" t="s">
        <v>69</v>
      </c>
      <c r="F637" t="s">
        <v>138</v>
      </c>
      <c r="G637" t="s">
        <v>139</v>
      </c>
      <c r="H637">
        <v>4</v>
      </c>
      <c r="I637" t="s">
        <v>2232</v>
      </c>
      <c r="J637" t="s">
        <v>357</v>
      </c>
    </row>
    <row r="638" spans="1:10" x14ac:dyDescent="0.25">
      <c r="A638" t="s">
        <v>2233</v>
      </c>
      <c r="B638" t="s">
        <v>2234</v>
      </c>
      <c r="C638" s="2">
        <v>46194.583333333336</v>
      </c>
      <c r="D638" t="s">
        <v>418</v>
      </c>
      <c r="E638" t="s">
        <v>71</v>
      </c>
      <c r="F638" t="s">
        <v>140</v>
      </c>
      <c r="G638" t="s">
        <v>141</v>
      </c>
      <c r="H638">
        <v>1</v>
      </c>
      <c r="I638" t="s">
        <v>2235</v>
      </c>
      <c r="J638" t="s">
        <v>357</v>
      </c>
    </row>
    <row r="639" spans="1:10" x14ac:dyDescent="0.25">
      <c r="A639" t="s">
        <v>2236</v>
      </c>
      <c r="B639" t="s">
        <v>2237</v>
      </c>
      <c r="C639" s="2">
        <v>46194.583333333336</v>
      </c>
      <c r="D639" t="s">
        <v>418</v>
      </c>
      <c r="E639" t="s">
        <v>73</v>
      </c>
      <c r="F639" t="s">
        <v>142</v>
      </c>
      <c r="G639" t="s">
        <v>143</v>
      </c>
      <c r="H639">
        <v>4</v>
      </c>
      <c r="I639" t="s">
        <v>2238</v>
      </c>
      <c r="J639" t="s">
        <v>357</v>
      </c>
    </row>
    <row r="640" spans="1:10" x14ac:dyDescent="0.25">
      <c r="A640" t="s">
        <v>2239</v>
      </c>
      <c r="B640" t="s">
        <v>2240</v>
      </c>
      <c r="C640" s="2">
        <v>46194.583333333336</v>
      </c>
      <c r="D640" t="s">
        <v>418</v>
      </c>
      <c r="E640" t="s">
        <v>11</v>
      </c>
      <c r="F640" t="s">
        <v>152</v>
      </c>
      <c r="G640" t="s">
        <v>92</v>
      </c>
      <c r="H640">
        <v>4</v>
      </c>
      <c r="I640" t="s">
        <v>2241</v>
      </c>
      <c r="J640" t="s">
        <v>357</v>
      </c>
    </row>
    <row r="641" spans="1:10" x14ac:dyDescent="0.25">
      <c r="A641" t="s">
        <v>2242</v>
      </c>
      <c r="B641" t="s">
        <v>2243</v>
      </c>
      <c r="C641" s="2">
        <v>46194.583333333336</v>
      </c>
      <c r="D641" t="s">
        <v>418</v>
      </c>
      <c r="E641" t="s">
        <v>20</v>
      </c>
      <c r="F641" t="s">
        <v>154</v>
      </c>
      <c r="G641" t="s">
        <v>97</v>
      </c>
      <c r="H641">
        <v>2</v>
      </c>
      <c r="I641" t="s">
        <v>2244</v>
      </c>
      <c r="J641" t="s">
        <v>357</v>
      </c>
    </row>
    <row r="642" spans="1:10" x14ac:dyDescent="0.25">
      <c r="A642" t="s">
        <v>2245</v>
      </c>
      <c r="B642" t="s">
        <v>2246</v>
      </c>
      <c r="C642" s="2">
        <v>46194.583333333336</v>
      </c>
      <c r="D642" t="s">
        <v>418</v>
      </c>
      <c r="E642" t="s">
        <v>24</v>
      </c>
      <c r="F642" t="s">
        <v>156</v>
      </c>
      <c r="G642" t="s">
        <v>101</v>
      </c>
      <c r="H642">
        <v>1</v>
      </c>
      <c r="I642" t="s">
        <v>2247</v>
      </c>
      <c r="J642" t="s">
        <v>357</v>
      </c>
    </row>
    <row r="643" spans="1:10" x14ac:dyDescent="0.25">
      <c r="A643" t="s">
        <v>2248</v>
      </c>
      <c r="B643" t="s">
        <v>2249</v>
      </c>
      <c r="C643" s="2">
        <v>46194.583333333336</v>
      </c>
      <c r="D643" t="s">
        <v>418</v>
      </c>
      <c r="E643" t="s">
        <v>32</v>
      </c>
      <c r="F643" t="s">
        <v>160</v>
      </c>
      <c r="G643" t="s">
        <v>109</v>
      </c>
      <c r="H643">
        <v>6</v>
      </c>
      <c r="I643" t="s">
        <v>2250</v>
      </c>
      <c r="J643" t="s">
        <v>357</v>
      </c>
    </row>
    <row r="644" spans="1:10" x14ac:dyDescent="0.25">
      <c r="A644" t="s">
        <v>2251</v>
      </c>
      <c r="B644" t="s">
        <v>2252</v>
      </c>
      <c r="C644" s="2">
        <v>46194.583333333336</v>
      </c>
      <c r="D644" t="s">
        <v>418</v>
      </c>
      <c r="E644" t="s">
        <v>43</v>
      </c>
      <c r="F644" t="s">
        <v>164</v>
      </c>
      <c r="G644" t="s">
        <v>117</v>
      </c>
      <c r="H644">
        <v>4</v>
      </c>
      <c r="I644" t="s">
        <v>2253</v>
      </c>
      <c r="J644" t="s">
        <v>357</v>
      </c>
    </row>
    <row r="645" spans="1:10" x14ac:dyDescent="0.25">
      <c r="A645" t="s">
        <v>2254</v>
      </c>
      <c r="B645" t="s">
        <v>2255</v>
      </c>
      <c r="C645" s="2">
        <v>46194.583333333336</v>
      </c>
      <c r="D645" t="s">
        <v>418</v>
      </c>
      <c r="E645" t="s">
        <v>53</v>
      </c>
      <c r="F645" t="s">
        <v>169</v>
      </c>
      <c r="G645" t="s">
        <v>127</v>
      </c>
      <c r="H645">
        <v>5</v>
      </c>
      <c r="I645" t="s">
        <v>2256</v>
      </c>
      <c r="J645" t="s">
        <v>357</v>
      </c>
    </row>
    <row r="646" spans="1:10" x14ac:dyDescent="0.25">
      <c r="A646" t="s">
        <v>2257</v>
      </c>
      <c r="B646" t="s">
        <v>2258</v>
      </c>
      <c r="C646" s="2">
        <v>46194.583333333336</v>
      </c>
      <c r="D646" t="s">
        <v>418</v>
      </c>
      <c r="E646" t="s">
        <v>57</v>
      </c>
      <c r="F646" t="s">
        <v>171</v>
      </c>
      <c r="G646" t="s">
        <v>131</v>
      </c>
      <c r="H646">
        <v>5</v>
      </c>
      <c r="I646" t="s">
        <v>2259</v>
      </c>
      <c r="J646" t="s">
        <v>357</v>
      </c>
    </row>
    <row r="647" spans="1:10" x14ac:dyDescent="0.25">
      <c r="A647" t="s">
        <v>2260</v>
      </c>
      <c r="B647" t="s">
        <v>2261</v>
      </c>
      <c r="C647" s="2">
        <v>46194.583333333336</v>
      </c>
      <c r="D647" t="s">
        <v>418</v>
      </c>
      <c r="E647" t="s">
        <v>59</v>
      </c>
      <c r="F647" t="s">
        <v>132</v>
      </c>
      <c r="G647" t="s">
        <v>133</v>
      </c>
      <c r="H647">
        <v>4</v>
      </c>
      <c r="I647" t="s">
        <v>2262</v>
      </c>
      <c r="J647" t="s">
        <v>357</v>
      </c>
    </row>
    <row r="648" spans="1:10" x14ac:dyDescent="0.25">
      <c r="A648" t="s">
        <v>2263</v>
      </c>
      <c r="B648" t="s">
        <v>2264</v>
      </c>
      <c r="C648" s="2">
        <v>46194.583333333336</v>
      </c>
      <c r="D648" t="s">
        <v>418</v>
      </c>
      <c r="E648" t="s">
        <v>65</v>
      </c>
      <c r="F648" t="s">
        <v>134</v>
      </c>
      <c r="G648" t="s">
        <v>135</v>
      </c>
      <c r="H648">
        <v>5</v>
      </c>
      <c r="I648" t="s">
        <v>2265</v>
      </c>
      <c r="J648" t="s">
        <v>357</v>
      </c>
    </row>
    <row r="649" spans="1:10" x14ac:dyDescent="0.25">
      <c r="A649" t="s">
        <v>2266</v>
      </c>
      <c r="B649" t="s">
        <v>2267</v>
      </c>
      <c r="C649" s="2">
        <v>46194.583333333336</v>
      </c>
      <c r="D649" t="s">
        <v>418</v>
      </c>
      <c r="E649" t="s">
        <v>67</v>
      </c>
      <c r="F649" t="s">
        <v>136</v>
      </c>
      <c r="G649" t="s">
        <v>137</v>
      </c>
      <c r="H649">
        <v>5</v>
      </c>
      <c r="I649" t="s">
        <v>2268</v>
      </c>
      <c r="J649" t="s">
        <v>357</v>
      </c>
    </row>
    <row r="650" spans="1:10" x14ac:dyDescent="0.25">
      <c r="A650" t="s">
        <v>2269</v>
      </c>
      <c r="B650" t="s">
        <v>2270</v>
      </c>
      <c r="C650" s="2">
        <v>46194.583333333336</v>
      </c>
      <c r="D650" t="s">
        <v>418</v>
      </c>
      <c r="E650" t="s">
        <v>11</v>
      </c>
      <c r="F650" t="s">
        <v>152</v>
      </c>
      <c r="G650" t="s">
        <v>92</v>
      </c>
      <c r="H650">
        <v>2</v>
      </c>
      <c r="I650" t="s">
        <v>2271</v>
      </c>
      <c r="J650" t="s">
        <v>357</v>
      </c>
    </row>
    <row r="651" spans="1:10" x14ac:dyDescent="0.25">
      <c r="A651" t="s">
        <v>2272</v>
      </c>
      <c r="B651" t="s">
        <v>2273</v>
      </c>
      <c r="C651" s="2">
        <v>46194.583333333336</v>
      </c>
      <c r="D651" t="s">
        <v>418</v>
      </c>
      <c r="E651" t="s">
        <v>18</v>
      </c>
      <c r="F651" t="s">
        <v>153</v>
      </c>
      <c r="G651" t="s">
        <v>95</v>
      </c>
      <c r="H651">
        <v>8</v>
      </c>
      <c r="I651" t="s">
        <v>2274</v>
      </c>
      <c r="J651" t="s">
        <v>357</v>
      </c>
    </row>
    <row r="652" spans="1:10" x14ac:dyDescent="0.25">
      <c r="A652" t="s">
        <v>2275</v>
      </c>
      <c r="B652" t="s">
        <v>2276</v>
      </c>
      <c r="C652" s="2">
        <v>46194.583333333336</v>
      </c>
      <c r="D652" t="s">
        <v>418</v>
      </c>
      <c r="E652" t="s">
        <v>24</v>
      </c>
      <c r="F652" t="s">
        <v>156</v>
      </c>
      <c r="G652" t="s">
        <v>101</v>
      </c>
      <c r="H652">
        <v>8</v>
      </c>
      <c r="I652" t="s">
        <v>2277</v>
      </c>
      <c r="J652" t="s">
        <v>357</v>
      </c>
    </row>
    <row r="653" spans="1:10" x14ac:dyDescent="0.25">
      <c r="A653" t="s">
        <v>2278</v>
      </c>
      <c r="B653" t="s">
        <v>2279</v>
      </c>
      <c r="C653" s="2">
        <v>46194.583333333336</v>
      </c>
      <c r="D653" t="s">
        <v>418</v>
      </c>
      <c r="E653" t="s">
        <v>26</v>
      </c>
      <c r="F653" t="s">
        <v>157</v>
      </c>
      <c r="G653" t="s">
        <v>103</v>
      </c>
      <c r="H653">
        <v>6</v>
      </c>
      <c r="I653" t="s">
        <v>2280</v>
      </c>
      <c r="J653" t="s">
        <v>357</v>
      </c>
    </row>
    <row r="654" spans="1:10" x14ac:dyDescent="0.25">
      <c r="A654" t="s">
        <v>2281</v>
      </c>
      <c r="B654" t="s">
        <v>2282</v>
      </c>
      <c r="C654" s="2">
        <v>46194.583333333336</v>
      </c>
      <c r="D654" t="s">
        <v>418</v>
      </c>
      <c r="E654" t="s">
        <v>36</v>
      </c>
      <c r="F654" t="s">
        <v>162</v>
      </c>
      <c r="G654" t="s">
        <v>113</v>
      </c>
      <c r="H654">
        <v>8</v>
      </c>
      <c r="I654" t="s">
        <v>2283</v>
      </c>
      <c r="J654" t="s">
        <v>357</v>
      </c>
    </row>
    <row r="655" spans="1:10" x14ac:dyDescent="0.25">
      <c r="A655" t="s">
        <v>2284</v>
      </c>
      <c r="B655" t="s">
        <v>2285</v>
      </c>
      <c r="C655" s="2">
        <v>46194.583333333336</v>
      </c>
      <c r="D655" t="s">
        <v>418</v>
      </c>
      <c r="E655" t="s">
        <v>43</v>
      </c>
      <c r="F655" t="s">
        <v>164</v>
      </c>
      <c r="G655" t="s">
        <v>117</v>
      </c>
      <c r="H655">
        <v>3</v>
      </c>
      <c r="I655" t="s">
        <v>2286</v>
      </c>
      <c r="J655" t="s">
        <v>357</v>
      </c>
    </row>
    <row r="656" spans="1:10" x14ac:dyDescent="0.25">
      <c r="A656" t="s">
        <v>2287</v>
      </c>
      <c r="B656" t="s">
        <v>2288</v>
      </c>
      <c r="C656" s="2">
        <v>46194.583333333336</v>
      </c>
      <c r="D656" t="s">
        <v>418</v>
      </c>
      <c r="E656" t="s">
        <v>53</v>
      </c>
      <c r="F656" t="s">
        <v>169</v>
      </c>
      <c r="G656" t="s">
        <v>127</v>
      </c>
      <c r="H656">
        <v>6</v>
      </c>
      <c r="I656" t="s">
        <v>2289</v>
      </c>
      <c r="J656" t="s">
        <v>357</v>
      </c>
    </row>
    <row r="657" spans="1:10" x14ac:dyDescent="0.25">
      <c r="A657" t="s">
        <v>2290</v>
      </c>
      <c r="B657" t="s">
        <v>2291</v>
      </c>
      <c r="C657" s="2">
        <v>46194.583333333336</v>
      </c>
      <c r="D657" t="s">
        <v>418</v>
      </c>
      <c r="E657" t="s">
        <v>55</v>
      </c>
      <c r="F657" t="s">
        <v>128</v>
      </c>
      <c r="G657" t="s">
        <v>129</v>
      </c>
      <c r="H657">
        <v>5</v>
      </c>
      <c r="I657" t="s">
        <v>2292</v>
      </c>
      <c r="J657" t="s">
        <v>357</v>
      </c>
    </row>
    <row r="658" spans="1:10" x14ac:dyDescent="0.25">
      <c r="A658" t="s">
        <v>2293</v>
      </c>
      <c r="B658" t="s">
        <v>2294</v>
      </c>
      <c r="C658" s="2">
        <v>46194.583333333336</v>
      </c>
      <c r="D658" t="s">
        <v>418</v>
      </c>
      <c r="E658" t="s">
        <v>59</v>
      </c>
      <c r="F658" t="s">
        <v>132</v>
      </c>
      <c r="G658" t="s">
        <v>133</v>
      </c>
      <c r="H658">
        <v>6</v>
      </c>
      <c r="I658" t="s">
        <v>2295</v>
      </c>
      <c r="J658" t="s">
        <v>357</v>
      </c>
    </row>
    <row r="659" spans="1:10" x14ac:dyDescent="0.25">
      <c r="A659" t="s">
        <v>2296</v>
      </c>
      <c r="B659" t="s">
        <v>2297</v>
      </c>
      <c r="C659" s="2">
        <v>46194.583333333336</v>
      </c>
      <c r="D659" t="s">
        <v>418</v>
      </c>
      <c r="E659" t="s">
        <v>65</v>
      </c>
      <c r="F659" t="s">
        <v>134</v>
      </c>
      <c r="G659" t="s">
        <v>135</v>
      </c>
      <c r="H659">
        <v>8</v>
      </c>
      <c r="I659" t="s">
        <v>2298</v>
      </c>
      <c r="J659" t="s">
        <v>357</v>
      </c>
    </row>
    <row r="660" spans="1:10" x14ac:dyDescent="0.25">
      <c r="A660" t="s">
        <v>2299</v>
      </c>
      <c r="B660" t="s">
        <v>2300</v>
      </c>
      <c r="C660" s="2">
        <v>46194.583333333336</v>
      </c>
      <c r="D660" t="s">
        <v>418</v>
      </c>
      <c r="E660" t="s">
        <v>69</v>
      </c>
      <c r="F660" t="s">
        <v>138</v>
      </c>
      <c r="G660" t="s">
        <v>139</v>
      </c>
      <c r="H660">
        <v>6</v>
      </c>
      <c r="I660" t="s">
        <v>2301</v>
      </c>
      <c r="J660" t="s">
        <v>357</v>
      </c>
    </row>
    <row r="661" spans="1:10" x14ac:dyDescent="0.25">
      <c r="A661" t="s">
        <v>2302</v>
      </c>
      <c r="B661" t="s">
        <v>2303</v>
      </c>
      <c r="C661" s="2">
        <v>46194.583333333336</v>
      </c>
      <c r="D661" t="s">
        <v>418</v>
      </c>
      <c r="E661" t="s">
        <v>71</v>
      </c>
      <c r="F661" t="s">
        <v>140</v>
      </c>
      <c r="G661" t="s">
        <v>141</v>
      </c>
      <c r="H661">
        <v>6</v>
      </c>
      <c r="I661" t="s">
        <v>2304</v>
      </c>
      <c r="J661" t="s">
        <v>357</v>
      </c>
    </row>
    <row r="662" spans="1:10" x14ac:dyDescent="0.25">
      <c r="A662" t="s">
        <v>2305</v>
      </c>
      <c r="B662" t="s">
        <v>2306</v>
      </c>
      <c r="C662" s="2">
        <v>46194.583333333336</v>
      </c>
      <c r="D662" t="s">
        <v>418</v>
      </c>
      <c r="E662" t="s">
        <v>71</v>
      </c>
      <c r="F662" t="s">
        <v>176</v>
      </c>
      <c r="G662" t="s">
        <v>141</v>
      </c>
      <c r="H662">
        <v>2</v>
      </c>
      <c r="I662" t="s">
        <v>2304</v>
      </c>
      <c r="J662" t="s">
        <v>357</v>
      </c>
    </row>
    <row r="663" spans="1:10" x14ac:dyDescent="0.25">
      <c r="A663" t="s">
        <v>2307</v>
      </c>
      <c r="B663" t="s">
        <v>2308</v>
      </c>
      <c r="C663" s="2">
        <v>46194.583333333336</v>
      </c>
      <c r="D663" t="s">
        <v>418</v>
      </c>
      <c r="E663" t="s">
        <v>75</v>
      </c>
      <c r="F663" t="s">
        <v>144</v>
      </c>
      <c r="G663" t="s">
        <v>145</v>
      </c>
      <c r="H663">
        <v>3</v>
      </c>
      <c r="I663" t="s">
        <v>2309</v>
      </c>
      <c r="J663" t="s">
        <v>357</v>
      </c>
    </row>
    <row r="664" spans="1:10" x14ac:dyDescent="0.25">
      <c r="A664" t="s">
        <v>2310</v>
      </c>
      <c r="B664" t="s">
        <v>2311</v>
      </c>
      <c r="C664" s="2">
        <v>46194.583333333336</v>
      </c>
      <c r="D664" t="s">
        <v>418</v>
      </c>
      <c r="E664" t="s">
        <v>11</v>
      </c>
      <c r="F664" t="s">
        <v>152</v>
      </c>
      <c r="G664" t="s">
        <v>92</v>
      </c>
      <c r="H664">
        <v>4</v>
      </c>
      <c r="I664" t="s">
        <v>2312</v>
      </c>
      <c r="J664" t="s">
        <v>357</v>
      </c>
    </row>
    <row r="665" spans="1:10" x14ac:dyDescent="0.25">
      <c r="A665" t="s">
        <v>2313</v>
      </c>
      <c r="B665" t="s">
        <v>2314</v>
      </c>
      <c r="C665" s="2">
        <v>46194.583333333336</v>
      </c>
      <c r="D665" t="s">
        <v>418</v>
      </c>
      <c r="E665" t="s">
        <v>24</v>
      </c>
      <c r="F665" t="s">
        <v>156</v>
      </c>
      <c r="G665" t="s">
        <v>101</v>
      </c>
      <c r="H665">
        <v>4</v>
      </c>
      <c r="I665" t="s">
        <v>2315</v>
      </c>
      <c r="J665" t="s">
        <v>357</v>
      </c>
    </row>
    <row r="666" spans="1:10" x14ac:dyDescent="0.25">
      <c r="A666" t="s">
        <v>2316</v>
      </c>
      <c r="B666" t="s">
        <v>2317</v>
      </c>
      <c r="C666" s="2">
        <v>46194.583333333336</v>
      </c>
      <c r="D666" t="s">
        <v>418</v>
      </c>
      <c r="E666" t="s">
        <v>28</v>
      </c>
      <c r="F666" t="s">
        <v>158</v>
      </c>
      <c r="G666" t="s">
        <v>105</v>
      </c>
      <c r="H666">
        <v>4</v>
      </c>
      <c r="I666" t="s">
        <v>2318</v>
      </c>
      <c r="J666" t="s">
        <v>357</v>
      </c>
    </row>
    <row r="667" spans="1:10" x14ac:dyDescent="0.25">
      <c r="A667" t="s">
        <v>2319</v>
      </c>
      <c r="B667" t="s">
        <v>2320</v>
      </c>
      <c r="C667" s="2">
        <v>46194.583333333336</v>
      </c>
      <c r="D667" t="s">
        <v>418</v>
      </c>
      <c r="E667" t="s">
        <v>49</v>
      </c>
      <c r="F667" t="s">
        <v>122</v>
      </c>
      <c r="G667" t="s">
        <v>123</v>
      </c>
      <c r="H667">
        <v>3</v>
      </c>
      <c r="I667" t="s">
        <v>2321</v>
      </c>
      <c r="J667" t="s">
        <v>357</v>
      </c>
    </row>
    <row r="668" spans="1:10" x14ac:dyDescent="0.25">
      <c r="A668" t="s">
        <v>2322</v>
      </c>
      <c r="B668" t="s">
        <v>2323</v>
      </c>
      <c r="C668" s="2">
        <v>46194.583333333336</v>
      </c>
      <c r="D668" t="s">
        <v>418</v>
      </c>
      <c r="E668" t="s">
        <v>49</v>
      </c>
      <c r="F668" t="s">
        <v>167</v>
      </c>
      <c r="G668" t="s">
        <v>123</v>
      </c>
      <c r="H668">
        <v>1</v>
      </c>
      <c r="I668" t="s">
        <v>2321</v>
      </c>
      <c r="J668" t="s">
        <v>357</v>
      </c>
    </row>
    <row r="669" spans="1:10" x14ac:dyDescent="0.25">
      <c r="A669" t="s">
        <v>2324</v>
      </c>
      <c r="B669" t="s">
        <v>2325</v>
      </c>
      <c r="C669" s="2">
        <v>46194.583333333336</v>
      </c>
      <c r="D669" t="s">
        <v>418</v>
      </c>
      <c r="E669" t="s">
        <v>51</v>
      </c>
      <c r="F669" t="s">
        <v>124</v>
      </c>
      <c r="G669" t="s">
        <v>125</v>
      </c>
      <c r="H669">
        <v>2</v>
      </c>
      <c r="I669" t="s">
        <v>2326</v>
      </c>
      <c r="J669" t="s">
        <v>357</v>
      </c>
    </row>
    <row r="670" spans="1:10" x14ac:dyDescent="0.25">
      <c r="A670" t="s">
        <v>2327</v>
      </c>
      <c r="B670" t="s">
        <v>2328</v>
      </c>
      <c r="C670" s="2">
        <v>46194.583333333336</v>
      </c>
      <c r="D670" t="s">
        <v>418</v>
      </c>
      <c r="E670" t="s">
        <v>69</v>
      </c>
      <c r="F670" t="s">
        <v>138</v>
      </c>
      <c r="G670" t="s">
        <v>139</v>
      </c>
      <c r="H670">
        <v>4</v>
      </c>
      <c r="I670" t="s">
        <v>2329</v>
      </c>
      <c r="J670" t="s">
        <v>357</v>
      </c>
    </row>
    <row r="671" spans="1:10" x14ac:dyDescent="0.25">
      <c r="A671" t="s">
        <v>2330</v>
      </c>
      <c r="B671" t="s">
        <v>2331</v>
      </c>
      <c r="C671" s="2">
        <v>46194.583333333336</v>
      </c>
      <c r="D671" t="s">
        <v>418</v>
      </c>
      <c r="E671" t="s">
        <v>11</v>
      </c>
      <c r="F671" t="s">
        <v>152</v>
      </c>
      <c r="G671" t="s">
        <v>92</v>
      </c>
      <c r="H671">
        <v>1</v>
      </c>
      <c r="I671" t="s">
        <v>2332</v>
      </c>
      <c r="J671" t="s">
        <v>357</v>
      </c>
    </row>
    <row r="672" spans="1:10" x14ac:dyDescent="0.25">
      <c r="A672" t="s">
        <v>2333</v>
      </c>
      <c r="B672" t="s">
        <v>2334</v>
      </c>
      <c r="C672" s="2">
        <v>46194.583333333336</v>
      </c>
      <c r="D672" t="s">
        <v>418</v>
      </c>
      <c r="E672" t="s">
        <v>18</v>
      </c>
      <c r="F672" t="s">
        <v>153</v>
      </c>
      <c r="G672" t="s">
        <v>95</v>
      </c>
      <c r="H672">
        <v>6</v>
      </c>
      <c r="I672" t="s">
        <v>2335</v>
      </c>
      <c r="J672" t="s">
        <v>357</v>
      </c>
    </row>
    <row r="673" spans="1:10" x14ac:dyDescent="0.25">
      <c r="A673" t="s">
        <v>2336</v>
      </c>
      <c r="B673" t="s">
        <v>2337</v>
      </c>
      <c r="C673" s="2">
        <v>46194.583333333336</v>
      </c>
      <c r="D673" t="s">
        <v>418</v>
      </c>
      <c r="E673" t="s">
        <v>30</v>
      </c>
      <c r="F673" t="s">
        <v>106</v>
      </c>
      <c r="G673" t="s">
        <v>107</v>
      </c>
      <c r="H673">
        <v>5</v>
      </c>
      <c r="I673" t="s">
        <v>2338</v>
      </c>
      <c r="J673" t="s">
        <v>357</v>
      </c>
    </row>
    <row r="674" spans="1:10" x14ac:dyDescent="0.25">
      <c r="A674" t="s">
        <v>2339</v>
      </c>
      <c r="B674" t="s">
        <v>2340</v>
      </c>
      <c r="C674" s="2">
        <v>46194.583333333336</v>
      </c>
      <c r="D674" t="s">
        <v>418</v>
      </c>
      <c r="E674" t="s">
        <v>45</v>
      </c>
      <c r="F674" t="s">
        <v>118</v>
      </c>
      <c r="G674" t="s">
        <v>119</v>
      </c>
      <c r="H674">
        <v>5</v>
      </c>
      <c r="I674" t="s">
        <v>2341</v>
      </c>
      <c r="J674" t="s">
        <v>357</v>
      </c>
    </row>
    <row r="675" spans="1:10" x14ac:dyDescent="0.25">
      <c r="A675" t="s">
        <v>2342</v>
      </c>
      <c r="B675" t="s">
        <v>2343</v>
      </c>
      <c r="C675" s="2">
        <v>46194.583333333336</v>
      </c>
      <c r="D675" t="s">
        <v>418</v>
      </c>
      <c r="E675" t="s">
        <v>51</v>
      </c>
      <c r="F675" t="s">
        <v>124</v>
      </c>
      <c r="G675" t="s">
        <v>125</v>
      </c>
      <c r="H675">
        <v>4</v>
      </c>
      <c r="I675" t="s">
        <v>2344</v>
      </c>
      <c r="J675" t="s">
        <v>357</v>
      </c>
    </row>
    <row r="676" spans="1:10" x14ac:dyDescent="0.25">
      <c r="A676" t="s">
        <v>2345</v>
      </c>
      <c r="B676" t="s">
        <v>2346</v>
      </c>
      <c r="C676" s="2">
        <v>46194.583333333336</v>
      </c>
      <c r="D676" t="s">
        <v>418</v>
      </c>
      <c r="E676" t="s">
        <v>57</v>
      </c>
      <c r="F676" t="s">
        <v>171</v>
      </c>
      <c r="G676" t="s">
        <v>131</v>
      </c>
      <c r="H676">
        <v>1</v>
      </c>
      <c r="I676" t="s">
        <v>2347</v>
      </c>
      <c r="J676" t="s">
        <v>357</v>
      </c>
    </row>
    <row r="677" spans="1:10" x14ac:dyDescent="0.25">
      <c r="A677" t="s">
        <v>2348</v>
      </c>
      <c r="B677" t="s">
        <v>2349</v>
      </c>
      <c r="C677" s="2">
        <v>46194.583333333336</v>
      </c>
      <c r="D677" t="s">
        <v>418</v>
      </c>
      <c r="E677" t="s">
        <v>65</v>
      </c>
      <c r="F677" t="s">
        <v>134</v>
      </c>
      <c r="G677" t="s">
        <v>135</v>
      </c>
      <c r="H677">
        <v>2</v>
      </c>
      <c r="I677" t="s">
        <v>2350</v>
      </c>
      <c r="J677" t="s">
        <v>357</v>
      </c>
    </row>
    <row r="678" spans="1:10" x14ac:dyDescent="0.25">
      <c r="A678" t="s">
        <v>2351</v>
      </c>
      <c r="B678" t="s">
        <v>2352</v>
      </c>
      <c r="C678" s="2">
        <v>46194.583333333336</v>
      </c>
      <c r="D678" t="s">
        <v>418</v>
      </c>
      <c r="E678" t="s">
        <v>65</v>
      </c>
      <c r="F678" t="s">
        <v>173</v>
      </c>
      <c r="G678" t="s">
        <v>135</v>
      </c>
      <c r="H678">
        <v>3</v>
      </c>
      <c r="I678" t="s">
        <v>2350</v>
      </c>
      <c r="J678" t="s">
        <v>357</v>
      </c>
    </row>
    <row r="679" spans="1:10" x14ac:dyDescent="0.25">
      <c r="A679" t="s">
        <v>2353</v>
      </c>
      <c r="B679" t="s">
        <v>2354</v>
      </c>
      <c r="C679" s="2">
        <v>46194.583333333336</v>
      </c>
      <c r="D679" t="s">
        <v>418</v>
      </c>
      <c r="E679" t="s">
        <v>69</v>
      </c>
      <c r="F679" t="s">
        <v>138</v>
      </c>
      <c r="G679" t="s">
        <v>139</v>
      </c>
      <c r="H679">
        <v>5</v>
      </c>
      <c r="I679" t="s">
        <v>2355</v>
      </c>
      <c r="J679" t="s">
        <v>357</v>
      </c>
    </row>
    <row r="680" spans="1:10" x14ac:dyDescent="0.25">
      <c r="A680" t="s">
        <v>2356</v>
      </c>
      <c r="B680" t="s">
        <v>2357</v>
      </c>
      <c r="C680" s="2">
        <v>46195.583333333336</v>
      </c>
      <c r="D680" t="s">
        <v>418</v>
      </c>
      <c r="E680" t="s">
        <v>26</v>
      </c>
      <c r="F680" t="s">
        <v>157</v>
      </c>
      <c r="G680" t="s">
        <v>103</v>
      </c>
      <c r="H680">
        <v>2</v>
      </c>
      <c r="I680" t="s">
        <v>2358</v>
      </c>
      <c r="J680" t="s">
        <v>357</v>
      </c>
    </row>
    <row r="681" spans="1:10" x14ac:dyDescent="0.25">
      <c r="A681" t="s">
        <v>2359</v>
      </c>
      <c r="B681" t="s">
        <v>2360</v>
      </c>
      <c r="C681" s="2">
        <v>46195.583333333336</v>
      </c>
      <c r="D681" t="s">
        <v>418</v>
      </c>
      <c r="E681" t="s">
        <v>45</v>
      </c>
      <c r="F681" t="s">
        <v>118</v>
      </c>
      <c r="G681" t="s">
        <v>119</v>
      </c>
      <c r="H681">
        <v>1</v>
      </c>
      <c r="I681" t="s">
        <v>2361</v>
      </c>
      <c r="J681" t="s">
        <v>357</v>
      </c>
    </row>
    <row r="682" spans="1:10" x14ac:dyDescent="0.25">
      <c r="A682" t="s">
        <v>2362</v>
      </c>
      <c r="B682" t="s">
        <v>2363</v>
      </c>
      <c r="C682" s="2">
        <v>46195.583333333336</v>
      </c>
      <c r="D682" t="s">
        <v>418</v>
      </c>
      <c r="E682" t="s">
        <v>49</v>
      </c>
      <c r="F682" t="s">
        <v>167</v>
      </c>
      <c r="G682" t="s">
        <v>123</v>
      </c>
      <c r="H682">
        <v>2</v>
      </c>
      <c r="I682" t="s">
        <v>2364</v>
      </c>
      <c r="J682" t="s">
        <v>357</v>
      </c>
    </row>
    <row r="683" spans="1:10" x14ac:dyDescent="0.25">
      <c r="A683" t="s">
        <v>2365</v>
      </c>
      <c r="B683" t="s">
        <v>2366</v>
      </c>
      <c r="C683" s="2">
        <v>46195.583333333336</v>
      </c>
      <c r="D683" t="s">
        <v>418</v>
      </c>
      <c r="E683" t="s">
        <v>69</v>
      </c>
      <c r="F683" t="s">
        <v>138</v>
      </c>
      <c r="G683" t="s">
        <v>139</v>
      </c>
      <c r="H683">
        <v>2</v>
      </c>
      <c r="I683" t="s">
        <v>2367</v>
      </c>
      <c r="J683" t="s">
        <v>357</v>
      </c>
    </row>
    <row r="684" spans="1:10" x14ac:dyDescent="0.25">
      <c r="A684" t="s">
        <v>2368</v>
      </c>
      <c r="B684" t="s">
        <v>2369</v>
      </c>
      <c r="C684" s="2">
        <v>46195.583333333336</v>
      </c>
      <c r="D684" t="s">
        <v>418</v>
      </c>
      <c r="E684" t="s">
        <v>71</v>
      </c>
      <c r="F684" t="s">
        <v>176</v>
      </c>
      <c r="G684" t="s">
        <v>141</v>
      </c>
      <c r="H684">
        <v>2</v>
      </c>
      <c r="I684" t="s">
        <v>2370</v>
      </c>
      <c r="J684" t="s">
        <v>357</v>
      </c>
    </row>
    <row r="685" spans="1:10" x14ac:dyDescent="0.25">
      <c r="A685" t="s">
        <v>2371</v>
      </c>
      <c r="B685" t="s">
        <v>2372</v>
      </c>
      <c r="C685" s="2">
        <v>46195.583333333336</v>
      </c>
      <c r="D685" t="s">
        <v>418</v>
      </c>
      <c r="E685" t="s">
        <v>18</v>
      </c>
      <c r="F685" t="s">
        <v>153</v>
      </c>
      <c r="G685" t="s">
        <v>95</v>
      </c>
      <c r="H685">
        <v>1</v>
      </c>
      <c r="I685" t="s">
        <v>2373</v>
      </c>
      <c r="J685" t="s">
        <v>357</v>
      </c>
    </row>
    <row r="686" spans="1:10" x14ac:dyDescent="0.25">
      <c r="A686" t="s">
        <v>2374</v>
      </c>
      <c r="B686" t="s">
        <v>2375</v>
      </c>
      <c r="C686" s="2">
        <v>46195.583333333336</v>
      </c>
      <c r="D686" t="s">
        <v>418</v>
      </c>
      <c r="E686" t="s">
        <v>26</v>
      </c>
      <c r="F686" t="s">
        <v>157</v>
      </c>
      <c r="G686" t="s">
        <v>103</v>
      </c>
      <c r="H686">
        <v>4</v>
      </c>
      <c r="I686" t="s">
        <v>2376</v>
      </c>
      <c r="J686" t="s">
        <v>357</v>
      </c>
    </row>
    <row r="687" spans="1:10" x14ac:dyDescent="0.25">
      <c r="A687" t="s">
        <v>2377</v>
      </c>
      <c r="B687" t="s">
        <v>2378</v>
      </c>
      <c r="C687" s="2">
        <v>46195.583333333336</v>
      </c>
      <c r="D687" t="s">
        <v>418</v>
      </c>
      <c r="E687" t="s">
        <v>45</v>
      </c>
      <c r="F687" t="s">
        <v>118</v>
      </c>
      <c r="G687" t="s">
        <v>119</v>
      </c>
      <c r="H687">
        <v>4</v>
      </c>
      <c r="I687" t="s">
        <v>2379</v>
      </c>
      <c r="J687" t="s">
        <v>357</v>
      </c>
    </row>
    <row r="688" spans="1:10" x14ac:dyDescent="0.25">
      <c r="A688" t="s">
        <v>2380</v>
      </c>
      <c r="B688" t="s">
        <v>2381</v>
      </c>
      <c r="C688" s="2">
        <v>46195.583333333336</v>
      </c>
      <c r="D688" t="s">
        <v>418</v>
      </c>
      <c r="E688" t="s">
        <v>57</v>
      </c>
      <c r="F688" t="s">
        <v>171</v>
      </c>
      <c r="G688" t="s">
        <v>131</v>
      </c>
      <c r="H688">
        <v>5</v>
      </c>
      <c r="I688" t="s">
        <v>2382</v>
      </c>
      <c r="J688" t="s">
        <v>357</v>
      </c>
    </row>
    <row r="689" spans="1:10" x14ac:dyDescent="0.25">
      <c r="A689" t="s">
        <v>2383</v>
      </c>
      <c r="B689" t="s">
        <v>2384</v>
      </c>
      <c r="C689" s="2">
        <v>46195.583333333336</v>
      </c>
      <c r="D689" t="s">
        <v>418</v>
      </c>
      <c r="E689" t="s">
        <v>71</v>
      </c>
      <c r="F689" t="s">
        <v>176</v>
      </c>
      <c r="G689" t="s">
        <v>141</v>
      </c>
      <c r="H689">
        <v>2</v>
      </c>
      <c r="I689" t="s">
        <v>2385</v>
      </c>
      <c r="J689" t="s">
        <v>357</v>
      </c>
    </row>
    <row r="690" spans="1:10" x14ac:dyDescent="0.25">
      <c r="A690" t="s">
        <v>2386</v>
      </c>
      <c r="B690" t="s">
        <v>2387</v>
      </c>
      <c r="C690" s="2">
        <v>46195.583333333336</v>
      </c>
      <c r="D690" t="s">
        <v>418</v>
      </c>
      <c r="E690" t="s">
        <v>73</v>
      </c>
      <c r="F690" t="s">
        <v>142</v>
      </c>
      <c r="G690" t="s">
        <v>143</v>
      </c>
      <c r="H690">
        <v>2</v>
      </c>
      <c r="I690" t="s">
        <v>2388</v>
      </c>
      <c r="J690" t="s">
        <v>357</v>
      </c>
    </row>
    <row r="691" spans="1:10" x14ac:dyDescent="0.25">
      <c r="A691" t="s">
        <v>2389</v>
      </c>
      <c r="B691" t="s">
        <v>2390</v>
      </c>
      <c r="C691" s="2">
        <v>46195.583333333336</v>
      </c>
      <c r="D691" t="s">
        <v>418</v>
      </c>
      <c r="E691" t="s">
        <v>18</v>
      </c>
      <c r="F691" t="s">
        <v>153</v>
      </c>
      <c r="G691" t="s">
        <v>95</v>
      </c>
      <c r="H691">
        <v>2</v>
      </c>
      <c r="I691" t="s">
        <v>2391</v>
      </c>
      <c r="J691" t="s">
        <v>357</v>
      </c>
    </row>
    <row r="692" spans="1:10" x14ac:dyDescent="0.25">
      <c r="A692" t="s">
        <v>2392</v>
      </c>
      <c r="B692" t="s">
        <v>2393</v>
      </c>
      <c r="C692" s="2">
        <v>46195.583333333336</v>
      </c>
      <c r="D692" t="s">
        <v>418</v>
      </c>
      <c r="E692" t="s">
        <v>24</v>
      </c>
      <c r="F692" t="s">
        <v>156</v>
      </c>
      <c r="G692" t="s">
        <v>101</v>
      </c>
      <c r="H692">
        <v>6</v>
      </c>
      <c r="I692" t="s">
        <v>2394</v>
      </c>
      <c r="J692" t="s">
        <v>357</v>
      </c>
    </row>
    <row r="693" spans="1:10" x14ac:dyDescent="0.25">
      <c r="A693" t="s">
        <v>2395</v>
      </c>
      <c r="B693" t="s">
        <v>2396</v>
      </c>
      <c r="C693" s="2">
        <v>46195.583333333336</v>
      </c>
      <c r="D693" t="s">
        <v>418</v>
      </c>
      <c r="E693" t="s">
        <v>26</v>
      </c>
      <c r="F693" t="s">
        <v>157</v>
      </c>
      <c r="G693" t="s">
        <v>103</v>
      </c>
      <c r="H693">
        <v>5</v>
      </c>
      <c r="I693" t="s">
        <v>2397</v>
      </c>
      <c r="J693" t="s">
        <v>357</v>
      </c>
    </row>
    <row r="694" spans="1:10" x14ac:dyDescent="0.25">
      <c r="A694" t="s">
        <v>2398</v>
      </c>
      <c r="B694" t="s">
        <v>2399</v>
      </c>
      <c r="C694" s="2">
        <v>46195.583333333336</v>
      </c>
      <c r="D694" t="s">
        <v>418</v>
      </c>
      <c r="E694" t="s">
        <v>32</v>
      </c>
      <c r="F694" t="s">
        <v>160</v>
      </c>
      <c r="G694" t="s">
        <v>109</v>
      </c>
      <c r="H694">
        <v>4</v>
      </c>
      <c r="I694" t="s">
        <v>2400</v>
      </c>
      <c r="J694" t="s">
        <v>357</v>
      </c>
    </row>
    <row r="695" spans="1:10" x14ac:dyDescent="0.25">
      <c r="A695" t="s">
        <v>2401</v>
      </c>
      <c r="B695" t="s">
        <v>2402</v>
      </c>
      <c r="C695" s="2">
        <v>46195.583333333336</v>
      </c>
      <c r="D695" t="s">
        <v>418</v>
      </c>
      <c r="E695" t="s">
        <v>41</v>
      </c>
      <c r="F695" t="s">
        <v>114</v>
      </c>
      <c r="G695" t="s">
        <v>115</v>
      </c>
      <c r="H695">
        <v>6</v>
      </c>
      <c r="I695" t="s">
        <v>2403</v>
      </c>
      <c r="J695" t="s">
        <v>357</v>
      </c>
    </row>
    <row r="696" spans="1:10" x14ac:dyDescent="0.25">
      <c r="A696" t="s">
        <v>2404</v>
      </c>
      <c r="B696" t="s">
        <v>2405</v>
      </c>
      <c r="C696" s="2">
        <v>46195.583333333336</v>
      </c>
      <c r="D696" t="s">
        <v>418</v>
      </c>
      <c r="E696" t="s">
        <v>47</v>
      </c>
      <c r="F696" t="s">
        <v>166</v>
      </c>
      <c r="G696" t="s">
        <v>121</v>
      </c>
      <c r="H696">
        <v>2</v>
      </c>
      <c r="I696" t="s">
        <v>2406</v>
      </c>
      <c r="J696" t="s">
        <v>357</v>
      </c>
    </row>
    <row r="697" spans="1:10" x14ac:dyDescent="0.25">
      <c r="A697" t="s">
        <v>2407</v>
      </c>
      <c r="B697" t="s">
        <v>2408</v>
      </c>
      <c r="C697" s="2">
        <v>46195.583333333336</v>
      </c>
      <c r="D697" t="s">
        <v>418</v>
      </c>
      <c r="E697" t="s">
        <v>65</v>
      </c>
      <c r="F697" t="s">
        <v>173</v>
      </c>
      <c r="G697" t="s">
        <v>135</v>
      </c>
      <c r="H697">
        <v>6</v>
      </c>
      <c r="I697" t="s">
        <v>2409</v>
      </c>
      <c r="J697" t="s">
        <v>357</v>
      </c>
    </row>
    <row r="698" spans="1:10" x14ac:dyDescent="0.25">
      <c r="A698" t="s">
        <v>2410</v>
      </c>
      <c r="B698" t="s">
        <v>2411</v>
      </c>
      <c r="C698" s="2">
        <v>46195.583333333336</v>
      </c>
      <c r="D698" t="s">
        <v>418</v>
      </c>
      <c r="E698" t="s">
        <v>67</v>
      </c>
      <c r="F698" t="s">
        <v>136</v>
      </c>
      <c r="G698" t="s">
        <v>137</v>
      </c>
      <c r="H698">
        <v>6</v>
      </c>
      <c r="I698" t="s">
        <v>2412</v>
      </c>
      <c r="J698" t="s">
        <v>357</v>
      </c>
    </row>
    <row r="699" spans="1:10" x14ac:dyDescent="0.25">
      <c r="A699" t="s">
        <v>2413</v>
      </c>
      <c r="B699" t="s">
        <v>2414</v>
      </c>
      <c r="C699" s="2">
        <v>46195.583333333336</v>
      </c>
      <c r="D699" t="s">
        <v>418</v>
      </c>
      <c r="E699" t="s">
        <v>71</v>
      </c>
      <c r="F699" t="s">
        <v>176</v>
      </c>
      <c r="G699" t="s">
        <v>141</v>
      </c>
      <c r="H699">
        <v>1</v>
      </c>
      <c r="I699" t="s">
        <v>2415</v>
      </c>
      <c r="J699" t="s">
        <v>357</v>
      </c>
    </row>
    <row r="700" spans="1:10" x14ac:dyDescent="0.25">
      <c r="A700" t="s">
        <v>2416</v>
      </c>
      <c r="B700" t="s">
        <v>2417</v>
      </c>
      <c r="C700" s="2">
        <v>46195.583333333336</v>
      </c>
      <c r="D700" t="s">
        <v>418</v>
      </c>
      <c r="E700" t="s">
        <v>18</v>
      </c>
      <c r="F700" t="s">
        <v>153</v>
      </c>
      <c r="G700" t="s">
        <v>95</v>
      </c>
      <c r="H700">
        <v>7</v>
      </c>
      <c r="I700" t="s">
        <v>2418</v>
      </c>
      <c r="J700" t="s">
        <v>357</v>
      </c>
    </row>
    <row r="701" spans="1:10" x14ac:dyDescent="0.25">
      <c r="A701" t="s">
        <v>2419</v>
      </c>
      <c r="B701" t="s">
        <v>2420</v>
      </c>
      <c r="C701" s="2">
        <v>46195.583333333336</v>
      </c>
      <c r="D701" t="s">
        <v>418</v>
      </c>
      <c r="E701" t="s">
        <v>24</v>
      </c>
      <c r="F701" t="s">
        <v>156</v>
      </c>
      <c r="G701" t="s">
        <v>101</v>
      </c>
      <c r="H701">
        <v>3</v>
      </c>
      <c r="I701" t="s">
        <v>2421</v>
      </c>
      <c r="J701" t="s">
        <v>357</v>
      </c>
    </row>
    <row r="702" spans="1:10" x14ac:dyDescent="0.25">
      <c r="A702" t="s">
        <v>2422</v>
      </c>
      <c r="B702" t="s">
        <v>2423</v>
      </c>
      <c r="C702" s="2">
        <v>46195.583333333336</v>
      </c>
      <c r="D702" t="s">
        <v>418</v>
      </c>
      <c r="E702" t="s">
        <v>26</v>
      </c>
      <c r="F702" t="s">
        <v>157</v>
      </c>
      <c r="G702" t="s">
        <v>103</v>
      </c>
      <c r="H702">
        <v>3</v>
      </c>
      <c r="I702" t="s">
        <v>2424</v>
      </c>
      <c r="J702" t="s">
        <v>357</v>
      </c>
    </row>
    <row r="703" spans="1:10" x14ac:dyDescent="0.25">
      <c r="A703" t="s">
        <v>2425</v>
      </c>
      <c r="B703" t="s">
        <v>2426</v>
      </c>
      <c r="C703" s="2">
        <v>46195.583333333336</v>
      </c>
      <c r="D703" t="s">
        <v>418</v>
      </c>
      <c r="E703" t="s">
        <v>28</v>
      </c>
      <c r="F703" t="s">
        <v>158</v>
      </c>
      <c r="G703" t="s">
        <v>105</v>
      </c>
      <c r="H703">
        <v>4</v>
      </c>
      <c r="I703" t="s">
        <v>2427</v>
      </c>
      <c r="J703" t="s">
        <v>357</v>
      </c>
    </row>
    <row r="704" spans="1:10" x14ac:dyDescent="0.25">
      <c r="A704" t="s">
        <v>2428</v>
      </c>
      <c r="B704" t="s">
        <v>2429</v>
      </c>
      <c r="C704" s="2">
        <v>46195.583333333336</v>
      </c>
      <c r="D704" t="s">
        <v>418</v>
      </c>
      <c r="E704" t="s">
        <v>41</v>
      </c>
      <c r="F704" t="s">
        <v>114</v>
      </c>
      <c r="G704" t="s">
        <v>115</v>
      </c>
      <c r="H704">
        <v>3</v>
      </c>
      <c r="I704" t="s">
        <v>2430</v>
      </c>
      <c r="J704" t="s">
        <v>357</v>
      </c>
    </row>
    <row r="705" spans="1:10" x14ac:dyDescent="0.25">
      <c r="A705" t="s">
        <v>2431</v>
      </c>
      <c r="B705" t="s">
        <v>2432</v>
      </c>
      <c r="C705" s="2">
        <v>46195.583333333336</v>
      </c>
      <c r="D705" t="s">
        <v>418</v>
      </c>
      <c r="E705" t="s">
        <v>67</v>
      </c>
      <c r="F705" t="s">
        <v>136</v>
      </c>
      <c r="G705" t="s">
        <v>137</v>
      </c>
      <c r="H705">
        <v>6</v>
      </c>
      <c r="I705" t="s">
        <v>2433</v>
      </c>
      <c r="J705" t="s">
        <v>357</v>
      </c>
    </row>
    <row r="706" spans="1:10" x14ac:dyDescent="0.25">
      <c r="A706" t="s">
        <v>2434</v>
      </c>
      <c r="B706" t="s">
        <v>2435</v>
      </c>
      <c r="C706" s="2">
        <v>46195.583333333336</v>
      </c>
      <c r="D706" t="s">
        <v>418</v>
      </c>
      <c r="E706" t="s">
        <v>24</v>
      </c>
      <c r="F706" t="s">
        <v>156</v>
      </c>
      <c r="G706" t="s">
        <v>101</v>
      </c>
      <c r="H706">
        <v>4</v>
      </c>
      <c r="I706" t="s">
        <v>2436</v>
      </c>
      <c r="J706" t="s">
        <v>357</v>
      </c>
    </row>
    <row r="707" spans="1:10" x14ac:dyDescent="0.25">
      <c r="A707" t="s">
        <v>2437</v>
      </c>
      <c r="B707" t="s">
        <v>2438</v>
      </c>
      <c r="C707" s="2">
        <v>46195.583333333336</v>
      </c>
      <c r="D707" t="s">
        <v>418</v>
      </c>
      <c r="E707" t="s">
        <v>26</v>
      </c>
      <c r="F707" t="s">
        <v>157</v>
      </c>
      <c r="G707" t="s">
        <v>103</v>
      </c>
      <c r="H707">
        <v>1</v>
      </c>
      <c r="I707" t="s">
        <v>2439</v>
      </c>
      <c r="J707" t="s">
        <v>357</v>
      </c>
    </row>
    <row r="708" spans="1:10" x14ac:dyDescent="0.25">
      <c r="A708" t="s">
        <v>2440</v>
      </c>
      <c r="B708" t="s">
        <v>2441</v>
      </c>
      <c r="C708" s="2">
        <v>46195.583333333336</v>
      </c>
      <c r="D708" t="s">
        <v>418</v>
      </c>
      <c r="E708" t="s">
        <v>30</v>
      </c>
      <c r="F708" t="s">
        <v>106</v>
      </c>
      <c r="G708" t="s">
        <v>107</v>
      </c>
      <c r="H708">
        <v>4</v>
      </c>
      <c r="I708" t="s">
        <v>2442</v>
      </c>
      <c r="J708" t="s">
        <v>357</v>
      </c>
    </row>
    <row r="709" spans="1:10" x14ac:dyDescent="0.25">
      <c r="A709" t="s">
        <v>2443</v>
      </c>
      <c r="B709" t="s">
        <v>2444</v>
      </c>
      <c r="C709" s="2">
        <v>46195.583333333336</v>
      </c>
      <c r="D709" t="s">
        <v>418</v>
      </c>
      <c r="E709" t="s">
        <v>36</v>
      </c>
      <c r="F709" t="s">
        <v>162</v>
      </c>
      <c r="G709" t="s">
        <v>113</v>
      </c>
      <c r="H709">
        <v>3</v>
      </c>
      <c r="I709" t="s">
        <v>2445</v>
      </c>
      <c r="J709" t="s">
        <v>357</v>
      </c>
    </row>
    <row r="710" spans="1:10" x14ac:dyDescent="0.25">
      <c r="A710" t="s">
        <v>2446</v>
      </c>
      <c r="B710" t="s">
        <v>2447</v>
      </c>
      <c r="C710" s="2">
        <v>46195.583333333336</v>
      </c>
      <c r="D710" t="s">
        <v>418</v>
      </c>
      <c r="E710" t="s">
        <v>41</v>
      </c>
      <c r="F710" t="s">
        <v>114</v>
      </c>
      <c r="G710" t="s">
        <v>115</v>
      </c>
      <c r="H710">
        <v>1</v>
      </c>
      <c r="I710" t="s">
        <v>2448</v>
      </c>
      <c r="J710" t="s">
        <v>357</v>
      </c>
    </row>
    <row r="711" spans="1:10" x14ac:dyDescent="0.25">
      <c r="A711" t="s">
        <v>2449</v>
      </c>
      <c r="B711" t="s">
        <v>2450</v>
      </c>
      <c r="C711" s="2">
        <v>46195.583333333336</v>
      </c>
      <c r="D711" t="s">
        <v>418</v>
      </c>
      <c r="E711" t="s">
        <v>55</v>
      </c>
      <c r="F711" t="s">
        <v>128</v>
      </c>
      <c r="G711" t="s">
        <v>129</v>
      </c>
      <c r="H711">
        <v>3</v>
      </c>
      <c r="I711" t="s">
        <v>2451</v>
      </c>
      <c r="J711" t="s">
        <v>357</v>
      </c>
    </row>
    <row r="712" spans="1:10" x14ac:dyDescent="0.25">
      <c r="A712" t="s">
        <v>2452</v>
      </c>
      <c r="B712" t="s">
        <v>2453</v>
      </c>
      <c r="C712" s="2">
        <v>46195.583333333336</v>
      </c>
      <c r="D712" t="s">
        <v>418</v>
      </c>
      <c r="E712" t="s">
        <v>59</v>
      </c>
      <c r="F712" t="s">
        <v>132</v>
      </c>
      <c r="G712" t="s">
        <v>133</v>
      </c>
      <c r="H712">
        <v>3</v>
      </c>
      <c r="I712" t="s">
        <v>2454</v>
      </c>
      <c r="J712" t="s">
        <v>357</v>
      </c>
    </row>
    <row r="713" spans="1:10" x14ac:dyDescent="0.25">
      <c r="A713" t="s">
        <v>2455</v>
      </c>
      <c r="B713" t="s">
        <v>2456</v>
      </c>
      <c r="C713" s="2">
        <v>46195.583333333336</v>
      </c>
      <c r="D713" t="s">
        <v>418</v>
      </c>
      <c r="E713" t="s">
        <v>75</v>
      </c>
      <c r="F713" t="s">
        <v>144</v>
      </c>
      <c r="G713" t="s">
        <v>145</v>
      </c>
      <c r="H713">
        <v>1</v>
      </c>
      <c r="I713" t="s">
        <v>2457</v>
      </c>
      <c r="J713" t="s">
        <v>357</v>
      </c>
    </row>
    <row r="714" spans="1:10" x14ac:dyDescent="0.25">
      <c r="A714" t="s">
        <v>2458</v>
      </c>
      <c r="B714" t="s">
        <v>2459</v>
      </c>
      <c r="C714" s="2">
        <v>46195.583333333336</v>
      </c>
      <c r="D714" t="s">
        <v>418</v>
      </c>
      <c r="E714" t="s">
        <v>77</v>
      </c>
      <c r="F714" t="s">
        <v>146</v>
      </c>
      <c r="G714" t="s">
        <v>147</v>
      </c>
      <c r="H714">
        <v>4</v>
      </c>
      <c r="I714" t="s">
        <v>2460</v>
      </c>
      <c r="J714" t="s">
        <v>357</v>
      </c>
    </row>
    <row r="715" spans="1:10" x14ac:dyDescent="0.25">
      <c r="A715" t="s">
        <v>2461</v>
      </c>
      <c r="B715" t="s">
        <v>2462</v>
      </c>
      <c r="C715" s="2">
        <v>46196.333333333336</v>
      </c>
      <c r="D715" t="s">
        <v>1412</v>
      </c>
      <c r="E715" t="s">
        <v>11</v>
      </c>
      <c r="F715" t="s">
        <v>180</v>
      </c>
      <c r="G715" t="s">
        <v>92</v>
      </c>
      <c r="H715">
        <v>96</v>
      </c>
      <c r="I715" t="s">
        <v>357</v>
      </c>
      <c r="J715" t="s">
        <v>2463</v>
      </c>
    </row>
    <row r="716" spans="1:10" x14ac:dyDescent="0.25">
      <c r="A716" t="s">
        <v>2464</v>
      </c>
      <c r="B716" t="s">
        <v>2465</v>
      </c>
      <c r="C716" s="2">
        <v>46196.333333333336</v>
      </c>
      <c r="D716" t="s">
        <v>1412</v>
      </c>
      <c r="E716" t="s">
        <v>18</v>
      </c>
      <c r="F716" t="s">
        <v>181</v>
      </c>
      <c r="G716" t="s">
        <v>95</v>
      </c>
      <c r="H716">
        <v>83</v>
      </c>
      <c r="I716" t="s">
        <v>357</v>
      </c>
      <c r="J716" t="s">
        <v>2466</v>
      </c>
    </row>
    <row r="717" spans="1:10" x14ac:dyDescent="0.25">
      <c r="A717" t="s">
        <v>2467</v>
      </c>
      <c r="B717" t="s">
        <v>2468</v>
      </c>
      <c r="C717" s="2">
        <v>46196.333333333336</v>
      </c>
      <c r="D717" t="s">
        <v>1412</v>
      </c>
      <c r="E717" t="s">
        <v>20</v>
      </c>
      <c r="F717" t="s">
        <v>182</v>
      </c>
      <c r="G717" t="s">
        <v>97</v>
      </c>
      <c r="H717">
        <v>85</v>
      </c>
      <c r="I717" t="s">
        <v>357</v>
      </c>
      <c r="J717" t="s">
        <v>2469</v>
      </c>
    </row>
    <row r="718" spans="1:10" x14ac:dyDescent="0.25">
      <c r="A718" t="s">
        <v>2470</v>
      </c>
      <c r="B718" t="s">
        <v>2471</v>
      </c>
      <c r="C718" s="2">
        <v>46196.333333333336</v>
      </c>
      <c r="D718" t="s">
        <v>1412</v>
      </c>
      <c r="E718" t="s">
        <v>22</v>
      </c>
      <c r="F718" t="s">
        <v>183</v>
      </c>
      <c r="G718" t="s">
        <v>99</v>
      </c>
      <c r="H718">
        <v>99</v>
      </c>
      <c r="I718" t="s">
        <v>357</v>
      </c>
      <c r="J718" t="s">
        <v>2472</v>
      </c>
    </row>
    <row r="719" spans="1:10" x14ac:dyDescent="0.25">
      <c r="A719" t="s">
        <v>2473</v>
      </c>
      <c r="B719" t="s">
        <v>2474</v>
      </c>
      <c r="C719" s="2">
        <v>46196.333333333336</v>
      </c>
      <c r="D719" t="s">
        <v>1412</v>
      </c>
      <c r="E719" t="s">
        <v>24</v>
      </c>
      <c r="F719" t="s">
        <v>184</v>
      </c>
      <c r="G719" t="s">
        <v>101</v>
      </c>
      <c r="H719">
        <v>71</v>
      </c>
      <c r="I719" t="s">
        <v>357</v>
      </c>
      <c r="J719" t="s">
        <v>2475</v>
      </c>
    </row>
    <row r="720" spans="1:10" x14ac:dyDescent="0.25">
      <c r="A720" t="s">
        <v>2476</v>
      </c>
      <c r="B720" t="s">
        <v>2477</v>
      </c>
      <c r="C720" s="2">
        <v>46196.333333333336</v>
      </c>
      <c r="D720" t="s">
        <v>1412</v>
      </c>
      <c r="E720" t="s">
        <v>26</v>
      </c>
      <c r="F720" t="s">
        <v>185</v>
      </c>
      <c r="G720" t="s">
        <v>103</v>
      </c>
      <c r="H720">
        <v>71</v>
      </c>
      <c r="I720" t="s">
        <v>357</v>
      </c>
      <c r="J720" t="s">
        <v>2478</v>
      </c>
    </row>
    <row r="721" spans="1:10" x14ac:dyDescent="0.25">
      <c r="A721" t="s">
        <v>2479</v>
      </c>
      <c r="B721" t="s">
        <v>2480</v>
      </c>
      <c r="C721" s="2">
        <v>46196.333333333336</v>
      </c>
      <c r="D721" t="s">
        <v>1412</v>
      </c>
      <c r="E721" t="s">
        <v>32</v>
      </c>
      <c r="F721" t="s">
        <v>186</v>
      </c>
      <c r="G721" t="s">
        <v>109</v>
      </c>
      <c r="H721">
        <v>71</v>
      </c>
      <c r="I721" t="s">
        <v>357</v>
      </c>
      <c r="J721" t="s">
        <v>2481</v>
      </c>
    </row>
    <row r="722" spans="1:10" x14ac:dyDescent="0.25">
      <c r="A722" t="s">
        <v>2482</v>
      </c>
      <c r="B722" t="s">
        <v>2483</v>
      </c>
      <c r="C722" s="2">
        <v>46196.333333333336</v>
      </c>
      <c r="D722" t="s">
        <v>1412</v>
      </c>
      <c r="E722" t="s">
        <v>36</v>
      </c>
      <c r="F722" t="s">
        <v>187</v>
      </c>
      <c r="G722" t="s">
        <v>113</v>
      </c>
      <c r="H722">
        <v>98</v>
      </c>
      <c r="I722" t="s">
        <v>357</v>
      </c>
      <c r="J722" t="s">
        <v>2484</v>
      </c>
    </row>
    <row r="723" spans="1:10" x14ac:dyDescent="0.25">
      <c r="A723" t="s">
        <v>2485</v>
      </c>
      <c r="B723" t="s">
        <v>2486</v>
      </c>
      <c r="C723" s="2">
        <v>46196.333333333336</v>
      </c>
      <c r="D723" t="s">
        <v>1412</v>
      </c>
      <c r="E723" t="s">
        <v>41</v>
      </c>
      <c r="F723" t="s">
        <v>188</v>
      </c>
      <c r="G723" t="s">
        <v>115</v>
      </c>
      <c r="H723">
        <v>80</v>
      </c>
      <c r="I723" t="s">
        <v>357</v>
      </c>
      <c r="J723" t="s">
        <v>2487</v>
      </c>
    </row>
    <row r="724" spans="1:10" x14ac:dyDescent="0.25">
      <c r="A724" t="s">
        <v>2488</v>
      </c>
      <c r="B724" t="s">
        <v>2489</v>
      </c>
      <c r="C724" s="2">
        <v>46196.333333333336</v>
      </c>
      <c r="D724" t="s">
        <v>1412</v>
      </c>
      <c r="E724" t="s">
        <v>45</v>
      </c>
      <c r="F724" t="s">
        <v>189</v>
      </c>
      <c r="G724" t="s">
        <v>119</v>
      </c>
      <c r="H724">
        <v>69</v>
      </c>
      <c r="I724" t="s">
        <v>357</v>
      </c>
      <c r="J724" t="s">
        <v>2490</v>
      </c>
    </row>
    <row r="725" spans="1:10" x14ac:dyDescent="0.25">
      <c r="A725" t="s">
        <v>2491</v>
      </c>
      <c r="B725" t="s">
        <v>2492</v>
      </c>
      <c r="C725" s="2">
        <v>46196.333333333336</v>
      </c>
      <c r="D725" t="s">
        <v>1412</v>
      </c>
      <c r="E725" t="s">
        <v>47</v>
      </c>
      <c r="F725" t="s">
        <v>190</v>
      </c>
      <c r="G725" t="s">
        <v>121</v>
      </c>
      <c r="H725">
        <v>75</v>
      </c>
      <c r="I725" t="s">
        <v>357</v>
      </c>
      <c r="J725" t="s">
        <v>2493</v>
      </c>
    </row>
    <row r="726" spans="1:10" x14ac:dyDescent="0.25">
      <c r="A726" t="s">
        <v>2494</v>
      </c>
      <c r="B726" t="s">
        <v>2495</v>
      </c>
      <c r="C726" s="2">
        <v>46196.333333333336</v>
      </c>
      <c r="D726" t="s">
        <v>1412</v>
      </c>
      <c r="E726" t="s">
        <v>49</v>
      </c>
      <c r="F726" t="s">
        <v>191</v>
      </c>
      <c r="G726" t="s">
        <v>123</v>
      </c>
      <c r="H726">
        <v>89</v>
      </c>
      <c r="I726" t="s">
        <v>357</v>
      </c>
      <c r="J726" t="s">
        <v>2496</v>
      </c>
    </row>
    <row r="727" spans="1:10" x14ac:dyDescent="0.25">
      <c r="A727" t="s">
        <v>2497</v>
      </c>
      <c r="B727" t="s">
        <v>2498</v>
      </c>
      <c r="C727" s="2">
        <v>46196.333333333336</v>
      </c>
      <c r="D727" t="s">
        <v>1412</v>
      </c>
      <c r="E727" t="s">
        <v>55</v>
      </c>
      <c r="F727" t="s">
        <v>192</v>
      </c>
      <c r="G727" t="s">
        <v>129</v>
      </c>
      <c r="H727">
        <v>69</v>
      </c>
      <c r="I727" t="s">
        <v>357</v>
      </c>
      <c r="J727" t="s">
        <v>2499</v>
      </c>
    </row>
    <row r="728" spans="1:10" x14ac:dyDescent="0.25">
      <c r="A728" t="s">
        <v>2500</v>
      </c>
      <c r="B728" t="s">
        <v>2501</v>
      </c>
      <c r="C728" s="2">
        <v>46196.333333333336</v>
      </c>
      <c r="D728" t="s">
        <v>1412</v>
      </c>
      <c r="E728" t="s">
        <v>57</v>
      </c>
      <c r="F728" t="s">
        <v>193</v>
      </c>
      <c r="G728" t="s">
        <v>131</v>
      </c>
      <c r="H728">
        <v>76</v>
      </c>
      <c r="I728" t="s">
        <v>357</v>
      </c>
      <c r="J728" t="s">
        <v>2502</v>
      </c>
    </row>
    <row r="729" spans="1:10" x14ac:dyDescent="0.25">
      <c r="A729" t="s">
        <v>2503</v>
      </c>
      <c r="B729" t="s">
        <v>2504</v>
      </c>
      <c r="C729" s="2">
        <v>46196.333333333336</v>
      </c>
      <c r="D729" t="s">
        <v>1412</v>
      </c>
      <c r="E729" t="s">
        <v>59</v>
      </c>
      <c r="F729" t="s">
        <v>194</v>
      </c>
      <c r="G729" t="s">
        <v>133</v>
      </c>
      <c r="H729">
        <v>64</v>
      </c>
      <c r="I729" t="s">
        <v>357</v>
      </c>
      <c r="J729" t="s">
        <v>2505</v>
      </c>
    </row>
    <row r="730" spans="1:10" x14ac:dyDescent="0.25">
      <c r="A730" t="s">
        <v>2506</v>
      </c>
      <c r="B730" t="s">
        <v>2507</v>
      </c>
      <c r="C730" s="2">
        <v>46196.333333333336</v>
      </c>
      <c r="D730" t="s">
        <v>1412</v>
      </c>
      <c r="E730" t="s">
        <v>65</v>
      </c>
      <c r="F730" t="s">
        <v>195</v>
      </c>
      <c r="G730" t="s">
        <v>135</v>
      </c>
      <c r="H730">
        <v>72</v>
      </c>
      <c r="I730" t="s">
        <v>357</v>
      </c>
      <c r="J730" t="s">
        <v>2508</v>
      </c>
    </row>
    <row r="731" spans="1:10" x14ac:dyDescent="0.25">
      <c r="A731" t="s">
        <v>2509</v>
      </c>
      <c r="B731" t="s">
        <v>2510</v>
      </c>
      <c r="C731" s="2">
        <v>46196.333333333336</v>
      </c>
      <c r="D731" t="s">
        <v>1412</v>
      </c>
      <c r="E731" t="s">
        <v>67</v>
      </c>
      <c r="F731" t="s">
        <v>196</v>
      </c>
      <c r="G731" t="s">
        <v>137</v>
      </c>
      <c r="H731">
        <v>84</v>
      </c>
      <c r="I731" t="s">
        <v>357</v>
      </c>
      <c r="J731" t="s">
        <v>2511</v>
      </c>
    </row>
    <row r="732" spans="1:10" x14ac:dyDescent="0.25">
      <c r="A732" t="s">
        <v>2512</v>
      </c>
      <c r="B732" t="s">
        <v>2513</v>
      </c>
      <c r="C732" s="2">
        <v>46196.333333333336</v>
      </c>
      <c r="D732" t="s">
        <v>1412</v>
      </c>
      <c r="E732" t="s">
        <v>69</v>
      </c>
      <c r="F732" t="s">
        <v>197</v>
      </c>
      <c r="G732" t="s">
        <v>139</v>
      </c>
      <c r="H732">
        <v>77</v>
      </c>
      <c r="I732" t="s">
        <v>357</v>
      </c>
      <c r="J732" t="s">
        <v>2514</v>
      </c>
    </row>
    <row r="733" spans="1:10" x14ac:dyDescent="0.25">
      <c r="A733" t="s">
        <v>2515</v>
      </c>
      <c r="B733" t="s">
        <v>2516</v>
      </c>
      <c r="C733" s="2">
        <v>46196.333333333336</v>
      </c>
      <c r="D733" t="s">
        <v>1412</v>
      </c>
      <c r="E733" t="s">
        <v>71</v>
      </c>
      <c r="F733" t="s">
        <v>198</v>
      </c>
      <c r="G733" t="s">
        <v>141</v>
      </c>
      <c r="H733">
        <v>67</v>
      </c>
      <c r="I733" t="s">
        <v>357</v>
      </c>
      <c r="J733" t="s">
        <v>2517</v>
      </c>
    </row>
    <row r="734" spans="1:10" x14ac:dyDescent="0.25">
      <c r="A734" t="s">
        <v>2518</v>
      </c>
      <c r="B734" t="s">
        <v>2519</v>
      </c>
      <c r="C734" s="2">
        <v>46196.333333333336</v>
      </c>
      <c r="D734" t="s">
        <v>1412</v>
      </c>
      <c r="E734" t="s">
        <v>75</v>
      </c>
      <c r="F734" t="s">
        <v>199</v>
      </c>
      <c r="G734" t="s">
        <v>145</v>
      </c>
      <c r="H734">
        <v>67</v>
      </c>
      <c r="I734" t="s">
        <v>357</v>
      </c>
      <c r="J734" t="s">
        <v>2520</v>
      </c>
    </row>
    <row r="735" spans="1:10" x14ac:dyDescent="0.25">
      <c r="A735" t="s">
        <v>2521</v>
      </c>
      <c r="B735" t="s">
        <v>2522</v>
      </c>
      <c r="C735" s="2">
        <v>46196.333333333336</v>
      </c>
      <c r="D735" t="s">
        <v>1412</v>
      </c>
      <c r="E735" t="s">
        <v>77</v>
      </c>
      <c r="F735" t="s">
        <v>200</v>
      </c>
      <c r="G735" t="s">
        <v>147</v>
      </c>
      <c r="H735">
        <v>91</v>
      </c>
      <c r="I735" t="s">
        <v>357</v>
      </c>
      <c r="J735" t="s">
        <v>2523</v>
      </c>
    </row>
    <row r="736" spans="1:10" x14ac:dyDescent="0.25">
      <c r="A736" t="s">
        <v>2524</v>
      </c>
      <c r="B736" t="s">
        <v>2525</v>
      </c>
      <c r="C736" s="2">
        <v>46196.583333333336</v>
      </c>
      <c r="D736" t="s">
        <v>418</v>
      </c>
      <c r="E736" t="s">
        <v>18</v>
      </c>
      <c r="F736" t="s">
        <v>153</v>
      </c>
      <c r="G736" t="s">
        <v>95</v>
      </c>
      <c r="H736">
        <v>3</v>
      </c>
      <c r="I736" t="s">
        <v>2526</v>
      </c>
      <c r="J736" t="s">
        <v>357</v>
      </c>
    </row>
    <row r="737" spans="1:10" x14ac:dyDescent="0.25">
      <c r="A737" t="s">
        <v>2527</v>
      </c>
      <c r="B737" t="s">
        <v>2528</v>
      </c>
      <c r="C737" s="2">
        <v>46196.583333333336</v>
      </c>
      <c r="D737" t="s">
        <v>418</v>
      </c>
      <c r="E737" t="s">
        <v>22</v>
      </c>
      <c r="F737" t="s">
        <v>183</v>
      </c>
      <c r="G737" t="s">
        <v>99</v>
      </c>
      <c r="H737">
        <v>2</v>
      </c>
      <c r="I737" t="s">
        <v>2529</v>
      </c>
      <c r="J737" t="s">
        <v>357</v>
      </c>
    </row>
    <row r="738" spans="1:10" x14ac:dyDescent="0.25">
      <c r="A738" t="s">
        <v>2530</v>
      </c>
      <c r="B738" t="s">
        <v>2531</v>
      </c>
      <c r="C738" s="2">
        <v>46196.583333333336</v>
      </c>
      <c r="D738" t="s">
        <v>418</v>
      </c>
      <c r="E738" t="s">
        <v>26</v>
      </c>
      <c r="F738" t="s">
        <v>185</v>
      </c>
      <c r="G738" t="s">
        <v>103</v>
      </c>
      <c r="H738">
        <v>3</v>
      </c>
      <c r="I738" t="s">
        <v>2532</v>
      </c>
      <c r="J738" t="s">
        <v>357</v>
      </c>
    </row>
    <row r="739" spans="1:10" x14ac:dyDescent="0.25">
      <c r="A739" t="s">
        <v>2533</v>
      </c>
      <c r="B739" t="s">
        <v>2534</v>
      </c>
      <c r="C739" s="2">
        <v>46196.583333333336</v>
      </c>
      <c r="D739" t="s">
        <v>418</v>
      </c>
      <c r="E739" t="s">
        <v>28</v>
      </c>
      <c r="F739" t="s">
        <v>158</v>
      </c>
      <c r="G739" t="s">
        <v>105</v>
      </c>
      <c r="H739">
        <v>1</v>
      </c>
      <c r="I739" t="s">
        <v>2535</v>
      </c>
      <c r="J739" t="s">
        <v>357</v>
      </c>
    </row>
    <row r="740" spans="1:10" x14ac:dyDescent="0.25">
      <c r="A740" t="s">
        <v>2536</v>
      </c>
      <c r="B740" t="s">
        <v>2537</v>
      </c>
      <c r="C740" s="2">
        <v>46196.583333333336</v>
      </c>
      <c r="D740" t="s">
        <v>418</v>
      </c>
      <c r="E740" t="s">
        <v>30</v>
      </c>
      <c r="F740" t="s">
        <v>106</v>
      </c>
      <c r="G740" t="s">
        <v>107</v>
      </c>
      <c r="H740">
        <v>2</v>
      </c>
      <c r="I740" t="s">
        <v>2538</v>
      </c>
      <c r="J740" t="s">
        <v>357</v>
      </c>
    </row>
    <row r="741" spans="1:10" x14ac:dyDescent="0.25">
      <c r="A741" t="s">
        <v>2539</v>
      </c>
      <c r="B741" t="s">
        <v>2540</v>
      </c>
      <c r="C741" s="2">
        <v>46196.583333333336</v>
      </c>
      <c r="D741" t="s">
        <v>418</v>
      </c>
      <c r="E741" t="s">
        <v>36</v>
      </c>
      <c r="F741" t="s">
        <v>162</v>
      </c>
      <c r="G741" t="s">
        <v>113</v>
      </c>
      <c r="H741">
        <v>4</v>
      </c>
      <c r="I741" t="s">
        <v>2541</v>
      </c>
      <c r="J741" t="s">
        <v>357</v>
      </c>
    </row>
    <row r="742" spans="1:10" x14ac:dyDescent="0.25">
      <c r="A742" t="s">
        <v>2542</v>
      </c>
      <c r="B742" t="s">
        <v>2543</v>
      </c>
      <c r="C742" s="2">
        <v>46196.583333333336</v>
      </c>
      <c r="D742" t="s">
        <v>418</v>
      </c>
      <c r="E742" t="s">
        <v>45</v>
      </c>
      <c r="F742" t="s">
        <v>118</v>
      </c>
      <c r="G742" t="s">
        <v>119</v>
      </c>
      <c r="H742">
        <v>4</v>
      </c>
      <c r="I742" t="s">
        <v>2544</v>
      </c>
      <c r="J742" t="s">
        <v>357</v>
      </c>
    </row>
    <row r="743" spans="1:10" x14ac:dyDescent="0.25">
      <c r="A743" t="s">
        <v>2545</v>
      </c>
      <c r="B743" t="s">
        <v>2546</v>
      </c>
      <c r="C743" s="2">
        <v>46196.583333333336</v>
      </c>
      <c r="D743" t="s">
        <v>418</v>
      </c>
      <c r="E743" t="s">
        <v>49</v>
      </c>
      <c r="F743" t="s">
        <v>167</v>
      </c>
      <c r="G743" t="s">
        <v>123</v>
      </c>
      <c r="H743">
        <v>2</v>
      </c>
      <c r="I743" t="s">
        <v>2547</v>
      </c>
      <c r="J743" t="s">
        <v>357</v>
      </c>
    </row>
    <row r="744" spans="1:10" x14ac:dyDescent="0.25">
      <c r="A744" t="s">
        <v>2548</v>
      </c>
      <c r="B744" t="s">
        <v>2549</v>
      </c>
      <c r="C744" s="2">
        <v>46196.583333333336</v>
      </c>
      <c r="D744" t="s">
        <v>418</v>
      </c>
      <c r="E744" t="s">
        <v>53</v>
      </c>
      <c r="F744" t="s">
        <v>169</v>
      </c>
      <c r="G744" t="s">
        <v>127</v>
      </c>
      <c r="H744">
        <v>4</v>
      </c>
      <c r="I744" t="s">
        <v>2550</v>
      </c>
      <c r="J744" t="s">
        <v>357</v>
      </c>
    </row>
    <row r="745" spans="1:10" x14ac:dyDescent="0.25">
      <c r="A745" t="s">
        <v>2551</v>
      </c>
      <c r="B745" t="s">
        <v>2552</v>
      </c>
      <c r="C745" s="2">
        <v>46196.583333333336</v>
      </c>
      <c r="D745" t="s">
        <v>418</v>
      </c>
      <c r="E745" t="s">
        <v>67</v>
      </c>
      <c r="F745" t="s">
        <v>136</v>
      </c>
      <c r="G745" t="s">
        <v>137</v>
      </c>
      <c r="H745">
        <v>2</v>
      </c>
      <c r="I745" t="s">
        <v>2553</v>
      </c>
      <c r="J745" t="s">
        <v>357</v>
      </c>
    </row>
    <row r="746" spans="1:10" x14ac:dyDescent="0.25">
      <c r="A746" t="s">
        <v>2554</v>
      </c>
      <c r="B746" t="s">
        <v>2555</v>
      </c>
      <c r="C746" s="2">
        <v>46196.583333333336</v>
      </c>
      <c r="D746" t="s">
        <v>418</v>
      </c>
      <c r="E746" t="s">
        <v>71</v>
      </c>
      <c r="F746" t="s">
        <v>176</v>
      </c>
      <c r="G746" t="s">
        <v>141</v>
      </c>
      <c r="H746">
        <v>2</v>
      </c>
      <c r="I746" t="s">
        <v>2556</v>
      </c>
      <c r="J746" t="s">
        <v>357</v>
      </c>
    </row>
    <row r="747" spans="1:10" x14ac:dyDescent="0.25">
      <c r="A747" t="s">
        <v>2557</v>
      </c>
      <c r="B747" t="s">
        <v>2558</v>
      </c>
      <c r="C747" s="2">
        <v>46196.583333333336</v>
      </c>
      <c r="D747" t="s">
        <v>418</v>
      </c>
      <c r="E747" t="s">
        <v>11</v>
      </c>
      <c r="F747" t="s">
        <v>152</v>
      </c>
      <c r="G747" t="s">
        <v>92</v>
      </c>
      <c r="H747">
        <v>5</v>
      </c>
      <c r="I747" t="s">
        <v>2559</v>
      </c>
      <c r="J747" t="s">
        <v>357</v>
      </c>
    </row>
    <row r="748" spans="1:10" x14ac:dyDescent="0.25">
      <c r="A748" t="s">
        <v>2560</v>
      </c>
      <c r="B748" t="s">
        <v>2561</v>
      </c>
      <c r="C748" s="2">
        <v>46196.583333333336</v>
      </c>
      <c r="D748" t="s">
        <v>418</v>
      </c>
      <c r="E748" t="s">
        <v>18</v>
      </c>
      <c r="F748" t="s">
        <v>153</v>
      </c>
      <c r="G748" t="s">
        <v>95</v>
      </c>
      <c r="H748">
        <v>2</v>
      </c>
      <c r="I748" t="s">
        <v>2562</v>
      </c>
      <c r="J748" t="s">
        <v>357</v>
      </c>
    </row>
    <row r="749" spans="1:10" x14ac:dyDescent="0.25">
      <c r="A749" t="s">
        <v>2563</v>
      </c>
      <c r="B749" t="s">
        <v>2564</v>
      </c>
      <c r="C749" s="2">
        <v>46196.583333333336</v>
      </c>
      <c r="D749" t="s">
        <v>418</v>
      </c>
      <c r="E749" t="s">
        <v>20</v>
      </c>
      <c r="F749" t="s">
        <v>182</v>
      </c>
      <c r="G749" t="s">
        <v>97</v>
      </c>
      <c r="H749">
        <v>1</v>
      </c>
      <c r="I749" t="s">
        <v>2565</v>
      </c>
      <c r="J749" t="s">
        <v>357</v>
      </c>
    </row>
    <row r="750" spans="1:10" x14ac:dyDescent="0.25">
      <c r="A750" t="s">
        <v>2566</v>
      </c>
      <c r="B750" t="s">
        <v>2567</v>
      </c>
      <c r="C750" s="2">
        <v>46196.583333333336</v>
      </c>
      <c r="D750" t="s">
        <v>418</v>
      </c>
      <c r="E750" t="s">
        <v>22</v>
      </c>
      <c r="F750" t="s">
        <v>183</v>
      </c>
      <c r="G750" t="s">
        <v>99</v>
      </c>
      <c r="H750">
        <v>1</v>
      </c>
      <c r="I750" t="s">
        <v>2568</v>
      </c>
      <c r="J750" t="s">
        <v>357</v>
      </c>
    </row>
    <row r="751" spans="1:10" x14ac:dyDescent="0.25">
      <c r="A751" t="s">
        <v>2569</v>
      </c>
      <c r="B751" t="s">
        <v>2570</v>
      </c>
      <c r="C751" s="2">
        <v>46196.583333333336</v>
      </c>
      <c r="D751" t="s">
        <v>418</v>
      </c>
      <c r="E751" t="s">
        <v>24</v>
      </c>
      <c r="F751" t="s">
        <v>184</v>
      </c>
      <c r="G751" t="s">
        <v>101</v>
      </c>
      <c r="H751">
        <v>5</v>
      </c>
      <c r="I751" t="s">
        <v>2571</v>
      </c>
      <c r="J751" t="s">
        <v>357</v>
      </c>
    </row>
    <row r="752" spans="1:10" x14ac:dyDescent="0.25">
      <c r="A752" t="s">
        <v>2572</v>
      </c>
      <c r="B752" t="s">
        <v>2573</v>
      </c>
      <c r="C752" s="2">
        <v>46196.583333333336</v>
      </c>
      <c r="D752" t="s">
        <v>418</v>
      </c>
      <c r="E752" t="s">
        <v>32</v>
      </c>
      <c r="F752" t="s">
        <v>186</v>
      </c>
      <c r="G752" t="s">
        <v>109</v>
      </c>
      <c r="H752">
        <v>4</v>
      </c>
      <c r="I752" t="s">
        <v>2574</v>
      </c>
      <c r="J752" t="s">
        <v>357</v>
      </c>
    </row>
    <row r="753" spans="1:10" x14ac:dyDescent="0.25">
      <c r="A753" t="s">
        <v>2575</v>
      </c>
      <c r="B753" t="s">
        <v>2576</v>
      </c>
      <c r="C753" s="2">
        <v>46196.583333333336</v>
      </c>
      <c r="D753" t="s">
        <v>418</v>
      </c>
      <c r="E753" t="s">
        <v>36</v>
      </c>
      <c r="F753" t="s">
        <v>162</v>
      </c>
      <c r="G753" t="s">
        <v>113</v>
      </c>
      <c r="H753">
        <v>3</v>
      </c>
      <c r="I753" t="s">
        <v>2577</v>
      </c>
      <c r="J753" t="s">
        <v>357</v>
      </c>
    </row>
    <row r="754" spans="1:10" x14ac:dyDescent="0.25">
      <c r="A754" t="s">
        <v>2578</v>
      </c>
      <c r="B754" t="s">
        <v>2579</v>
      </c>
      <c r="C754" s="2">
        <v>46196.583333333336</v>
      </c>
      <c r="D754" t="s">
        <v>418</v>
      </c>
      <c r="E754" t="s">
        <v>59</v>
      </c>
      <c r="F754" t="s">
        <v>132</v>
      </c>
      <c r="G754" t="s">
        <v>133</v>
      </c>
      <c r="H754">
        <v>5</v>
      </c>
      <c r="I754" t="s">
        <v>2580</v>
      </c>
      <c r="J754" t="s">
        <v>357</v>
      </c>
    </row>
    <row r="755" spans="1:10" x14ac:dyDescent="0.25">
      <c r="A755" t="s">
        <v>2581</v>
      </c>
      <c r="B755" t="s">
        <v>2582</v>
      </c>
      <c r="C755" s="2">
        <v>46196.583333333336</v>
      </c>
      <c r="D755" t="s">
        <v>418</v>
      </c>
      <c r="E755" t="s">
        <v>69</v>
      </c>
      <c r="F755" t="s">
        <v>138</v>
      </c>
      <c r="G755" t="s">
        <v>139</v>
      </c>
      <c r="H755">
        <v>5</v>
      </c>
      <c r="I755" t="s">
        <v>2583</v>
      </c>
      <c r="J755" t="s">
        <v>357</v>
      </c>
    </row>
    <row r="756" spans="1:10" x14ac:dyDescent="0.25">
      <c r="A756" t="s">
        <v>2584</v>
      </c>
      <c r="B756" t="s">
        <v>2585</v>
      </c>
      <c r="C756" s="2">
        <v>46196.583333333336</v>
      </c>
      <c r="D756" t="s">
        <v>418</v>
      </c>
      <c r="E756" t="s">
        <v>11</v>
      </c>
      <c r="F756" t="s">
        <v>152</v>
      </c>
      <c r="G756" t="s">
        <v>92</v>
      </c>
      <c r="H756">
        <v>2</v>
      </c>
      <c r="I756" t="s">
        <v>2586</v>
      </c>
      <c r="J756" t="s">
        <v>357</v>
      </c>
    </row>
    <row r="757" spans="1:10" x14ac:dyDescent="0.25">
      <c r="A757" t="s">
        <v>2587</v>
      </c>
      <c r="B757" t="s">
        <v>2588</v>
      </c>
      <c r="C757" s="2">
        <v>46196.583333333336</v>
      </c>
      <c r="D757" t="s">
        <v>418</v>
      </c>
      <c r="E757" t="s">
        <v>11</v>
      </c>
      <c r="F757" t="s">
        <v>91</v>
      </c>
      <c r="G757" t="s">
        <v>92</v>
      </c>
      <c r="H757">
        <v>4</v>
      </c>
      <c r="I757" t="s">
        <v>2586</v>
      </c>
      <c r="J757" t="s">
        <v>357</v>
      </c>
    </row>
    <row r="758" spans="1:10" x14ac:dyDescent="0.25">
      <c r="A758" t="s">
        <v>2589</v>
      </c>
      <c r="B758" t="s">
        <v>2590</v>
      </c>
      <c r="C758" s="2">
        <v>46196.583333333336</v>
      </c>
      <c r="D758" t="s">
        <v>418</v>
      </c>
      <c r="E758" t="s">
        <v>18</v>
      </c>
      <c r="F758" t="s">
        <v>153</v>
      </c>
      <c r="G758" t="s">
        <v>95</v>
      </c>
      <c r="H758">
        <v>2</v>
      </c>
      <c r="I758" t="s">
        <v>2591</v>
      </c>
      <c r="J758" t="s">
        <v>357</v>
      </c>
    </row>
    <row r="759" spans="1:10" x14ac:dyDescent="0.25">
      <c r="A759" t="s">
        <v>2592</v>
      </c>
      <c r="B759" t="s">
        <v>2593</v>
      </c>
      <c r="C759" s="2">
        <v>46196.583333333336</v>
      </c>
      <c r="D759" t="s">
        <v>418</v>
      </c>
      <c r="E759" t="s">
        <v>20</v>
      </c>
      <c r="F759" t="s">
        <v>182</v>
      </c>
      <c r="G759" t="s">
        <v>97</v>
      </c>
      <c r="H759">
        <v>5</v>
      </c>
      <c r="I759" t="s">
        <v>2594</v>
      </c>
      <c r="J759" t="s">
        <v>357</v>
      </c>
    </row>
    <row r="760" spans="1:10" x14ac:dyDescent="0.25">
      <c r="A760" t="s">
        <v>2595</v>
      </c>
      <c r="B760" t="s">
        <v>2596</v>
      </c>
      <c r="C760" s="2">
        <v>46196.583333333336</v>
      </c>
      <c r="D760" t="s">
        <v>418</v>
      </c>
      <c r="E760" t="s">
        <v>24</v>
      </c>
      <c r="F760" t="s">
        <v>184</v>
      </c>
      <c r="G760" t="s">
        <v>101</v>
      </c>
      <c r="H760">
        <v>6</v>
      </c>
      <c r="I760" t="s">
        <v>2597</v>
      </c>
      <c r="J760" t="s">
        <v>357</v>
      </c>
    </row>
    <row r="761" spans="1:10" x14ac:dyDescent="0.25">
      <c r="A761" t="s">
        <v>2598</v>
      </c>
      <c r="B761" t="s">
        <v>2599</v>
      </c>
      <c r="C761" s="2">
        <v>46196.583333333336</v>
      </c>
      <c r="D761" t="s">
        <v>418</v>
      </c>
      <c r="E761" t="s">
        <v>36</v>
      </c>
      <c r="F761" t="s">
        <v>162</v>
      </c>
      <c r="G761" t="s">
        <v>113</v>
      </c>
      <c r="H761">
        <v>5</v>
      </c>
      <c r="I761" t="s">
        <v>2600</v>
      </c>
      <c r="J761" t="s">
        <v>357</v>
      </c>
    </row>
    <row r="762" spans="1:10" x14ac:dyDescent="0.25">
      <c r="A762" t="s">
        <v>2601</v>
      </c>
      <c r="B762" t="s">
        <v>2602</v>
      </c>
      <c r="C762" s="2">
        <v>46196.583333333336</v>
      </c>
      <c r="D762" t="s">
        <v>418</v>
      </c>
      <c r="E762" t="s">
        <v>47</v>
      </c>
      <c r="F762" t="s">
        <v>166</v>
      </c>
      <c r="G762" t="s">
        <v>121</v>
      </c>
      <c r="H762">
        <v>2</v>
      </c>
      <c r="I762" t="s">
        <v>2603</v>
      </c>
      <c r="J762" t="s">
        <v>357</v>
      </c>
    </row>
    <row r="763" spans="1:10" x14ac:dyDescent="0.25">
      <c r="A763" t="s">
        <v>2604</v>
      </c>
      <c r="B763" t="s">
        <v>2605</v>
      </c>
      <c r="C763" s="2">
        <v>46196.583333333336</v>
      </c>
      <c r="D763" t="s">
        <v>418</v>
      </c>
      <c r="E763" t="s">
        <v>55</v>
      </c>
      <c r="F763" t="s">
        <v>128</v>
      </c>
      <c r="G763" t="s">
        <v>129</v>
      </c>
      <c r="H763">
        <v>3</v>
      </c>
      <c r="I763" t="s">
        <v>2606</v>
      </c>
      <c r="J763" t="s">
        <v>357</v>
      </c>
    </row>
    <row r="764" spans="1:10" x14ac:dyDescent="0.25">
      <c r="A764" t="s">
        <v>2607</v>
      </c>
      <c r="B764" t="s">
        <v>2608</v>
      </c>
      <c r="C764" s="2">
        <v>46196.583333333336</v>
      </c>
      <c r="D764" t="s">
        <v>418</v>
      </c>
      <c r="E764" t="s">
        <v>55</v>
      </c>
      <c r="F764" t="s">
        <v>192</v>
      </c>
      <c r="G764" t="s">
        <v>129</v>
      </c>
      <c r="H764">
        <v>1</v>
      </c>
      <c r="I764" t="s">
        <v>2606</v>
      </c>
      <c r="J764" t="s">
        <v>357</v>
      </c>
    </row>
    <row r="765" spans="1:10" x14ac:dyDescent="0.25">
      <c r="A765" t="s">
        <v>2609</v>
      </c>
      <c r="B765" t="s">
        <v>2610</v>
      </c>
      <c r="C765" s="2">
        <v>46196.583333333336</v>
      </c>
      <c r="D765" t="s">
        <v>418</v>
      </c>
      <c r="E765" t="s">
        <v>71</v>
      </c>
      <c r="F765" t="s">
        <v>176</v>
      </c>
      <c r="G765" t="s">
        <v>141</v>
      </c>
      <c r="H765">
        <v>6</v>
      </c>
      <c r="I765" t="s">
        <v>2611</v>
      </c>
      <c r="J765" t="s">
        <v>357</v>
      </c>
    </row>
    <row r="766" spans="1:10" x14ac:dyDescent="0.25">
      <c r="A766" t="s">
        <v>2612</v>
      </c>
      <c r="B766" t="s">
        <v>2613</v>
      </c>
      <c r="C766" s="2">
        <v>46196.583333333336</v>
      </c>
      <c r="D766" t="s">
        <v>418</v>
      </c>
      <c r="E766" t="s">
        <v>77</v>
      </c>
      <c r="F766" t="s">
        <v>146</v>
      </c>
      <c r="G766" t="s">
        <v>147</v>
      </c>
      <c r="H766">
        <v>6</v>
      </c>
      <c r="I766" t="s">
        <v>2614</v>
      </c>
      <c r="J766" t="s">
        <v>357</v>
      </c>
    </row>
    <row r="767" spans="1:10" x14ac:dyDescent="0.25">
      <c r="A767" t="s">
        <v>2615</v>
      </c>
      <c r="B767" t="s">
        <v>2616</v>
      </c>
      <c r="C767" s="2">
        <v>46196.583333333336</v>
      </c>
      <c r="D767" t="s">
        <v>418</v>
      </c>
      <c r="E767" t="s">
        <v>18</v>
      </c>
      <c r="F767" t="s">
        <v>153</v>
      </c>
      <c r="G767" t="s">
        <v>95</v>
      </c>
      <c r="H767">
        <v>1</v>
      </c>
      <c r="I767" t="s">
        <v>2617</v>
      </c>
      <c r="J767" t="s">
        <v>357</v>
      </c>
    </row>
    <row r="768" spans="1:10" x14ac:dyDescent="0.25">
      <c r="A768" t="s">
        <v>2618</v>
      </c>
      <c r="B768" t="s">
        <v>2619</v>
      </c>
      <c r="C768" s="2">
        <v>46196.583333333336</v>
      </c>
      <c r="D768" t="s">
        <v>418</v>
      </c>
      <c r="E768" t="s">
        <v>24</v>
      </c>
      <c r="F768" t="s">
        <v>184</v>
      </c>
      <c r="G768" t="s">
        <v>101</v>
      </c>
      <c r="H768">
        <v>3</v>
      </c>
      <c r="I768" t="s">
        <v>2620</v>
      </c>
      <c r="J768" t="s">
        <v>357</v>
      </c>
    </row>
    <row r="769" spans="1:10" x14ac:dyDescent="0.25">
      <c r="A769" t="s">
        <v>2621</v>
      </c>
      <c r="B769" t="s">
        <v>2622</v>
      </c>
      <c r="C769" s="2">
        <v>46196.583333333336</v>
      </c>
      <c r="D769" t="s">
        <v>418</v>
      </c>
      <c r="E769" t="s">
        <v>26</v>
      </c>
      <c r="F769" t="s">
        <v>185</v>
      </c>
      <c r="G769" t="s">
        <v>103</v>
      </c>
      <c r="H769">
        <v>1</v>
      </c>
      <c r="I769" t="s">
        <v>2623</v>
      </c>
      <c r="J769" t="s">
        <v>357</v>
      </c>
    </row>
    <row r="770" spans="1:10" x14ac:dyDescent="0.25">
      <c r="A770" t="s">
        <v>2624</v>
      </c>
      <c r="B770" t="s">
        <v>2625</v>
      </c>
      <c r="C770" s="2">
        <v>46196.583333333336</v>
      </c>
      <c r="D770" t="s">
        <v>418</v>
      </c>
      <c r="E770" t="s">
        <v>32</v>
      </c>
      <c r="F770" t="s">
        <v>186</v>
      </c>
      <c r="G770" t="s">
        <v>109</v>
      </c>
      <c r="H770">
        <v>7</v>
      </c>
      <c r="I770" t="s">
        <v>2626</v>
      </c>
      <c r="J770" t="s">
        <v>357</v>
      </c>
    </row>
    <row r="771" spans="1:10" x14ac:dyDescent="0.25">
      <c r="A771" t="s">
        <v>2627</v>
      </c>
      <c r="B771" t="s">
        <v>2628</v>
      </c>
      <c r="C771" s="2">
        <v>46196.583333333336</v>
      </c>
      <c r="D771" t="s">
        <v>418</v>
      </c>
      <c r="E771" t="s">
        <v>36</v>
      </c>
      <c r="F771" t="s">
        <v>162</v>
      </c>
      <c r="G771" t="s">
        <v>113</v>
      </c>
      <c r="H771">
        <v>6</v>
      </c>
      <c r="I771" t="s">
        <v>2629</v>
      </c>
      <c r="J771" t="s">
        <v>357</v>
      </c>
    </row>
    <row r="772" spans="1:10" x14ac:dyDescent="0.25">
      <c r="A772" t="s">
        <v>2630</v>
      </c>
      <c r="B772" t="s">
        <v>2631</v>
      </c>
      <c r="C772" s="2">
        <v>46196.583333333336</v>
      </c>
      <c r="D772" t="s">
        <v>418</v>
      </c>
      <c r="E772" t="s">
        <v>41</v>
      </c>
      <c r="F772" t="s">
        <v>188</v>
      </c>
      <c r="G772" t="s">
        <v>115</v>
      </c>
      <c r="H772">
        <v>4</v>
      </c>
      <c r="I772" t="s">
        <v>2632</v>
      </c>
      <c r="J772" t="s">
        <v>357</v>
      </c>
    </row>
    <row r="773" spans="1:10" x14ac:dyDescent="0.25">
      <c r="A773" t="s">
        <v>2633</v>
      </c>
      <c r="B773" t="s">
        <v>2634</v>
      </c>
      <c r="C773" s="2">
        <v>46196.583333333336</v>
      </c>
      <c r="D773" t="s">
        <v>418</v>
      </c>
      <c r="E773" t="s">
        <v>65</v>
      </c>
      <c r="F773" t="s">
        <v>173</v>
      </c>
      <c r="G773" t="s">
        <v>135</v>
      </c>
      <c r="H773">
        <v>4</v>
      </c>
      <c r="I773" t="s">
        <v>2635</v>
      </c>
      <c r="J773" t="s">
        <v>357</v>
      </c>
    </row>
    <row r="774" spans="1:10" x14ac:dyDescent="0.25">
      <c r="A774" t="s">
        <v>2636</v>
      </c>
      <c r="B774" t="s">
        <v>2637</v>
      </c>
      <c r="C774" s="2">
        <v>46196.583333333336</v>
      </c>
      <c r="D774" t="s">
        <v>418</v>
      </c>
      <c r="E774" t="s">
        <v>73</v>
      </c>
      <c r="F774" t="s">
        <v>142</v>
      </c>
      <c r="G774" t="s">
        <v>143</v>
      </c>
      <c r="H774">
        <v>4</v>
      </c>
      <c r="I774" t="s">
        <v>2638</v>
      </c>
      <c r="J774" t="s">
        <v>357</v>
      </c>
    </row>
    <row r="775" spans="1:10" x14ac:dyDescent="0.25">
      <c r="A775" t="s">
        <v>2639</v>
      </c>
      <c r="B775" t="s">
        <v>2640</v>
      </c>
      <c r="C775" s="2">
        <v>46196.583333333336</v>
      </c>
      <c r="D775" t="s">
        <v>418</v>
      </c>
      <c r="E775" t="s">
        <v>77</v>
      </c>
      <c r="F775" t="s">
        <v>146</v>
      </c>
      <c r="G775" t="s">
        <v>147</v>
      </c>
      <c r="H775">
        <v>4</v>
      </c>
      <c r="I775" t="s">
        <v>2641</v>
      </c>
      <c r="J775" t="s">
        <v>357</v>
      </c>
    </row>
    <row r="776" spans="1:10" x14ac:dyDescent="0.25">
      <c r="A776" t="s">
        <v>2642</v>
      </c>
      <c r="B776" t="s">
        <v>2643</v>
      </c>
      <c r="C776" s="2">
        <v>46196.583333333336</v>
      </c>
      <c r="D776" t="s">
        <v>418</v>
      </c>
      <c r="E776" t="s">
        <v>11</v>
      </c>
      <c r="F776" t="s">
        <v>91</v>
      </c>
      <c r="G776" t="s">
        <v>92</v>
      </c>
      <c r="H776">
        <v>2</v>
      </c>
      <c r="I776" t="s">
        <v>2644</v>
      </c>
      <c r="J776" t="s">
        <v>357</v>
      </c>
    </row>
    <row r="777" spans="1:10" x14ac:dyDescent="0.25">
      <c r="A777" t="s">
        <v>2645</v>
      </c>
      <c r="B777" t="s">
        <v>2646</v>
      </c>
      <c r="C777" s="2">
        <v>46196.583333333336</v>
      </c>
      <c r="D777" t="s">
        <v>418</v>
      </c>
      <c r="E777" t="s">
        <v>18</v>
      </c>
      <c r="F777" t="s">
        <v>153</v>
      </c>
      <c r="G777" t="s">
        <v>95</v>
      </c>
      <c r="H777">
        <v>3</v>
      </c>
      <c r="I777" t="s">
        <v>2647</v>
      </c>
      <c r="J777" t="s">
        <v>357</v>
      </c>
    </row>
    <row r="778" spans="1:10" x14ac:dyDescent="0.25">
      <c r="A778" t="s">
        <v>2648</v>
      </c>
      <c r="B778" t="s">
        <v>2649</v>
      </c>
      <c r="C778" s="2">
        <v>46196.583333333336</v>
      </c>
      <c r="D778" t="s">
        <v>418</v>
      </c>
      <c r="E778" t="s">
        <v>24</v>
      </c>
      <c r="F778" t="s">
        <v>184</v>
      </c>
      <c r="G778" t="s">
        <v>101</v>
      </c>
      <c r="H778">
        <v>1</v>
      </c>
      <c r="I778" t="s">
        <v>2650</v>
      </c>
      <c r="J778" t="s">
        <v>357</v>
      </c>
    </row>
    <row r="779" spans="1:10" x14ac:dyDescent="0.25">
      <c r="A779" t="s">
        <v>2651</v>
      </c>
      <c r="B779" t="s">
        <v>2652</v>
      </c>
      <c r="C779" s="2">
        <v>46196.583333333336</v>
      </c>
      <c r="D779" t="s">
        <v>418</v>
      </c>
      <c r="E779" t="s">
        <v>30</v>
      </c>
      <c r="F779" t="s">
        <v>106</v>
      </c>
      <c r="G779" t="s">
        <v>107</v>
      </c>
      <c r="H779">
        <v>2</v>
      </c>
      <c r="I779" t="s">
        <v>2653</v>
      </c>
      <c r="J779" t="s">
        <v>357</v>
      </c>
    </row>
    <row r="780" spans="1:10" x14ac:dyDescent="0.25">
      <c r="A780" t="s">
        <v>2654</v>
      </c>
      <c r="B780" t="s">
        <v>2655</v>
      </c>
      <c r="C780" s="2">
        <v>46196.583333333336</v>
      </c>
      <c r="D780" t="s">
        <v>418</v>
      </c>
      <c r="E780" t="s">
        <v>47</v>
      </c>
      <c r="F780" t="s">
        <v>166</v>
      </c>
      <c r="G780" t="s">
        <v>121</v>
      </c>
      <c r="H780">
        <v>2</v>
      </c>
      <c r="I780" t="s">
        <v>2656</v>
      </c>
      <c r="J780" t="s">
        <v>357</v>
      </c>
    </row>
    <row r="781" spans="1:10" x14ac:dyDescent="0.25">
      <c r="A781" t="s">
        <v>2657</v>
      </c>
      <c r="B781" t="s">
        <v>2658</v>
      </c>
      <c r="C781" s="2">
        <v>46196.583333333336</v>
      </c>
      <c r="D781" t="s">
        <v>418</v>
      </c>
      <c r="E781" t="s">
        <v>57</v>
      </c>
      <c r="F781" t="s">
        <v>171</v>
      </c>
      <c r="G781" t="s">
        <v>131</v>
      </c>
      <c r="H781">
        <v>4</v>
      </c>
      <c r="I781" t="s">
        <v>2659</v>
      </c>
      <c r="J781" t="s">
        <v>357</v>
      </c>
    </row>
    <row r="782" spans="1:10" x14ac:dyDescent="0.25">
      <c r="A782" t="s">
        <v>2660</v>
      </c>
      <c r="B782" t="s">
        <v>2661</v>
      </c>
      <c r="C782" s="2">
        <v>46196.583333333336</v>
      </c>
      <c r="D782" t="s">
        <v>418</v>
      </c>
      <c r="E782" t="s">
        <v>69</v>
      </c>
      <c r="F782" t="s">
        <v>138</v>
      </c>
      <c r="G782" t="s">
        <v>139</v>
      </c>
      <c r="H782">
        <v>1</v>
      </c>
      <c r="I782" t="s">
        <v>2662</v>
      </c>
      <c r="J782" t="s">
        <v>357</v>
      </c>
    </row>
    <row r="783" spans="1:10" x14ac:dyDescent="0.25">
      <c r="A783" t="s">
        <v>2663</v>
      </c>
      <c r="B783" t="s">
        <v>2664</v>
      </c>
      <c r="C783" s="2">
        <v>46196.583333333336</v>
      </c>
      <c r="D783" t="s">
        <v>418</v>
      </c>
      <c r="E783" t="s">
        <v>77</v>
      </c>
      <c r="F783" t="s">
        <v>146</v>
      </c>
      <c r="G783" t="s">
        <v>147</v>
      </c>
      <c r="H783">
        <v>2</v>
      </c>
      <c r="I783" t="s">
        <v>2665</v>
      </c>
      <c r="J783" t="s">
        <v>357</v>
      </c>
    </row>
    <row r="784" spans="1:10" x14ac:dyDescent="0.25">
      <c r="A784" t="s">
        <v>2666</v>
      </c>
      <c r="B784" t="s">
        <v>2667</v>
      </c>
      <c r="C784" s="2">
        <v>46197.583333333336</v>
      </c>
      <c r="D784" t="s">
        <v>418</v>
      </c>
      <c r="E784" t="s">
        <v>20</v>
      </c>
      <c r="F784" t="s">
        <v>182</v>
      </c>
      <c r="G784" t="s">
        <v>97</v>
      </c>
      <c r="H784">
        <v>2</v>
      </c>
      <c r="I784" t="s">
        <v>2668</v>
      </c>
      <c r="J784" t="s">
        <v>357</v>
      </c>
    </row>
    <row r="785" spans="1:10" x14ac:dyDescent="0.25">
      <c r="A785" t="s">
        <v>2669</v>
      </c>
      <c r="B785" t="s">
        <v>2670</v>
      </c>
      <c r="C785" s="2">
        <v>46197.583333333336</v>
      </c>
      <c r="D785" t="s">
        <v>418</v>
      </c>
      <c r="E785" t="s">
        <v>22</v>
      </c>
      <c r="F785" t="s">
        <v>183</v>
      </c>
      <c r="G785" t="s">
        <v>99</v>
      </c>
      <c r="H785">
        <v>2</v>
      </c>
      <c r="I785" t="s">
        <v>2671</v>
      </c>
      <c r="J785" t="s">
        <v>357</v>
      </c>
    </row>
    <row r="786" spans="1:10" x14ac:dyDescent="0.25">
      <c r="A786" t="s">
        <v>2672</v>
      </c>
      <c r="B786" t="s">
        <v>2673</v>
      </c>
      <c r="C786" s="2">
        <v>46197.583333333336</v>
      </c>
      <c r="D786" t="s">
        <v>418</v>
      </c>
      <c r="E786" t="s">
        <v>24</v>
      </c>
      <c r="F786" t="s">
        <v>184</v>
      </c>
      <c r="G786" t="s">
        <v>101</v>
      </c>
      <c r="H786">
        <v>2</v>
      </c>
      <c r="I786" t="s">
        <v>2674</v>
      </c>
      <c r="J786" t="s">
        <v>357</v>
      </c>
    </row>
    <row r="787" spans="1:10" x14ac:dyDescent="0.25">
      <c r="A787" t="s">
        <v>2675</v>
      </c>
      <c r="B787" t="s">
        <v>2676</v>
      </c>
      <c r="C787" s="2">
        <v>46197.583333333336</v>
      </c>
      <c r="D787" t="s">
        <v>418</v>
      </c>
      <c r="E787" t="s">
        <v>26</v>
      </c>
      <c r="F787" t="s">
        <v>185</v>
      </c>
      <c r="G787" t="s">
        <v>103</v>
      </c>
      <c r="H787">
        <v>1</v>
      </c>
      <c r="I787" t="s">
        <v>2677</v>
      </c>
      <c r="J787" t="s">
        <v>357</v>
      </c>
    </row>
    <row r="788" spans="1:10" x14ac:dyDescent="0.25">
      <c r="A788" t="s">
        <v>2678</v>
      </c>
      <c r="B788" t="s">
        <v>2679</v>
      </c>
      <c r="C788" s="2">
        <v>46197.583333333336</v>
      </c>
      <c r="D788" t="s">
        <v>418</v>
      </c>
      <c r="E788" t="s">
        <v>28</v>
      </c>
      <c r="F788" t="s">
        <v>158</v>
      </c>
      <c r="G788" t="s">
        <v>105</v>
      </c>
      <c r="H788">
        <v>2</v>
      </c>
      <c r="I788" t="s">
        <v>2680</v>
      </c>
      <c r="J788" t="s">
        <v>357</v>
      </c>
    </row>
    <row r="789" spans="1:10" x14ac:dyDescent="0.25">
      <c r="A789" t="s">
        <v>2681</v>
      </c>
      <c r="B789" t="s">
        <v>2682</v>
      </c>
      <c r="C789" s="2">
        <v>46197.583333333336</v>
      </c>
      <c r="D789" t="s">
        <v>418</v>
      </c>
      <c r="E789" t="s">
        <v>41</v>
      </c>
      <c r="F789" t="s">
        <v>188</v>
      </c>
      <c r="G789" t="s">
        <v>115</v>
      </c>
      <c r="H789">
        <v>1</v>
      </c>
      <c r="I789" t="s">
        <v>2683</v>
      </c>
      <c r="J789" t="s">
        <v>357</v>
      </c>
    </row>
    <row r="790" spans="1:10" x14ac:dyDescent="0.25">
      <c r="A790" t="s">
        <v>2684</v>
      </c>
      <c r="B790" t="s">
        <v>2685</v>
      </c>
      <c r="C790" s="2">
        <v>46197.583333333336</v>
      </c>
      <c r="D790" t="s">
        <v>418</v>
      </c>
      <c r="E790" t="s">
        <v>53</v>
      </c>
      <c r="F790" t="s">
        <v>169</v>
      </c>
      <c r="G790" t="s">
        <v>127</v>
      </c>
      <c r="H790">
        <v>2</v>
      </c>
      <c r="I790" t="s">
        <v>2686</v>
      </c>
      <c r="J790" t="s">
        <v>357</v>
      </c>
    </row>
    <row r="791" spans="1:10" x14ac:dyDescent="0.25">
      <c r="A791" t="s">
        <v>2687</v>
      </c>
      <c r="B791" t="s">
        <v>2688</v>
      </c>
      <c r="C791" s="2">
        <v>46197.583333333336</v>
      </c>
      <c r="D791" t="s">
        <v>418</v>
      </c>
      <c r="E791" t="s">
        <v>59</v>
      </c>
      <c r="F791" t="s">
        <v>132</v>
      </c>
      <c r="G791" t="s">
        <v>133</v>
      </c>
      <c r="H791">
        <v>3</v>
      </c>
      <c r="I791" t="s">
        <v>2689</v>
      </c>
      <c r="J791" t="s">
        <v>357</v>
      </c>
    </row>
    <row r="792" spans="1:10" x14ac:dyDescent="0.25">
      <c r="A792" t="s">
        <v>2690</v>
      </c>
      <c r="B792" t="s">
        <v>2691</v>
      </c>
      <c r="C792" s="2">
        <v>46197.583333333336</v>
      </c>
      <c r="D792" t="s">
        <v>418</v>
      </c>
      <c r="E792" t="s">
        <v>65</v>
      </c>
      <c r="F792" t="s">
        <v>173</v>
      </c>
      <c r="G792" t="s">
        <v>135</v>
      </c>
      <c r="H792">
        <v>3</v>
      </c>
      <c r="I792" t="s">
        <v>2692</v>
      </c>
      <c r="J792" t="s">
        <v>357</v>
      </c>
    </row>
    <row r="793" spans="1:10" x14ac:dyDescent="0.25">
      <c r="A793" t="s">
        <v>2693</v>
      </c>
      <c r="B793" t="s">
        <v>2694</v>
      </c>
      <c r="C793" s="2">
        <v>46197.583333333336</v>
      </c>
      <c r="D793" t="s">
        <v>418</v>
      </c>
      <c r="E793" t="s">
        <v>71</v>
      </c>
      <c r="F793" t="s">
        <v>176</v>
      </c>
      <c r="G793" t="s">
        <v>141</v>
      </c>
      <c r="H793">
        <v>3</v>
      </c>
      <c r="I793" t="s">
        <v>2695</v>
      </c>
      <c r="J793" t="s">
        <v>357</v>
      </c>
    </row>
    <row r="794" spans="1:10" x14ac:dyDescent="0.25">
      <c r="A794" t="s">
        <v>2696</v>
      </c>
      <c r="B794" t="s">
        <v>2697</v>
      </c>
      <c r="C794" s="2">
        <v>46197.583333333336</v>
      </c>
      <c r="D794" t="s">
        <v>418</v>
      </c>
      <c r="E794" t="s">
        <v>18</v>
      </c>
      <c r="F794" t="s">
        <v>153</v>
      </c>
      <c r="G794" t="s">
        <v>95</v>
      </c>
      <c r="H794">
        <v>4</v>
      </c>
      <c r="I794" t="s">
        <v>2698</v>
      </c>
      <c r="J794" t="s">
        <v>357</v>
      </c>
    </row>
    <row r="795" spans="1:10" x14ac:dyDescent="0.25">
      <c r="A795" t="s">
        <v>2699</v>
      </c>
      <c r="B795" t="s">
        <v>2700</v>
      </c>
      <c r="C795" s="2">
        <v>46197.583333333336</v>
      </c>
      <c r="D795" t="s">
        <v>418</v>
      </c>
      <c r="E795" t="s">
        <v>22</v>
      </c>
      <c r="F795" t="s">
        <v>183</v>
      </c>
      <c r="G795" t="s">
        <v>99</v>
      </c>
      <c r="H795">
        <v>4</v>
      </c>
      <c r="I795" t="s">
        <v>2701</v>
      </c>
      <c r="J795" t="s">
        <v>357</v>
      </c>
    </row>
    <row r="796" spans="1:10" x14ac:dyDescent="0.25">
      <c r="A796" t="s">
        <v>2702</v>
      </c>
      <c r="B796" t="s">
        <v>2703</v>
      </c>
      <c r="C796" s="2">
        <v>46197.583333333336</v>
      </c>
      <c r="D796" t="s">
        <v>418</v>
      </c>
      <c r="E796" t="s">
        <v>26</v>
      </c>
      <c r="F796" t="s">
        <v>185</v>
      </c>
      <c r="G796" t="s">
        <v>103</v>
      </c>
      <c r="H796">
        <v>3</v>
      </c>
      <c r="I796" t="s">
        <v>2704</v>
      </c>
      <c r="J796" t="s">
        <v>357</v>
      </c>
    </row>
    <row r="797" spans="1:10" x14ac:dyDescent="0.25">
      <c r="A797" t="s">
        <v>2705</v>
      </c>
      <c r="B797" t="s">
        <v>2706</v>
      </c>
      <c r="C797" s="2">
        <v>46197.583333333336</v>
      </c>
      <c r="D797" t="s">
        <v>418</v>
      </c>
      <c r="E797" t="s">
        <v>49</v>
      </c>
      <c r="F797" t="s">
        <v>167</v>
      </c>
      <c r="G797" t="s">
        <v>123</v>
      </c>
      <c r="H797">
        <v>5</v>
      </c>
      <c r="I797" t="s">
        <v>2707</v>
      </c>
      <c r="J797" t="s">
        <v>357</v>
      </c>
    </row>
    <row r="798" spans="1:10" x14ac:dyDescent="0.25">
      <c r="A798" t="s">
        <v>2708</v>
      </c>
      <c r="B798" t="s">
        <v>2709</v>
      </c>
      <c r="C798" s="2">
        <v>46197.583333333336</v>
      </c>
      <c r="D798" t="s">
        <v>418</v>
      </c>
      <c r="E798" t="s">
        <v>51</v>
      </c>
      <c r="F798" t="s">
        <v>124</v>
      </c>
      <c r="G798" t="s">
        <v>125</v>
      </c>
      <c r="H798">
        <v>5</v>
      </c>
      <c r="I798" t="s">
        <v>2710</v>
      </c>
      <c r="J798" t="s">
        <v>357</v>
      </c>
    </row>
    <row r="799" spans="1:10" x14ac:dyDescent="0.25">
      <c r="A799" t="s">
        <v>2711</v>
      </c>
      <c r="B799" t="s">
        <v>2712</v>
      </c>
      <c r="C799" s="2">
        <v>46197.583333333336</v>
      </c>
      <c r="D799" t="s">
        <v>418</v>
      </c>
      <c r="E799" t="s">
        <v>53</v>
      </c>
      <c r="F799" t="s">
        <v>169</v>
      </c>
      <c r="G799" t="s">
        <v>127</v>
      </c>
      <c r="H799">
        <v>2</v>
      </c>
      <c r="I799" t="s">
        <v>2713</v>
      </c>
      <c r="J799" t="s">
        <v>357</v>
      </c>
    </row>
    <row r="800" spans="1:10" x14ac:dyDescent="0.25">
      <c r="A800" t="s">
        <v>2714</v>
      </c>
      <c r="B800" t="s">
        <v>2715</v>
      </c>
      <c r="C800" s="2">
        <v>46197.583333333336</v>
      </c>
      <c r="D800" t="s">
        <v>418</v>
      </c>
      <c r="E800" t="s">
        <v>18</v>
      </c>
      <c r="F800" t="s">
        <v>153</v>
      </c>
      <c r="G800" t="s">
        <v>95</v>
      </c>
      <c r="H800">
        <v>6</v>
      </c>
      <c r="I800" t="s">
        <v>2716</v>
      </c>
      <c r="J800" t="s">
        <v>357</v>
      </c>
    </row>
    <row r="801" spans="1:10" x14ac:dyDescent="0.25">
      <c r="A801" t="s">
        <v>2717</v>
      </c>
      <c r="B801" t="s">
        <v>2718</v>
      </c>
      <c r="C801" s="2">
        <v>46197.583333333336</v>
      </c>
      <c r="D801" t="s">
        <v>418</v>
      </c>
      <c r="E801" t="s">
        <v>20</v>
      </c>
      <c r="F801" t="s">
        <v>182</v>
      </c>
      <c r="G801" t="s">
        <v>97</v>
      </c>
      <c r="H801">
        <v>1</v>
      </c>
      <c r="I801" t="s">
        <v>2719</v>
      </c>
      <c r="J801" t="s">
        <v>357</v>
      </c>
    </row>
    <row r="802" spans="1:10" x14ac:dyDescent="0.25">
      <c r="A802" t="s">
        <v>2720</v>
      </c>
      <c r="B802" t="s">
        <v>2721</v>
      </c>
      <c r="C802" s="2">
        <v>46197.583333333336</v>
      </c>
      <c r="D802" t="s">
        <v>418</v>
      </c>
      <c r="E802" t="s">
        <v>24</v>
      </c>
      <c r="F802" t="s">
        <v>184</v>
      </c>
      <c r="G802" t="s">
        <v>101</v>
      </c>
      <c r="H802">
        <v>1</v>
      </c>
      <c r="I802" t="s">
        <v>2722</v>
      </c>
      <c r="J802" t="s">
        <v>357</v>
      </c>
    </row>
    <row r="803" spans="1:10" x14ac:dyDescent="0.25">
      <c r="A803" t="s">
        <v>2723</v>
      </c>
      <c r="B803" t="s">
        <v>2724</v>
      </c>
      <c r="C803" s="2">
        <v>46197.583333333336</v>
      </c>
      <c r="D803" t="s">
        <v>418</v>
      </c>
      <c r="E803" t="s">
        <v>26</v>
      </c>
      <c r="F803" t="s">
        <v>185</v>
      </c>
      <c r="G803" t="s">
        <v>103</v>
      </c>
      <c r="H803">
        <v>5</v>
      </c>
      <c r="I803" t="s">
        <v>2725</v>
      </c>
      <c r="J803" t="s">
        <v>357</v>
      </c>
    </row>
    <row r="804" spans="1:10" x14ac:dyDescent="0.25">
      <c r="A804" t="s">
        <v>2726</v>
      </c>
      <c r="B804" t="s">
        <v>2727</v>
      </c>
      <c r="C804" s="2">
        <v>46197.583333333336</v>
      </c>
      <c r="D804" t="s">
        <v>418</v>
      </c>
      <c r="E804" t="s">
        <v>30</v>
      </c>
      <c r="F804" t="s">
        <v>106</v>
      </c>
      <c r="G804" t="s">
        <v>107</v>
      </c>
      <c r="H804">
        <v>1</v>
      </c>
      <c r="I804" t="s">
        <v>2728</v>
      </c>
      <c r="J804" t="s">
        <v>357</v>
      </c>
    </row>
    <row r="805" spans="1:10" x14ac:dyDescent="0.25">
      <c r="A805" t="s">
        <v>2729</v>
      </c>
      <c r="B805" t="s">
        <v>2730</v>
      </c>
      <c r="C805" s="2">
        <v>46197.583333333336</v>
      </c>
      <c r="D805" t="s">
        <v>418</v>
      </c>
      <c r="E805" t="s">
        <v>36</v>
      </c>
      <c r="F805" t="s">
        <v>162</v>
      </c>
      <c r="G805" t="s">
        <v>113</v>
      </c>
      <c r="H805">
        <v>2</v>
      </c>
      <c r="I805" t="s">
        <v>2731</v>
      </c>
      <c r="J805" t="s">
        <v>357</v>
      </c>
    </row>
    <row r="806" spans="1:10" x14ac:dyDescent="0.25">
      <c r="A806" t="s">
        <v>2732</v>
      </c>
      <c r="B806" t="s">
        <v>2733</v>
      </c>
      <c r="C806" s="2">
        <v>46197.583333333336</v>
      </c>
      <c r="D806" t="s">
        <v>418</v>
      </c>
      <c r="E806" t="s">
        <v>49</v>
      </c>
      <c r="F806" t="s">
        <v>167</v>
      </c>
      <c r="G806" t="s">
        <v>123</v>
      </c>
      <c r="H806">
        <v>1</v>
      </c>
      <c r="I806" t="s">
        <v>2734</v>
      </c>
      <c r="J806" t="s">
        <v>357</v>
      </c>
    </row>
    <row r="807" spans="1:10" x14ac:dyDescent="0.25">
      <c r="A807" t="s">
        <v>2735</v>
      </c>
      <c r="B807" t="s">
        <v>2736</v>
      </c>
      <c r="C807" s="2">
        <v>46197.583333333336</v>
      </c>
      <c r="D807" t="s">
        <v>418</v>
      </c>
      <c r="E807" t="s">
        <v>55</v>
      </c>
      <c r="F807" t="s">
        <v>192</v>
      </c>
      <c r="G807" t="s">
        <v>129</v>
      </c>
      <c r="H807">
        <v>2</v>
      </c>
      <c r="I807" t="s">
        <v>2737</v>
      </c>
      <c r="J807" t="s">
        <v>357</v>
      </c>
    </row>
    <row r="808" spans="1:10" x14ac:dyDescent="0.25">
      <c r="A808" t="s">
        <v>2738</v>
      </c>
      <c r="B808" t="s">
        <v>2739</v>
      </c>
      <c r="C808" s="2">
        <v>46197.583333333336</v>
      </c>
      <c r="D808" t="s">
        <v>418</v>
      </c>
      <c r="E808" t="s">
        <v>57</v>
      </c>
      <c r="F808" t="s">
        <v>171</v>
      </c>
      <c r="G808" t="s">
        <v>131</v>
      </c>
      <c r="H808">
        <v>4</v>
      </c>
      <c r="I808" t="s">
        <v>2740</v>
      </c>
      <c r="J808" t="s">
        <v>357</v>
      </c>
    </row>
    <row r="809" spans="1:10" x14ac:dyDescent="0.25">
      <c r="A809" t="s">
        <v>2741</v>
      </c>
      <c r="B809" t="s">
        <v>2742</v>
      </c>
      <c r="C809" s="2">
        <v>46197.583333333336</v>
      </c>
      <c r="D809" t="s">
        <v>418</v>
      </c>
      <c r="E809" t="s">
        <v>69</v>
      </c>
      <c r="F809" t="s">
        <v>138</v>
      </c>
      <c r="G809" t="s">
        <v>139</v>
      </c>
      <c r="H809">
        <v>6</v>
      </c>
      <c r="I809" t="s">
        <v>2743</v>
      </c>
      <c r="J809" t="s">
        <v>357</v>
      </c>
    </row>
    <row r="810" spans="1:10" x14ac:dyDescent="0.25">
      <c r="A810" t="s">
        <v>2744</v>
      </c>
      <c r="B810" t="s">
        <v>2745</v>
      </c>
      <c r="C810" s="2">
        <v>46197.583333333336</v>
      </c>
      <c r="D810" t="s">
        <v>418</v>
      </c>
      <c r="E810" t="s">
        <v>75</v>
      </c>
      <c r="F810" t="s">
        <v>144</v>
      </c>
      <c r="G810" t="s">
        <v>145</v>
      </c>
      <c r="H810">
        <v>1</v>
      </c>
      <c r="I810" t="s">
        <v>2746</v>
      </c>
      <c r="J810" t="s">
        <v>357</v>
      </c>
    </row>
    <row r="811" spans="1:10" x14ac:dyDescent="0.25">
      <c r="A811" t="s">
        <v>2747</v>
      </c>
      <c r="B811" t="s">
        <v>2748</v>
      </c>
      <c r="C811" s="2">
        <v>46197.583333333336</v>
      </c>
      <c r="D811" t="s">
        <v>418</v>
      </c>
      <c r="E811" t="s">
        <v>11</v>
      </c>
      <c r="F811" t="s">
        <v>91</v>
      </c>
      <c r="G811" t="s">
        <v>92</v>
      </c>
      <c r="H811">
        <v>2</v>
      </c>
      <c r="I811" t="s">
        <v>2749</v>
      </c>
      <c r="J811" t="s">
        <v>357</v>
      </c>
    </row>
    <row r="812" spans="1:10" x14ac:dyDescent="0.25">
      <c r="A812" t="s">
        <v>2750</v>
      </c>
      <c r="B812" t="s">
        <v>2751</v>
      </c>
      <c r="C812" s="2">
        <v>46197.583333333336</v>
      </c>
      <c r="D812" t="s">
        <v>418</v>
      </c>
      <c r="E812" t="s">
        <v>11</v>
      </c>
      <c r="F812" t="s">
        <v>180</v>
      </c>
      <c r="G812" t="s">
        <v>92</v>
      </c>
      <c r="H812">
        <v>5</v>
      </c>
      <c r="I812" t="s">
        <v>2749</v>
      </c>
      <c r="J812" t="s">
        <v>357</v>
      </c>
    </row>
    <row r="813" spans="1:10" x14ac:dyDescent="0.25">
      <c r="A813" t="s">
        <v>2752</v>
      </c>
      <c r="B813" t="s">
        <v>2753</v>
      </c>
      <c r="C813" s="2">
        <v>46197.583333333336</v>
      </c>
      <c r="D813" t="s">
        <v>418</v>
      </c>
      <c r="E813" t="s">
        <v>18</v>
      </c>
      <c r="F813" t="s">
        <v>153</v>
      </c>
      <c r="G813" t="s">
        <v>95</v>
      </c>
      <c r="H813">
        <v>7</v>
      </c>
      <c r="I813" t="s">
        <v>2754</v>
      </c>
      <c r="J813" t="s">
        <v>357</v>
      </c>
    </row>
    <row r="814" spans="1:10" x14ac:dyDescent="0.25">
      <c r="A814" t="s">
        <v>2755</v>
      </c>
      <c r="B814" t="s">
        <v>2756</v>
      </c>
      <c r="C814" s="2">
        <v>46197.583333333336</v>
      </c>
      <c r="D814" t="s">
        <v>418</v>
      </c>
      <c r="E814" t="s">
        <v>20</v>
      </c>
      <c r="F814" t="s">
        <v>182</v>
      </c>
      <c r="G814" t="s">
        <v>97</v>
      </c>
      <c r="H814">
        <v>4</v>
      </c>
      <c r="I814" t="s">
        <v>2757</v>
      </c>
      <c r="J814" t="s">
        <v>357</v>
      </c>
    </row>
    <row r="815" spans="1:10" x14ac:dyDescent="0.25">
      <c r="A815" t="s">
        <v>2758</v>
      </c>
      <c r="B815" t="s">
        <v>2759</v>
      </c>
      <c r="C815" s="2">
        <v>46197.583333333336</v>
      </c>
      <c r="D815" t="s">
        <v>418</v>
      </c>
      <c r="E815" t="s">
        <v>24</v>
      </c>
      <c r="F815" t="s">
        <v>184</v>
      </c>
      <c r="G815" t="s">
        <v>101</v>
      </c>
      <c r="H815">
        <v>7</v>
      </c>
      <c r="I815" t="s">
        <v>2760</v>
      </c>
      <c r="J815" t="s">
        <v>357</v>
      </c>
    </row>
    <row r="816" spans="1:10" x14ac:dyDescent="0.25">
      <c r="A816" t="s">
        <v>2761</v>
      </c>
      <c r="B816" t="s">
        <v>2762</v>
      </c>
      <c r="C816" s="2">
        <v>46197.583333333336</v>
      </c>
      <c r="D816" t="s">
        <v>418</v>
      </c>
      <c r="E816" t="s">
        <v>26</v>
      </c>
      <c r="F816" t="s">
        <v>185</v>
      </c>
      <c r="G816" t="s">
        <v>103</v>
      </c>
      <c r="H816">
        <v>3</v>
      </c>
      <c r="I816" t="s">
        <v>2763</v>
      </c>
      <c r="J816" t="s">
        <v>357</v>
      </c>
    </row>
    <row r="817" spans="1:10" x14ac:dyDescent="0.25">
      <c r="A817" t="s">
        <v>2764</v>
      </c>
      <c r="B817" t="s">
        <v>2765</v>
      </c>
      <c r="C817" s="2">
        <v>46197.583333333336</v>
      </c>
      <c r="D817" t="s">
        <v>418</v>
      </c>
      <c r="E817" t="s">
        <v>28</v>
      </c>
      <c r="F817" t="s">
        <v>158</v>
      </c>
      <c r="G817" t="s">
        <v>105</v>
      </c>
      <c r="H817">
        <v>4</v>
      </c>
      <c r="I817" t="s">
        <v>2766</v>
      </c>
      <c r="J817" t="s">
        <v>357</v>
      </c>
    </row>
    <row r="818" spans="1:10" x14ac:dyDescent="0.25">
      <c r="A818" t="s">
        <v>2767</v>
      </c>
      <c r="B818" t="s">
        <v>2768</v>
      </c>
      <c r="C818" s="2">
        <v>46197.583333333336</v>
      </c>
      <c r="D818" t="s">
        <v>418</v>
      </c>
      <c r="E818" t="s">
        <v>32</v>
      </c>
      <c r="F818" t="s">
        <v>186</v>
      </c>
      <c r="G818" t="s">
        <v>109</v>
      </c>
      <c r="H818">
        <v>3</v>
      </c>
      <c r="I818" t="s">
        <v>2769</v>
      </c>
      <c r="J818" t="s">
        <v>357</v>
      </c>
    </row>
    <row r="819" spans="1:10" x14ac:dyDescent="0.25">
      <c r="A819" t="s">
        <v>2770</v>
      </c>
      <c r="B819" t="s">
        <v>2771</v>
      </c>
      <c r="C819" s="2">
        <v>46197.583333333336</v>
      </c>
      <c r="D819" t="s">
        <v>418</v>
      </c>
      <c r="E819" t="s">
        <v>36</v>
      </c>
      <c r="F819" t="s">
        <v>162</v>
      </c>
      <c r="G819" t="s">
        <v>113</v>
      </c>
      <c r="H819">
        <v>3</v>
      </c>
      <c r="I819" t="s">
        <v>2772</v>
      </c>
      <c r="J819" t="s">
        <v>357</v>
      </c>
    </row>
    <row r="820" spans="1:10" x14ac:dyDescent="0.25">
      <c r="A820" t="s">
        <v>2773</v>
      </c>
      <c r="B820" t="s">
        <v>2774</v>
      </c>
      <c r="C820" s="2">
        <v>46197.583333333336</v>
      </c>
      <c r="D820" t="s">
        <v>418</v>
      </c>
      <c r="E820" t="s">
        <v>43</v>
      </c>
      <c r="F820" t="s">
        <v>164</v>
      </c>
      <c r="G820" t="s">
        <v>117</v>
      </c>
      <c r="H820">
        <v>3</v>
      </c>
      <c r="I820" t="s">
        <v>2775</v>
      </c>
      <c r="J820" t="s">
        <v>357</v>
      </c>
    </row>
    <row r="821" spans="1:10" x14ac:dyDescent="0.25">
      <c r="A821" t="s">
        <v>2776</v>
      </c>
      <c r="B821" t="s">
        <v>2777</v>
      </c>
      <c r="C821" s="2">
        <v>46197.583333333336</v>
      </c>
      <c r="D821" t="s">
        <v>418</v>
      </c>
      <c r="E821" t="s">
        <v>45</v>
      </c>
      <c r="F821" t="s">
        <v>118</v>
      </c>
      <c r="G821" t="s">
        <v>119</v>
      </c>
      <c r="H821">
        <v>1</v>
      </c>
      <c r="I821" t="s">
        <v>2778</v>
      </c>
      <c r="J821" t="s">
        <v>357</v>
      </c>
    </row>
    <row r="822" spans="1:10" x14ac:dyDescent="0.25">
      <c r="A822" t="s">
        <v>2779</v>
      </c>
      <c r="B822" t="s">
        <v>2780</v>
      </c>
      <c r="C822" s="2">
        <v>46197.583333333336</v>
      </c>
      <c r="D822" t="s">
        <v>418</v>
      </c>
      <c r="E822" t="s">
        <v>59</v>
      </c>
      <c r="F822" t="s">
        <v>132</v>
      </c>
      <c r="G822" t="s">
        <v>133</v>
      </c>
      <c r="H822">
        <v>1</v>
      </c>
      <c r="I822" t="s">
        <v>2781</v>
      </c>
      <c r="J822" t="s">
        <v>357</v>
      </c>
    </row>
    <row r="823" spans="1:10" x14ac:dyDescent="0.25">
      <c r="A823" t="s">
        <v>2782</v>
      </c>
      <c r="B823" t="s">
        <v>2783</v>
      </c>
      <c r="C823" s="2">
        <v>46197.583333333336</v>
      </c>
      <c r="D823" t="s">
        <v>418</v>
      </c>
      <c r="E823" t="s">
        <v>59</v>
      </c>
      <c r="F823" t="s">
        <v>172</v>
      </c>
      <c r="G823" t="s">
        <v>133</v>
      </c>
      <c r="H823">
        <v>5</v>
      </c>
      <c r="I823" t="s">
        <v>2781</v>
      </c>
      <c r="J823" t="s">
        <v>357</v>
      </c>
    </row>
    <row r="824" spans="1:10" x14ac:dyDescent="0.25">
      <c r="A824" t="s">
        <v>2784</v>
      </c>
      <c r="B824" t="s">
        <v>2785</v>
      </c>
      <c r="C824" s="2">
        <v>46197.583333333336</v>
      </c>
      <c r="D824" t="s">
        <v>418</v>
      </c>
      <c r="E824" t="s">
        <v>77</v>
      </c>
      <c r="F824" t="s">
        <v>146</v>
      </c>
      <c r="G824" t="s">
        <v>147</v>
      </c>
      <c r="H824">
        <v>4</v>
      </c>
      <c r="I824" t="s">
        <v>2786</v>
      </c>
      <c r="J824" t="s">
        <v>357</v>
      </c>
    </row>
    <row r="825" spans="1:10" x14ac:dyDescent="0.25">
      <c r="A825" t="s">
        <v>2787</v>
      </c>
      <c r="B825" t="s">
        <v>2788</v>
      </c>
      <c r="C825" s="2">
        <v>46197.583333333336</v>
      </c>
      <c r="D825" t="s">
        <v>418</v>
      </c>
      <c r="E825" t="s">
        <v>11</v>
      </c>
      <c r="F825" t="s">
        <v>180</v>
      </c>
      <c r="G825" t="s">
        <v>92</v>
      </c>
      <c r="H825">
        <v>1</v>
      </c>
      <c r="I825" t="s">
        <v>2789</v>
      </c>
      <c r="J825" t="s">
        <v>357</v>
      </c>
    </row>
    <row r="826" spans="1:10" x14ac:dyDescent="0.25">
      <c r="A826" t="s">
        <v>2790</v>
      </c>
      <c r="B826" t="s">
        <v>2791</v>
      </c>
      <c r="C826" s="2">
        <v>46197.583333333336</v>
      </c>
      <c r="D826" t="s">
        <v>418</v>
      </c>
      <c r="E826" t="s">
        <v>20</v>
      </c>
      <c r="F826" t="s">
        <v>182</v>
      </c>
      <c r="G826" t="s">
        <v>97</v>
      </c>
      <c r="H826">
        <v>4</v>
      </c>
      <c r="I826" t="s">
        <v>2792</v>
      </c>
      <c r="J826" t="s">
        <v>357</v>
      </c>
    </row>
    <row r="827" spans="1:10" x14ac:dyDescent="0.25">
      <c r="A827" t="s">
        <v>2793</v>
      </c>
      <c r="B827" t="s">
        <v>2794</v>
      </c>
      <c r="C827" s="2">
        <v>46197.583333333336</v>
      </c>
      <c r="D827" t="s">
        <v>418</v>
      </c>
      <c r="E827" t="s">
        <v>22</v>
      </c>
      <c r="F827" t="s">
        <v>183</v>
      </c>
      <c r="G827" t="s">
        <v>99</v>
      </c>
      <c r="H827">
        <v>2</v>
      </c>
      <c r="I827" t="s">
        <v>2795</v>
      </c>
      <c r="J827" t="s">
        <v>357</v>
      </c>
    </row>
    <row r="828" spans="1:10" x14ac:dyDescent="0.25">
      <c r="A828" t="s">
        <v>2796</v>
      </c>
      <c r="B828" t="s">
        <v>2797</v>
      </c>
      <c r="C828" s="2">
        <v>46197.583333333336</v>
      </c>
      <c r="D828" t="s">
        <v>418</v>
      </c>
      <c r="E828" t="s">
        <v>26</v>
      </c>
      <c r="F828" t="s">
        <v>185</v>
      </c>
      <c r="G828" t="s">
        <v>103</v>
      </c>
      <c r="H828">
        <v>4</v>
      </c>
      <c r="I828" t="s">
        <v>2798</v>
      </c>
      <c r="J828" t="s">
        <v>357</v>
      </c>
    </row>
    <row r="829" spans="1:10" x14ac:dyDescent="0.25">
      <c r="A829" t="s">
        <v>2799</v>
      </c>
      <c r="B829" t="s">
        <v>2800</v>
      </c>
      <c r="C829" s="2">
        <v>46197.583333333336</v>
      </c>
      <c r="D829" t="s">
        <v>418</v>
      </c>
      <c r="E829" t="s">
        <v>47</v>
      </c>
      <c r="F829" t="s">
        <v>166</v>
      </c>
      <c r="G829" t="s">
        <v>121</v>
      </c>
      <c r="H829">
        <v>1</v>
      </c>
      <c r="I829" t="s">
        <v>2801</v>
      </c>
      <c r="J829" t="s">
        <v>357</v>
      </c>
    </row>
    <row r="830" spans="1:10" x14ac:dyDescent="0.25">
      <c r="A830" t="s">
        <v>2802</v>
      </c>
      <c r="B830" t="s">
        <v>2803</v>
      </c>
      <c r="C830" s="2">
        <v>46197.583333333336</v>
      </c>
      <c r="D830" t="s">
        <v>418</v>
      </c>
      <c r="E830" t="s">
        <v>51</v>
      </c>
      <c r="F830" t="s">
        <v>124</v>
      </c>
      <c r="G830" t="s">
        <v>125</v>
      </c>
      <c r="H830">
        <v>3</v>
      </c>
      <c r="I830" t="s">
        <v>2804</v>
      </c>
      <c r="J830" t="s">
        <v>357</v>
      </c>
    </row>
    <row r="831" spans="1:10" x14ac:dyDescent="0.25">
      <c r="A831" t="s">
        <v>2805</v>
      </c>
      <c r="B831" t="s">
        <v>2806</v>
      </c>
      <c r="C831" s="2">
        <v>46197.583333333336</v>
      </c>
      <c r="D831" t="s">
        <v>418</v>
      </c>
      <c r="E831" t="s">
        <v>53</v>
      </c>
      <c r="F831" t="s">
        <v>169</v>
      </c>
      <c r="G831" t="s">
        <v>127</v>
      </c>
      <c r="H831">
        <v>2</v>
      </c>
      <c r="I831" t="s">
        <v>2807</v>
      </c>
      <c r="J831" t="s">
        <v>357</v>
      </c>
    </row>
    <row r="832" spans="1:10" x14ac:dyDescent="0.25">
      <c r="A832" t="s">
        <v>2808</v>
      </c>
      <c r="B832" t="s">
        <v>2809</v>
      </c>
      <c r="C832" s="2">
        <v>46197.583333333336</v>
      </c>
      <c r="D832" t="s">
        <v>418</v>
      </c>
      <c r="E832" t="s">
        <v>59</v>
      </c>
      <c r="F832" t="s">
        <v>172</v>
      </c>
      <c r="G832" t="s">
        <v>133</v>
      </c>
      <c r="H832">
        <v>4</v>
      </c>
      <c r="I832" t="s">
        <v>2810</v>
      </c>
      <c r="J832" t="s">
        <v>357</v>
      </c>
    </row>
    <row r="833" spans="1:10" x14ac:dyDescent="0.25">
      <c r="A833" t="s">
        <v>2811</v>
      </c>
      <c r="B833" t="s">
        <v>2812</v>
      </c>
      <c r="C833" s="2">
        <v>46197.583333333336</v>
      </c>
      <c r="D833" t="s">
        <v>418</v>
      </c>
      <c r="E833" t="s">
        <v>65</v>
      </c>
      <c r="F833" t="s">
        <v>173</v>
      </c>
      <c r="G833" t="s">
        <v>135</v>
      </c>
      <c r="H833">
        <v>4</v>
      </c>
      <c r="I833" t="s">
        <v>2813</v>
      </c>
      <c r="J833" t="s">
        <v>357</v>
      </c>
    </row>
    <row r="834" spans="1:10" x14ac:dyDescent="0.25">
      <c r="A834" t="s">
        <v>2814</v>
      </c>
      <c r="B834" t="s">
        <v>2815</v>
      </c>
      <c r="C834" s="2">
        <v>46197.583333333336</v>
      </c>
      <c r="D834" t="s">
        <v>418</v>
      </c>
      <c r="E834" t="s">
        <v>73</v>
      </c>
      <c r="F834" t="s">
        <v>142</v>
      </c>
      <c r="G834" t="s">
        <v>143</v>
      </c>
      <c r="H834">
        <v>4</v>
      </c>
      <c r="I834" t="s">
        <v>2816</v>
      </c>
      <c r="J834" t="s">
        <v>357</v>
      </c>
    </row>
    <row r="835" spans="1:10" x14ac:dyDescent="0.25">
      <c r="A835" t="s">
        <v>2817</v>
      </c>
      <c r="B835" t="s">
        <v>2818</v>
      </c>
      <c r="C835" s="2">
        <v>46198.583333333336</v>
      </c>
      <c r="D835" t="s">
        <v>418</v>
      </c>
      <c r="E835" t="s">
        <v>18</v>
      </c>
      <c r="F835" t="s">
        <v>153</v>
      </c>
      <c r="G835" t="s">
        <v>95</v>
      </c>
      <c r="H835">
        <v>1</v>
      </c>
      <c r="I835" t="s">
        <v>2819</v>
      </c>
      <c r="J835" t="s">
        <v>357</v>
      </c>
    </row>
    <row r="836" spans="1:10" x14ac:dyDescent="0.25">
      <c r="A836" t="s">
        <v>2820</v>
      </c>
      <c r="B836" t="s">
        <v>2821</v>
      </c>
      <c r="C836" s="2">
        <v>46198.583333333336</v>
      </c>
      <c r="D836" t="s">
        <v>418</v>
      </c>
      <c r="E836" t="s">
        <v>20</v>
      </c>
      <c r="F836" t="s">
        <v>182</v>
      </c>
      <c r="G836" t="s">
        <v>97</v>
      </c>
      <c r="H836">
        <v>1</v>
      </c>
      <c r="I836" t="s">
        <v>2822</v>
      </c>
      <c r="J836" t="s">
        <v>357</v>
      </c>
    </row>
    <row r="837" spans="1:10" x14ac:dyDescent="0.25">
      <c r="A837" t="s">
        <v>2823</v>
      </c>
      <c r="B837" t="s">
        <v>2824</v>
      </c>
      <c r="C837" s="2">
        <v>46198.583333333336</v>
      </c>
      <c r="D837" t="s">
        <v>418</v>
      </c>
      <c r="E837" t="s">
        <v>22</v>
      </c>
      <c r="F837" t="s">
        <v>183</v>
      </c>
      <c r="G837" t="s">
        <v>99</v>
      </c>
      <c r="H837">
        <v>2</v>
      </c>
      <c r="I837" t="s">
        <v>2825</v>
      </c>
      <c r="J837" t="s">
        <v>357</v>
      </c>
    </row>
    <row r="838" spans="1:10" x14ac:dyDescent="0.25">
      <c r="A838" t="s">
        <v>2826</v>
      </c>
      <c r="B838" t="s">
        <v>2827</v>
      </c>
      <c r="C838" s="2">
        <v>46198.583333333336</v>
      </c>
      <c r="D838" t="s">
        <v>418</v>
      </c>
      <c r="E838" t="s">
        <v>24</v>
      </c>
      <c r="F838" t="s">
        <v>184</v>
      </c>
      <c r="G838" t="s">
        <v>101</v>
      </c>
      <c r="H838">
        <v>2</v>
      </c>
      <c r="I838" t="s">
        <v>2828</v>
      </c>
      <c r="J838" t="s">
        <v>357</v>
      </c>
    </row>
    <row r="839" spans="1:10" x14ac:dyDescent="0.25">
      <c r="A839" t="s">
        <v>2829</v>
      </c>
      <c r="B839" t="s">
        <v>2830</v>
      </c>
      <c r="C839" s="2">
        <v>46198.583333333336</v>
      </c>
      <c r="D839" t="s">
        <v>418</v>
      </c>
      <c r="E839" t="s">
        <v>26</v>
      </c>
      <c r="F839" t="s">
        <v>185</v>
      </c>
      <c r="G839" t="s">
        <v>103</v>
      </c>
      <c r="H839">
        <v>2</v>
      </c>
      <c r="I839" t="s">
        <v>2831</v>
      </c>
      <c r="J839" t="s">
        <v>357</v>
      </c>
    </row>
    <row r="840" spans="1:10" x14ac:dyDescent="0.25">
      <c r="A840" t="s">
        <v>2832</v>
      </c>
      <c r="B840" t="s">
        <v>2833</v>
      </c>
      <c r="C840" s="2">
        <v>46198.583333333336</v>
      </c>
      <c r="D840" t="s">
        <v>418</v>
      </c>
      <c r="E840" t="s">
        <v>36</v>
      </c>
      <c r="F840" t="s">
        <v>162</v>
      </c>
      <c r="G840" t="s">
        <v>113</v>
      </c>
      <c r="H840">
        <v>4</v>
      </c>
      <c r="I840" t="s">
        <v>2834</v>
      </c>
      <c r="J840" t="s">
        <v>357</v>
      </c>
    </row>
    <row r="841" spans="1:10" x14ac:dyDescent="0.25">
      <c r="A841" t="s">
        <v>2835</v>
      </c>
      <c r="B841" t="s">
        <v>2836</v>
      </c>
      <c r="C841" s="2">
        <v>46198.583333333336</v>
      </c>
      <c r="D841" t="s">
        <v>418</v>
      </c>
      <c r="E841" t="s">
        <v>45</v>
      </c>
      <c r="F841" t="s">
        <v>118</v>
      </c>
      <c r="G841" t="s">
        <v>119</v>
      </c>
      <c r="H841">
        <v>4</v>
      </c>
      <c r="I841" t="s">
        <v>2837</v>
      </c>
      <c r="J841" t="s">
        <v>357</v>
      </c>
    </row>
    <row r="842" spans="1:10" x14ac:dyDescent="0.25">
      <c r="A842" t="s">
        <v>2838</v>
      </c>
      <c r="B842" t="s">
        <v>2839</v>
      </c>
      <c r="C842" s="2">
        <v>46198.583333333336</v>
      </c>
      <c r="D842" t="s">
        <v>418</v>
      </c>
      <c r="E842" t="s">
        <v>47</v>
      </c>
      <c r="F842" t="s">
        <v>166</v>
      </c>
      <c r="G842" t="s">
        <v>121</v>
      </c>
      <c r="H842">
        <v>2</v>
      </c>
      <c r="I842" t="s">
        <v>2840</v>
      </c>
      <c r="J842" t="s">
        <v>357</v>
      </c>
    </row>
    <row r="843" spans="1:10" x14ac:dyDescent="0.25">
      <c r="A843" t="s">
        <v>2841</v>
      </c>
      <c r="B843" t="s">
        <v>2842</v>
      </c>
      <c r="C843" s="2">
        <v>46198.583333333336</v>
      </c>
      <c r="D843" t="s">
        <v>418</v>
      </c>
      <c r="E843" t="s">
        <v>49</v>
      </c>
      <c r="F843" t="s">
        <v>167</v>
      </c>
      <c r="G843" t="s">
        <v>123</v>
      </c>
      <c r="H843">
        <v>2</v>
      </c>
      <c r="I843" t="s">
        <v>2843</v>
      </c>
      <c r="J843" t="s">
        <v>357</v>
      </c>
    </row>
    <row r="844" spans="1:10" x14ac:dyDescent="0.25">
      <c r="A844" t="s">
        <v>2844</v>
      </c>
      <c r="B844" t="s">
        <v>2845</v>
      </c>
      <c r="C844" s="2">
        <v>46198.583333333336</v>
      </c>
      <c r="D844" t="s">
        <v>418</v>
      </c>
      <c r="E844" t="s">
        <v>53</v>
      </c>
      <c r="F844" t="s">
        <v>169</v>
      </c>
      <c r="G844" t="s">
        <v>127</v>
      </c>
      <c r="H844">
        <v>1</v>
      </c>
      <c r="I844" t="s">
        <v>2846</v>
      </c>
      <c r="J844" t="s">
        <v>357</v>
      </c>
    </row>
    <row r="845" spans="1:10" x14ac:dyDescent="0.25">
      <c r="A845" t="s">
        <v>2847</v>
      </c>
      <c r="B845" t="s">
        <v>2848</v>
      </c>
      <c r="C845" s="2">
        <v>46198.583333333336</v>
      </c>
      <c r="D845" t="s">
        <v>418</v>
      </c>
      <c r="E845" t="s">
        <v>57</v>
      </c>
      <c r="F845" t="s">
        <v>171</v>
      </c>
      <c r="G845" t="s">
        <v>131</v>
      </c>
      <c r="H845">
        <v>2</v>
      </c>
      <c r="I845" t="s">
        <v>2849</v>
      </c>
      <c r="J845" t="s">
        <v>357</v>
      </c>
    </row>
    <row r="846" spans="1:10" x14ac:dyDescent="0.25">
      <c r="A846" t="s">
        <v>2850</v>
      </c>
      <c r="B846" t="s">
        <v>2851</v>
      </c>
      <c r="C846" s="2">
        <v>46198.583333333336</v>
      </c>
      <c r="D846" t="s">
        <v>418</v>
      </c>
      <c r="E846" t="s">
        <v>65</v>
      </c>
      <c r="F846" t="s">
        <v>173</v>
      </c>
      <c r="G846" t="s">
        <v>135</v>
      </c>
      <c r="H846">
        <v>3</v>
      </c>
      <c r="I846" t="s">
        <v>2852</v>
      </c>
      <c r="J846" t="s">
        <v>357</v>
      </c>
    </row>
    <row r="847" spans="1:10" x14ac:dyDescent="0.25">
      <c r="A847" t="s">
        <v>2853</v>
      </c>
      <c r="B847" t="s">
        <v>2854</v>
      </c>
      <c r="C847" s="2">
        <v>46198.583333333336</v>
      </c>
      <c r="D847" t="s">
        <v>418</v>
      </c>
      <c r="E847" t="s">
        <v>69</v>
      </c>
      <c r="F847" t="s">
        <v>138</v>
      </c>
      <c r="G847" t="s">
        <v>139</v>
      </c>
      <c r="H847">
        <v>3</v>
      </c>
      <c r="I847" t="s">
        <v>2855</v>
      </c>
      <c r="J847" t="s">
        <v>357</v>
      </c>
    </row>
    <row r="848" spans="1:10" x14ac:dyDescent="0.25">
      <c r="A848" t="s">
        <v>2856</v>
      </c>
      <c r="B848" t="s">
        <v>2857</v>
      </c>
      <c r="C848" s="2">
        <v>46198.583333333336</v>
      </c>
      <c r="D848" t="s">
        <v>418</v>
      </c>
      <c r="E848" t="s">
        <v>69</v>
      </c>
      <c r="F848" t="s">
        <v>175</v>
      </c>
      <c r="G848" t="s">
        <v>139</v>
      </c>
      <c r="H848">
        <v>1</v>
      </c>
      <c r="I848" t="s">
        <v>2855</v>
      </c>
      <c r="J848" t="s">
        <v>357</v>
      </c>
    </row>
    <row r="849" spans="1:10" x14ac:dyDescent="0.25">
      <c r="A849" t="s">
        <v>2858</v>
      </c>
      <c r="B849" t="s">
        <v>2859</v>
      </c>
      <c r="C849" s="2">
        <v>46198.583333333336</v>
      </c>
      <c r="D849" t="s">
        <v>418</v>
      </c>
      <c r="E849" t="s">
        <v>75</v>
      </c>
      <c r="F849" t="s">
        <v>144</v>
      </c>
      <c r="G849" t="s">
        <v>145</v>
      </c>
      <c r="H849">
        <v>2</v>
      </c>
      <c r="I849" t="s">
        <v>2860</v>
      </c>
      <c r="J849" t="s">
        <v>357</v>
      </c>
    </row>
    <row r="850" spans="1:10" x14ac:dyDescent="0.25">
      <c r="A850" t="s">
        <v>2861</v>
      </c>
      <c r="B850" t="s">
        <v>2862</v>
      </c>
      <c r="C850" s="2">
        <v>46198.583333333336</v>
      </c>
      <c r="D850" t="s">
        <v>418</v>
      </c>
      <c r="E850" t="s">
        <v>11</v>
      </c>
      <c r="F850" t="s">
        <v>180</v>
      </c>
      <c r="G850" t="s">
        <v>92</v>
      </c>
      <c r="H850">
        <v>3</v>
      </c>
      <c r="I850" t="s">
        <v>2863</v>
      </c>
      <c r="J850" t="s">
        <v>357</v>
      </c>
    </row>
    <row r="851" spans="1:10" x14ac:dyDescent="0.25">
      <c r="A851" t="s">
        <v>2864</v>
      </c>
      <c r="B851" t="s">
        <v>2865</v>
      </c>
      <c r="C851" s="2">
        <v>46198.583333333336</v>
      </c>
      <c r="D851" t="s">
        <v>418</v>
      </c>
      <c r="E851" t="s">
        <v>22</v>
      </c>
      <c r="F851" t="s">
        <v>183</v>
      </c>
      <c r="G851" t="s">
        <v>99</v>
      </c>
      <c r="H851">
        <v>5</v>
      </c>
      <c r="I851" t="s">
        <v>2866</v>
      </c>
      <c r="J851" t="s">
        <v>357</v>
      </c>
    </row>
    <row r="852" spans="1:10" x14ac:dyDescent="0.25">
      <c r="A852" t="s">
        <v>2867</v>
      </c>
      <c r="B852" t="s">
        <v>2868</v>
      </c>
      <c r="C852" s="2">
        <v>46198.583333333336</v>
      </c>
      <c r="D852" t="s">
        <v>418</v>
      </c>
      <c r="E852" t="s">
        <v>43</v>
      </c>
      <c r="F852" t="s">
        <v>164</v>
      </c>
      <c r="G852" t="s">
        <v>117</v>
      </c>
      <c r="H852">
        <v>2</v>
      </c>
      <c r="I852" t="s">
        <v>2869</v>
      </c>
      <c r="J852" t="s">
        <v>357</v>
      </c>
    </row>
    <row r="853" spans="1:10" x14ac:dyDescent="0.25">
      <c r="A853" t="s">
        <v>2870</v>
      </c>
      <c r="B853" t="s">
        <v>2871</v>
      </c>
      <c r="C853" s="2">
        <v>46198.583333333336</v>
      </c>
      <c r="D853" t="s">
        <v>418</v>
      </c>
      <c r="E853" t="s">
        <v>45</v>
      </c>
      <c r="F853" t="s">
        <v>118</v>
      </c>
      <c r="G853" t="s">
        <v>119</v>
      </c>
      <c r="H853">
        <v>3</v>
      </c>
      <c r="I853" t="s">
        <v>2872</v>
      </c>
      <c r="J853" t="s">
        <v>357</v>
      </c>
    </row>
    <row r="854" spans="1:10" x14ac:dyDescent="0.25">
      <c r="A854" t="s">
        <v>2873</v>
      </c>
      <c r="B854" t="s">
        <v>2874</v>
      </c>
      <c r="C854" s="2">
        <v>46198.583333333336</v>
      </c>
      <c r="D854" t="s">
        <v>418</v>
      </c>
      <c r="E854" t="s">
        <v>47</v>
      </c>
      <c r="F854" t="s">
        <v>166</v>
      </c>
      <c r="G854" t="s">
        <v>121</v>
      </c>
      <c r="H854">
        <v>5</v>
      </c>
      <c r="I854" t="s">
        <v>2875</v>
      </c>
      <c r="J854" t="s">
        <v>357</v>
      </c>
    </row>
    <row r="855" spans="1:10" x14ac:dyDescent="0.25">
      <c r="A855" t="s">
        <v>2876</v>
      </c>
      <c r="B855" t="s">
        <v>2877</v>
      </c>
      <c r="C855" s="2">
        <v>46198.583333333336</v>
      </c>
      <c r="D855" t="s">
        <v>418</v>
      </c>
      <c r="E855" t="s">
        <v>51</v>
      </c>
      <c r="F855" t="s">
        <v>124</v>
      </c>
      <c r="G855" t="s">
        <v>125</v>
      </c>
      <c r="H855">
        <v>3</v>
      </c>
      <c r="I855" t="s">
        <v>2878</v>
      </c>
      <c r="J855" t="s">
        <v>357</v>
      </c>
    </row>
    <row r="856" spans="1:10" x14ac:dyDescent="0.25">
      <c r="A856" t="s">
        <v>2879</v>
      </c>
      <c r="B856" t="s">
        <v>2880</v>
      </c>
      <c r="C856" s="2">
        <v>46198.583333333336</v>
      </c>
      <c r="D856" t="s">
        <v>418</v>
      </c>
      <c r="E856" t="s">
        <v>57</v>
      </c>
      <c r="F856" t="s">
        <v>171</v>
      </c>
      <c r="G856" t="s">
        <v>131</v>
      </c>
      <c r="H856">
        <v>3</v>
      </c>
      <c r="I856" t="s">
        <v>2881</v>
      </c>
      <c r="J856" t="s">
        <v>357</v>
      </c>
    </row>
    <row r="857" spans="1:10" x14ac:dyDescent="0.25">
      <c r="A857" t="s">
        <v>2882</v>
      </c>
      <c r="B857" t="s">
        <v>2883</v>
      </c>
      <c r="C857" s="2">
        <v>46198.583333333336</v>
      </c>
      <c r="D857" t="s">
        <v>418</v>
      </c>
      <c r="E857" t="s">
        <v>59</v>
      </c>
      <c r="F857" t="s">
        <v>172</v>
      </c>
      <c r="G857" t="s">
        <v>133</v>
      </c>
      <c r="H857">
        <v>3</v>
      </c>
      <c r="I857" t="s">
        <v>2884</v>
      </c>
      <c r="J857" t="s">
        <v>357</v>
      </c>
    </row>
    <row r="858" spans="1:10" x14ac:dyDescent="0.25">
      <c r="A858" t="s">
        <v>2885</v>
      </c>
      <c r="B858" t="s">
        <v>2886</v>
      </c>
      <c r="C858" s="2">
        <v>46198.583333333336</v>
      </c>
      <c r="D858" t="s">
        <v>418</v>
      </c>
      <c r="E858" t="s">
        <v>11</v>
      </c>
      <c r="F858" t="s">
        <v>180</v>
      </c>
      <c r="G858" t="s">
        <v>92</v>
      </c>
      <c r="H858">
        <v>4</v>
      </c>
      <c r="I858" t="s">
        <v>2887</v>
      </c>
      <c r="J858" t="s">
        <v>357</v>
      </c>
    </row>
    <row r="859" spans="1:10" x14ac:dyDescent="0.25">
      <c r="A859" t="s">
        <v>2888</v>
      </c>
      <c r="B859" t="s">
        <v>2889</v>
      </c>
      <c r="C859" s="2">
        <v>46198.583333333336</v>
      </c>
      <c r="D859" t="s">
        <v>418</v>
      </c>
      <c r="E859" t="s">
        <v>18</v>
      </c>
      <c r="F859" t="s">
        <v>153</v>
      </c>
      <c r="G859" t="s">
        <v>95</v>
      </c>
      <c r="H859">
        <v>6</v>
      </c>
      <c r="I859" t="s">
        <v>2890</v>
      </c>
      <c r="J859" t="s">
        <v>357</v>
      </c>
    </row>
    <row r="860" spans="1:10" x14ac:dyDescent="0.25">
      <c r="A860" t="s">
        <v>2891</v>
      </c>
      <c r="B860" t="s">
        <v>2892</v>
      </c>
      <c r="C860" s="2">
        <v>46198.583333333336</v>
      </c>
      <c r="D860" t="s">
        <v>418</v>
      </c>
      <c r="E860" t="s">
        <v>45</v>
      </c>
      <c r="F860" t="s">
        <v>118</v>
      </c>
      <c r="G860" t="s">
        <v>119</v>
      </c>
      <c r="H860">
        <v>4</v>
      </c>
      <c r="I860" t="s">
        <v>2893</v>
      </c>
      <c r="J860" t="s">
        <v>357</v>
      </c>
    </row>
    <row r="861" spans="1:10" x14ac:dyDescent="0.25">
      <c r="A861" t="s">
        <v>2894</v>
      </c>
      <c r="B861" t="s">
        <v>2895</v>
      </c>
      <c r="C861" s="2">
        <v>46198.583333333336</v>
      </c>
      <c r="D861" t="s">
        <v>418</v>
      </c>
      <c r="E861" t="s">
        <v>49</v>
      </c>
      <c r="F861" t="s">
        <v>167</v>
      </c>
      <c r="G861" t="s">
        <v>123</v>
      </c>
      <c r="H861">
        <v>6</v>
      </c>
      <c r="I861" t="s">
        <v>2896</v>
      </c>
      <c r="J861" t="s">
        <v>357</v>
      </c>
    </row>
    <row r="862" spans="1:10" x14ac:dyDescent="0.25">
      <c r="A862" t="s">
        <v>2897</v>
      </c>
      <c r="B862" t="s">
        <v>2898</v>
      </c>
      <c r="C862" s="2">
        <v>46198.583333333336</v>
      </c>
      <c r="D862" t="s">
        <v>418</v>
      </c>
      <c r="E862" t="s">
        <v>55</v>
      </c>
      <c r="F862" t="s">
        <v>192</v>
      </c>
      <c r="G862" t="s">
        <v>129</v>
      </c>
      <c r="H862">
        <v>2</v>
      </c>
      <c r="I862" t="s">
        <v>2899</v>
      </c>
      <c r="J862" t="s">
        <v>357</v>
      </c>
    </row>
    <row r="863" spans="1:10" x14ac:dyDescent="0.25">
      <c r="A863" t="s">
        <v>2900</v>
      </c>
      <c r="B863" t="s">
        <v>2901</v>
      </c>
      <c r="C863" s="2">
        <v>46198.583333333336</v>
      </c>
      <c r="D863" t="s">
        <v>418</v>
      </c>
      <c r="E863" t="s">
        <v>69</v>
      </c>
      <c r="F863" t="s">
        <v>175</v>
      </c>
      <c r="G863" t="s">
        <v>139</v>
      </c>
      <c r="H863">
        <v>5</v>
      </c>
      <c r="I863" t="s">
        <v>2902</v>
      </c>
      <c r="J863" t="s">
        <v>357</v>
      </c>
    </row>
    <row r="864" spans="1:10" x14ac:dyDescent="0.25">
      <c r="A864" t="s">
        <v>2903</v>
      </c>
      <c r="B864" t="s">
        <v>2904</v>
      </c>
      <c r="C864" s="2">
        <v>46198.583333333336</v>
      </c>
      <c r="D864" t="s">
        <v>418</v>
      </c>
      <c r="E864" t="s">
        <v>71</v>
      </c>
      <c r="F864" t="s">
        <v>176</v>
      </c>
      <c r="G864" t="s">
        <v>141</v>
      </c>
      <c r="H864">
        <v>6</v>
      </c>
      <c r="I864" t="s">
        <v>2905</v>
      </c>
      <c r="J864" t="s">
        <v>357</v>
      </c>
    </row>
    <row r="865" spans="1:10" x14ac:dyDescent="0.25">
      <c r="A865" t="s">
        <v>2906</v>
      </c>
      <c r="B865" t="s">
        <v>2907</v>
      </c>
      <c r="C865" s="2">
        <v>46198.583333333336</v>
      </c>
      <c r="D865" t="s">
        <v>418</v>
      </c>
      <c r="E865" t="s">
        <v>18</v>
      </c>
      <c r="F865" t="s">
        <v>153</v>
      </c>
      <c r="G865" t="s">
        <v>95</v>
      </c>
      <c r="H865">
        <v>5</v>
      </c>
      <c r="I865" t="s">
        <v>2908</v>
      </c>
      <c r="J865" t="s">
        <v>357</v>
      </c>
    </row>
    <row r="866" spans="1:10" x14ac:dyDescent="0.25">
      <c r="A866" t="s">
        <v>2909</v>
      </c>
      <c r="B866" t="s">
        <v>2910</v>
      </c>
      <c r="C866" s="2">
        <v>46198.583333333336</v>
      </c>
      <c r="D866" t="s">
        <v>418</v>
      </c>
      <c r="E866" t="s">
        <v>18</v>
      </c>
      <c r="F866" t="s">
        <v>181</v>
      </c>
      <c r="G866" t="s">
        <v>95</v>
      </c>
      <c r="H866">
        <v>2</v>
      </c>
      <c r="I866" t="s">
        <v>2908</v>
      </c>
      <c r="J866" t="s">
        <v>357</v>
      </c>
    </row>
    <row r="867" spans="1:10" x14ac:dyDescent="0.25">
      <c r="A867" t="s">
        <v>2911</v>
      </c>
      <c r="B867" t="s">
        <v>2912</v>
      </c>
      <c r="C867" s="2">
        <v>46198.583333333336</v>
      </c>
      <c r="D867" t="s">
        <v>418</v>
      </c>
      <c r="E867" t="s">
        <v>24</v>
      </c>
      <c r="F867" t="s">
        <v>184</v>
      </c>
      <c r="G867" t="s">
        <v>101</v>
      </c>
      <c r="H867">
        <v>1</v>
      </c>
      <c r="I867" t="s">
        <v>2913</v>
      </c>
      <c r="J867" t="s">
        <v>357</v>
      </c>
    </row>
    <row r="868" spans="1:10" x14ac:dyDescent="0.25">
      <c r="A868" t="s">
        <v>2914</v>
      </c>
      <c r="B868" t="s">
        <v>2915</v>
      </c>
      <c r="C868" s="2">
        <v>46198.583333333336</v>
      </c>
      <c r="D868" t="s">
        <v>418</v>
      </c>
      <c r="E868" t="s">
        <v>43</v>
      </c>
      <c r="F868" t="s">
        <v>164</v>
      </c>
      <c r="G868" t="s">
        <v>117</v>
      </c>
      <c r="H868">
        <v>4</v>
      </c>
      <c r="I868" t="s">
        <v>2916</v>
      </c>
      <c r="J868" t="s">
        <v>357</v>
      </c>
    </row>
    <row r="869" spans="1:10" x14ac:dyDescent="0.25">
      <c r="A869" t="s">
        <v>2917</v>
      </c>
      <c r="B869" t="s">
        <v>2918</v>
      </c>
      <c r="C869" s="2">
        <v>46198.583333333336</v>
      </c>
      <c r="D869" t="s">
        <v>418</v>
      </c>
      <c r="E869" t="s">
        <v>51</v>
      </c>
      <c r="F869" t="s">
        <v>124</v>
      </c>
      <c r="G869" t="s">
        <v>125</v>
      </c>
      <c r="H869">
        <v>6</v>
      </c>
      <c r="I869" t="s">
        <v>2919</v>
      </c>
      <c r="J869" t="s">
        <v>357</v>
      </c>
    </row>
    <row r="870" spans="1:10" x14ac:dyDescent="0.25">
      <c r="A870" t="s">
        <v>2920</v>
      </c>
      <c r="B870" t="s">
        <v>2921</v>
      </c>
      <c r="C870" s="2">
        <v>46198.583333333336</v>
      </c>
      <c r="D870" t="s">
        <v>418</v>
      </c>
      <c r="E870" t="s">
        <v>75</v>
      </c>
      <c r="F870" t="s">
        <v>144</v>
      </c>
      <c r="G870" t="s">
        <v>145</v>
      </c>
      <c r="H870">
        <v>6</v>
      </c>
      <c r="I870" t="s">
        <v>2922</v>
      </c>
      <c r="J870" t="s">
        <v>357</v>
      </c>
    </row>
    <row r="871" spans="1:10" x14ac:dyDescent="0.25">
      <c r="A871" t="s">
        <v>2923</v>
      </c>
      <c r="B871" t="s">
        <v>2924</v>
      </c>
      <c r="C871" s="2">
        <v>46198.583333333336</v>
      </c>
      <c r="D871" t="s">
        <v>418</v>
      </c>
      <c r="E871" t="s">
        <v>18</v>
      </c>
      <c r="F871" t="s">
        <v>181</v>
      </c>
      <c r="G871" t="s">
        <v>95</v>
      </c>
      <c r="H871">
        <v>2</v>
      </c>
      <c r="I871" t="s">
        <v>2925</v>
      </c>
      <c r="J871" t="s">
        <v>357</v>
      </c>
    </row>
    <row r="872" spans="1:10" x14ac:dyDescent="0.25">
      <c r="A872" t="s">
        <v>2926</v>
      </c>
      <c r="B872" t="s">
        <v>2927</v>
      </c>
      <c r="C872" s="2">
        <v>46198.583333333336</v>
      </c>
      <c r="D872" t="s">
        <v>418</v>
      </c>
      <c r="E872" t="s">
        <v>20</v>
      </c>
      <c r="F872" t="s">
        <v>182</v>
      </c>
      <c r="G872" t="s">
        <v>97</v>
      </c>
      <c r="H872">
        <v>4</v>
      </c>
      <c r="I872" t="s">
        <v>2928</v>
      </c>
      <c r="J872" t="s">
        <v>357</v>
      </c>
    </row>
    <row r="873" spans="1:10" x14ac:dyDescent="0.25">
      <c r="A873" t="s">
        <v>2929</v>
      </c>
      <c r="B873" t="s">
        <v>2930</v>
      </c>
      <c r="C873" s="2">
        <v>46198.583333333336</v>
      </c>
      <c r="D873" t="s">
        <v>418</v>
      </c>
      <c r="E873" t="s">
        <v>22</v>
      </c>
      <c r="F873" t="s">
        <v>183</v>
      </c>
      <c r="G873" t="s">
        <v>99</v>
      </c>
      <c r="H873">
        <v>2</v>
      </c>
      <c r="I873" t="s">
        <v>2931</v>
      </c>
      <c r="J873" t="s">
        <v>357</v>
      </c>
    </row>
    <row r="874" spans="1:10" x14ac:dyDescent="0.25">
      <c r="A874" t="s">
        <v>2932</v>
      </c>
      <c r="B874" t="s">
        <v>2933</v>
      </c>
      <c r="C874" s="2">
        <v>46198.583333333336</v>
      </c>
      <c r="D874" t="s">
        <v>418</v>
      </c>
      <c r="E874" t="s">
        <v>24</v>
      </c>
      <c r="F874" t="s">
        <v>184</v>
      </c>
      <c r="G874" t="s">
        <v>101</v>
      </c>
      <c r="H874">
        <v>3</v>
      </c>
      <c r="I874" t="s">
        <v>2934</v>
      </c>
      <c r="J874" t="s">
        <v>357</v>
      </c>
    </row>
    <row r="875" spans="1:10" x14ac:dyDescent="0.25">
      <c r="A875" t="s">
        <v>2935</v>
      </c>
      <c r="B875" t="s">
        <v>2936</v>
      </c>
      <c r="C875" s="2">
        <v>46198.583333333336</v>
      </c>
      <c r="D875" t="s">
        <v>418</v>
      </c>
      <c r="E875" t="s">
        <v>30</v>
      </c>
      <c r="F875" t="s">
        <v>106</v>
      </c>
      <c r="G875" t="s">
        <v>107</v>
      </c>
      <c r="H875">
        <v>4</v>
      </c>
      <c r="I875" t="s">
        <v>2937</v>
      </c>
      <c r="J875" t="s">
        <v>357</v>
      </c>
    </row>
    <row r="876" spans="1:10" x14ac:dyDescent="0.25">
      <c r="A876" t="s">
        <v>2938</v>
      </c>
      <c r="B876" t="s">
        <v>2939</v>
      </c>
      <c r="C876" s="2">
        <v>46198.583333333336</v>
      </c>
      <c r="D876" t="s">
        <v>418</v>
      </c>
      <c r="E876" t="s">
        <v>32</v>
      </c>
      <c r="F876" t="s">
        <v>186</v>
      </c>
      <c r="G876" t="s">
        <v>109</v>
      </c>
      <c r="H876">
        <v>2</v>
      </c>
      <c r="I876" t="s">
        <v>2940</v>
      </c>
      <c r="J876" t="s">
        <v>357</v>
      </c>
    </row>
    <row r="877" spans="1:10" x14ac:dyDescent="0.25">
      <c r="A877" t="s">
        <v>2941</v>
      </c>
      <c r="B877" t="s">
        <v>2942</v>
      </c>
      <c r="C877" s="2">
        <v>46198.583333333336</v>
      </c>
      <c r="D877" t="s">
        <v>418</v>
      </c>
      <c r="E877" t="s">
        <v>36</v>
      </c>
      <c r="F877" t="s">
        <v>162</v>
      </c>
      <c r="G877" t="s">
        <v>113</v>
      </c>
      <c r="H877">
        <v>1</v>
      </c>
      <c r="I877" t="s">
        <v>2943</v>
      </c>
      <c r="J877" t="s">
        <v>357</v>
      </c>
    </row>
    <row r="878" spans="1:10" x14ac:dyDescent="0.25">
      <c r="A878" t="s">
        <v>2944</v>
      </c>
      <c r="B878" t="s">
        <v>2945</v>
      </c>
      <c r="C878" s="2">
        <v>46198.583333333336</v>
      </c>
      <c r="D878" t="s">
        <v>418</v>
      </c>
      <c r="E878" t="s">
        <v>55</v>
      </c>
      <c r="F878" t="s">
        <v>192</v>
      </c>
      <c r="G878" t="s">
        <v>129</v>
      </c>
      <c r="H878">
        <v>3</v>
      </c>
      <c r="I878" t="s">
        <v>2946</v>
      </c>
      <c r="J878" t="s">
        <v>357</v>
      </c>
    </row>
    <row r="879" spans="1:10" x14ac:dyDescent="0.25">
      <c r="A879" t="s">
        <v>2947</v>
      </c>
      <c r="B879" t="s">
        <v>2948</v>
      </c>
      <c r="C879" s="2">
        <v>46198.583333333336</v>
      </c>
      <c r="D879" t="s">
        <v>418</v>
      </c>
      <c r="E879" t="s">
        <v>57</v>
      </c>
      <c r="F879" t="s">
        <v>171</v>
      </c>
      <c r="G879" t="s">
        <v>131</v>
      </c>
      <c r="H879">
        <v>4</v>
      </c>
      <c r="I879" t="s">
        <v>2949</v>
      </c>
      <c r="J879" t="s">
        <v>357</v>
      </c>
    </row>
    <row r="880" spans="1:10" x14ac:dyDescent="0.25">
      <c r="A880" t="s">
        <v>2950</v>
      </c>
      <c r="B880" t="s">
        <v>2951</v>
      </c>
      <c r="C880" s="2">
        <v>46198.583333333336</v>
      </c>
      <c r="D880" t="s">
        <v>418</v>
      </c>
      <c r="E880" t="s">
        <v>75</v>
      </c>
      <c r="F880" t="s">
        <v>144</v>
      </c>
      <c r="G880" t="s">
        <v>145</v>
      </c>
      <c r="H880">
        <v>4</v>
      </c>
      <c r="I880" t="s">
        <v>2952</v>
      </c>
      <c r="J880" t="s">
        <v>357</v>
      </c>
    </row>
    <row r="881" spans="1:10" x14ac:dyDescent="0.25">
      <c r="A881" t="s">
        <v>2953</v>
      </c>
      <c r="B881" t="s">
        <v>2954</v>
      </c>
      <c r="C881" s="2">
        <v>46198.583333333336</v>
      </c>
      <c r="D881" t="s">
        <v>418</v>
      </c>
      <c r="E881" t="s">
        <v>77</v>
      </c>
      <c r="F881" t="s">
        <v>146</v>
      </c>
      <c r="G881" t="s">
        <v>147</v>
      </c>
      <c r="H881">
        <v>3</v>
      </c>
      <c r="I881" t="s">
        <v>2955</v>
      </c>
      <c r="J881" t="s">
        <v>357</v>
      </c>
    </row>
    <row r="882" spans="1:10" x14ac:dyDescent="0.25">
      <c r="A882" t="s">
        <v>2956</v>
      </c>
      <c r="B882" t="s">
        <v>2957</v>
      </c>
      <c r="C882" s="2">
        <v>46199.583333333336</v>
      </c>
      <c r="D882" t="s">
        <v>418</v>
      </c>
      <c r="E882" t="s">
        <v>22</v>
      </c>
      <c r="F882" t="s">
        <v>183</v>
      </c>
      <c r="G882" t="s">
        <v>99</v>
      </c>
      <c r="H882">
        <v>2</v>
      </c>
      <c r="I882" t="s">
        <v>2958</v>
      </c>
      <c r="J882" t="s">
        <v>357</v>
      </c>
    </row>
    <row r="883" spans="1:10" x14ac:dyDescent="0.25">
      <c r="A883" t="s">
        <v>2959</v>
      </c>
      <c r="B883" t="s">
        <v>2960</v>
      </c>
      <c r="C883" s="2">
        <v>46199.583333333336</v>
      </c>
      <c r="D883" t="s">
        <v>418</v>
      </c>
      <c r="E883" t="s">
        <v>24</v>
      </c>
      <c r="F883" t="s">
        <v>184</v>
      </c>
      <c r="G883" t="s">
        <v>101</v>
      </c>
      <c r="H883">
        <v>3</v>
      </c>
      <c r="I883" t="s">
        <v>2961</v>
      </c>
      <c r="J883" t="s">
        <v>357</v>
      </c>
    </row>
    <row r="884" spans="1:10" x14ac:dyDescent="0.25">
      <c r="A884" t="s">
        <v>2962</v>
      </c>
      <c r="B884" t="s">
        <v>2963</v>
      </c>
      <c r="C884" s="2">
        <v>46199.583333333336</v>
      </c>
      <c r="D884" t="s">
        <v>418</v>
      </c>
      <c r="E884" t="s">
        <v>26</v>
      </c>
      <c r="F884" t="s">
        <v>185</v>
      </c>
      <c r="G884" t="s">
        <v>103</v>
      </c>
      <c r="H884">
        <v>2</v>
      </c>
      <c r="I884" t="s">
        <v>2964</v>
      </c>
      <c r="J884" t="s">
        <v>357</v>
      </c>
    </row>
    <row r="885" spans="1:10" x14ac:dyDescent="0.25">
      <c r="A885" t="s">
        <v>2965</v>
      </c>
      <c r="B885" t="s">
        <v>2966</v>
      </c>
      <c r="C885" s="2">
        <v>46199.583333333336</v>
      </c>
      <c r="D885" t="s">
        <v>418</v>
      </c>
      <c r="E885" t="s">
        <v>41</v>
      </c>
      <c r="F885" t="s">
        <v>188</v>
      </c>
      <c r="G885" t="s">
        <v>115</v>
      </c>
      <c r="H885">
        <v>4</v>
      </c>
      <c r="I885" t="s">
        <v>2967</v>
      </c>
      <c r="J885" t="s">
        <v>357</v>
      </c>
    </row>
    <row r="886" spans="1:10" x14ac:dyDescent="0.25">
      <c r="A886" t="s">
        <v>2968</v>
      </c>
      <c r="B886" t="s">
        <v>2969</v>
      </c>
      <c r="C886" s="2">
        <v>46199.583333333336</v>
      </c>
      <c r="D886" t="s">
        <v>418</v>
      </c>
      <c r="E886" t="s">
        <v>51</v>
      </c>
      <c r="F886" t="s">
        <v>124</v>
      </c>
      <c r="G886" t="s">
        <v>125</v>
      </c>
      <c r="H886">
        <v>2</v>
      </c>
      <c r="I886" t="s">
        <v>2970</v>
      </c>
      <c r="J886" t="s">
        <v>357</v>
      </c>
    </row>
    <row r="887" spans="1:10" x14ac:dyDescent="0.25">
      <c r="A887" t="s">
        <v>2971</v>
      </c>
      <c r="B887" t="s">
        <v>2972</v>
      </c>
      <c r="C887" s="2">
        <v>46199.583333333336</v>
      </c>
      <c r="D887" t="s">
        <v>418</v>
      </c>
      <c r="E887" t="s">
        <v>55</v>
      </c>
      <c r="F887" t="s">
        <v>192</v>
      </c>
      <c r="G887" t="s">
        <v>129</v>
      </c>
      <c r="H887">
        <v>3</v>
      </c>
      <c r="I887" t="s">
        <v>2973</v>
      </c>
      <c r="J887" t="s">
        <v>357</v>
      </c>
    </row>
    <row r="888" spans="1:10" x14ac:dyDescent="0.25">
      <c r="A888" t="s">
        <v>2974</v>
      </c>
      <c r="B888" t="s">
        <v>2975</v>
      </c>
      <c r="C888" s="2">
        <v>46199.583333333336</v>
      </c>
      <c r="D888" t="s">
        <v>418</v>
      </c>
      <c r="E888" t="s">
        <v>11</v>
      </c>
      <c r="F888" t="s">
        <v>180</v>
      </c>
      <c r="G888" t="s">
        <v>92</v>
      </c>
      <c r="H888">
        <v>5</v>
      </c>
      <c r="I888" t="s">
        <v>2976</v>
      </c>
      <c r="J888" t="s">
        <v>357</v>
      </c>
    </row>
    <row r="889" spans="1:10" x14ac:dyDescent="0.25">
      <c r="A889" t="s">
        <v>2977</v>
      </c>
      <c r="B889" t="s">
        <v>2978</v>
      </c>
      <c r="C889" s="2">
        <v>46199.583333333336</v>
      </c>
      <c r="D889" t="s">
        <v>418</v>
      </c>
      <c r="E889" t="s">
        <v>18</v>
      </c>
      <c r="F889" t="s">
        <v>181</v>
      </c>
      <c r="G889" t="s">
        <v>95</v>
      </c>
      <c r="H889">
        <v>5</v>
      </c>
      <c r="I889" t="s">
        <v>2979</v>
      </c>
      <c r="J889" t="s">
        <v>357</v>
      </c>
    </row>
    <row r="890" spans="1:10" x14ac:dyDescent="0.25">
      <c r="A890" t="s">
        <v>2980</v>
      </c>
      <c r="B890" t="s">
        <v>2981</v>
      </c>
      <c r="C890" s="2">
        <v>46199.583333333336</v>
      </c>
      <c r="D890" t="s">
        <v>418</v>
      </c>
      <c r="E890" t="s">
        <v>20</v>
      </c>
      <c r="F890" t="s">
        <v>182</v>
      </c>
      <c r="G890" t="s">
        <v>97</v>
      </c>
      <c r="H890">
        <v>1</v>
      </c>
      <c r="I890" t="s">
        <v>2982</v>
      </c>
      <c r="J890" t="s">
        <v>357</v>
      </c>
    </row>
    <row r="891" spans="1:10" x14ac:dyDescent="0.25">
      <c r="A891" t="s">
        <v>2983</v>
      </c>
      <c r="B891" t="s">
        <v>2984</v>
      </c>
      <c r="C891" s="2">
        <v>46199.583333333336</v>
      </c>
      <c r="D891" t="s">
        <v>418</v>
      </c>
      <c r="E891" t="s">
        <v>36</v>
      </c>
      <c r="F891" t="s">
        <v>162</v>
      </c>
      <c r="G891" t="s">
        <v>113</v>
      </c>
      <c r="H891">
        <v>3</v>
      </c>
      <c r="I891" t="s">
        <v>2985</v>
      </c>
      <c r="J891" t="s">
        <v>357</v>
      </c>
    </row>
    <row r="892" spans="1:10" x14ac:dyDescent="0.25">
      <c r="A892" t="s">
        <v>2986</v>
      </c>
      <c r="B892" t="s">
        <v>2987</v>
      </c>
      <c r="C892" s="2">
        <v>46199.583333333336</v>
      </c>
      <c r="D892" t="s">
        <v>418</v>
      </c>
      <c r="E892" t="s">
        <v>43</v>
      </c>
      <c r="F892" t="s">
        <v>164</v>
      </c>
      <c r="G892" t="s">
        <v>117</v>
      </c>
      <c r="H892">
        <v>2</v>
      </c>
      <c r="I892" t="s">
        <v>2988</v>
      </c>
      <c r="J892" t="s">
        <v>357</v>
      </c>
    </row>
    <row r="893" spans="1:10" x14ac:dyDescent="0.25">
      <c r="A893" t="s">
        <v>2989</v>
      </c>
      <c r="B893" t="s">
        <v>2990</v>
      </c>
      <c r="C893" s="2">
        <v>46199.583333333336</v>
      </c>
      <c r="D893" t="s">
        <v>418</v>
      </c>
      <c r="E893" t="s">
        <v>45</v>
      </c>
      <c r="F893" t="s">
        <v>118</v>
      </c>
      <c r="G893" t="s">
        <v>119</v>
      </c>
      <c r="H893">
        <v>1</v>
      </c>
      <c r="I893" t="s">
        <v>2991</v>
      </c>
      <c r="J893" t="s">
        <v>357</v>
      </c>
    </row>
    <row r="894" spans="1:10" x14ac:dyDescent="0.25">
      <c r="A894" t="s">
        <v>2992</v>
      </c>
      <c r="B894" t="s">
        <v>2993</v>
      </c>
      <c r="C894" s="2">
        <v>46199.583333333336</v>
      </c>
      <c r="D894" t="s">
        <v>418</v>
      </c>
      <c r="E894" t="s">
        <v>47</v>
      </c>
      <c r="F894" t="s">
        <v>166</v>
      </c>
      <c r="G894" t="s">
        <v>121</v>
      </c>
      <c r="H894">
        <v>3</v>
      </c>
      <c r="I894" t="s">
        <v>2994</v>
      </c>
      <c r="J894" t="s">
        <v>357</v>
      </c>
    </row>
    <row r="895" spans="1:10" x14ac:dyDescent="0.25">
      <c r="A895" t="s">
        <v>2995</v>
      </c>
      <c r="B895" t="s">
        <v>2996</v>
      </c>
      <c r="C895" s="2">
        <v>46199.583333333336</v>
      </c>
      <c r="D895" t="s">
        <v>418</v>
      </c>
      <c r="E895" t="s">
        <v>49</v>
      </c>
      <c r="F895" t="s">
        <v>167</v>
      </c>
      <c r="G895" t="s">
        <v>123</v>
      </c>
      <c r="H895">
        <v>1</v>
      </c>
      <c r="I895" t="s">
        <v>2997</v>
      </c>
      <c r="J895" t="s">
        <v>357</v>
      </c>
    </row>
    <row r="896" spans="1:10" x14ac:dyDescent="0.25">
      <c r="A896" t="s">
        <v>2998</v>
      </c>
      <c r="B896" t="s">
        <v>2999</v>
      </c>
      <c r="C896" s="2">
        <v>46199.583333333336</v>
      </c>
      <c r="D896" t="s">
        <v>418</v>
      </c>
      <c r="E896" t="s">
        <v>53</v>
      </c>
      <c r="F896" t="s">
        <v>169</v>
      </c>
      <c r="G896" t="s">
        <v>127</v>
      </c>
      <c r="H896">
        <v>5</v>
      </c>
      <c r="I896" t="s">
        <v>3000</v>
      </c>
      <c r="J896" t="s">
        <v>357</v>
      </c>
    </row>
    <row r="897" spans="1:10" x14ac:dyDescent="0.25">
      <c r="A897" t="s">
        <v>3001</v>
      </c>
      <c r="B897" t="s">
        <v>3002</v>
      </c>
      <c r="C897" s="2">
        <v>46199.583333333336</v>
      </c>
      <c r="D897" t="s">
        <v>418</v>
      </c>
      <c r="E897" t="s">
        <v>69</v>
      </c>
      <c r="F897" t="s">
        <v>175</v>
      </c>
      <c r="G897" t="s">
        <v>139</v>
      </c>
      <c r="H897">
        <v>1</v>
      </c>
      <c r="I897" t="s">
        <v>3003</v>
      </c>
      <c r="J897" t="s">
        <v>357</v>
      </c>
    </row>
    <row r="898" spans="1:10" x14ac:dyDescent="0.25">
      <c r="A898" t="s">
        <v>3004</v>
      </c>
      <c r="B898" t="s">
        <v>3005</v>
      </c>
      <c r="C898" s="2">
        <v>46199.583333333336</v>
      </c>
      <c r="D898" t="s">
        <v>418</v>
      </c>
      <c r="E898" t="s">
        <v>77</v>
      </c>
      <c r="F898" t="s">
        <v>146</v>
      </c>
      <c r="G898" t="s">
        <v>147</v>
      </c>
      <c r="H898">
        <v>1</v>
      </c>
      <c r="I898" t="s">
        <v>3006</v>
      </c>
      <c r="J898" t="s">
        <v>357</v>
      </c>
    </row>
    <row r="899" spans="1:10" x14ac:dyDescent="0.25">
      <c r="A899" t="s">
        <v>3007</v>
      </c>
      <c r="B899" t="s">
        <v>3008</v>
      </c>
      <c r="C899" s="2">
        <v>46199.583333333336</v>
      </c>
      <c r="D899" t="s">
        <v>418</v>
      </c>
      <c r="E899" t="s">
        <v>11</v>
      </c>
      <c r="F899" t="s">
        <v>180</v>
      </c>
      <c r="G899" t="s">
        <v>92</v>
      </c>
      <c r="H899">
        <v>6</v>
      </c>
      <c r="I899" t="s">
        <v>3009</v>
      </c>
      <c r="J899" t="s">
        <v>357</v>
      </c>
    </row>
    <row r="900" spans="1:10" x14ac:dyDescent="0.25">
      <c r="A900" t="s">
        <v>3010</v>
      </c>
      <c r="B900" t="s">
        <v>3011</v>
      </c>
      <c r="C900" s="2">
        <v>46199.583333333336</v>
      </c>
      <c r="D900" t="s">
        <v>418</v>
      </c>
      <c r="E900" t="s">
        <v>18</v>
      </c>
      <c r="F900" t="s">
        <v>181</v>
      </c>
      <c r="G900" t="s">
        <v>95</v>
      </c>
      <c r="H900">
        <v>2</v>
      </c>
      <c r="I900" t="s">
        <v>3012</v>
      </c>
      <c r="J900" t="s">
        <v>357</v>
      </c>
    </row>
    <row r="901" spans="1:10" x14ac:dyDescent="0.25">
      <c r="A901" t="s">
        <v>3013</v>
      </c>
      <c r="B901" t="s">
        <v>3014</v>
      </c>
      <c r="C901" s="2">
        <v>46199.583333333336</v>
      </c>
      <c r="D901" t="s">
        <v>418</v>
      </c>
      <c r="E901" t="s">
        <v>20</v>
      </c>
      <c r="F901" t="s">
        <v>182</v>
      </c>
      <c r="G901" t="s">
        <v>97</v>
      </c>
      <c r="H901">
        <v>4</v>
      </c>
      <c r="I901" t="s">
        <v>3015</v>
      </c>
      <c r="J901" t="s">
        <v>357</v>
      </c>
    </row>
    <row r="902" spans="1:10" x14ac:dyDescent="0.25">
      <c r="A902" t="s">
        <v>3016</v>
      </c>
      <c r="B902" t="s">
        <v>3017</v>
      </c>
      <c r="C902" s="2">
        <v>46199.583333333336</v>
      </c>
      <c r="D902" t="s">
        <v>418</v>
      </c>
      <c r="E902" t="s">
        <v>22</v>
      </c>
      <c r="F902" t="s">
        <v>183</v>
      </c>
      <c r="G902" t="s">
        <v>99</v>
      </c>
      <c r="H902">
        <v>4</v>
      </c>
      <c r="I902" t="s">
        <v>3018</v>
      </c>
      <c r="J902" t="s">
        <v>357</v>
      </c>
    </row>
    <row r="903" spans="1:10" x14ac:dyDescent="0.25">
      <c r="A903" t="s">
        <v>3019</v>
      </c>
      <c r="B903" t="s">
        <v>3020</v>
      </c>
      <c r="C903" s="2">
        <v>46199.583333333336</v>
      </c>
      <c r="D903" t="s">
        <v>418</v>
      </c>
      <c r="E903" t="s">
        <v>24</v>
      </c>
      <c r="F903" t="s">
        <v>184</v>
      </c>
      <c r="G903" t="s">
        <v>101</v>
      </c>
      <c r="H903">
        <v>6</v>
      </c>
      <c r="I903" t="s">
        <v>3021</v>
      </c>
      <c r="J903" t="s">
        <v>357</v>
      </c>
    </row>
    <row r="904" spans="1:10" x14ac:dyDescent="0.25">
      <c r="A904" t="s">
        <v>3022</v>
      </c>
      <c r="B904" t="s">
        <v>3023</v>
      </c>
      <c r="C904" s="2">
        <v>46199.583333333336</v>
      </c>
      <c r="D904" t="s">
        <v>418</v>
      </c>
      <c r="E904" t="s">
        <v>30</v>
      </c>
      <c r="F904" t="s">
        <v>106</v>
      </c>
      <c r="G904" t="s">
        <v>107</v>
      </c>
      <c r="H904">
        <v>1</v>
      </c>
      <c r="I904" t="s">
        <v>3024</v>
      </c>
      <c r="J904" t="s">
        <v>357</v>
      </c>
    </row>
    <row r="905" spans="1:10" x14ac:dyDescent="0.25">
      <c r="A905" t="s">
        <v>3025</v>
      </c>
      <c r="B905" t="s">
        <v>3026</v>
      </c>
      <c r="C905" s="2">
        <v>46199.583333333336</v>
      </c>
      <c r="D905" t="s">
        <v>418</v>
      </c>
      <c r="E905" t="s">
        <v>41</v>
      </c>
      <c r="F905" t="s">
        <v>188</v>
      </c>
      <c r="G905" t="s">
        <v>115</v>
      </c>
      <c r="H905">
        <v>5</v>
      </c>
      <c r="I905" t="s">
        <v>3027</v>
      </c>
      <c r="J905" t="s">
        <v>357</v>
      </c>
    </row>
    <row r="906" spans="1:10" x14ac:dyDescent="0.25">
      <c r="A906" t="s">
        <v>3028</v>
      </c>
      <c r="B906" t="s">
        <v>3029</v>
      </c>
      <c r="C906" s="2">
        <v>46199.583333333336</v>
      </c>
      <c r="D906" t="s">
        <v>418</v>
      </c>
      <c r="E906" t="s">
        <v>51</v>
      </c>
      <c r="F906" t="s">
        <v>124</v>
      </c>
      <c r="G906" t="s">
        <v>125</v>
      </c>
      <c r="H906">
        <v>5</v>
      </c>
      <c r="I906" t="s">
        <v>3030</v>
      </c>
      <c r="J906" t="s">
        <v>357</v>
      </c>
    </row>
    <row r="907" spans="1:10" x14ac:dyDescent="0.25">
      <c r="A907" t="s">
        <v>3031</v>
      </c>
      <c r="B907" t="s">
        <v>3032</v>
      </c>
      <c r="C907" s="2">
        <v>46199.583333333336</v>
      </c>
      <c r="D907" t="s">
        <v>418</v>
      </c>
      <c r="E907" t="s">
        <v>57</v>
      </c>
      <c r="F907" t="s">
        <v>171</v>
      </c>
      <c r="G907" t="s">
        <v>131</v>
      </c>
      <c r="H907">
        <v>1</v>
      </c>
      <c r="I907" t="s">
        <v>3033</v>
      </c>
      <c r="J907" t="s">
        <v>357</v>
      </c>
    </row>
    <row r="908" spans="1:10" x14ac:dyDescent="0.25">
      <c r="A908" t="s">
        <v>3034</v>
      </c>
      <c r="B908" t="s">
        <v>3035</v>
      </c>
      <c r="C908" s="2">
        <v>46199.583333333336</v>
      </c>
      <c r="D908" t="s">
        <v>418</v>
      </c>
      <c r="E908" t="s">
        <v>71</v>
      </c>
      <c r="F908" t="s">
        <v>176</v>
      </c>
      <c r="G908" t="s">
        <v>141</v>
      </c>
      <c r="H908">
        <v>4</v>
      </c>
      <c r="I908" t="s">
        <v>3036</v>
      </c>
      <c r="J908" t="s">
        <v>357</v>
      </c>
    </row>
    <row r="909" spans="1:10" x14ac:dyDescent="0.25">
      <c r="A909" t="s">
        <v>3037</v>
      </c>
      <c r="B909" t="s">
        <v>3038</v>
      </c>
      <c r="C909" s="2">
        <v>46199.583333333336</v>
      </c>
      <c r="D909" t="s">
        <v>418</v>
      </c>
      <c r="E909" t="s">
        <v>75</v>
      </c>
      <c r="F909" t="s">
        <v>144</v>
      </c>
      <c r="G909" t="s">
        <v>145</v>
      </c>
      <c r="H909">
        <v>1</v>
      </c>
      <c r="I909" t="s">
        <v>3039</v>
      </c>
      <c r="J909" t="s">
        <v>357</v>
      </c>
    </row>
    <row r="910" spans="1:10" x14ac:dyDescent="0.25">
      <c r="A910" t="s">
        <v>3040</v>
      </c>
      <c r="B910" t="s">
        <v>3041</v>
      </c>
      <c r="C910" s="2">
        <v>46199.583333333336</v>
      </c>
      <c r="D910" t="s">
        <v>418</v>
      </c>
      <c r="E910" t="s">
        <v>20</v>
      </c>
      <c r="F910" t="s">
        <v>182</v>
      </c>
      <c r="G910" t="s">
        <v>97</v>
      </c>
      <c r="H910">
        <v>7</v>
      </c>
      <c r="I910" t="s">
        <v>3042</v>
      </c>
      <c r="J910" t="s">
        <v>357</v>
      </c>
    </row>
    <row r="911" spans="1:10" x14ac:dyDescent="0.25">
      <c r="A911" t="s">
        <v>3043</v>
      </c>
      <c r="B911" t="s">
        <v>3044</v>
      </c>
      <c r="C911" s="2">
        <v>46199.583333333336</v>
      </c>
      <c r="D911" t="s">
        <v>418</v>
      </c>
      <c r="E911" t="s">
        <v>22</v>
      </c>
      <c r="F911" t="s">
        <v>183</v>
      </c>
      <c r="G911" t="s">
        <v>99</v>
      </c>
      <c r="H911">
        <v>7</v>
      </c>
      <c r="I911" t="s">
        <v>3045</v>
      </c>
      <c r="J911" t="s">
        <v>357</v>
      </c>
    </row>
    <row r="912" spans="1:10" x14ac:dyDescent="0.25">
      <c r="A912" t="s">
        <v>3046</v>
      </c>
      <c r="B912" t="s">
        <v>3047</v>
      </c>
      <c r="C912" s="2">
        <v>46199.583333333336</v>
      </c>
      <c r="D912" t="s">
        <v>418</v>
      </c>
      <c r="E912" t="s">
        <v>30</v>
      </c>
      <c r="F912" t="s">
        <v>106</v>
      </c>
      <c r="G912" t="s">
        <v>107</v>
      </c>
      <c r="H912">
        <v>7</v>
      </c>
      <c r="I912" t="s">
        <v>3048</v>
      </c>
      <c r="J912" t="s">
        <v>357</v>
      </c>
    </row>
    <row r="913" spans="1:10" x14ac:dyDescent="0.25">
      <c r="A913" t="s">
        <v>3049</v>
      </c>
      <c r="B913" t="s">
        <v>3050</v>
      </c>
      <c r="C913" s="2">
        <v>46199.583333333336</v>
      </c>
      <c r="D913" t="s">
        <v>418</v>
      </c>
      <c r="E913" t="s">
        <v>43</v>
      </c>
      <c r="F913" t="s">
        <v>164</v>
      </c>
      <c r="G913" t="s">
        <v>117</v>
      </c>
      <c r="H913">
        <v>4</v>
      </c>
      <c r="I913" t="s">
        <v>3051</v>
      </c>
      <c r="J913" t="s">
        <v>357</v>
      </c>
    </row>
    <row r="914" spans="1:10" x14ac:dyDescent="0.25">
      <c r="A914" t="s">
        <v>3052</v>
      </c>
      <c r="B914" t="s">
        <v>3053</v>
      </c>
      <c r="C914" s="2">
        <v>46199.583333333336</v>
      </c>
      <c r="D914" t="s">
        <v>418</v>
      </c>
      <c r="E914" t="s">
        <v>53</v>
      </c>
      <c r="F914" t="s">
        <v>169</v>
      </c>
      <c r="G914" t="s">
        <v>127</v>
      </c>
      <c r="H914">
        <v>1</v>
      </c>
      <c r="I914" t="s">
        <v>3054</v>
      </c>
      <c r="J914" t="s">
        <v>357</v>
      </c>
    </row>
    <row r="915" spans="1:10" x14ac:dyDescent="0.25">
      <c r="A915" t="s">
        <v>3055</v>
      </c>
      <c r="B915" t="s">
        <v>3056</v>
      </c>
      <c r="C915" s="2">
        <v>46199.583333333336</v>
      </c>
      <c r="D915" t="s">
        <v>418</v>
      </c>
      <c r="E915" t="s">
        <v>75</v>
      </c>
      <c r="F915" t="s">
        <v>144</v>
      </c>
      <c r="G915" t="s">
        <v>145</v>
      </c>
      <c r="H915">
        <v>4</v>
      </c>
      <c r="I915" t="s">
        <v>3057</v>
      </c>
      <c r="J915" t="s">
        <v>357</v>
      </c>
    </row>
    <row r="916" spans="1:10" x14ac:dyDescent="0.25">
      <c r="A916" t="s">
        <v>3058</v>
      </c>
      <c r="B916" t="s">
        <v>3059</v>
      </c>
      <c r="C916" s="2">
        <v>46199.583333333336</v>
      </c>
      <c r="D916" t="s">
        <v>418</v>
      </c>
      <c r="E916" t="s">
        <v>75</v>
      </c>
      <c r="F916" t="s">
        <v>178</v>
      </c>
      <c r="G916" t="s">
        <v>145</v>
      </c>
      <c r="H916">
        <v>3</v>
      </c>
      <c r="I916" t="s">
        <v>3057</v>
      </c>
      <c r="J916" t="s">
        <v>357</v>
      </c>
    </row>
    <row r="917" spans="1:10" x14ac:dyDescent="0.25">
      <c r="A917" t="s">
        <v>3060</v>
      </c>
      <c r="B917" t="s">
        <v>3061</v>
      </c>
      <c r="C917" s="2">
        <v>46199.583333333336</v>
      </c>
      <c r="D917" t="s">
        <v>418</v>
      </c>
      <c r="E917" t="s">
        <v>20</v>
      </c>
      <c r="F917" t="s">
        <v>182</v>
      </c>
      <c r="G917" t="s">
        <v>97</v>
      </c>
      <c r="H917">
        <v>1</v>
      </c>
      <c r="I917" t="s">
        <v>3062</v>
      </c>
      <c r="J917" t="s">
        <v>357</v>
      </c>
    </row>
    <row r="918" spans="1:10" x14ac:dyDescent="0.25">
      <c r="A918" t="s">
        <v>3063</v>
      </c>
      <c r="B918" t="s">
        <v>3064</v>
      </c>
      <c r="C918" s="2">
        <v>46199.583333333336</v>
      </c>
      <c r="D918" t="s">
        <v>418</v>
      </c>
      <c r="E918" t="s">
        <v>22</v>
      </c>
      <c r="F918" t="s">
        <v>183</v>
      </c>
      <c r="G918" t="s">
        <v>99</v>
      </c>
      <c r="H918">
        <v>4</v>
      </c>
      <c r="I918" t="s">
        <v>3065</v>
      </c>
      <c r="J918" t="s">
        <v>357</v>
      </c>
    </row>
    <row r="919" spans="1:10" x14ac:dyDescent="0.25">
      <c r="A919" t="s">
        <v>3066</v>
      </c>
      <c r="B919" t="s">
        <v>3067</v>
      </c>
      <c r="C919" s="2">
        <v>46199.583333333336</v>
      </c>
      <c r="D919" t="s">
        <v>418</v>
      </c>
      <c r="E919" t="s">
        <v>26</v>
      </c>
      <c r="F919" t="s">
        <v>185</v>
      </c>
      <c r="G919" t="s">
        <v>103</v>
      </c>
      <c r="H919">
        <v>3</v>
      </c>
      <c r="I919" t="s">
        <v>3068</v>
      </c>
      <c r="J919" t="s">
        <v>357</v>
      </c>
    </row>
    <row r="920" spans="1:10" x14ac:dyDescent="0.25">
      <c r="A920" t="s">
        <v>3069</v>
      </c>
      <c r="B920" t="s">
        <v>3070</v>
      </c>
      <c r="C920" s="2">
        <v>46199.583333333336</v>
      </c>
      <c r="D920" t="s">
        <v>418</v>
      </c>
      <c r="E920" t="s">
        <v>45</v>
      </c>
      <c r="F920" t="s">
        <v>118</v>
      </c>
      <c r="G920" t="s">
        <v>119</v>
      </c>
      <c r="H920">
        <v>4</v>
      </c>
      <c r="I920" t="s">
        <v>3071</v>
      </c>
      <c r="J920" t="s">
        <v>357</v>
      </c>
    </row>
    <row r="921" spans="1:10" x14ac:dyDescent="0.25">
      <c r="A921" t="s">
        <v>3072</v>
      </c>
      <c r="B921" t="s">
        <v>3073</v>
      </c>
      <c r="C921" s="2">
        <v>46199.583333333336</v>
      </c>
      <c r="D921" t="s">
        <v>418</v>
      </c>
      <c r="E921" t="s">
        <v>73</v>
      </c>
      <c r="F921" t="s">
        <v>142</v>
      </c>
      <c r="G921" t="s">
        <v>143</v>
      </c>
      <c r="H921">
        <v>3</v>
      </c>
      <c r="I921" t="s">
        <v>3074</v>
      </c>
      <c r="J921" t="s">
        <v>357</v>
      </c>
    </row>
    <row r="922" spans="1:10" x14ac:dyDescent="0.25">
      <c r="A922" t="s">
        <v>3075</v>
      </c>
      <c r="B922" t="s">
        <v>3076</v>
      </c>
      <c r="C922" s="2">
        <v>46199.583333333336</v>
      </c>
      <c r="D922" t="s">
        <v>418</v>
      </c>
      <c r="E922" t="s">
        <v>77</v>
      </c>
      <c r="F922" t="s">
        <v>146</v>
      </c>
      <c r="G922" t="s">
        <v>147</v>
      </c>
      <c r="H922">
        <v>4</v>
      </c>
      <c r="I922" t="s">
        <v>3077</v>
      </c>
      <c r="J922" t="s">
        <v>357</v>
      </c>
    </row>
    <row r="923" spans="1:10" x14ac:dyDescent="0.25">
      <c r="A923" t="s">
        <v>3078</v>
      </c>
      <c r="B923" t="s">
        <v>3079</v>
      </c>
      <c r="C923" s="2">
        <v>46200.583333333336</v>
      </c>
      <c r="D923" t="s">
        <v>418</v>
      </c>
      <c r="E923" t="s">
        <v>11</v>
      </c>
      <c r="F923" t="s">
        <v>180</v>
      </c>
      <c r="G923" t="s">
        <v>92</v>
      </c>
      <c r="H923">
        <v>5</v>
      </c>
      <c r="I923" t="s">
        <v>3080</v>
      </c>
      <c r="J923" t="s">
        <v>357</v>
      </c>
    </row>
    <row r="924" spans="1:10" x14ac:dyDescent="0.25">
      <c r="A924" t="s">
        <v>3081</v>
      </c>
      <c r="B924" t="s">
        <v>3082</v>
      </c>
      <c r="C924" s="2">
        <v>46200.583333333336</v>
      </c>
      <c r="D924" t="s">
        <v>418</v>
      </c>
      <c r="E924" t="s">
        <v>18</v>
      </c>
      <c r="F924" t="s">
        <v>181</v>
      </c>
      <c r="G924" t="s">
        <v>95</v>
      </c>
      <c r="H924">
        <v>1</v>
      </c>
      <c r="I924" t="s">
        <v>3083</v>
      </c>
      <c r="J924" t="s">
        <v>357</v>
      </c>
    </row>
    <row r="925" spans="1:10" x14ac:dyDescent="0.25">
      <c r="A925" t="s">
        <v>3084</v>
      </c>
      <c r="B925" t="s">
        <v>3085</v>
      </c>
      <c r="C925" s="2">
        <v>46200.583333333336</v>
      </c>
      <c r="D925" t="s">
        <v>418</v>
      </c>
      <c r="E925" t="s">
        <v>20</v>
      </c>
      <c r="F925" t="s">
        <v>182</v>
      </c>
      <c r="G925" t="s">
        <v>97</v>
      </c>
      <c r="H925">
        <v>4</v>
      </c>
      <c r="I925" t="s">
        <v>3086</v>
      </c>
      <c r="J925" t="s">
        <v>357</v>
      </c>
    </row>
    <row r="926" spans="1:10" x14ac:dyDescent="0.25">
      <c r="A926" t="s">
        <v>3087</v>
      </c>
      <c r="B926" t="s">
        <v>3088</v>
      </c>
      <c r="C926" s="2">
        <v>46200.583333333336</v>
      </c>
      <c r="D926" t="s">
        <v>418</v>
      </c>
      <c r="E926" t="s">
        <v>24</v>
      </c>
      <c r="F926" t="s">
        <v>184</v>
      </c>
      <c r="G926" t="s">
        <v>101</v>
      </c>
      <c r="H926">
        <v>1</v>
      </c>
      <c r="I926" t="s">
        <v>3089</v>
      </c>
      <c r="J926" t="s">
        <v>357</v>
      </c>
    </row>
    <row r="927" spans="1:10" x14ac:dyDescent="0.25">
      <c r="A927" t="s">
        <v>3090</v>
      </c>
      <c r="B927" t="s">
        <v>3091</v>
      </c>
      <c r="C927" s="2">
        <v>46200.583333333336</v>
      </c>
      <c r="D927" t="s">
        <v>418</v>
      </c>
      <c r="E927" t="s">
        <v>26</v>
      </c>
      <c r="F927" t="s">
        <v>185</v>
      </c>
      <c r="G927" t="s">
        <v>103</v>
      </c>
      <c r="H927">
        <v>1</v>
      </c>
      <c r="I927" t="s">
        <v>3092</v>
      </c>
      <c r="J927" t="s">
        <v>357</v>
      </c>
    </row>
    <row r="928" spans="1:10" x14ac:dyDescent="0.25">
      <c r="A928" t="s">
        <v>3093</v>
      </c>
      <c r="B928" t="s">
        <v>3094</v>
      </c>
      <c r="C928" s="2">
        <v>46200.583333333336</v>
      </c>
      <c r="D928" t="s">
        <v>418</v>
      </c>
      <c r="E928" t="s">
        <v>30</v>
      </c>
      <c r="F928" t="s">
        <v>106</v>
      </c>
      <c r="G928" t="s">
        <v>107</v>
      </c>
      <c r="H928">
        <v>5</v>
      </c>
      <c r="I928" t="s">
        <v>3095</v>
      </c>
      <c r="J928" t="s">
        <v>357</v>
      </c>
    </row>
    <row r="929" spans="1:10" x14ac:dyDescent="0.25">
      <c r="A929" t="s">
        <v>3096</v>
      </c>
      <c r="B929" t="s">
        <v>3097</v>
      </c>
      <c r="C929" s="2">
        <v>46200.583333333336</v>
      </c>
      <c r="D929" t="s">
        <v>418</v>
      </c>
      <c r="E929" t="s">
        <v>41</v>
      </c>
      <c r="F929" t="s">
        <v>188</v>
      </c>
      <c r="G929" t="s">
        <v>115</v>
      </c>
      <c r="H929">
        <v>2</v>
      </c>
      <c r="I929" t="s">
        <v>3098</v>
      </c>
      <c r="J929" t="s">
        <v>357</v>
      </c>
    </row>
    <row r="930" spans="1:10" x14ac:dyDescent="0.25">
      <c r="A930" t="s">
        <v>3099</v>
      </c>
      <c r="B930" t="s">
        <v>3100</v>
      </c>
      <c r="C930" s="2">
        <v>46200.583333333336</v>
      </c>
      <c r="D930" t="s">
        <v>418</v>
      </c>
      <c r="E930" t="s">
        <v>45</v>
      </c>
      <c r="F930" t="s">
        <v>118</v>
      </c>
      <c r="G930" t="s">
        <v>119</v>
      </c>
      <c r="H930">
        <v>2</v>
      </c>
      <c r="I930" t="s">
        <v>3101</v>
      </c>
      <c r="J930" t="s">
        <v>357</v>
      </c>
    </row>
    <row r="931" spans="1:10" x14ac:dyDescent="0.25">
      <c r="A931" t="s">
        <v>3102</v>
      </c>
      <c r="B931" t="s">
        <v>3103</v>
      </c>
      <c r="C931" s="2">
        <v>46200.583333333336</v>
      </c>
      <c r="D931" t="s">
        <v>418</v>
      </c>
      <c r="E931" t="s">
        <v>45</v>
      </c>
      <c r="F931" t="s">
        <v>165</v>
      </c>
      <c r="G931" t="s">
        <v>119</v>
      </c>
      <c r="H931">
        <v>2</v>
      </c>
      <c r="I931" t="s">
        <v>3101</v>
      </c>
      <c r="J931" t="s">
        <v>357</v>
      </c>
    </row>
    <row r="932" spans="1:10" x14ac:dyDescent="0.25">
      <c r="A932" t="s">
        <v>3104</v>
      </c>
      <c r="B932" t="s">
        <v>3105</v>
      </c>
      <c r="C932" s="2">
        <v>46200.583333333336</v>
      </c>
      <c r="D932" t="s">
        <v>418</v>
      </c>
      <c r="E932" t="s">
        <v>49</v>
      </c>
      <c r="F932" t="s">
        <v>167</v>
      </c>
      <c r="G932" t="s">
        <v>123</v>
      </c>
      <c r="H932">
        <v>2</v>
      </c>
      <c r="I932" t="s">
        <v>3106</v>
      </c>
      <c r="J932" t="s">
        <v>357</v>
      </c>
    </row>
    <row r="933" spans="1:10" x14ac:dyDescent="0.25">
      <c r="A933" t="s">
        <v>3107</v>
      </c>
      <c r="B933" t="s">
        <v>3108</v>
      </c>
      <c r="C933" s="2">
        <v>46200.583333333336</v>
      </c>
      <c r="D933" t="s">
        <v>418</v>
      </c>
      <c r="E933" t="s">
        <v>53</v>
      </c>
      <c r="F933" t="s">
        <v>169</v>
      </c>
      <c r="G933" t="s">
        <v>127</v>
      </c>
      <c r="H933">
        <v>4</v>
      </c>
      <c r="I933" t="s">
        <v>3109</v>
      </c>
      <c r="J933" t="s">
        <v>357</v>
      </c>
    </row>
    <row r="934" spans="1:10" x14ac:dyDescent="0.25">
      <c r="A934" t="s">
        <v>3110</v>
      </c>
      <c r="B934" t="s">
        <v>3111</v>
      </c>
      <c r="C934" s="2">
        <v>46200.583333333336</v>
      </c>
      <c r="D934" t="s">
        <v>418</v>
      </c>
      <c r="E934" t="s">
        <v>67</v>
      </c>
      <c r="F934" t="s">
        <v>136</v>
      </c>
      <c r="G934" t="s">
        <v>137</v>
      </c>
      <c r="H934">
        <v>1</v>
      </c>
      <c r="I934" t="s">
        <v>3112</v>
      </c>
      <c r="J934" t="s">
        <v>357</v>
      </c>
    </row>
    <row r="935" spans="1:10" x14ac:dyDescent="0.25">
      <c r="A935" t="s">
        <v>3113</v>
      </c>
      <c r="B935" t="s">
        <v>3114</v>
      </c>
      <c r="C935" s="2">
        <v>46200.583333333336</v>
      </c>
      <c r="D935" t="s">
        <v>418</v>
      </c>
      <c r="E935" t="s">
        <v>69</v>
      </c>
      <c r="F935" t="s">
        <v>175</v>
      </c>
      <c r="G935" t="s">
        <v>139</v>
      </c>
      <c r="H935">
        <v>4</v>
      </c>
      <c r="I935" t="s">
        <v>3115</v>
      </c>
      <c r="J935" t="s">
        <v>357</v>
      </c>
    </row>
    <row r="936" spans="1:10" x14ac:dyDescent="0.25">
      <c r="A936" t="s">
        <v>3116</v>
      </c>
      <c r="B936" t="s">
        <v>3117</v>
      </c>
      <c r="C936" s="2">
        <v>46200.583333333336</v>
      </c>
      <c r="D936" t="s">
        <v>418</v>
      </c>
      <c r="E936" t="s">
        <v>71</v>
      </c>
      <c r="F936" t="s">
        <v>176</v>
      </c>
      <c r="G936" t="s">
        <v>141</v>
      </c>
      <c r="H936">
        <v>4</v>
      </c>
      <c r="I936" t="s">
        <v>3118</v>
      </c>
      <c r="J936" t="s">
        <v>357</v>
      </c>
    </row>
    <row r="937" spans="1:10" x14ac:dyDescent="0.25">
      <c r="A937" t="s">
        <v>3119</v>
      </c>
      <c r="B937" t="s">
        <v>3120</v>
      </c>
      <c r="C937" s="2">
        <v>46200.583333333336</v>
      </c>
      <c r="D937" t="s">
        <v>418</v>
      </c>
      <c r="E937" t="s">
        <v>75</v>
      </c>
      <c r="F937" t="s">
        <v>178</v>
      </c>
      <c r="G937" t="s">
        <v>145</v>
      </c>
      <c r="H937">
        <v>1</v>
      </c>
      <c r="I937" t="s">
        <v>3121</v>
      </c>
      <c r="J937" t="s">
        <v>357</v>
      </c>
    </row>
    <row r="938" spans="1:10" x14ac:dyDescent="0.25">
      <c r="A938" t="s">
        <v>3122</v>
      </c>
      <c r="B938" t="s">
        <v>3123</v>
      </c>
      <c r="C938" s="2">
        <v>46200.583333333336</v>
      </c>
      <c r="D938" t="s">
        <v>418</v>
      </c>
      <c r="E938" t="s">
        <v>11</v>
      </c>
      <c r="F938" t="s">
        <v>180</v>
      </c>
      <c r="G938" t="s">
        <v>92</v>
      </c>
      <c r="H938">
        <v>5</v>
      </c>
      <c r="I938" t="s">
        <v>3124</v>
      </c>
      <c r="J938" t="s">
        <v>357</v>
      </c>
    </row>
    <row r="939" spans="1:10" x14ac:dyDescent="0.25">
      <c r="A939" t="s">
        <v>3125</v>
      </c>
      <c r="B939" t="s">
        <v>3126</v>
      </c>
      <c r="C939" s="2">
        <v>46200.583333333336</v>
      </c>
      <c r="D939" t="s">
        <v>418</v>
      </c>
      <c r="E939" t="s">
        <v>18</v>
      </c>
      <c r="F939" t="s">
        <v>181</v>
      </c>
      <c r="G939" t="s">
        <v>95</v>
      </c>
      <c r="H939">
        <v>3</v>
      </c>
      <c r="I939" t="s">
        <v>3127</v>
      </c>
      <c r="J939" t="s">
        <v>357</v>
      </c>
    </row>
    <row r="940" spans="1:10" x14ac:dyDescent="0.25">
      <c r="A940" t="s">
        <v>3128</v>
      </c>
      <c r="B940" t="s">
        <v>3129</v>
      </c>
      <c r="C940" s="2">
        <v>46200.583333333336</v>
      </c>
      <c r="D940" t="s">
        <v>418</v>
      </c>
      <c r="E940" t="s">
        <v>20</v>
      </c>
      <c r="F940" t="s">
        <v>182</v>
      </c>
      <c r="G940" t="s">
        <v>97</v>
      </c>
      <c r="H940">
        <v>3</v>
      </c>
      <c r="I940" t="s">
        <v>3130</v>
      </c>
      <c r="J940" t="s">
        <v>357</v>
      </c>
    </row>
    <row r="941" spans="1:10" x14ac:dyDescent="0.25">
      <c r="A941" t="s">
        <v>3131</v>
      </c>
      <c r="B941" t="s">
        <v>3132</v>
      </c>
      <c r="C941" s="2">
        <v>46200.583333333336</v>
      </c>
      <c r="D941" t="s">
        <v>418</v>
      </c>
      <c r="E941" t="s">
        <v>22</v>
      </c>
      <c r="F941" t="s">
        <v>183</v>
      </c>
      <c r="G941" t="s">
        <v>99</v>
      </c>
      <c r="H941">
        <v>6</v>
      </c>
      <c r="I941" t="s">
        <v>3133</v>
      </c>
      <c r="J941" t="s">
        <v>357</v>
      </c>
    </row>
    <row r="942" spans="1:10" x14ac:dyDescent="0.25">
      <c r="A942" t="s">
        <v>3134</v>
      </c>
      <c r="B942" t="s">
        <v>3135</v>
      </c>
      <c r="C942" s="2">
        <v>46200.583333333336</v>
      </c>
      <c r="D942" t="s">
        <v>418</v>
      </c>
      <c r="E942" t="s">
        <v>24</v>
      </c>
      <c r="F942" t="s">
        <v>184</v>
      </c>
      <c r="G942" t="s">
        <v>101</v>
      </c>
      <c r="H942">
        <v>5</v>
      </c>
      <c r="I942" t="s">
        <v>3136</v>
      </c>
      <c r="J942" t="s">
        <v>357</v>
      </c>
    </row>
    <row r="943" spans="1:10" x14ac:dyDescent="0.25">
      <c r="A943" t="s">
        <v>3137</v>
      </c>
      <c r="B943" t="s">
        <v>3138</v>
      </c>
      <c r="C943" s="2">
        <v>46200.583333333336</v>
      </c>
      <c r="D943" t="s">
        <v>418</v>
      </c>
      <c r="E943" t="s">
        <v>26</v>
      </c>
      <c r="F943" t="s">
        <v>185</v>
      </c>
      <c r="G943" t="s">
        <v>103</v>
      </c>
      <c r="H943">
        <v>1</v>
      </c>
      <c r="I943" t="s">
        <v>3139</v>
      </c>
      <c r="J943" t="s">
        <v>357</v>
      </c>
    </row>
    <row r="944" spans="1:10" x14ac:dyDescent="0.25">
      <c r="A944" t="s">
        <v>3140</v>
      </c>
      <c r="B944" t="s">
        <v>3141</v>
      </c>
      <c r="C944" s="2">
        <v>46200.583333333336</v>
      </c>
      <c r="D944" t="s">
        <v>418</v>
      </c>
      <c r="E944" t="s">
        <v>36</v>
      </c>
      <c r="F944" t="s">
        <v>162</v>
      </c>
      <c r="G944" t="s">
        <v>113</v>
      </c>
      <c r="H944">
        <v>4</v>
      </c>
      <c r="I944" t="s">
        <v>3142</v>
      </c>
      <c r="J944" t="s">
        <v>357</v>
      </c>
    </row>
    <row r="945" spans="1:10" x14ac:dyDescent="0.25">
      <c r="A945" t="s">
        <v>3143</v>
      </c>
      <c r="B945" t="s">
        <v>3144</v>
      </c>
      <c r="C945" s="2">
        <v>46200.583333333336</v>
      </c>
      <c r="D945" t="s">
        <v>418</v>
      </c>
      <c r="E945" t="s">
        <v>49</v>
      </c>
      <c r="F945" t="s">
        <v>167</v>
      </c>
      <c r="G945" t="s">
        <v>123</v>
      </c>
      <c r="H945">
        <v>1</v>
      </c>
      <c r="I945" t="s">
        <v>3145</v>
      </c>
      <c r="J945" t="s">
        <v>357</v>
      </c>
    </row>
    <row r="946" spans="1:10" x14ac:dyDescent="0.25">
      <c r="A946" t="s">
        <v>3146</v>
      </c>
      <c r="B946" t="s">
        <v>3147</v>
      </c>
      <c r="C946" s="2">
        <v>46200.583333333336</v>
      </c>
      <c r="D946" t="s">
        <v>418</v>
      </c>
      <c r="E946" t="s">
        <v>67</v>
      </c>
      <c r="F946" t="s">
        <v>136</v>
      </c>
      <c r="G946" t="s">
        <v>137</v>
      </c>
      <c r="H946">
        <v>3</v>
      </c>
      <c r="I946" t="s">
        <v>3148</v>
      </c>
      <c r="J946" t="s">
        <v>357</v>
      </c>
    </row>
    <row r="947" spans="1:10" x14ac:dyDescent="0.25">
      <c r="A947" t="s">
        <v>3149</v>
      </c>
      <c r="B947" t="s">
        <v>3150</v>
      </c>
      <c r="C947" s="2">
        <v>46200.583333333336</v>
      </c>
      <c r="D947" t="s">
        <v>418</v>
      </c>
      <c r="E947" t="s">
        <v>71</v>
      </c>
      <c r="F947" t="s">
        <v>176</v>
      </c>
      <c r="G947" t="s">
        <v>141</v>
      </c>
      <c r="H947">
        <v>5</v>
      </c>
      <c r="I947" t="s">
        <v>3151</v>
      </c>
      <c r="J947" t="s">
        <v>357</v>
      </c>
    </row>
    <row r="948" spans="1:10" x14ac:dyDescent="0.25">
      <c r="A948" t="s">
        <v>3152</v>
      </c>
      <c r="B948" t="s">
        <v>3153</v>
      </c>
      <c r="C948" s="2">
        <v>46200.583333333336</v>
      </c>
      <c r="D948" t="s">
        <v>418</v>
      </c>
      <c r="E948" t="s">
        <v>11</v>
      </c>
      <c r="F948" t="s">
        <v>180</v>
      </c>
      <c r="G948" t="s">
        <v>92</v>
      </c>
      <c r="H948">
        <v>3</v>
      </c>
      <c r="I948" t="s">
        <v>3154</v>
      </c>
      <c r="J948" t="s">
        <v>357</v>
      </c>
    </row>
    <row r="949" spans="1:10" x14ac:dyDescent="0.25">
      <c r="A949" t="s">
        <v>3155</v>
      </c>
      <c r="B949" t="s">
        <v>3156</v>
      </c>
      <c r="C949" s="2">
        <v>46200.583333333336</v>
      </c>
      <c r="D949" t="s">
        <v>418</v>
      </c>
      <c r="E949" t="s">
        <v>18</v>
      </c>
      <c r="F949" t="s">
        <v>181</v>
      </c>
      <c r="G949" t="s">
        <v>95</v>
      </c>
      <c r="H949">
        <v>5</v>
      </c>
      <c r="I949" t="s">
        <v>3157</v>
      </c>
      <c r="J949" t="s">
        <v>357</v>
      </c>
    </row>
    <row r="950" spans="1:10" x14ac:dyDescent="0.25">
      <c r="A950" t="s">
        <v>3158</v>
      </c>
      <c r="B950" t="s">
        <v>3159</v>
      </c>
      <c r="C950" s="2">
        <v>46200.583333333336</v>
      </c>
      <c r="D950" t="s">
        <v>418</v>
      </c>
      <c r="E950" t="s">
        <v>20</v>
      </c>
      <c r="F950" t="s">
        <v>182</v>
      </c>
      <c r="G950" t="s">
        <v>97</v>
      </c>
      <c r="H950">
        <v>8</v>
      </c>
      <c r="I950" t="s">
        <v>3160</v>
      </c>
      <c r="J950" t="s">
        <v>357</v>
      </c>
    </row>
    <row r="951" spans="1:10" x14ac:dyDescent="0.25">
      <c r="A951" t="s">
        <v>3161</v>
      </c>
      <c r="B951" t="s">
        <v>3162</v>
      </c>
      <c r="C951" s="2">
        <v>46200.583333333336</v>
      </c>
      <c r="D951" t="s">
        <v>418</v>
      </c>
      <c r="E951" t="s">
        <v>26</v>
      </c>
      <c r="F951" t="s">
        <v>185</v>
      </c>
      <c r="G951" t="s">
        <v>103</v>
      </c>
      <c r="H951">
        <v>6</v>
      </c>
      <c r="I951" t="s">
        <v>3163</v>
      </c>
      <c r="J951" t="s">
        <v>357</v>
      </c>
    </row>
    <row r="952" spans="1:10" x14ac:dyDescent="0.25">
      <c r="A952" t="s">
        <v>3164</v>
      </c>
      <c r="B952" t="s">
        <v>3165</v>
      </c>
      <c r="C952" s="2">
        <v>46200.583333333336</v>
      </c>
      <c r="D952" t="s">
        <v>418</v>
      </c>
      <c r="E952" t="s">
        <v>36</v>
      </c>
      <c r="F952" t="s">
        <v>162</v>
      </c>
      <c r="G952" t="s">
        <v>113</v>
      </c>
      <c r="H952">
        <v>2</v>
      </c>
      <c r="I952" t="s">
        <v>3166</v>
      </c>
      <c r="J952" t="s">
        <v>357</v>
      </c>
    </row>
    <row r="953" spans="1:10" x14ac:dyDescent="0.25">
      <c r="A953" t="s">
        <v>3167</v>
      </c>
      <c r="B953" t="s">
        <v>3168</v>
      </c>
      <c r="C953" s="2">
        <v>46200.583333333336</v>
      </c>
      <c r="D953" t="s">
        <v>418</v>
      </c>
      <c r="E953" t="s">
        <v>43</v>
      </c>
      <c r="F953" t="s">
        <v>164</v>
      </c>
      <c r="G953" t="s">
        <v>117</v>
      </c>
      <c r="H953">
        <v>2</v>
      </c>
      <c r="I953" t="s">
        <v>3169</v>
      </c>
      <c r="J953" t="s">
        <v>357</v>
      </c>
    </row>
    <row r="954" spans="1:10" x14ac:dyDescent="0.25">
      <c r="A954" t="s">
        <v>3170</v>
      </c>
      <c r="B954" t="s">
        <v>3171</v>
      </c>
      <c r="C954" s="2">
        <v>46200.583333333336</v>
      </c>
      <c r="D954" t="s">
        <v>418</v>
      </c>
      <c r="E954" t="s">
        <v>49</v>
      </c>
      <c r="F954" t="s">
        <v>167</v>
      </c>
      <c r="G954" t="s">
        <v>123</v>
      </c>
      <c r="H954">
        <v>5</v>
      </c>
      <c r="I954" t="s">
        <v>3172</v>
      </c>
      <c r="J954" t="s">
        <v>357</v>
      </c>
    </row>
    <row r="955" spans="1:10" x14ac:dyDescent="0.25">
      <c r="A955" t="s">
        <v>3173</v>
      </c>
      <c r="B955" t="s">
        <v>3174</v>
      </c>
      <c r="C955" s="2">
        <v>46200.583333333336</v>
      </c>
      <c r="D955" t="s">
        <v>418</v>
      </c>
      <c r="E955" t="s">
        <v>51</v>
      </c>
      <c r="F955" t="s">
        <v>124</v>
      </c>
      <c r="G955" t="s">
        <v>125</v>
      </c>
      <c r="H955">
        <v>2</v>
      </c>
      <c r="I955" t="s">
        <v>3175</v>
      </c>
      <c r="J955" t="s">
        <v>357</v>
      </c>
    </row>
    <row r="956" spans="1:10" x14ac:dyDescent="0.25">
      <c r="A956" t="s">
        <v>3176</v>
      </c>
      <c r="B956" t="s">
        <v>3177</v>
      </c>
      <c r="C956" s="2">
        <v>46200.583333333336</v>
      </c>
      <c r="D956" t="s">
        <v>418</v>
      </c>
      <c r="E956" t="s">
        <v>51</v>
      </c>
      <c r="F956" t="s">
        <v>168</v>
      </c>
      <c r="G956" t="s">
        <v>125</v>
      </c>
      <c r="H956">
        <v>4</v>
      </c>
      <c r="I956" t="s">
        <v>3175</v>
      </c>
      <c r="J956" t="s">
        <v>357</v>
      </c>
    </row>
    <row r="957" spans="1:10" x14ac:dyDescent="0.25">
      <c r="A957" t="s">
        <v>3178</v>
      </c>
      <c r="B957" t="s">
        <v>3179</v>
      </c>
      <c r="C957" s="2">
        <v>46200.583333333336</v>
      </c>
      <c r="D957" t="s">
        <v>418</v>
      </c>
      <c r="E957" t="s">
        <v>53</v>
      </c>
      <c r="F957" t="s">
        <v>169</v>
      </c>
      <c r="G957" t="s">
        <v>127</v>
      </c>
      <c r="H957">
        <v>3</v>
      </c>
      <c r="I957" t="s">
        <v>3180</v>
      </c>
      <c r="J957" t="s">
        <v>357</v>
      </c>
    </row>
    <row r="958" spans="1:10" x14ac:dyDescent="0.25">
      <c r="A958" t="s">
        <v>3181</v>
      </c>
      <c r="B958" t="s">
        <v>3182</v>
      </c>
      <c r="C958" s="2">
        <v>46200.583333333336</v>
      </c>
      <c r="D958" t="s">
        <v>418</v>
      </c>
      <c r="E958" t="s">
        <v>55</v>
      </c>
      <c r="F958" t="s">
        <v>192</v>
      </c>
      <c r="G958" t="s">
        <v>129</v>
      </c>
      <c r="H958">
        <v>6</v>
      </c>
      <c r="I958" t="s">
        <v>3183</v>
      </c>
      <c r="J958" t="s">
        <v>357</v>
      </c>
    </row>
    <row r="959" spans="1:10" x14ac:dyDescent="0.25">
      <c r="A959" t="s">
        <v>3184</v>
      </c>
      <c r="B959" t="s">
        <v>3185</v>
      </c>
      <c r="C959" s="2">
        <v>46200.583333333336</v>
      </c>
      <c r="D959" t="s">
        <v>418</v>
      </c>
      <c r="E959" t="s">
        <v>59</v>
      </c>
      <c r="F959" t="s">
        <v>172</v>
      </c>
      <c r="G959" t="s">
        <v>133</v>
      </c>
      <c r="H959">
        <v>5</v>
      </c>
      <c r="I959" t="s">
        <v>3186</v>
      </c>
      <c r="J959" t="s">
        <v>357</v>
      </c>
    </row>
    <row r="960" spans="1:10" x14ac:dyDescent="0.25">
      <c r="A960" t="s">
        <v>3187</v>
      </c>
      <c r="B960" t="s">
        <v>3188</v>
      </c>
      <c r="C960" s="2">
        <v>46200.583333333336</v>
      </c>
      <c r="D960" t="s">
        <v>418</v>
      </c>
      <c r="E960" t="s">
        <v>69</v>
      </c>
      <c r="F960" t="s">
        <v>175</v>
      </c>
      <c r="G960" t="s">
        <v>139</v>
      </c>
      <c r="H960">
        <v>8</v>
      </c>
      <c r="I960" t="s">
        <v>3189</v>
      </c>
      <c r="J960" t="s">
        <v>357</v>
      </c>
    </row>
    <row r="961" spans="1:10" x14ac:dyDescent="0.25">
      <c r="A961" t="s">
        <v>3190</v>
      </c>
      <c r="B961" t="s">
        <v>3191</v>
      </c>
      <c r="C961" s="2">
        <v>46200.583333333336</v>
      </c>
      <c r="D961" t="s">
        <v>418</v>
      </c>
      <c r="E961" t="s">
        <v>75</v>
      </c>
      <c r="F961" t="s">
        <v>178</v>
      </c>
      <c r="G961" t="s">
        <v>145</v>
      </c>
      <c r="H961">
        <v>6</v>
      </c>
      <c r="I961" t="s">
        <v>3192</v>
      </c>
      <c r="J961" t="s">
        <v>357</v>
      </c>
    </row>
    <row r="962" spans="1:10" x14ac:dyDescent="0.25">
      <c r="A962" t="s">
        <v>3193</v>
      </c>
      <c r="B962" t="s">
        <v>3194</v>
      </c>
      <c r="C962" s="2">
        <v>46200.583333333336</v>
      </c>
      <c r="D962" t="s">
        <v>418</v>
      </c>
      <c r="E962" t="s">
        <v>11</v>
      </c>
      <c r="F962" t="s">
        <v>180</v>
      </c>
      <c r="G962" t="s">
        <v>92</v>
      </c>
      <c r="H962">
        <v>7</v>
      </c>
      <c r="I962" t="s">
        <v>3195</v>
      </c>
      <c r="J962" t="s">
        <v>357</v>
      </c>
    </row>
    <row r="963" spans="1:10" x14ac:dyDescent="0.25">
      <c r="A963" t="s">
        <v>3196</v>
      </c>
      <c r="B963" t="s">
        <v>3197</v>
      </c>
      <c r="C963" s="2">
        <v>46200.583333333336</v>
      </c>
      <c r="D963" t="s">
        <v>418</v>
      </c>
      <c r="E963" t="s">
        <v>18</v>
      </c>
      <c r="F963" t="s">
        <v>181</v>
      </c>
      <c r="G963" t="s">
        <v>95</v>
      </c>
      <c r="H963">
        <v>5</v>
      </c>
      <c r="I963" t="s">
        <v>3198</v>
      </c>
      <c r="J963" t="s">
        <v>357</v>
      </c>
    </row>
    <row r="964" spans="1:10" x14ac:dyDescent="0.25">
      <c r="A964" t="s">
        <v>3199</v>
      </c>
      <c r="B964" t="s">
        <v>3200</v>
      </c>
      <c r="C964" s="2">
        <v>46200.583333333336</v>
      </c>
      <c r="D964" t="s">
        <v>418</v>
      </c>
      <c r="E964" t="s">
        <v>20</v>
      </c>
      <c r="F964" t="s">
        <v>182</v>
      </c>
      <c r="G964" t="s">
        <v>97</v>
      </c>
      <c r="H964">
        <v>7</v>
      </c>
      <c r="I964" t="s">
        <v>3201</v>
      </c>
      <c r="J964" t="s">
        <v>357</v>
      </c>
    </row>
    <row r="965" spans="1:10" x14ac:dyDescent="0.25">
      <c r="A965" t="s">
        <v>3202</v>
      </c>
      <c r="B965" t="s">
        <v>3203</v>
      </c>
      <c r="C965" s="2">
        <v>46200.583333333336</v>
      </c>
      <c r="D965" t="s">
        <v>418</v>
      </c>
      <c r="E965" t="s">
        <v>22</v>
      </c>
      <c r="F965" t="s">
        <v>183</v>
      </c>
      <c r="G965" t="s">
        <v>99</v>
      </c>
      <c r="H965">
        <v>9</v>
      </c>
      <c r="I965" t="s">
        <v>3204</v>
      </c>
      <c r="J965" t="s">
        <v>357</v>
      </c>
    </row>
    <row r="966" spans="1:10" x14ac:dyDescent="0.25">
      <c r="A966" t="s">
        <v>3205</v>
      </c>
      <c r="B966" t="s">
        <v>3206</v>
      </c>
      <c r="C966" s="2">
        <v>46200.583333333336</v>
      </c>
      <c r="D966" t="s">
        <v>418</v>
      </c>
      <c r="E966" t="s">
        <v>26</v>
      </c>
      <c r="F966" t="s">
        <v>185</v>
      </c>
      <c r="G966" t="s">
        <v>103</v>
      </c>
      <c r="H966">
        <v>9</v>
      </c>
      <c r="I966" t="s">
        <v>3207</v>
      </c>
      <c r="J966" t="s">
        <v>357</v>
      </c>
    </row>
    <row r="967" spans="1:10" x14ac:dyDescent="0.25">
      <c r="A967" t="s">
        <v>3208</v>
      </c>
      <c r="B967" t="s">
        <v>3209</v>
      </c>
      <c r="C967" s="2">
        <v>46200.583333333336</v>
      </c>
      <c r="D967" t="s">
        <v>418</v>
      </c>
      <c r="E967" t="s">
        <v>36</v>
      </c>
      <c r="F967" t="s">
        <v>162</v>
      </c>
      <c r="G967" t="s">
        <v>113</v>
      </c>
      <c r="H967">
        <v>4</v>
      </c>
      <c r="I967" t="s">
        <v>3210</v>
      </c>
      <c r="J967" t="s">
        <v>357</v>
      </c>
    </row>
    <row r="968" spans="1:10" x14ac:dyDescent="0.25">
      <c r="A968" t="s">
        <v>3211</v>
      </c>
      <c r="B968" t="s">
        <v>3212</v>
      </c>
      <c r="C968" s="2">
        <v>46200.583333333336</v>
      </c>
      <c r="D968" t="s">
        <v>418</v>
      </c>
      <c r="E968" t="s">
        <v>43</v>
      </c>
      <c r="F968" t="s">
        <v>164</v>
      </c>
      <c r="G968" t="s">
        <v>117</v>
      </c>
      <c r="H968">
        <v>4</v>
      </c>
      <c r="I968" t="s">
        <v>3213</v>
      </c>
      <c r="J968" t="s">
        <v>357</v>
      </c>
    </row>
    <row r="969" spans="1:10" x14ac:dyDescent="0.25">
      <c r="A969" t="s">
        <v>3214</v>
      </c>
      <c r="B969" t="s">
        <v>3215</v>
      </c>
      <c r="C969" s="2">
        <v>46200.583333333336</v>
      </c>
      <c r="D969" t="s">
        <v>418</v>
      </c>
      <c r="E969" t="s">
        <v>45</v>
      </c>
      <c r="F969" t="s">
        <v>165</v>
      </c>
      <c r="G969" t="s">
        <v>119</v>
      </c>
      <c r="H969">
        <v>2</v>
      </c>
      <c r="I969" t="s">
        <v>3216</v>
      </c>
      <c r="J969" t="s">
        <v>357</v>
      </c>
    </row>
    <row r="970" spans="1:10" x14ac:dyDescent="0.25">
      <c r="A970" t="s">
        <v>3217</v>
      </c>
      <c r="B970" t="s">
        <v>3218</v>
      </c>
      <c r="C970" s="2">
        <v>46200.583333333336</v>
      </c>
      <c r="D970" t="s">
        <v>418</v>
      </c>
      <c r="E970" t="s">
        <v>47</v>
      </c>
      <c r="F970" t="s">
        <v>166</v>
      </c>
      <c r="G970" t="s">
        <v>121</v>
      </c>
      <c r="H970">
        <v>5</v>
      </c>
      <c r="I970" t="s">
        <v>3219</v>
      </c>
      <c r="J970" t="s">
        <v>357</v>
      </c>
    </row>
    <row r="971" spans="1:10" x14ac:dyDescent="0.25">
      <c r="A971" t="s">
        <v>3220</v>
      </c>
      <c r="B971" t="s">
        <v>3221</v>
      </c>
      <c r="C971" s="2">
        <v>46200.583333333336</v>
      </c>
      <c r="D971" t="s">
        <v>418</v>
      </c>
      <c r="E971" t="s">
        <v>49</v>
      </c>
      <c r="F971" t="s">
        <v>167</v>
      </c>
      <c r="G971" t="s">
        <v>123</v>
      </c>
      <c r="H971">
        <v>7</v>
      </c>
      <c r="I971" t="s">
        <v>3222</v>
      </c>
      <c r="J971" t="s">
        <v>357</v>
      </c>
    </row>
    <row r="972" spans="1:10" x14ac:dyDescent="0.25">
      <c r="A972" t="s">
        <v>3223</v>
      </c>
      <c r="B972" t="s">
        <v>3224</v>
      </c>
      <c r="C972" s="2">
        <v>46200.583333333336</v>
      </c>
      <c r="D972" t="s">
        <v>418</v>
      </c>
      <c r="E972" t="s">
        <v>51</v>
      </c>
      <c r="F972" t="s">
        <v>168</v>
      </c>
      <c r="G972" t="s">
        <v>125</v>
      </c>
      <c r="H972">
        <v>7</v>
      </c>
      <c r="I972" t="s">
        <v>3225</v>
      </c>
      <c r="J972" t="s">
        <v>357</v>
      </c>
    </row>
    <row r="973" spans="1:10" x14ac:dyDescent="0.25">
      <c r="A973" t="s">
        <v>3226</v>
      </c>
      <c r="B973" t="s">
        <v>3227</v>
      </c>
      <c r="C973" s="2">
        <v>46200.583333333336</v>
      </c>
      <c r="D973" t="s">
        <v>418</v>
      </c>
      <c r="E973" t="s">
        <v>53</v>
      </c>
      <c r="F973" t="s">
        <v>169</v>
      </c>
      <c r="G973" t="s">
        <v>127</v>
      </c>
      <c r="H973">
        <v>2</v>
      </c>
      <c r="I973" t="s">
        <v>3228</v>
      </c>
      <c r="J973" t="s">
        <v>357</v>
      </c>
    </row>
    <row r="974" spans="1:10" x14ac:dyDescent="0.25">
      <c r="A974" t="s">
        <v>3229</v>
      </c>
      <c r="B974" t="s">
        <v>3230</v>
      </c>
      <c r="C974" s="2">
        <v>46200.583333333336</v>
      </c>
      <c r="D974" t="s">
        <v>418</v>
      </c>
      <c r="E974" t="s">
        <v>57</v>
      </c>
      <c r="F974" t="s">
        <v>171</v>
      </c>
      <c r="G974" t="s">
        <v>131</v>
      </c>
      <c r="H974">
        <v>2</v>
      </c>
      <c r="I974" t="s">
        <v>3231</v>
      </c>
      <c r="J974" t="s">
        <v>357</v>
      </c>
    </row>
    <row r="975" spans="1:10" x14ac:dyDescent="0.25">
      <c r="A975" t="s">
        <v>3232</v>
      </c>
      <c r="B975" t="s">
        <v>3233</v>
      </c>
      <c r="C975" s="2">
        <v>46200.583333333336</v>
      </c>
      <c r="D975" t="s">
        <v>418</v>
      </c>
      <c r="E975" t="s">
        <v>59</v>
      </c>
      <c r="F975" t="s">
        <v>172</v>
      </c>
      <c r="G975" t="s">
        <v>133</v>
      </c>
      <c r="H975">
        <v>2</v>
      </c>
      <c r="I975" t="s">
        <v>3234</v>
      </c>
      <c r="J975" t="s">
        <v>357</v>
      </c>
    </row>
    <row r="976" spans="1:10" x14ac:dyDescent="0.25">
      <c r="A976" t="s">
        <v>3235</v>
      </c>
      <c r="B976" t="s">
        <v>3236</v>
      </c>
      <c r="C976" s="2">
        <v>46200.583333333336</v>
      </c>
      <c r="D976" t="s">
        <v>418</v>
      </c>
      <c r="E976" t="s">
        <v>65</v>
      </c>
      <c r="F976" t="s">
        <v>173</v>
      </c>
      <c r="G976" t="s">
        <v>135</v>
      </c>
      <c r="H976">
        <v>7</v>
      </c>
      <c r="I976" t="s">
        <v>3237</v>
      </c>
      <c r="J976" t="s">
        <v>357</v>
      </c>
    </row>
    <row r="977" spans="1:10" x14ac:dyDescent="0.25">
      <c r="A977" t="s">
        <v>3238</v>
      </c>
      <c r="B977" t="s">
        <v>3239</v>
      </c>
      <c r="C977" s="2">
        <v>46200.583333333336</v>
      </c>
      <c r="D977" t="s">
        <v>418</v>
      </c>
      <c r="E977" t="s">
        <v>77</v>
      </c>
      <c r="F977" t="s">
        <v>146</v>
      </c>
      <c r="G977" t="s">
        <v>147</v>
      </c>
      <c r="H977">
        <v>4</v>
      </c>
      <c r="I977" t="s">
        <v>3240</v>
      </c>
      <c r="J977" t="s">
        <v>357</v>
      </c>
    </row>
    <row r="978" spans="1:10" x14ac:dyDescent="0.25">
      <c r="A978" t="s">
        <v>3241</v>
      </c>
      <c r="B978" t="s">
        <v>3242</v>
      </c>
      <c r="C978" s="2">
        <v>46200.583333333336</v>
      </c>
      <c r="D978" t="s">
        <v>418</v>
      </c>
      <c r="E978" t="s">
        <v>22</v>
      </c>
      <c r="F978" t="s">
        <v>183</v>
      </c>
      <c r="G978" t="s">
        <v>99</v>
      </c>
      <c r="H978">
        <v>4</v>
      </c>
      <c r="I978" t="s">
        <v>3243</v>
      </c>
      <c r="J978" t="s">
        <v>357</v>
      </c>
    </row>
    <row r="979" spans="1:10" x14ac:dyDescent="0.25">
      <c r="A979" t="s">
        <v>3244</v>
      </c>
      <c r="B979" t="s">
        <v>3245</v>
      </c>
      <c r="C979" s="2">
        <v>46200.583333333336</v>
      </c>
      <c r="D979" t="s">
        <v>418</v>
      </c>
      <c r="E979" t="s">
        <v>36</v>
      </c>
      <c r="F979" t="s">
        <v>112</v>
      </c>
      <c r="G979" t="s">
        <v>113</v>
      </c>
      <c r="H979">
        <v>4</v>
      </c>
      <c r="I979" t="s">
        <v>3246</v>
      </c>
      <c r="J979" t="s">
        <v>357</v>
      </c>
    </row>
    <row r="980" spans="1:10" x14ac:dyDescent="0.25">
      <c r="A980" t="s">
        <v>3247</v>
      </c>
      <c r="B980" t="s">
        <v>3248</v>
      </c>
      <c r="C980" s="2">
        <v>46200.583333333336</v>
      </c>
      <c r="D980" t="s">
        <v>418</v>
      </c>
      <c r="E980" t="s">
        <v>41</v>
      </c>
      <c r="F980" t="s">
        <v>188</v>
      </c>
      <c r="G980" t="s">
        <v>115</v>
      </c>
      <c r="H980">
        <v>5</v>
      </c>
      <c r="I980" t="s">
        <v>3249</v>
      </c>
      <c r="J980" t="s">
        <v>357</v>
      </c>
    </row>
    <row r="981" spans="1:10" x14ac:dyDescent="0.25">
      <c r="A981" t="s">
        <v>3250</v>
      </c>
      <c r="B981" t="s">
        <v>3251</v>
      </c>
      <c r="C981" s="2">
        <v>46200.583333333336</v>
      </c>
      <c r="D981" t="s">
        <v>418</v>
      </c>
      <c r="E981" t="s">
        <v>49</v>
      </c>
      <c r="F981" t="s">
        <v>167</v>
      </c>
      <c r="G981" t="s">
        <v>123</v>
      </c>
      <c r="H981">
        <v>1</v>
      </c>
      <c r="I981" t="s">
        <v>3252</v>
      </c>
      <c r="J981" t="s">
        <v>357</v>
      </c>
    </row>
    <row r="982" spans="1:10" x14ac:dyDescent="0.25">
      <c r="A982" t="s">
        <v>3253</v>
      </c>
      <c r="B982" t="s">
        <v>3254</v>
      </c>
      <c r="C982" s="2">
        <v>46200.583333333336</v>
      </c>
      <c r="D982" t="s">
        <v>418</v>
      </c>
      <c r="E982" t="s">
        <v>53</v>
      </c>
      <c r="F982" t="s">
        <v>169</v>
      </c>
      <c r="G982" t="s">
        <v>127</v>
      </c>
      <c r="H982">
        <v>2</v>
      </c>
      <c r="I982" t="s">
        <v>3255</v>
      </c>
      <c r="J982" t="s">
        <v>357</v>
      </c>
    </row>
    <row r="983" spans="1:10" x14ac:dyDescent="0.25">
      <c r="A983" t="s">
        <v>3256</v>
      </c>
      <c r="B983" t="s">
        <v>3257</v>
      </c>
      <c r="C983" s="2">
        <v>46200.583333333336</v>
      </c>
      <c r="D983" t="s">
        <v>418</v>
      </c>
      <c r="E983" t="s">
        <v>57</v>
      </c>
      <c r="F983" t="s">
        <v>171</v>
      </c>
      <c r="G983" t="s">
        <v>131</v>
      </c>
      <c r="H983">
        <v>6</v>
      </c>
      <c r="I983" t="s">
        <v>3258</v>
      </c>
      <c r="J983" t="s">
        <v>357</v>
      </c>
    </row>
    <row r="984" spans="1:10" x14ac:dyDescent="0.25">
      <c r="A984" t="s">
        <v>3259</v>
      </c>
      <c r="B984" t="s">
        <v>3260</v>
      </c>
      <c r="C984" s="2">
        <v>46200.583333333336</v>
      </c>
      <c r="D984" t="s">
        <v>418</v>
      </c>
      <c r="E984" t="s">
        <v>69</v>
      </c>
      <c r="F984" t="s">
        <v>175</v>
      </c>
      <c r="G984" t="s">
        <v>139</v>
      </c>
      <c r="H984">
        <v>2</v>
      </c>
      <c r="I984" t="s">
        <v>3261</v>
      </c>
      <c r="J984" t="s">
        <v>357</v>
      </c>
    </row>
    <row r="985" spans="1:10" x14ac:dyDescent="0.25">
      <c r="A985" t="s">
        <v>3262</v>
      </c>
      <c r="B985" t="s">
        <v>3263</v>
      </c>
      <c r="C985" s="2">
        <v>46200.583333333336</v>
      </c>
      <c r="D985" t="s">
        <v>418</v>
      </c>
      <c r="E985" t="s">
        <v>75</v>
      </c>
      <c r="F985" t="s">
        <v>178</v>
      </c>
      <c r="G985" t="s">
        <v>145</v>
      </c>
      <c r="H985">
        <v>2</v>
      </c>
      <c r="I985" t="s">
        <v>3264</v>
      </c>
      <c r="J985" t="s">
        <v>357</v>
      </c>
    </row>
    <row r="986" spans="1:10" x14ac:dyDescent="0.25">
      <c r="A986" t="s">
        <v>3265</v>
      </c>
      <c r="B986" t="s">
        <v>3266</v>
      </c>
      <c r="C986" s="2">
        <v>46201.583333333336</v>
      </c>
      <c r="D986" t="s">
        <v>418</v>
      </c>
      <c r="E986" t="s">
        <v>18</v>
      </c>
      <c r="F986" t="s">
        <v>181</v>
      </c>
      <c r="G986" t="s">
        <v>95</v>
      </c>
      <c r="H986">
        <v>3</v>
      </c>
      <c r="I986" t="s">
        <v>3267</v>
      </c>
      <c r="J986" t="s">
        <v>357</v>
      </c>
    </row>
    <row r="987" spans="1:10" x14ac:dyDescent="0.25">
      <c r="A987" t="s">
        <v>3268</v>
      </c>
      <c r="B987" t="s">
        <v>3269</v>
      </c>
      <c r="C987" s="2">
        <v>46201.583333333336</v>
      </c>
      <c r="D987" t="s">
        <v>418</v>
      </c>
      <c r="E987" t="s">
        <v>20</v>
      </c>
      <c r="F987" t="s">
        <v>182</v>
      </c>
      <c r="G987" t="s">
        <v>97</v>
      </c>
      <c r="H987">
        <v>2</v>
      </c>
      <c r="I987" t="s">
        <v>3270</v>
      </c>
      <c r="J987" t="s">
        <v>357</v>
      </c>
    </row>
    <row r="988" spans="1:10" x14ac:dyDescent="0.25">
      <c r="A988" t="s">
        <v>3271</v>
      </c>
      <c r="B988" t="s">
        <v>3272</v>
      </c>
      <c r="C988" s="2">
        <v>46201.583333333336</v>
      </c>
      <c r="D988" t="s">
        <v>418</v>
      </c>
      <c r="E988" t="s">
        <v>22</v>
      </c>
      <c r="F988" t="s">
        <v>183</v>
      </c>
      <c r="G988" t="s">
        <v>99</v>
      </c>
      <c r="H988">
        <v>2</v>
      </c>
      <c r="I988" t="s">
        <v>3273</v>
      </c>
      <c r="J988" t="s">
        <v>357</v>
      </c>
    </row>
    <row r="989" spans="1:10" x14ac:dyDescent="0.25">
      <c r="A989" t="s">
        <v>3274</v>
      </c>
      <c r="B989" t="s">
        <v>3275</v>
      </c>
      <c r="C989" s="2">
        <v>46201.583333333336</v>
      </c>
      <c r="D989" t="s">
        <v>418</v>
      </c>
      <c r="E989" t="s">
        <v>26</v>
      </c>
      <c r="F989" t="s">
        <v>185</v>
      </c>
      <c r="G989" t="s">
        <v>103</v>
      </c>
      <c r="H989">
        <v>5</v>
      </c>
      <c r="I989" t="s">
        <v>3276</v>
      </c>
      <c r="J989" t="s">
        <v>357</v>
      </c>
    </row>
    <row r="990" spans="1:10" x14ac:dyDescent="0.25">
      <c r="A990" t="s">
        <v>3277</v>
      </c>
      <c r="B990" t="s">
        <v>3278</v>
      </c>
      <c r="C990" s="2">
        <v>46201.583333333336</v>
      </c>
      <c r="D990" t="s">
        <v>418</v>
      </c>
      <c r="E990" t="s">
        <v>28</v>
      </c>
      <c r="F990" t="s">
        <v>158</v>
      </c>
      <c r="G990" t="s">
        <v>105</v>
      </c>
      <c r="H990">
        <v>5</v>
      </c>
      <c r="I990" t="s">
        <v>3279</v>
      </c>
      <c r="J990" t="s">
        <v>357</v>
      </c>
    </row>
    <row r="991" spans="1:10" x14ac:dyDescent="0.25">
      <c r="A991" t="s">
        <v>3280</v>
      </c>
      <c r="B991" t="s">
        <v>3281</v>
      </c>
      <c r="C991" s="2">
        <v>46201.583333333336</v>
      </c>
      <c r="D991" t="s">
        <v>418</v>
      </c>
      <c r="E991" t="s">
        <v>30</v>
      </c>
      <c r="F991" t="s">
        <v>159</v>
      </c>
      <c r="G991" t="s">
        <v>107</v>
      </c>
      <c r="H991">
        <v>2</v>
      </c>
      <c r="I991" t="s">
        <v>3282</v>
      </c>
      <c r="J991" t="s">
        <v>357</v>
      </c>
    </row>
    <row r="992" spans="1:10" x14ac:dyDescent="0.25">
      <c r="A992" t="s">
        <v>3283</v>
      </c>
      <c r="B992" t="s">
        <v>3284</v>
      </c>
      <c r="C992" s="2">
        <v>46201.583333333336</v>
      </c>
      <c r="D992" t="s">
        <v>418</v>
      </c>
      <c r="E992" t="s">
        <v>51</v>
      </c>
      <c r="F992" t="s">
        <v>168</v>
      </c>
      <c r="G992" t="s">
        <v>125</v>
      </c>
      <c r="H992">
        <v>4</v>
      </c>
      <c r="I992" t="s">
        <v>3285</v>
      </c>
      <c r="J992" t="s">
        <v>357</v>
      </c>
    </row>
    <row r="993" spans="1:10" x14ac:dyDescent="0.25">
      <c r="A993" t="s">
        <v>3286</v>
      </c>
      <c r="B993" t="s">
        <v>3287</v>
      </c>
      <c r="C993" s="2">
        <v>46201.583333333336</v>
      </c>
      <c r="D993" t="s">
        <v>418</v>
      </c>
      <c r="E993" t="s">
        <v>71</v>
      </c>
      <c r="F993" t="s">
        <v>176</v>
      </c>
      <c r="G993" t="s">
        <v>141</v>
      </c>
      <c r="H993">
        <v>4</v>
      </c>
      <c r="I993" t="s">
        <v>3288</v>
      </c>
      <c r="J993" t="s">
        <v>357</v>
      </c>
    </row>
    <row r="994" spans="1:10" x14ac:dyDescent="0.25">
      <c r="A994" t="s">
        <v>3289</v>
      </c>
      <c r="B994" t="s">
        <v>3290</v>
      </c>
      <c r="C994" s="2">
        <v>46201.583333333336</v>
      </c>
      <c r="D994" t="s">
        <v>418</v>
      </c>
      <c r="E994" t="s">
        <v>18</v>
      </c>
      <c r="F994" t="s">
        <v>181</v>
      </c>
      <c r="G994" t="s">
        <v>95</v>
      </c>
      <c r="H994">
        <v>1</v>
      </c>
      <c r="I994" t="s">
        <v>3291</v>
      </c>
      <c r="J994" t="s">
        <v>357</v>
      </c>
    </row>
    <row r="995" spans="1:10" x14ac:dyDescent="0.25">
      <c r="A995" t="s">
        <v>3292</v>
      </c>
      <c r="B995" t="s">
        <v>3293</v>
      </c>
      <c r="C995" s="2">
        <v>46201.583333333336</v>
      </c>
      <c r="D995" t="s">
        <v>418</v>
      </c>
      <c r="E995" t="s">
        <v>20</v>
      </c>
      <c r="F995" t="s">
        <v>182</v>
      </c>
      <c r="G995" t="s">
        <v>97</v>
      </c>
      <c r="H995">
        <v>1</v>
      </c>
      <c r="I995" t="s">
        <v>3294</v>
      </c>
      <c r="J995" t="s">
        <v>357</v>
      </c>
    </row>
    <row r="996" spans="1:10" x14ac:dyDescent="0.25">
      <c r="A996" t="s">
        <v>3295</v>
      </c>
      <c r="B996" t="s">
        <v>3296</v>
      </c>
      <c r="C996" s="2">
        <v>46201.583333333336</v>
      </c>
      <c r="D996" t="s">
        <v>418</v>
      </c>
      <c r="E996" t="s">
        <v>22</v>
      </c>
      <c r="F996" t="s">
        <v>183</v>
      </c>
      <c r="G996" t="s">
        <v>99</v>
      </c>
      <c r="H996">
        <v>3</v>
      </c>
      <c r="I996" t="s">
        <v>3297</v>
      </c>
      <c r="J996" t="s">
        <v>357</v>
      </c>
    </row>
    <row r="997" spans="1:10" x14ac:dyDescent="0.25">
      <c r="A997" t="s">
        <v>3298</v>
      </c>
      <c r="B997" t="s">
        <v>3299</v>
      </c>
      <c r="C997" s="2">
        <v>46201.583333333336</v>
      </c>
      <c r="D997" t="s">
        <v>418</v>
      </c>
      <c r="E997" t="s">
        <v>24</v>
      </c>
      <c r="F997" t="s">
        <v>184</v>
      </c>
      <c r="G997" t="s">
        <v>101</v>
      </c>
      <c r="H997">
        <v>3</v>
      </c>
      <c r="I997" t="s">
        <v>3300</v>
      </c>
      <c r="J997" t="s">
        <v>357</v>
      </c>
    </row>
    <row r="998" spans="1:10" x14ac:dyDescent="0.25">
      <c r="A998" t="s">
        <v>3301</v>
      </c>
      <c r="B998" t="s">
        <v>3302</v>
      </c>
      <c r="C998" s="2">
        <v>46201.583333333336</v>
      </c>
      <c r="D998" t="s">
        <v>418</v>
      </c>
      <c r="E998" t="s">
        <v>26</v>
      </c>
      <c r="F998" t="s">
        <v>185</v>
      </c>
      <c r="G998" t="s">
        <v>103</v>
      </c>
      <c r="H998">
        <v>3</v>
      </c>
      <c r="I998" t="s">
        <v>3303</v>
      </c>
      <c r="J998" t="s">
        <v>357</v>
      </c>
    </row>
    <row r="999" spans="1:10" x14ac:dyDescent="0.25">
      <c r="A999" t="s">
        <v>3304</v>
      </c>
      <c r="B999" t="s">
        <v>3305</v>
      </c>
      <c r="C999" s="2">
        <v>46201.583333333336</v>
      </c>
      <c r="D999" t="s">
        <v>418</v>
      </c>
      <c r="E999" t="s">
        <v>28</v>
      </c>
      <c r="F999" t="s">
        <v>158</v>
      </c>
      <c r="G999" t="s">
        <v>105</v>
      </c>
      <c r="H999">
        <v>1</v>
      </c>
      <c r="I999" t="s">
        <v>3306</v>
      </c>
      <c r="J999" t="s">
        <v>357</v>
      </c>
    </row>
    <row r="1000" spans="1:10" x14ac:dyDescent="0.25">
      <c r="A1000" t="s">
        <v>3307</v>
      </c>
      <c r="B1000" t="s">
        <v>3308</v>
      </c>
      <c r="C1000" s="2">
        <v>46201.583333333336</v>
      </c>
      <c r="D1000" t="s">
        <v>418</v>
      </c>
      <c r="E1000" t="s">
        <v>36</v>
      </c>
      <c r="F1000" t="s">
        <v>112</v>
      </c>
      <c r="G1000" t="s">
        <v>113</v>
      </c>
      <c r="H1000">
        <v>1</v>
      </c>
      <c r="I1000" t="s">
        <v>3309</v>
      </c>
      <c r="J1000" t="s">
        <v>357</v>
      </c>
    </row>
    <row r="1001" spans="1:10" x14ac:dyDescent="0.25">
      <c r="A1001" t="s">
        <v>3310</v>
      </c>
      <c r="B1001" t="s">
        <v>3311</v>
      </c>
      <c r="C1001" s="2">
        <v>46201.583333333336</v>
      </c>
      <c r="D1001" t="s">
        <v>418</v>
      </c>
      <c r="E1001" t="s">
        <v>49</v>
      </c>
      <c r="F1001" t="s">
        <v>167</v>
      </c>
      <c r="G1001" t="s">
        <v>123</v>
      </c>
      <c r="H1001">
        <v>6</v>
      </c>
      <c r="I1001" t="s">
        <v>3312</v>
      </c>
      <c r="J1001" t="s">
        <v>357</v>
      </c>
    </row>
    <row r="1002" spans="1:10" x14ac:dyDescent="0.25">
      <c r="A1002" t="s">
        <v>3313</v>
      </c>
      <c r="B1002" t="s">
        <v>3314</v>
      </c>
      <c r="C1002" s="2">
        <v>46201.583333333336</v>
      </c>
      <c r="D1002" t="s">
        <v>418</v>
      </c>
      <c r="E1002" t="s">
        <v>53</v>
      </c>
      <c r="F1002" t="s">
        <v>169</v>
      </c>
      <c r="G1002" t="s">
        <v>127</v>
      </c>
      <c r="H1002">
        <v>3</v>
      </c>
      <c r="I1002" t="s">
        <v>3315</v>
      </c>
      <c r="J1002" t="s">
        <v>357</v>
      </c>
    </row>
    <row r="1003" spans="1:10" x14ac:dyDescent="0.25">
      <c r="A1003" t="s">
        <v>3316</v>
      </c>
      <c r="B1003" t="s">
        <v>3317</v>
      </c>
      <c r="C1003" s="2">
        <v>46201.583333333336</v>
      </c>
      <c r="D1003" t="s">
        <v>418</v>
      </c>
      <c r="E1003" t="s">
        <v>55</v>
      </c>
      <c r="F1003" t="s">
        <v>192</v>
      </c>
      <c r="G1003" t="s">
        <v>129</v>
      </c>
      <c r="H1003">
        <v>3</v>
      </c>
      <c r="I1003" t="s">
        <v>3318</v>
      </c>
      <c r="J1003" t="s">
        <v>357</v>
      </c>
    </row>
    <row r="1004" spans="1:10" x14ac:dyDescent="0.25">
      <c r="A1004" t="s">
        <v>3319</v>
      </c>
      <c r="B1004" t="s">
        <v>3320</v>
      </c>
      <c r="C1004" s="2">
        <v>46201.583333333336</v>
      </c>
      <c r="D1004" t="s">
        <v>418</v>
      </c>
      <c r="E1004" t="s">
        <v>65</v>
      </c>
      <c r="F1004" t="s">
        <v>173</v>
      </c>
      <c r="G1004" t="s">
        <v>135</v>
      </c>
      <c r="H1004">
        <v>4</v>
      </c>
      <c r="I1004" t="s">
        <v>3321</v>
      </c>
      <c r="J1004" t="s">
        <v>357</v>
      </c>
    </row>
    <row r="1005" spans="1:10" x14ac:dyDescent="0.25">
      <c r="A1005" t="s">
        <v>3322</v>
      </c>
      <c r="B1005" t="s">
        <v>3323</v>
      </c>
      <c r="C1005" s="2">
        <v>46201.583333333336</v>
      </c>
      <c r="D1005" t="s">
        <v>418</v>
      </c>
      <c r="E1005" t="s">
        <v>69</v>
      </c>
      <c r="F1005" t="s">
        <v>175</v>
      </c>
      <c r="G1005" t="s">
        <v>139</v>
      </c>
      <c r="H1005">
        <v>1</v>
      </c>
      <c r="I1005" t="s">
        <v>3324</v>
      </c>
      <c r="J1005" t="s">
        <v>357</v>
      </c>
    </row>
    <row r="1006" spans="1:10" x14ac:dyDescent="0.25">
      <c r="A1006" t="s">
        <v>3325</v>
      </c>
      <c r="B1006" t="s">
        <v>3326</v>
      </c>
      <c r="C1006" s="2">
        <v>46201.583333333336</v>
      </c>
      <c r="D1006" t="s">
        <v>418</v>
      </c>
      <c r="E1006" t="s">
        <v>73</v>
      </c>
      <c r="F1006" t="s">
        <v>142</v>
      </c>
      <c r="G1006" t="s">
        <v>143</v>
      </c>
      <c r="H1006">
        <v>5</v>
      </c>
      <c r="I1006" t="s">
        <v>3327</v>
      </c>
      <c r="J1006" t="s">
        <v>357</v>
      </c>
    </row>
    <row r="1007" spans="1:10" x14ac:dyDescent="0.25">
      <c r="A1007" t="s">
        <v>3328</v>
      </c>
      <c r="B1007" t="s">
        <v>3329</v>
      </c>
      <c r="C1007" s="2">
        <v>46201.583333333336</v>
      </c>
      <c r="D1007" t="s">
        <v>418</v>
      </c>
      <c r="E1007" t="s">
        <v>18</v>
      </c>
      <c r="F1007" t="s">
        <v>181</v>
      </c>
      <c r="G1007" t="s">
        <v>95</v>
      </c>
      <c r="H1007">
        <v>5</v>
      </c>
      <c r="I1007" t="s">
        <v>3330</v>
      </c>
      <c r="J1007" t="s">
        <v>357</v>
      </c>
    </row>
    <row r="1008" spans="1:10" x14ac:dyDescent="0.25">
      <c r="A1008" t="s">
        <v>3331</v>
      </c>
      <c r="B1008" t="s">
        <v>3332</v>
      </c>
      <c r="C1008" s="2">
        <v>46201.583333333336</v>
      </c>
      <c r="D1008" t="s">
        <v>418</v>
      </c>
      <c r="E1008" t="s">
        <v>22</v>
      </c>
      <c r="F1008" t="s">
        <v>183</v>
      </c>
      <c r="G1008" t="s">
        <v>99</v>
      </c>
      <c r="H1008">
        <v>5</v>
      </c>
      <c r="I1008" t="s">
        <v>3333</v>
      </c>
      <c r="J1008" t="s">
        <v>357</v>
      </c>
    </row>
    <row r="1009" spans="1:10" x14ac:dyDescent="0.25">
      <c r="A1009" t="s">
        <v>3334</v>
      </c>
      <c r="B1009" t="s">
        <v>3335</v>
      </c>
      <c r="C1009" s="2">
        <v>46201.583333333336</v>
      </c>
      <c r="D1009" t="s">
        <v>418</v>
      </c>
      <c r="E1009" t="s">
        <v>26</v>
      </c>
      <c r="F1009" t="s">
        <v>185</v>
      </c>
      <c r="G1009" t="s">
        <v>103</v>
      </c>
      <c r="H1009">
        <v>6</v>
      </c>
      <c r="I1009" t="s">
        <v>3336</v>
      </c>
      <c r="J1009" t="s">
        <v>357</v>
      </c>
    </row>
    <row r="1010" spans="1:10" x14ac:dyDescent="0.25">
      <c r="A1010" t="s">
        <v>3337</v>
      </c>
      <c r="B1010" t="s">
        <v>3338</v>
      </c>
      <c r="C1010" s="2">
        <v>46201.583333333336</v>
      </c>
      <c r="D1010" t="s">
        <v>418</v>
      </c>
      <c r="E1010" t="s">
        <v>36</v>
      </c>
      <c r="F1010" t="s">
        <v>112</v>
      </c>
      <c r="G1010" t="s">
        <v>113</v>
      </c>
      <c r="H1010">
        <v>2</v>
      </c>
      <c r="I1010" t="s">
        <v>3339</v>
      </c>
      <c r="J1010" t="s">
        <v>357</v>
      </c>
    </row>
    <row r="1011" spans="1:10" x14ac:dyDescent="0.25">
      <c r="A1011" t="s">
        <v>3340</v>
      </c>
      <c r="B1011" t="s">
        <v>3341</v>
      </c>
      <c r="C1011" s="2">
        <v>46201.583333333336</v>
      </c>
      <c r="D1011" t="s">
        <v>418</v>
      </c>
      <c r="E1011" t="s">
        <v>43</v>
      </c>
      <c r="F1011" t="s">
        <v>164</v>
      </c>
      <c r="G1011" t="s">
        <v>117</v>
      </c>
      <c r="H1011">
        <v>3</v>
      </c>
      <c r="I1011" t="s">
        <v>3342</v>
      </c>
      <c r="J1011" t="s">
        <v>357</v>
      </c>
    </row>
    <row r="1012" spans="1:10" x14ac:dyDescent="0.25">
      <c r="A1012" t="s">
        <v>3343</v>
      </c>
      <c r="B1012" t="s">
        <v>3344</v>
      </c>
      <c r="C1012" s="2">
        <v>46201.583333333336</v>
      </c>
      <c r="D1012" t="s">
        <v>418</v>
      </c>
      <c r="E1012" t="s">
        <v>49</v>
      </c>
      <c r="F1012" t="s">
        <v>167</v>
      </c>
      <c r="G1012" t="s">
        <v>123</v>
      </c>
      <c r="H1012">
        <v>3</v>
      </c>
      <c r="I1012" t="s">
        <v>3345</v>
      </c>
      <c r="J1012" t="s">
        <v>357</v>
      </c>
    </row>
    <row r="1013" spans="1:10" x14ac:dyDescent="0.25">
      <c r="A1013" t="s">
        <v>3346</v>
      </c>
      <c r="B1013" t="s">
        <v>3347</v>
      </c>
      <c r="C1013" s="2">
        <v>46201.583333333336</v>
      </c>
      <c r="D1013" t="s">
        <v>418</v>
      </c>
      <c r="E1013" t="s">
        <v>51</v>
      </c>
      <c r="F1013" t="s">
        <v>168</v>
      </c>
      <c r="G1013" t="s">
        <v>125</v>
      </c>
      <c r="H1013">
        <v>6</v>
      </c>
      <c r="I1013" t="s">
        <v>3348</v>
      </c>
      <c r="J1013" t="s">
        <v>357</v>
      </c>
    </row>
    <row r="1014" spans="1:10" x14ac:dyDescent="0.25">
      <c r="A1014" t="s">
        <v>3349</v>
      </c>
      <c r="B1014" t="s">
        <v>3350</v>
      </c>
      <c r="C1014" s="2">
        <v>46201.583333333336</v>
      </c>
      <c r="D1014" t="s">
        <v>418</v>
      </c>
      <c r="E1014" t="s">
        <v>59</v>
      </c>
      <c r="F1014" t="s">
        <v>172</v>
      </c>
      <c r="G1014" t="s">
        <v>133</v>
      </c>
      <c r="H1014">
        <v>3</v>
      </c>
      <c r="I1014" t="s">
        <v>3351</v>
      </c>
      <c r="J1014" t="s">
        <v>357</v>
      </c>
    </row>
    <row r="1015" spans="1:10" x14ac:dyDescent="0.25">
      <c r="A1015" t="s">
        <v>3352</v>
      </c>
      <c r="B1015" t="s">
        <v>3353</v>
      </c>
      <c r="C1015" s="2">
        <v>46201.583333333336</v>
      </c>
      <c r="D1015" t="s">
        <v>418</v>
      </c>
      <c r="E1015" t="s">
        <v>65</v>
      </c>
      <c r="F1015" t="s">
        <v>173</v>
      </c>
      <c r="G1015" t="s">
        <v>135</v>
      </c>
      <c r="H1015">
        <v>2</v>
      </c>
      <c r="I1015" t="s">
        <v>3354</v>
      </c>
      <c r="J1015" t="s">
        <v>357</v>
      </c>
    </row>
    <row r="1016" spans="1:10" x14ac:dyDescent="0.25">
      <c r="A1016" t="s">
        <v>3355</v>
      </c>
      <c r="B1016" t="s">
        <v>3356</v>
      </c>
      <c r="C1016" s="2">
        <v>46201.583333333336</v>
      </c>
      <c r="D1016" t="s">
        <v>418</v>
      </c>
      <c r="E1016" t="s">
        <v>67</v>
      </c>
      <c r="F1016" t="s">
        <v>136</v>
      </c>
      <c r="G1016" t="s">
        <v>137</v>
      </c>
      <c r="H1016">
        <v>7</v>
      </c>
      <c r="I1016" t="s">
        <v>3357</v>
      </c>
      <c r="J1016" t="s">
        <v>357</v>
      </c>
    </row>
    <row r="1017" spans="1:10" x14ac:dyDescent="0.25">
      <c r="A1017" t="s">
        <v>3358</v>
      </c>
      <c r="B1017" t="s">
        <v>3359</v>
      </c>
      <c r="C1017" s="2">
        <v>46201.583333333336</v>
      </c>
      <c r="D1017" t="s">
        <v>418</v>
      </c>
      <c r="E1017" t="s">
        <v>67</v>
      </c>
      <c r="F1017" t="s">
        <v>174</v>
      </c>
      <c r="G1017" t="s">
        <v>137</v>
      </c>
      <c r="H1017">
        <v>1</v>
      </c>
      <c r="I1017" t="s">
        <v>3357</v>
      </c>
      <c r="J1017" t="s">
        <v>357</v>
      </c>
    </row>
    <row r="1018" spans="1:10" x14ac:dyDescent="0.25">
      <c r="A1018" t="s">
        <v>3360</v>
      </c>
      <c r="B1018" t="s">
        <v>3361</v>
      </c>
      <c r="C1018" s="2">
        <v>46201.583333333336</v>
      </c>
      <c r="D1018" t="s">
        <v>418</v>
      </c>
      <c r="E1018" t="s">
        <v>75</v>
      </c>
      <c r="F1018" t="s">
        <v>178</v>
      </c>
      <c r="G1018" t="s">
        <v>145</v>
      </c>
      <c r="H1018">
        <v>5</v>
      </c>
      <c r="I1018" t="s">
        <v>3362</v>
      </c>
      <c r="J1018" t="s">
        <v>357</v>
      </c>
    </row>
    <row r="1019" spans="1:10" x14ac:dyDescent="0.25">
      <c r="A1019" t="s">
        <v>3363</v>
      </c>
      <c r="B1019" t="s">
        <v>3364</v>
      </c>
      <c r="C1019" s="2">
        <v>46201.583333333336</v>
      </c>
      <c r="D1019" t="s">
        <v>418</v>
      </c>
      <c r="E1019" t="s">
        <v>77</v>
      </c>
      <c r="F1019" t="s">
        <v>146</v>
      </c>
      <c r="G1019" t="s">
        <v>147</v>
      </c>
      <c r="H1019">
        <v>6</v>
      </c>
      <c r="I1019" t="s">
        <v>3365</v>
      </c>
      <c r="J1019" t="s">
        <v>357</v>
      </c>
    </row>
    <row r="1020" spans="1:10" x14ac:dyDescent="0.25">
      <c r="A1020" t="s">
        <v>3366</v>
      </c>
      <c r="B1020" t="s">
        <v>3367</v>
      </c>
      <c r="C1020" s="2">
        <v>46201.583333333336</v>
      </c>
      <c r="D1020" t="s">
        <v>418</v>
      </c>
      <c r="E1020" t="s">
        <v>11</v>
      </c>
      <c r="F1020" t="s">
        <v>180</v>
      </c>
      <c r="G1020" t="s">
        <v>92</v>
      </c>
      <c r="H1020">
        <v>5</v>
      </c>
      <c r="I1020" t="s">
        <v>3368</v>
      </c>
      <c r="J1020" t="s">
        <v>357</v>
      </c>
    </row>
    <row r="1021" spans="1:10" x14ac:dyDescent="0.25">
      <c r="A1021" t="s">
        <v>3369</v>
      </c>
      <c r="B1021" t="s">
        <v>3370</v>
      </c>
      <c r="C1021" s="2">
        <v>46201.583333333336</v>
      </c>
      <c r="D1021" t="s">
        <v>418</v>
      </c>
      <c r="E1021" t="s">
        <v>22</v>
      </c>
      <c r="F1021" t="s">
        <v>183</v>
      </c>
      <c r="G1021" t="s">
        <v>99</v>
      </c>
      <c r="H1021">
        <v>2</v>
      </c>
      <c r="I1021" t="s">
        <v>3371</v>
      </c>
      <c r="J1021" t="s">
        <v>357</v>
      </c>
    </row>
    <row r="1022" spans="1:10" x14ac:dyDescent="0.25">
      <c r="A1022" t="s">
        <v>3372</v>
      </c>
      <c r="B1022" t="s">
        <v>3373</v>
      </c>
      <c r="C1022" s="2">
        <v>46201.583333333336</v>
      </c>
      <c r="D1022" t="s">
        <v>418</v>
      </c>
      <c r="E1022" t="s">
        <v>24</v>
      </c>
      <c r="F1022" t="s">
        <v>184</v>
      </c>
      <c r="G1022" t="s">
        <v>101</v>
      </c>
      <c r="H1022">
        <v>4</v>
      </c>
      <c r="I1022" t="s">
        <v>3374</v>
      </c>
      <c r="J1022" t="s">
        <v>357</v>
      </c>
    </row>
    <row r="1023" spans="1:10" x14ac:dyDescent="0.25">
      <c r="A1023" t="s">
        <v>3375</v>
      </c>
      <c r="B1023" t="s">
        <v>3376</v>
      </c>
      <c r="C1023" s="2">
        <v>46201.583333333336</v>
      </c>
      <c r="D1023" t="s">
        <v>418</v>
      </c>
      <c r="E1023" t="s">
        <v>28</v>
      </c>
      <c r="F1023" t="s">
        <v>158</v>
      </c>
      <c r="G1023" t="s">
        <v>105</v>
      </c>
      <c r="H1023">
        <v>7</v>
      </c>
      <c r="I1023" t="s">
        <v>3377</v>
      </c>
      <c r="J1023" t="s">
        <v>357</v>
      </c>
    </row>
    <row r="1024" spans="1:10" x14ac:dyDescent="0.25">
      <c r="A1024" t="s">
        <v>3378</v>
      </c>
      <c r="B1024" t="s">
        <v>3379</v>
      </c>
      <c r="C1024" s="2">
        <v>46201.583333333336</v>
      </c>
      <c r="D1024" t="s">
        <v>418</v>
      </c>
      <c r="E1024" t="s">
        <v>32</v>
      </c>
      <c r="F1024" t="s">
        <v>186</v>
      </c>
      <c r="G1024" t="s">
        <v>109</v>
      </c>
      <c r="H1024">
        <v>9</v>
      </c>
      <c r="I1024" t="s">
        <v>3380</v>
      </c>
      <c r="J1024" t="s">
        <v>357</v>
      </c>
    </row>
    <row r="1025" spans="1:10" x14ac:dyDescent="0.25">
      <c r="A1025" t="s">
        <v>3381</v>
      </c>
      <c r="B1025" t="s">
        <v>3382</v>
      </c>
      <c r="C1025" s="2">
        <v>46201.583333333336</v>
      </c>
      <c r="D1025" t="s">
        <v>418</v>
      </c>
      <c r="E1025" t="s">
        <v>45</v>
      </c>
      <c r="F1025" t="s">
        <v>165</v>
      </c>
      <c r="G1025" t="s">
        <v>119</v>
      </c>
      <c r="H1025">
        <v>4</v>
      </c>
      <c r="I1025" t="s">
        <v>3383</v>
      </c>
      <c r="J1025" t="s">
        <v>357</v>
      </c>
    </row>
    <row r="1026" spans="1:10" x14ac:dyDescent="0.25">
      <c r="A1026" t="s">
        <v>3384</v>
      </c>
      <c r="B1026" t="s">
        <v>3385</v>
      </c>
      <c r="C1026" s="2">
        <v>46201.583333333336</v>
      </c>
      <c r="D1026" t="s">
        <v>418</v>
      </c>
      <c r="E1026" t="s">
        <v>71</v>
      </c>
      <c r="F1026" t="s">
        <v>176</v>
      </c>
      <c r="G1026" t="s">
        <v>141</v>
      </c>
      <c r="H1026">
        <v>7</v>
      </c>
      <c r="I1026" t="s">
        <v>3386</v>
      </c>
      <c r="J1026" t="s">
        <v>357</v>
      </c>
    </row>
    <row r="1027" spans="1:10" x14ac:dyDescent="0.25">
      <c r="A1027" t="s">
        <v>3387</v>
      </c>
      <c r="B1027" t="s">
        <v>3388</v>
      </c>
      <c r="C1027" s="2">
        <v>46201.583333333336</v>
      </c>
      <c r="D1027" t="s">
        <v>418</v>
      </c>
      <c r="E1027" t="s">
        <v>20</v>
      </c>
      <c r="F1027" t="s">
        <v>182</v>
      </c>
      <c r="G1027" t="s">
        <v>97</v>
      </c>
      <c r="H1027">
        <v>1</v>
      </c>
      <c r="I1027" t="s">
        <v>3389</v>
      </c>
      <c r="J1027" t="s">
        <v>357</v>
      </c>
    </row>
    <row r="1028" spans="1:10" x14ac:dyDescent="0.25">
      <c r="A1028" t="s">
        <v>3390</v>
      </c>
      <c r="B1028" t="s">
        <v>3391</v>
      </c>
      <c r="C1028" s="2">
        <v>46201.583333333336</v>
      </c>
      <c r="D1028" t="s">
        <v>418</v>
      </c>
      <c r="E1028" t="s">
        <v>22</v>
      </c>
      <c r="F1028" t="s">
        <v>183</v>
      </c>
      <c r="G1028" t="s">
        <v>99</v>
      </c>
      <c r="H1028">
        <v>5</v>
      </c>
      <c r="I1028" t="s">
        <v>3392</v>
      </c>
      <c r="J1028" t="s">
        <v>357</v>
      </c>
    </row>
    <row r="1029" spans="1:10" x14ac:dyDescent="0.25">
      <c r="A1029" t="s">
        <v>3393</v>
      </c>
      <c r="B1029" t="s">
        <v>3394</v>
      </c>
      <c r="C1029" s="2">
        <v>46201.583333333336</v>
      </c>
      <c r="D1029" t="s">
        <v>418</v>
      </c>
      <c r="E1029" t="s">
        <v>26</v>
      </c>
      <c r="F1029" t="s">
        <v>185</v>
      </c>
      <c r="G1029" t="s">
        <v>103</v>
      </c>
      <c r="H1029">
        <v>4</v>
      </c>
      <c r="I1029" t="s">
        <v>3395</v>
      </c>
      <c r="J1029" t="s">
        <v>357</v>
      </c>
    </row>
    <row r="1030" spans="1:10" x14ac:dyDescent="0.25">
      <c r="A1030" t="s">
        <v>3396</v>
      </c>
      <c r="B1030" t="s">
        <v>3397</v>
      </c>
      <c r="C1030" s="2">
        <v>46201.583333333336</v>
      </c>
      <c r="D1030" t="s">
        <v>418</v>
      </c>
      <c r="E1030" t="s">
        <v>36</v>
      </c>
      <c r="F1030" t="s">
        <v>112</v>
      </c>
      <c r="G1030" t="s">
        <v>113</v>
      </c>
      <c r="H1030">
        <v>4</v>
      </c>
      <c r="I1030" t="s">
        <v>3398</v>
      </c>
      <c r="J1030" t="s">
        <v>357</v>
      </c>
    </row>
    <row r="1031" spans="1:10" x14ac:dyDescent="0.25">
      <c r="A1031" t="s">
        <v>3399</v>
      </c>
      <c r="B1031" t="s">
        <v>3400</v>
      </c>
      <c r="C1031" s="2">
        <v>46201.583333333336</v>
      </c>
      <c r="D1031" t="s">
        <v>418</v>
      </c>
      <c r="E1031" t="s">
        <v>41</v>
      </c>
      <c r="F1031" t="s">
        <v>188</v>
      </c>
      <c r="G1031" t="s">
        <v>115</v>
      </c>
      <c r="H1031">
        <v>1</v>
      </c>
      <c r="I1031" t="s">
        <v>3401</v>
      </c>
      <c r="J1031" t="s">
        <v>357</v>
      </c>
    </row>
    <row r="1032" spans="1:10" x14ac:dyDescent="0.25">
      <c r="A1032" t="s">
        <v>3402</v>
      </c>
      <c r="B1032" t="s">
        <v>3403</v>
      </c>
      <c r="C1032" s="2">
        <v>46201.583333333336</v>
      </c>
      <c r="D1032" t="s">
        <v>418</v>
      </c>
      <c r="E1032" t="s">
        <v>49</v>
      </c>
      <c r="F1032" t="s">
        <v>167</v>
      </c>
      <c r="G1032" t="s">
        <v>123</v>
      </c>
      <c r="H1032">
        <v>1</v>
      </c>
      <c r="I1032" t="s">
        <v>3404</v>
      </c>
      <c r="J1032" t="s">
        <v>357</v>
      </c>
    </row>
    <row r="1033" spans="1:10" x14ac:dyDescent="0.25">
      <c r="A1033" t="s">
        <v>3405</v>
      </c>
      <c r="B1033" t="s">
        <v>3406</v>
      </c>
      <c r="C1033" s="2">
        <v>46201.583333333336</v>
      </c>
      <c r="D1033" t="s">
        <v>418</v>
      </c>
      <c r="E1033" t="s">
        <v>77</v>
      </c>
      <c r="F1033" t="s">
        <v>179</v>
      </c>
      <c r="G1033" t="s">
        <v>147</v>
      </c>
      <c r="H1033">
        <v>4</v>
      </c>
      <c r="I1033" t="s">
        <v>3407</v>
      </c>
      <c r="J1033" t="s">
        <v>357</v>
      </c>
    </row>
    <row r="1034" spans="1:10" x14ac:dyDescent="0.25">
      <c r="A1034" t="s">
        <v>3408</v>
      </c>
      <c r="B1034" t="s">
        <v>3409</v>
      </c>
      <c r="C1034" s="2">
        <v>46202.583333333336</v>
      </c>
      <c r="D1034" t="s">
        <v>418</v>
      </c>
      <c r="E1034" t="s">
        <v>11</v>
      </c>
      <c r="F1034" t="s">
        <v>180</v>
      </c>
      <c r="G1034" t="s">
        <v>92</v>
      </c>
      <c r="H1034">
        <v>2</v>
      </c>
      <c r="I1034" t="s">
        <v>3410</v>
      </c>
      <c r="J1034" t="s">
        <v>357</v>
      </c>
    </row>
    <row r="1035" spans="1:10" x14ac:dyDescent="0.25">
      <c r="A1035" t="s">
        <v>3411</v>
      </c>
      <c r="B1035" t="s">
        <v>3412</v>
      </c>
      <c r="C1035" s="2">
        <v>46202.583333333336</v>
      </c>
      <c r="D1035" t="s">
        <v>418</v>
      </c>
      <c r="E1035" t="s">
        <v>18</v>
      </c>
      <c r="F1035" t="s">
        <v>181</v>
      </c>
      <c r="G1035" t="s">
        <v>95</v>
      </c>
      <c r="H1035">
        <v>2</v>
      </c>
      <c r="I1035" t="s">
        <v>3413</v>
      </c>
      <c r="J1035" t="s">
        <v>357</v>
      </c>
    </row>
    <row r="1036" spans="1:10" x14ac:dyDescent="0.25">
      <c r="A1036" t="s">
        <v>3414</v>
      </c>
      <c r="B1036" t="s">
        <v>3415</v>
      </c>
      <c r="C1036" s="2">
        <v>46202.583333333336</v>
      </c>
      <c r="D1036" t="s">
        <v>418</v>
      </c>
      <c r="E1036" t="s">
        <v>20</v>
      </c>
      <c r="F1036" t="s">
        <v>182</v>
      </c>
      <c r="G1036" t="s">
        <v>97</v>
      </c>
      <c r="H1036">
        <v>3</v>
      </c>
      <c r="I1036" t="s">
        <v>3416</v>
      </c>
      <c r="J1036" t="s">
        <v>357</v>
      </c>
    </row>
    <row r="1037" spans="1:10" x14ac:dyDescent="0.25">
      <c r="A1037" t="s">
        <v>3417</v>
      </c>
      <c r="B1037" t="s">
        <v>3418</v>
      </c>
      <c r="C1037" s="2">
        <v>46202.583333333336</v>
      </c>
      <c r="D1037" t="s">
        <v>418</v>
      </c>
      <c r="E1037" t="s">
        <v>22</v>
      </c>
      <c r="F1037" t="s">
        <v>183</v>
      </c>
      <c r="G1037" t="s">
        <v>99</v>
      </c>
      <c r="H1037">
        <v>1</v>
      </c>
      <c r="I1037" t="s">
        <v>3419</v>
      </c>
      <c r="J1037" t="s">
        <v>357</v>
      </c>
    </row>
    <row r="1038" spans="1:10" x14ac:dyDescent="0.25">
      <c r="A1038" t="s">
        <v>3420</v>
      </c>
      <c r="B1038" t="s">
        <v>3421</v>
      </c>
      <c r="C1038" s="2">
        <v>46202.583333333336</v>
      </c>
      <c r="D1038" t="s">
        <v>418</v>
      </c>
      <c r="E1038" t="s">
        <v>26</v>
      </c>
      <c r="F1038" t="s">
        <v>185</v>
      </c>
      <c r="G1038" t="s">
        <v>103</v>
      </c>
      <c r="H1038">
        <v>4</v>
      </c>
      <c r="I1038" t="s">
        <v>3422</v>
      </c>
      <c r="J1038" t="s">
        <v>357</v>
      </c>
    </row>
    <row r="1039" spans="1:10" x14ac:dyDescent="0.25">
      <c r="A1039" t="s">
        <v>3423</v>
      </c>
      <c r="B1039" t="s">
        <v>3424</v>
      </c>
      <c r="C1039" s="2">
        <v>46202.583333333336</v>
      </c>
      <c r="D1039" t="s">
        <v>418</v>
      </c>
      <c r="E1039" t="s">
        <v>32</v>
      </c>
      <c r="F1039" t="s">
        <v>186</v>
      </c>
      <c r="G1039" t="s">
        <v>109</v>
      </c>
      <c r="H1039">
        <v>4</v>
      </c>
      <c r="I1039" t="s">
        <v>3425</v>
      </c>
      <c r="J1039" t="s">
        <v>357</v>
      </c>
    </row>
    <row r="1040" spans="1:10" x14ac:dyDescent="0.25">
      <c r="A1040" t="s">
        <v>3426</v>
      </c>
      <c r="B1040" t="s">
        <v>3427</v>
      </c>
      <c r="C1040" s="2">
        <v>46202.583333333336</v>
      </c>
      <c r="D1040" t="s">
        <v>418</v>
      </c>
      <c r="E1040" t="s">
        <v>36</v>
      </c>
      <c r="F1040" t="s">
        <v>112</v>
      </c>
      <c r="G1040" t="s">
        <v>113</v>
      </c>
      <c r="H1040">
        <v>1</v>
      </c>
      <c r="I1040" t="s">
        <v>3428</v>
      </c>
      <c r="J1040" t="s">
        <v>357</v>
      </c>
    </row>
    <row r="1041" spans="1:10" x14ac:dyDescent="0.25">
      <c r="A1041" t="s">
        <v>3429</v>
      </c>
      <c r="B1041" t="s">
        <v>3430</v>
      </c>
      <c r="C1041" s="2">
        <v>46202.583333333336</v>
      </c>
      <c r="D1041" t="s">
        <v>418</v>
      </c>
      <c r="E1041" t="s">
        <v>45</v>
      </c>
      <c r="F1041" t="s">
        <v>165</v>
      </c>
      <c r="G1041" t="s">
        <v>119</v>
      </c>
      <c r="H1041">
        <v>2</v>
      </c>
      <c r="I1041" t="s">
        <v>3431</v>
      </c>
      <c r="J1041" t="s">
        <v>357</v>
      </c>
    </row>
    <row r="1042" spans="1:10" x14ac:dyDescent="0.25">
      <c r="A1042" t="s">
        <v>3432</v>
      </c>
      <c r="B1042" t="s">
        <v>3433</v>
      </c>
      <c r="C1042" s="2">
        <v>46202.583333333336</v>
      </c>
      <c r="D1042" t="s">
        <v>418</v>
      </c>
      <c r="E1042" t="s">
        <v>51</v>
      </c>
      <c r="F1042" t="s">
        <v>168</v>
      </c>
      <c r="G1042" t="s">
        <v>125</v>
      </c>
      <c r="H1042">
        <v>2</v>
      </c>
      <c r="I1042" t="s">
        <v>3434</v>
      </c>
      <c r="J1042" t="s">
        <v>357</v>
      </c>
    </row>
    <row r="1043" spans="1:10" x14ac:dyDescent="0.25">
      <c r="A1043" t="s">
        <v>3435</v>
      </c>
      <c r="B1043" t="s">
        <v>3436</v>
      </c>
      <c r="C1043" s="2">
        <v>46202.583333333336</v>
      </c>
      <c r="D1043" t="s">
        <v>418</v>
      </c>
      <c r="E1043" t="s">
        <v>59</v>
      </c>
      <c r="F1043" t="s">
        <v>172</v>
      </c>
      <c r="G1043" t="s">
        <v>133</v>
      </c>
      <c r="H1043">
        <v>4</v>
      </c>
      <c r="I1043" t="s">
        <v>3437</v>
      </c>
      <c r="J1043" t="s">
        <v>357</v>
      </c>
    </row>
    <row r="1044" spans="1:10" x14ac:dyDescent="0.25">
      <c r="A1044" t="s">
        <v>3438</v>
      </c>
      <c r="B1044" t="s">
        <v>3439</v>
      </c>
      <c r="C1044" s="2">
        <v>46202.583333333336</v>
      </c>
      <c r="D1044" t="s">
        <v>418</v>
      </c>
      <c r="E1044" t="s">
        <v>67</v>
      </c>
      <c r="F1044" t="s">
        <v>174</v>
      </c>
      <c r="G1044" t="s">
        <v>137</v>
      </c>
      <c r="H1044">
        <v>1</v>
      </c>
      <c r="I1044" t="s">
        <v>3440</v>
      </c>
      <c r="J1044" t="s">
        <v>357</v>
      </c>
    </row>
    <row r="1045" spans="1:10" x14ac:dyDescent="0.25">
      <c r="A1045" t="s">
        <v>3441</v>
      </c>
      <c r="B1045" t="s">
        <v>3442</v>
      </c>
      <c r="C1045" s="2">
        <v>46202.583333333336</v>
      </c>
      <c r="D1045" t="s">
        <v>418</v>
      </c>
      <c r="E1045" t="s">
        <v>11</v>
      </c>
      <c r="F1045" t="s">
        <v>180</v>
      </c>
      <c r="G1045" t="s">
        <v>92</v>
      </c>
      <c r="H1045">
        <v>4</v>
      </c>
      <c r="I1045" t="s">
        <v>3443</v>
      </c>
      <c r="J1045" t="s">
        <v>357</v>
      </c>
    </row>
    <row r="1046" spans="1:10" x14ac:dyDescent="0.25">
      <c r="A1046" t="s">
        <v>3444</v>
      </c>
      <c r="B1046" t="s">
        <v>3445</v>
      </c>
      <c r="C1046" s="2">
        <v>46202.583333333336</v>
      </c>
      <c r="D1046" t="s">
        <v>418</v>
      </c>
      <c r="E1046" t="s">
        <v>18</v>
      </c>
      <c r="F1046" t="s">
        <v>181</v>
      </c>
      <c r="G1046" t="s">
        <v>95</v>
      </c>
      <c r="H1046">
        <v>1</v>
      </c>
      <c r="I1046" t="s">
        <v>3446</v>
      </c>
      <c r="J1046" t="s">
        <v>357</v>
      </c>
    </row>
    <row r="1047" spans="1:10" x14ac:dyDescent="0.25">
      <c r="A1047" t="s">
        <v>3447</v>
      </c>
      <c r="B1047" t="s">
        <v>3448</v>
      </c>
      <c r="C1047" s="2">
        <v>46202.583333333336</v>
      </c>
      <c r="D1047" t="s">
        <v>418</v>
      </c>
      <c r="E1047" t="s">
        <v>20</v>
      </c>
      <c r="F1047" t="s">
        <v>182</v>
      </c>
      <c r="G1047" t="s">
        <v>97</v>
      </c>
      <c r="H1047">
        <v>5</v>
      </c>
      <c r="I1047" t="s">
        <v>3449</v>
      </c>
      <c r="J1047" t="s">
        <v>357</v>
      </c>
    </row>
    <row r="1048" spans="1:10" x14ac:dyDescent="0.25">
      <c r="A1048" t="s">
        <v>3450</v>
      </c>
      <c r="B1048" t="s">
        <v>3451</v>
      </c>
      <c r="C1048" s="2">
        <v>46202.583333333336</v>
      </c>
      <c r="D1048" t="s">
        <v>418</v>
      </c>
      <c r="E1048" t="s">
        <v>24</v>
      </c>
      <c r="F1048" t="s">
        <v>184</v>
      </c>
      <c r="G1048" t="s">
        <v>101</v>
      </c>
      <c r="H1048">
        <v>1</v>
      </c>
      <c r="I1048" t="s">
        <v>3452</v>
      </c>
      <c r="J1048" t="s">
        <v>357</v>
      </c>
    </row>
    <row r="1049" spans="1:10" x14ac:dyDescent="0.25">
      <c r="A1049" t="s">
        <v>3453</v>
      </c>
      <c r="B1049" t="s">
        <v>3454</v>
      </c>
      <c r="C1049" s="2">
        <v>46202.583333333336</v>
      </c>
      <c r="D1049" t="s">
        <v>418</v>
      </c>
      <c r="E1049" t="s">
        <v>26</v>
      </c>
      <c r="F1049" t="s">
        <v>185</v>
      </c>
      <c r="G1049" t="s">
        <v>103</v>
      </c>
      <c r="H1049">
        <v>2</v>
      </c>
      <c r="I1049" t="s">
        <v>3455</v>
      </c>
      <c r="J1049" t="s">
        <v>357</v>
      </c>
    </row>
    <row r="1050" spans="1:10" x14ac:dyDescent="0.25">
      <c r="A1050" t="s">
        <v>3456</v>
      </c>
      <c r="B1050" t="s">
        <v>3457</v>
      </c>
      <c r="C1050" s="2">
        <v>46202.583333333336</v>
      </c>
      <c r="D1050" t="s">
        <v>418</v>
      </c>
      <c r="E1050" t="s">
        <v>30</v>
      </c>
      <c r="F1050" t="s">
        <v>159</v>
      </c>
      <c r="G1050" t="s">
        <v>107</v>
      </c>
      <c r="H1050">
        <v>2</v>
      </c>
      <c r="I1050" t="s">
        <v>3458</v>
      </c>
      <c r="J1050" t="s">
        <v>357</v>
      </c>
    </row>
    <row r="1051" spans="1:10" x14ac:dyDescent="0.25">
      <c r="A1051" t="s">
        <v>3459</v>
      </c>
      <c r="B1051" t="s">
        <v>3460</v>
      </c>
      <c r="C1051" s="2">
        <v>46202.583333333336</v>
      </c>
      <c r="D1051" t="s">
        <v>418</v>
      </c>
      <c r="E1051" t="s">
        <v>41</v>
      </c>
      <c r="F1051" t="s">
        <v>188</v>
      </c>
      <c r="G1051" t="s">
        <v>115</v>
      </c>
      <c r="H1051">
        <v>1</v>
      </c>
      <c r="I1051" t="s">
        <v>3461</v>
      </c>
      <c r="J1051" t="s">
        <v>357</v>
      </c>
    </row>
    <row r="1052" spans="1:10" x14ac:dyDescent="0.25">
      <c r="A1052" t="s">
        <v>3462</v>
      </c>
      <c r="B1052" t="s">
        <v>3463</v>
      </c>
      <c r="C1052" s="2">
        <v>46202.583333333336</v>
      </c>
      <c r="D1052" t="s">
        <v>418</v>
      </c>
      <c r="E1052" t="s">
        <v>51</v>
      </c>
      <c r="F1052" t="s">
        <v>168</v>
      </c>
      <c r="G1052" t="s">
        <v>125</v>
      </c>
      <c r="H1052">
        <v>1</v>
      </c>
      <c r="I1052" t="s">
        <v>3464</v>
      </c>
      <c r="J1052" t="s">
        <v>357</v>
      </c>
    </row>
    <row r="1053" spans="1:10" x14ac:dyDescent="0.25">
      <c r="A1053" t="s">
        <v>3465</v>
      </c>
      <c r="B1053" t="s">
        <v>3466</v>
      </c>
      <c r="C1053" s="2">
        <v>46202.583333333336</v>
      </c>
      <c r="D1053" t="s">
        <v>418</v>
      </c>
      <c r="E1053" t="s">
        <v>57</v>
      </c>
      <c r="F1053" t="s">
        <v>171</v>
      </c>
      <c r="G1053" t="s">
        <v>131</v>
      </c>
      <c r="H1053">
        <v>5</v>
      </c>
      <c r="I1053" t="s">
        <v>3467</v>
      </c>
      <c r="J1053" t="s">
        <v>357</v>
      </c>
    </row>
    <row r="1054" spans="1:10" x14ac:dyDescent="0.25">
      <c r="A1054" t="s">
        <v>3468</v>
      </c>
      <c r="B1054" t="s">
        <v>3469</v>
      </c>
      <c r="C1054" s="2">
        <v>46202.583333333336</v>
      </c>
      <c r="D1054" t="s">
        <v>418</v>
      </c>
      <c r="E1054" t="s">
        <v>59</v>
      </c>
      <c r="F1054" t="s">
        <v>172</v>
      </c>
      <c r="G1054" t="s">
        <v>133</v>
      </c>
      <c r="H1054">
        <v>2</v>
      </c>
      <c r="I1054" t="s">
        <v>3470</v>
      </c>
      <c r="J1054" t="s">
        <v>357</v>
      </c>
    </row>
    <row r="1055" spans="1:10" x14ac:dyDescent="0.25">
      <c r="A1055" t="s">
        <v>3471</v>
      </c>
      <c r="B1055" t="s">
        <v>3472</v>
      </c>
      <c r="C1055" s="2">
        <v>46202.583333333336</v>
      </c>
      <c r="D1055" t="s">
        <v>418</v>
      </c>
      <c r="E1055" t="s">
        <v>75</v>
      </c>
      <c r="F1055" t="s">
        <v>178</v>
      </c>
      <c r="G1055" t="s">
        <v>145</v>
      </c>
      <c r="H1055">
        <v>3</v>
      </c>
      <c r="I1055" t="s">
        <v>3473</v>
      </c>
      <c r="J1055" t="s">
        <v>357</v>
      </c>
    </row>
    <row r="1056" spans="1:10" x14ac:dyDescent="0.25">
      <c r="A1056" t="s">
        <v>3474</v>
      </c>
      <c r="B1056" t="s">
        <v>3475</v>
      </c>
      <c r="C1056" s="2">
        <v>46202.583333333336</v>
      </c>
      <c r="D1056" t="s">
        <v>418</v>
      </c>
      <c r="E1056" t="s">
        <v>55</v>
      </c>
      <c r="F1056" t="s">
        <v>192</v>
      </c>
      <c r="G1056" t="s">
        <v>129</v>
      </c>
      <c r="H1056">
        <v>4</v>
      </c>
      <c r="I1056" t="s">
        <v>3476</v>
      </c>
      <c r="J1056" t="s">
        <v>357</v>
      </c>
    </row>
    <row r="1057" spans="1:10" x14ac:dyDescent="0.25">
      <c r="A1057" t="s">
        <v>3477</v>
      </c>
      <c r="B1057" t="s">
        <v>3478</v>
      </c>
      <c r="C1057" s="2">
        <v>46202.583333333336</v>
      </c>
      <c r="D1057" t="s">
        <v>418</v>
      </c>
      <c r="E1057" t="s">
        <v>65</v>
      </c>
      <c r="F1057" t="s">
        <v>173</v>
      </c>
      <c r="G1057" t="s">
        <v>135</v>
      </c>
      <c r="H1057">
        <v>1</v>
      </c>
      <c r="I1057" t="s">
        <v>3479</v>
      </c>
      <c r="J1057" t="s">
        <v>357</v>
      </c>
    </row>
    <row r="1058" spans="1:10" x14ac:dyDescent="0.25">
      <c r="A1058" t="s">
        <v>3480</v>
      </c>
      <c r="B1058" t="s">
        <v>3481</v>
      </c>
      <c r="C1058" s="2">
        <v>46202.583333333336</v>
      </c>
      <c r="D1058" t="s">
        <v>418</v>
      </c>
      <c r="E1058" t="s">
        <v>77</v>
      </c>
      <c r="F1058" t="s">
        <v>179</v>
      </c>
      <c r="G1058" t="s">
        <v>147</v>
      </c>
      <c r="H1058">
        <v>4</v>
      </c>
      <c r="I1058" t="s">
        <v>3482</v>
      </c>
      <c r="J1058" t="s">
        <v>357</v>
      </c>
    </row>
    <row r="1059" spans="1:10" x14ac:dyDescent="0.25">
      <c r="A1059" t="s">
        <v>3483</v>
      </c>
      <c r="B1059" t="s">
        <v>3484</v>
      </c>
      <c r="C1059" s="2">
        <v>46202.583333333336</v>
      </c>
      <c r="D1059" t="s">
        <v>418</v>
      </c>
      <c r="E1059" t="s">
        <v>11</v>
      </c>
      <c r="F1059" t="s">
        <v>180</v>
      </c>
      <c r="G1059" t="s">
        <v>92</v>
      </c>
      <c r="H1059">
        <v>1</v>
      </c>
      <c r="I1059" t="s">
        <v>3485</v>
      </c>
      <c r="J1059" t="s">
        <v>357</v>
      </c>
    </row>
    <row r="1060" spans="1:10" x14ac:dyDescent="0.25">
      <c r="A1060" t="s">
        <v>3486</v>
      </c>
      <c r="B1060" t="s">
        <v>3487</v>
      </c>
      <c r="C1060" s="2">
        <v>46202.583333333336</v>
      </c>
      <c r="D1060" t="s">
        <v>418</v>
      </c>
      <c r="E1060" t="s">
        <v>18</v>
      </c>
      <c r="F1060" t="s">
        <v>181</v>
      </c>
      <c r="G1060" t="s">
        <v>95</v>
      </c>
      <c r="H1060">
        <v>7</v>
      </c>
      <c r="I1060" t="s">
        <v>3488</v>
      </c>
      <c r="J1060" t="s">
        <v>357</v>
      </c>
    </row>
    <row r="1061" spans="1:10" x14ac:dyDescent="0.25">
      <c r="A1061" t="s">
        <v>3489</v>
      </c>
      <c r="B1061" t="s">
        <v>3490</v>
      </c>
      <c r="C1061" s="2">
        <v>46202.583333333336</v>
      </c>
      <c r="D1061" t="s">
        <v>418</v>
      </c>
      <c r="E1061" t="s">
        <v>20</v>
      </c>
      <c r="F1061" t="s">
        <v>182</v>
      </c>
      <c r="G1061" t="s">
        <v>97</v>
      </c>
      <c r="H1061">
        <v>6</v>
      </c>
      <c r="I1061" t="s">
        <v>3491</v>
      </c>
      <c r="J1061" t="s">
        <v>357</v>
      </c>
    </row>
    <row r="1062" spans="1:10" x14ac:dyDescent="0.25">
      <c r="A1062" t="s">
        <v>3492</v>
      </c>
      <c r="B1062" t="s">
        <v>3493</v>
      </c>
      <c r="C1062" s="2">
        <v>46202.583333333336</v>
      </c>
      <c r="D1062" t="s">
        <v>418</v>
      </c>
      <c r="E1062" t="s">
        <v>36</v>
      </c>
      <c r="F1062" t="s">
        <v>112</v>
      </c>
      <c r="G1062" t="s">
        <v>113</v>
      </c>
      <c r="H1062">
        <v>6</v>
      </c>
      <c r="I1062" t="s">
        <v>3494</v>
      </c>
      <c r="J1062" t="s">
        <v>357</v>
      </c>
    </row>
    <row r="1063" spans="1:10" x14ac:dyDescent="0.25">
      <c r="A1063" t="s">
        <v>3495</v>
      </c>
      <c r="B1063" t="s">
        <v>3496</v>
      </c>
      <c r="C1063" s="2">
        <v>46202.583333333336</v>
      </c>
      <c r="D1063" t="s">
        <v>418</v>
      </c>
      <c r="E1063" t="s">
        <v>41</v>
      </c>
      <c r="F1063" t="s">
        <v>188</v>
      </c>
      <c r="G1063" t="s">
        <v>115</v>
      </c>
      <c r="H1063">
        <v>1</v>
      </c>
      <c r="I1063" t="s">
        <v>3497</v>
      </c>
      <c r="J1063" t="s">
        <v>357</v>
      </c>
    </row>
    <row r="1064" spans="1:10" x14ac:dyDescent="0.25">
      <c r="A1064" t="s">
        <v>3498</v>
      </c>
      <c r="B1064" t="s">
        <v>3499</v>
      </c>
      <c r="C1064" s="2">
        <v>46202.583333333336</v>
      </c>
      <c r="D1064" t="s">
        <v>418</v>
      </c>
      <c r="E1064" t="s">
        <v>43</v>
      </c>
      <c r="F1064" t="s">
        <v>164</v>
      </c>
      <c r="G1064" t="s">
        <v>117</v>
      </c>
      <c r="H1064">
        <v>6</v>
      </c>
      <c r="I1064" t="s">
        <v>3500</v>
      </c>
      <c r="J1064" t="s">
        <v>357</v>
      </c>
    </row>
    <row r="1065" spans="1:10" x14ac:dyDescent="0.25">
      <c r="A1065" t="s">
        <v>3501</v>
      </c>
      <c r="B1065" t="s">
        <v>3502</v>
      </c>
      <c r="C1065" s="2">
        <v>46202.583333333336</v>
      </c>
      <c r="D1065" t="s">
        <v>418</v>
      </c>
      <c r="E1065" t="s">
        <v>47</v>
      </c>
      <c r="F1065" t="s">
        <v>166</v>
      </c>
      <c r="G1065" t="s">
        <v>121</v>
      </c>
      <c r="H1065">
        <v>6</v>
      </c>
      <c r="I1065" t="s">
        <v>3503</v>
      </c>
      <c r="J1065" t="s">
        <v>357</v>
      </c>
    </row>
    <row r="1066" spans="1:10" x14ac:dyDescent="0.25">
      <c r="A1066" t="s">
        <v>3504</v>
      </c>
      <c r="B1066" t="s">
        <v>3505</v>
      </c>
      <c r="C1066" s="2">
        <v>46202.583333333336</v>
      </c>
      <c r="D1066" t="s">
        <v>418</v>
      </c>
      <c r="E1066" t="s">
        <v>49</v>
      </c>
      <c r="F1066" t="s">
        <v>167</v>
      </c>
      <c r="G1066" t="s">
        <v>123</v>
      </c>
      <c r="H1066">
        <v>1</v>
      </c>
      <c r="I1066" t="s">
        <v>3506</v>
      </c>
      <c r="J1066" t="s">
        <v>357</v>
      </c>
    </row>
    <row r="1067" spans="1:10" x14ac:dyDescent="0.25">
      <c r="A1067" t="s">
        <v>3507</v>
      </c>
      <c r="B1067" t="s">
        <v>3508</v>
      </c>
      <c r="C1067" s="2">
        <v>46202.583333333336</v>
      </c>
      <c r="D1067" t="s">
        <v>418</v>
      </c>
      <c r="E1067" t="s">
        <v>51</v>
      </c>
      <c r="F1067" t="s">
        <v>168</v>
      </c>
      <c r="G1067" t="s">
        <v>125</v>
      </c>
      <c r="H1067">
        <v>1</v>
      </c>
      <c r="I1067" t="s">
        <v>3509</v>
      </c>
      <c r="J1067" t="s">
        <v>357</v>
      </c>
    </row>
    <row r="1068" spans="1:10" x14ac:dyDescent="0.25">
      <c r="A1068" t="s">
        <v>3510</v>
      </c>
      <c r="B1068" t="s">
        <v>3511</v>
      </c>
      <c r="C1068" s="2">
        <v>46202.583333333336</v>
      </c>
      <c r="D1068" t="s">
        <v>418</v>
      </c>
      <c r="E1068" t="s">
        <v>11</v>
      </c>
      <c r="F1068" t="s">
        <v>180</v>
      </c>
      <c r="G1068" t="s">
        <v>92</v>
      </c>
      <c r="H1068">
        <v>1</v>
      </c>
      <c r="I1068" t="s">
        <v>3512</v>
      </c>
      <c r="J1068" t="s">
        <v>357</v>
      </c>
    </row>
    <row r="1069" spans="1:10" x14ac:dyDescent="0.25">
      <c r="A1069" t="s">
        <v>3513</v>
      </c>
      <c r="B1069" t="s">
        <v>3514</v>
      </c>
      <c r="C1069" s="2">
        <v>46202.583333333336</v>
      </c>
      <c r="D1069" t="s">
        <v>418</v>
      </c>
      <c r="E1069" t="s">
        <v>24</v>
      </c>
      <c r="F1069" t="s">
        <v>184</v>
      </c>
      <c r="G1069" t="s">
        <v>101</v>
      </c>
      <c r="H1069">
        <v>2</v>
      </c>
      <c r="I1069" t="s">
        <v>3515</v>
      </c>
      <c r="J1069" t="s">
        <v>357</v>
      </c>
    </row>
    <row r="1070" spans="1:10" x14ac:dyDescent="0.25">
      <c r="A1070" t="s">
        <v>3516</v>
      </c>
      <c r="B1070" t="s">
        <v>3517</v>
      </c>
      <c r="C1070" s="2">
        <v>46202.583333333336</v>
      </c>
      <c r="D1070" t="s">
        <v>418</v>
      </c>
      <c r="E1070" t="s">
        <v>26</v>
      </c>
      <c r="F1070" t="s">
        <v>185</v>
      </c>
      <c r="G1070" t="s">
        <v>103</v>
      </c>
      <c r="H1070">
        <v>2</v>
      </c>
      <c r="I1070" t="s">
        <v>3518</v>
      </c>
      <c r="J1070" t="s">
        <v>357</v>
      </c>
    </row>
    <row r="1071" spans="1:10" x14ac:dyDescent="0.25">
      <c r="A1071" t="s">
        <v>3519</v>
      </c>
      <c r="B1071" t="s">
        <v>3520</v>
      </c>
      <c r="C1071" s="2">
        <v>46202.583333333336</v>
      </c>
      <c r="D1071" t="s">
        <v>418</v>
      </c>
      <c r="E1071" t="s">
        <v>28</v>
      </c>
      <c r="F1071" t="s">
        <v>158</v>
      </c>
      <c r="G1071" t="s">
        <v>105</v>
      </c>
      <c r="H1071">
        <v>4</v>
      </c>
      <c r="I1071" t="s">
        <v>3521</v>
      </c>
      <c r="J1071" t="s">
        <v>357</v>
      </c>
    </row>
    <row r="1072" spans="1:10" x14ac:dyDescent="0.25">
      <c r="A1072" t="s">
        <v>3522</v>
      </c>
      <c r="B1072" t="s">
        <v>3523</v>
      </c>
      <c r="C1072" s="2">
        <v>46202.583333333336</v>
      </c>
      <c r="D1072" t="s">
        <v>418</v>
      </c>
      <c r="E1072" t="s">
        <v>30</v>
      </c>
      <c r="F1072" t="s">
        <v>159</v>
      </c>
      <c r="G1072" t="s">
        <v>107</v>
      </c>
      <c r="H1072">
        <v>4</v>
      </c>
      <c r="I1072" t="s">
        <v>3524</v>
      </c>
      <c r="J1072" t="s">
        <v>357</v>
      </c>
    </row>
    <row r="1073" spans="1:10" x14ac:dyDescent="0.25">
      <c r="A1073" t="s">
        <v>3525</v>
      </c>
      <c r="B1073" t="s">
        <v>3526</v>
      </c>
      <c r="C1073" s="2">
        <v>46202.583333333336</v>
      </c>
      <c r="D1073" t="s">
        <v>418</v>
      </c>
      <c r="E1073" t="s">
        <v>45</v>
      </c>
      <c r="F1073" t="s">
        <v>165</v>
      </c>
      <c r="G1073" t="s">
        <v>119</v>
      </c>
      <c r="H1073">
        <v>2</v>
      </c>
      <c r="I1073" t="s">
        <v>3527</v>
      </c>
      <c r="J1073" t="s">
        <v>357</v>
      </c>
    </row>
    <row r="1074" spans="1:10" x14ac:dyDescent="0.25">
      <c r="A1074" t="s">
        <v>3528</v>
      </c>
      <c r="B1074" t="s">
        <v>3529</v>
      </c>
      <c r="C1074" s="2">
        <v>46202.583333333336</v>
      </c>
      <c r="D1074" t="s">
        <v>418</v>
      </c>
      <c r="E1074" t="s">
        <v>47</v>
      </c>
      <c r="F1074" t="s">
        <v>166</v>
      </c>
      <c r="G1074" t="s">
        <v>121</v>
      </c>
      <c r="H1074">
        <v>3</v>
      </c>
      <c r="I1074" t="s">
        <v>3530</v>
      </c>
      <c r="J1074" t="s">
        <v>357</v>
      </c>
    </row>
    <row r="1075" spans="1:10" x14ac:dyDescent="0.25">
      <c r="A1075" t="s">
        <v>3531</v>
      </c>
      <c r="B1075" t="s">
        <v>3532</v>
      </c>
      <c r="C1075" s="2">
        <v>46202.583333333336</v>
      </c>
      <c r="D1075" t="s">
        <v>418</v>
      </c>
      <c r="E1075" t="s">
        <v>53</v>
      </c>
      <c r="F1075" t="s">
        <v>169</v>
      </c>
      <c r="G1075" t="s">
        <v>127</v>
      </c>
      <c r="H1075">
        <v>3</v>
      </c>
      <c r="I1075" t="s">
        <v>3533</v>
      </c>
      <c r="J1075" t="s">
        <v>357</v>
      </c>
    </row>
    <row r="1076" spans="1:10" x14ac:dyDescent="0.25">
      <c r="A1076" t="s">
        <v>3534</v>
      </c>
      <c r="B1076" t="s">
        <v>3535</v>
      </c>
      <c r="C1076" s="2">
        <v>46203.333333333336</v>
      </c>
      <c r="D1076" t="s">
        <v>1412</v>
      </c>
      <c r="E1076" t="s">
        <v>11</v>
      </c>
      <c r="F1076" t="s">
        <v>201</v>
      </c>
      <c r="G1076" t="s">
        <v>92</v>
      </c>
      <c r="H1076">
        <v>76</v>
      </c>
      <c r="I1076" t="s">
        <v>357</v>
      </c>
      <c r="J1076" t="s">
        <v>3536</v>
      </c>
    </row>
    <row r="1077" spans="1:10" x14ac:dyDescent="0.25">
      <c r="A1077" t="s">
        <v>3537</v>
      </c>
      <c r="B1077" t="s">
        <v>3538</v>
      </c>
      <c r="C1077" s="2">
        <v>46203.333333333336</v>
      </c>
      <c r="D1077" t="s">
        <v>1412</v>
      </c>
      <c r="E1077" t="s">
        <v>18</v>
      </c>
      <c r="F1077" t="s">
        <v>202</v>
      </c>
      <c r="G1077" t="s">
        <v>95</v>
      </c>
      <c r="H1077">
        <v>65</v>
      </c>
      <c r="I1077" t="s">
        <v>357</v>
      </c>
      <c r="J1077" t="s">
        <v>3539</v>
      </c>
    </row>
    <row r="1078" spans="1:10" x14ac:dyDescent="0.25">
      <c r="A1078" t="s">
        <v>3540</v>
      </c>
      <c r="B1078" t="s">
        <v>3541</v>
      </c>
      <c r="C1078" s="2">
        <v>46203.333333333336</v>
      </c>
      <c r="D1078" t="s">
        <v>1412</v>
      </c>
      <c r="E1078" t="s">
        <v>20</v>
      </c>
      <c r="F1078" t="s">
        <v>203</v>
      </c>
      <c r="G1078" t="s">
        <v>97</v>
      </c>
      <c r="H1078">
        <v>86</v>
      </c>
      <c r="I1078" t="s">
        <v>357</v>
      </c>
      <c r="J1078" t="s">
        <v>3542</v>
      </c>
    </row>
    <row r="1079" spans="1:10" x14ac:dyDescent="0.25">
      <c r="A1079" t="s">
        <v>3543</v>
      </c>
      <c r="B1079" t="s">
        <v>3544</v>
      </c>
      <c r="C1079" s="2">
        <v>46203.333333333336</v>
      </c>
      <c r="D1079" t="s">
        <v>1412</v>
      </c>
      <c r="E1079" t="s">
        <v>22</v>
      </c>
      <c r="F1079" t="s">
        <v>204</v>
      </c>
      <c r="G1079" t="s">
        <v>99</v>
      </c>
      <c r="H1079">
        <v>75</v>
      </c>
      <c r="I1079" t="s">
        <v>357</v>
      </c>
      <c r="J1079" t="s">
        <v>3545</v>
      </c>
    </row>
    <row r="1080" spans="1:10" x14ac:dyDescent="0.25">
      <c r="A1080" t="s">
        <v>3546</v>
      </c>
      <c r="B1080" t="s">
        <v>3547</v>
      </c>
      <c r="C1080" s="2">
        <v>46203.333333333336</v>
      </c>
      <c r="D1080" t="s">
        <v>1412</v>
      </c>
      <c r="E1080" t="s">
        <v>24</v>
      </c>
      <c r="F1080" t="s">
        <v>205</v>
      </c>
      <c r="G1080" t="s">
        <v>101</v>
      </c>
      <c r="H1080">
        <v>85</v>
      </c>
      <c r="I1080" t="s">
        <v>357</v>
      </c>
      <c r="J1080" t="s">
        <v>3548</v>
      </c>
    </row>
    <row r="1081" spans="1:10" x14ac:dyDescent="0.25">
      <c r="A1081" t="s">
        <v>3549</v>
      </c>
      <c r="B1081" t="s">
        <v>3550</v>
      </c>
      <c r="C1081" s="2">
        <v>46203.333333333336</v>
      </c>
      <c r="D1081" t="s">
        <v>1412</v>
      </c>
      <c r="E1081" t="s">
        <v>26</v>
      </c>
      <c r="F1081" t="s">
        <v>206</v>
      </c>
      <c r="G1081" t="s">
        <v>103</v>
      </c>
      <c r="H1081">
        <v>90</v>
      </c>
      <c r="I1081" t="s">
        <v>357</v>
      </c>
      <c r="J1081" t="s">
        <v>3551</v>
      </c>
    </row>
    <row r="1082" spans="1:10" x14ac:dyDescent="0.25">
      <c r="A1082" t="s">
        <v>3552</v>
      </c>
      <c r="B1082" t="s">
        <v>3553</v>
      </c>
      <c r="C1082" s="2">
        <v>46203.333333333336</v>
      </c>
      <c r="D1082" t="s">
        <v>1412</v>
      </c>
      <c r="E1082" t="s">
        <v>30</v>
      </c>
      <c r="F1082" t="s">
        <v>207</v>
      </c>
      <c r="G1082" t="s">
        <v>107</v>
      </c>
      <c r="H1082">
        <v>92</v>
      </c>
      <c r="I1082" t="s">
        <v>357</v>
      </c>
      <c r="J1082" t="s">
        <v>3554</v>
      </c>
    </row>
    <row r="1083" spans="1:10" x14ac:dyDescent="0.25">
      <c r="A1083" t="s">
        <v>3555</v>
      </c>
      <c r="B1083" t="s">
        <v>3556</v>
      </c>
      <c r="C1083" s="2">
        <v>46203.333333333336</v>
      </c>
      <c r="D1083" t="s">
        <v>1412</v>
      </c>
      <c r="E1083" t="s">
        <v>43</v>
      </c>
      <c r="F1083" t="s">
        <v>208</v>
      </c>
      <c r="G1083" t="s">
        <v>117</v>
      </c>
      <c r="H1083">
        <v>63</v>
      </c>
      <c r="I1083" t="s">
        <v>357</v>
      </c>
      <c r="J1083" t="s">
        <v>3557</v>
      </c>
    </row>
    <row r="1084" spans="1:10" x14ac:dyDescent="0.25">
      <c r="A1084" t="s">
        <v>3558</v>
      </c>
      <c r="B1084" t="s">
        <v>3559</v>
      </c>
      <c r="C1084" s="2">
        <v>46203.333333333336</v>
      </c>
      <c r="D1084" t="s">
        <v>1412</v>
      </c>
      <c r="E1084" t="s">
        <v>51</v>
      </c>
      <c r="F1084" t="s">
        <v>209</v>
      </c>
      <c r="G1084" t="s">
        <v>125</v>
      </c>
      <c r="H1084">
        <v>95</v>
      </c>
      <c r="I1084" t="s">
        <v>357</v>
      </c>
      <c r="J1084" t="s">
        <v>3560</v>
      </c>
    </row>
    <row r="1085" spans="1:10" x14ac:dyDescent="0.25">
      <c r="A1085" t="s">
        <v>3561</v>
      </c>
      <c r="B1085" t="s">
        <v>3562</v>
      </c>
      <c r="C1085" s="2">
        <v>46203.333333333336</v>
      </c>
      <c r="D1085" t="s">
        <v>1412</v>
      </c>
      <c r="E1085" t="s">
        <v>53</v>
      </c>
      <c r="F1085" t="s">
        <v>210</v>
      </c>
      <c r="G1085" t="s">
        <v>127</v>
      </c>
      <c r="H1085">
        <v>76</v>
      </c>
      <c r="I1085" t="s">
        <v>357</v>
      </c>
      <c r="J1085" t="s">
        <v>3563</v>
      </c>
    </row>
    <row r="1086" spans="1:10" x14ac:dyDescent="0.25">
      <c r="A1086" t="s">
        <v>3564</v>
      </c>
      <c r="B1086" t="s">
        <v>3565</v>
      </c>
      <c r="C1086" s="2">
        <v>46203.333333333336</v>
      </c>
      <c r="D1086" t="s">
        <v>1412</v>
      </c>
      <c r="E1086" t="s">
        <v>57</v>
      </c>
      <c r="F1086" t="s">
        <v>211</v>
      </c>
      <c r="G1086" t="s">
        <v>131</v>
      </c>
      <c r="H1086">
        <v>96</v>
      </c>
      <c r="I1086" t="s">
        <v>357</v>
      </c>
      <c r="J1086" t="s">
        <v>3566</v>
      </c>
    </row>
    <row r="1087" spans="1:10" x14ac:dyDescent="0.25">
      <c r="A1087" t="s">
        <v>3567</v>
      </c>
      <c r="B1087" t="s">
        <v>3568</v>
      </c>
      <c r="C1087" s="2">
        <v>46203.333333333336</v>
      </c>
      <c r="D1087" t="s">
        <v>1412</v>
      </c>
      <c r="E1087" t="s">
        <v>71</v>
      </c>
      <c r="F1087" t="s">
        <v>212</v>
      </c>
      <c r="G1087" t="s">
        <v>141</v>
      </c>
      <c r="H1087">
        <v>100</v>
      </c>
      <c r="I1087" t="s">
        <v>357</v>
      </c>
      <c r="J1087" t="s">
        <v>3569</v>
      </c>
    </row>
    <row r="1088" spans="1:10" x14ac:dyDescent="0.25">
      <c r="A1088" t="s">
        <v>3570</v>
      </c>
      <c r="B1088" t="s">
        <v>3571</v>
      </c>
      <c r="C1088" s="2">
        <v>46203.333333333336</v>
      </c>
      <c r="D1088" t="s">
        <v>1412</v>
      </c>
      <c r="E1088" t="s">
        <v>73</v>
      </c>
      <c r="F1088" t="s">
        <v>213</v>
      </c>
      <c r="G1088" t="s">
        <v>143</v>
      </c>
      <c r="H1088">
        <v>77</v>
      </c>
      <c r="I1088" t="s">
        <v>357</v>
      </c>
      <c r="J1088" t="s">
        <v>3572</v>
      </c>
    </row>
    <row r="1089" spans="1:10" x14ac:dyDescent="0.25">
      <c r="A1089" t="s">
        <v>3573</v>
      </c>
      <c r="B1089" t="s">
        <v>3574</v>
      </c>
      <c r="C1089" s="2">
        <v>46203.583333333336</v>
      </c>
      <c r="D1089" t="s">
        <v>418</v>
      </c>
      <c r="E1089" t="s">
        <v>11</v>
      </c>
      <c r="F1089" t="s">
        <v>180</v>
      </c>
      <c r="G1089" t="s">
        <v>92</v>
      </c>
      <c r="H1089">
        <v>4</v>
      </c>
      <c r="I1089" t="s">
        <v>3575</v>
      </c>
      <c r="J1089" t="s">
        <v>357</v>
      </c>
    </row>
    <row r="1090" spans="1:10" x14ac:dyDescent="0.25">
      <c r="A1090" t="s">
        <v>3576</v>
      </c>
      <c r="B1090" t="s">
        <v>3577</v>
      </c>
      <c r="C1090" s="2">
        <v>46203.583333333336</v>
      </c>
      <c r="D1090" t="s">
        <v>418</v>
      </c>
      <c r="E1090" t="s">
        <v>18</v>
      </c>
      <c r="F1090" t="s">
        <v>181</v>
      </c>
      <c r="G1090" t="s">
        <v>95</v>
      </c>
      <c r="H1090">
        <v>4</v>
      </c>
      <c r="I1090" t="s">
        <v>3578</v>
      </c>
      <c r="J1090" t="s">
        <v>357</v>
      </c>
    </row>
    <row r="1091" spans="1:10" x14ac:dyDescent="0.25">
      <c r="A1091" t="s">
        <v>3579</v>
      </c>
      <c r="B1091" t="s">
        <v>3580</v>
      </c>
      <c r="C1091" s="2">
        <v>46203.583333333336</v>
      </c>
      <c r="D1091" t="s">
        <v>418</v>
      </c>
      <c r="E1091" t="s">
        <v>20</v>
      </c>
      <c r="F1091" t="s">
        <v>182</v>
      </c>
      <c r="G1091" t="s">
        <v>97</v>
      </c>
      <c r="H1091">
        <v>3</v>
      </c>
      <c r="I1091" t="s">
        <v>3581</v>
      </c>
      <c r="J1091" t="s">
        <v>357</v>
      </c>
    </row>
    <row r="1092" spans="1:10" x14ac:dyDescent="0.25">
      <c r="A1092" t="s">
        <v>3582</v>
      </c>
      <c r="B1092" t="s">
        <v>3583</v>
      </c>
      <c r="C1092" s="2">
        <v>46203.583333333336</v>
      </c>
      <c r="D1092" t="s">
        <v>418</v>
      </c>
      <c r="E1092" t="s">
        <v>22</v>
      </c>
      <c r="F1092" t="s">
        <v>204</v>
      </c>
      <c r="G1092" t="s">
        <v>99</v>
      </c>
      <c r="H1092">
        <v>3</v>
      </c>
      <c r="I1092" t="s">
        <v>3584</v>
      </c>
      <c r="J1092" t="s">
        <v>357</v>
      </c>
    </row>
    <row r="1093" spans="1:10" x14ac:dyDescent="0.25">
      <c r="A1093" t="s">
        <v>3585</v>
      </c>
      <c r="B1093" t="s">
        <v>3586</v>
      </c>
      <c r="C1093" s="2">
        <v>46203.583333333336</v>
      </c>
      <c r="D1093" t="s">
        <v>418</v>
      </c>
      <c r="E1093" t="s">
        <v>24</v>
      </c>
      <c r="F1093" t="s">
        <v>184</v>
      </c>
      <c r="G1093" t="s">
        <v>101</v>
      </c>
      <c r="H1093">
        <v>3</v>
      </c>
      <c r="I1093" t="s">
        <v>3587</v>
      </c>
      <c r="J1093" t="s">
        <v>357</v>
      </c>
    </row>
    <row r="1094" spans="1:10" x14ac:dyDescent="0.25">
      <c r="A1094" t="s">
        <v>3588</v>
      </c>
      <c r="B1094" t="s">
        <v>3589</v>
      </c>
      <c r="C1094" s="2">
        <v>46203.583333333336</v>
      </c>
      <c r="D1094" t="s">
        <v>418</v>
      </c>
      <c r="E1094" t="s">
        <v>26</v>
      </c>
      <c r="F1094" t="s">
        <v>185</v>
      </c>
      <c r="G1094" t="s">
        <v>103</v>
      </c>
      <c r="H1094">
        <v>1</v>
      </c>
      <c r="I1094" t="s">
        <v>3590</v>
      </c>
      <c r="J1094" t="s">
        <v>357</v>
      </c>
    </row>
    <row r="1095" spans="1:10" x14ac:dyDescent="0.25">
      <c r="A1095" t="s">
        <v>3591</v>
      </c>
      <c r="B1095" t="s">
        <v>3592</v>
      </c>
      <c r="C1095" s="2">
        <v>46203.583333333336</v>
      </c>
      <c r="D1095" t="s">
        <v>418</v>
      </c>
      <c r="E1095" t="s">
        <v>26</v>
      </c>
      <c r="F1095" t="s">
        <v>157</v>
      </c>
      <c r="G1095" t="s">
        <v>103</v>
      </c>
      <c r="H1095">
        <v>3</v>
      </c>
      <c r="I1095" t="s">
        <v>3590</v>
      </c>
      <c r="J1095" t="s">
        <v>357</v>
      </c>
    </row>
    <row r="1096" spans="1:10" x14ac:dyDescent="0.25">
      <c r="A1096" t="s">
        <v>3593</v>
      </c>
      <c r="B1096" t="s">
        <v>3594</v>
      </c>
      <c r="C1096" s="2">
        <v>46203.583333333336</v>
      </c>
      <c r="D1096" t="s">
        <v>418</v>
      </c>
      <c r="E1096" t="s">
        <v>41</v>
      </c>
      <c r="F1096" t="s">
        <v>188</v>
      </c>
      <c r="G1096" t="s">
        <v>115</v>
      </c>
      <c r="H1096">
        <v>3</v>
      </c>
      <c r="I1096" t="s">
        <v>3595</v>
      </c>
      <c r="J1096" t="s">
        <v>357</v>
      </c>
    </row>
    <row r="1097" spans="1:10" x14ac:dyDescent="0.25">
      <c r="A1097" t="s">
        <v>3596</v>
      </c>
      <c r="B1097" t="s">
        <v>3597</v>
      </c>
      <c r="C1097" s="2">
        <v>46203.583333333336</v>
      </c>
      <c r="D1097" t="s">
        <v>418</v>
      </c>
      <c r="E1097" t="s">
        <v>45</v>
      </c>
      <c r="F1097" t="s">
        <v>165</v>
      </c>
      <c r="G1097" t="s">
        <v>119</v>
      </c>
      <c r="H1097">
        <v>2</v>
      </c>
      <c r="I1097" t="s">
        <v>3598</v>
      </c>
      <c r="J1097" t="s">
        <v>357</v>
      </c>
    </row>
    <row r="1098" spans="1:10" x14ac:dyDescent="0.25">
      <c r="A1098" t="s">
        <v>3599</v>
      </c>
      <c r="B1098" t="s">
        <v>3600</v>
      </c>
      <c r="C1098" s="2">
        <v>46203.583333333336</v>
      </c>
      <c r="D1098" t="s">
        <v>418</v>
      </c>
      <c r="E1098" t="s">
        <v>75</v>
      </c>
      <c r="F1098" t="s">
        <v>178</v>
      </c>
      <c r="G1098" t="s">
        <v>145</v>
      </c>
      <c r="H1098">
        <v>4</v>
      </c>
      <c r="I1098" t="s">
        <v>3601</v>
      </c>
      <c r="J1098" t="s">
        <v>357</v>
      </c>
    </row>
    <row r="1099" spans="1:10" x14ac:dyDescent="0.25">
      <c r="A1099" t="s">
        <v>3602</v>
      </c>
      <c r="B1099" t="s">
        <v>3603</v>
      </c>
      <c r="C1099" s="2">
        <v>46203.583333333336</v>
      </c>
      <c r="D1099" t="s">
        <v>418</v>
      </c>
      <c r="E1099" t="s">
        <v>11</v>
      </c>
      <c r="F1099" t="s">
        <v>180</v>
      </c>
      <c r="G1099" t="s">
        <v>92</v>
      </c>
      <c r="H1099">
        <v>1</v>
      </c>
      <c r="I1099" t="s">
        <v>3604</v>
      </c>
      <c r="J1099" t="s">
        <v>357</v>
      </c>
    </row>
    <row r="1100" spans="1:10" x14ac:dyDescent="0.25">
      <c r="A1100" t="s">
        <v>3605</v>
      </c>
      <c r="B1100" t="s">
        <v>3606</v>
      </c>
      <c r="C1100" s="2">
        <v>46203.583333333336</v>
      </c>
      <c r="D1100" t="s">
        <v>418</v>
      </c>
      <c r="E1100" t="s">
        <v>18</v>
      </c>
      <c r="F1100" t="s">
        <v>181</v>
      </c>
      <c r="G1100" t="s">
        <v>95</v>
      </c>
      <c r="H1100">
        <v>4</v>
      </c>
      <c r="I1100" t="s">
        <v>3607</v>
      </c>
      <c r="J1100" t="s">
        <v>357</v>
      </c>
    </row>
    <row r="1101" spans="1:10" x14ac:dyDescent="0.25">
      <c r="A1101" t="s">
        <v>3608</v>
      </c>
      <c r="B1101" t="s">
        <v>3609</v>
      </c>
      <c r="C1101" s="2">
        <v>46203.583333333336</v>
      </c>
      <c r="D1101" t="s">
        <v>418</v>
      </c>
      <c r="E1101" t="s">
        <v>20</v>
      </c>
      <c r="F1101" t="s">
        <v>182</v>
      </c>
      <c r="G1101" t="s">
        <v>97</v>
      </c>
      <c r="H1101">
        <v>4</v>
      </c>
      <c r="I1101" t="s">
        <v>3610</v>
      </c>
      <c r="J1101" t="s">
        <v>357</v>
      </c>
    </row>
    <row r="1102" spans="1:10" x14ac:dyDescent="0.25">
      <c r="A1102" t="s">
        <v>3611</v>
      </c>
      <c r="B1102" t="s">
        <v>3612</v>
      </c>
      <c r="C1102" s="2">
        <v>46203.583333333336</v>
      </c>
      <c r="D1102" t="s">
        <v>418</v>
      </c>
      <c r="E1102" t="s">
        <v>24</v>
      </c>
      <c r="F1102" t="s">
        <v>184</v>
      </c>
      <c r="G1102" t="s">
        <v>101</v>
      </c>
      <c r="H1102">
        <v>3</v>
      </c>
      <c r="I1102" t="s">
        <v>3613</v>
      </c>
      <c r="J1102" t="s">
        <v>357</v>
      </c>
    </row>
    <row r="1103" spans="1:10" x14ac:dyDescent="0.25">
      <c r="A1103" t="s">
        <v>3614</v>
      </c>
      <c r="B1103" t="s">
        <v>3615</v>
      </c>
      <c r="C1103" s="2">
        <v>46203.583333333336</v>
      </c>
      <c r="D1103" t="s">
        <v>418</v>
      </c>
      <c r="E1103" t="s">
        <v>26</v>
      </c>
      <c r="F1103" t="s">
        <v>102</v>
      </c>
      <c r="G1103" t="s">
        <v>103</v>
      </c>
      <c r="H1103">
        <v>2</v>
      </c>
      <c r="I1103" t="s">
        <v>3616</v>
      </c>
      <c r="J1103" t="s">
        <v>357</v>
      </c>
    </row>
    <row r="1104" spans="1:10" x14ac:dyDescent="0.25">
      <c r="A1104" t="s">
        <v>3617</v>
      </c>
      <c r="B1104" t="s">
        <v>3618</v>
      </c>
      <c r="C1104" s="2">
        <v>46203.583333333336</v>
      </c>
      <c r="D1104" t="s">
        <v>418</v>
      </c>
      <c r="E1104" t="s">
        <v>32</v>
      </c>
      <c r="F1104" t="s">
        <v>186</v>
      </c>
      <c r="G1104" t="s">
        <v>109</v>
      </c>
      <c r="H1104">
        <v>4</v>
      </c>
      <c r="I1104" t="s">
        <v>3619</v>
      </c>
      <c r="J1104" t="s">
        <v>357</v>
      </c>
    </row>
    <row r="1105" spans="1:10" x14ac:dyDescent="0.25">
      <c r="A1105" t="s">
        <v>3620</v>
      </c>
      <c r="B1105" t="s">
        <v>3621</v>
      </c>
      <c r="C1105" s="2">
        <v>46203.583333333336</v>
      </c>
      <c r="D1105" t="s">
        <v>418</v>
      </c>
      <c r="E1105" t="s">
        <v>45</v>
      </c>
      <c r="F1105" t="s">
        <v>165</v>
      </c>
      <c r="G1105" t="s">
        <v>119</v>
      </c>
      <c r="H1105">
        <v>1</v>
      </c>
      <c r="I1105" t="s">
        <v>3622</v>
      </c>
      <c r="J1105" t="s">
        <v>357</v>
      </c>
    </row>
    <row r="1106" spans="1:10" x14ac:dyDescent="0.25">
      <c r="A1106" t="s">
        <v>3623</v>
      </c>
      <c r="B1106" t="s">
        <v>3624</v>
      </c>
      <c r="C1106" s="2">
        <v>46203.583333333336</v>
      </c>
      <c r="D1106" t="s">
        <v>418</v>
      </c>
      <c r="E1106" t="s">
        <v>55</v>
      </c>
      <c r="F1106" t="s">
        <v>192</v>
      </c>
      <c r="G1106" t="s">
        <v>129</v>
      </c>
      <c r="H1106">
        <v>1</v>
      </c>
      <c r="I1106" t="s">
        <v>3625</v>
      </c>
      <c r="J1106" t="s">
        <v>357</v>
      </c>
    </row>
    <row r="1107" spans="1:10" x14ac:dyDescent="0.25">
      <c r="A1107" t="s">
        <v>3626</v>
      </c>
      <c r="B1107" t="s">
        <v>3627</v>
      </c>
      <c r="C1107" s="2">
        <v>46203.583333333336</v>
      </c>
      <c r="D1107" t="s">
        <v>418</v>
      </c>
      <c r="E1107" t="s">
        <v>57</v>
      </c>
      <c r="F1107" t="s">
        <v>211</v>
      </c>
      <c r="G1107" t="s">
        <v>131</v>
      </c>
      <c r="H1107">
        <v>2</v>
      </c>
      <c r="I1107" t="s">
        <v>3628</v>
      </c>
      <c r="J1107" t="s">
        <v>357</v>
      </c>
    </row>
    <row r="1108" spans="1:10" x14ac:dyDescent="0.25">
      <c r="A1108" t="s">
        <v>3629</v>
      </c>
      <c r="B1108" t="s">
        <v>3630</v>
      </c>
      <c r="C1108" s="2">
        <v>46203.583333333336</v>
      </c>
      <c r="D1108" t="s">
        <v>418</v>
      </c>
      <c r="E1108" t="s">
        <v>71</v>
      </c>
      <c r="F1108" t="s">
        <v>176</v>
      </c>
      <c r="G1108" t="s">
        <v>141</v>
      </c>
      <c r="H1108">
        <v>5</v>
      </c>
      <c r="I1108" t="s">
        <v>3631</v>
      </c>
      <c r="J1108" t="s">
        <v>357</v>
      </c>
    </row>
    <row r="1109" spans="1:10" x14ac:dyDescent="0.25">
      <c r="A1109" t="s">
        <v>3632</v>
      </c>
      <c r="B1109" t="s">
        <v>3633</v>
      </c>
      <c r="C1109" s="2">
        <v>46203.583333333336</v>
      </c>
      <c r="D1109" t="s">
        <v>418</v>
      </c>
      <c r="E1109" t="s">
        <v>73</v>
      </c>
      <c r="F1109" t="s">
        <v>142</v>
      </c>
      <c r="G1109" t="s">
        <v>143</v>
      </c>
      <c r="H1109">
        <v>2</v>
      </c>
      <c r="I1109" t="s">
        <v>3634</v>
      </c>
      <c r="J1109" t="s">
        <v>357</v>
      </c>
    </row>
    <row r="1110" spans="1:10" x14ac:dyDescent="0.25">
      <c r="A1110" t="s">
        <v>3635</v>
      </c>
      <c r="B1110" t="s">
        <v>3636</v>
      </c>
      <c r="C1110" s="2">
        <v>46203.583333333336</v>
      </c>
      <c r="D1110" t="s">
        <v>418</v>
      </c>
      <c r="E1110" t="s">
        <v>11</v>
      </c>
      <c r="F1110" t="s">
        <v>180</v>
      </c>
      <c r="G1110" t="s">
        <v>92</v>
      </c>
      <c r="H1110">
        <v>1</v>
      </c>
      <c r="I1110" t="s">
        <v>3637</v>
      </c>
      <c r="J1110" t="s">
        <v>357</v>
      </c>
    </row>
    <row r="1111" spans="1:10" x14ac:dyDescent="0.25">
      <c r="A1111" t="s">
        <v>3638</v>
      </c>
      <c r="B1111" t="s">
        <v>3639</v>
      </c>
      <c r="C1111" s="2">
        <v>46203.583333333336</v>
      </c>
      <c r="D1111" t="s">
        <v>418</v>
      </c>
      <c r="E1111" t="s">
        <v>18</v>
      </c>
      <c r="F1111" t="s">
        <v>181</v>
      </c>
      <c r="G1111" t="s">
        <v>95</v>
      </c>
      <c r="H1111">
        <v>1</v>
      </c>
      <c r="I1111" t="s">
        <v>3640</v>
      </c>
      <c r="J1111" t="s">
        <v>357</v>
      </c>
    </row>
    <row r="1112" spans="1:10" x14ac:dyDescent="0.25">
      <c r="A1112" t="s">
        <v>3641</v>
      </c>
      <c r="B1112" t="s">
        <v>3642</v>
      </c>
      <c r="C1112" s="2">
        <v>46203.583333333336</v>
      </c>
      <c r="D1112" t="s">
        <v>418</v>
      </c>
      <c r="E1112" t="s">
        <v>22</v>
      </c>
      <c r="F1112" t="s">
        <v>204</v>
      </c>
      <c r="G1112" t="s">
        <v>99</v>
      </c>
      <c r="H1112">
        <v>6</v>
      </c>
      <c r="I1112" t="s">
        <v>3643</v>
      </c>
      <c r="J1112" t="s">
        <v>357</v>
      </c>
    </row>
    <row r="1113" spans="1:10" x14ac:dyDescent="0.25">
      <c r="A1113" t="s">
        <v>3644</v>
      </c>
      <c r="B1113" t="s">
        <v>3645</v>
      </c>
      <c r="C1113" s="2">
        <v>46203.583333333336</v>
      </c>
      <c r="D1113" t="s">
        <v>418</v>
      </c>
      <c r="E1113" t="s">
        <v>26</v>
      </c>
      <c r="F1113" t="s">
        <v>102</v>
      </c>
      <c r="G1113" t="s">
        <v>103</v>
      </c>
      <c r="H1113">
        <v>5</v>
      </c>
      <c r="I1113" t="s">
        <v>3646</v>
      </c>
      <c r="J1113" t="s">
        <v>357</v>
      </c>
    </row>
    <row r="1114" spans="1:10" x14ac:dyDescent="0.25">
      <c r="A1114" t="s">
        <v>3647</v>
      </c>
      <c r="B1114" t="s">
        <v>3648</v>
      </c>
      <c r="C1114" s="2">
        <v>46203.583333333336</v>
      </c>
      <c r="D1114" t="s">
        <v>418</v>
      </c>
      <c r="E1114" t="s">
        <v>41</v>
      </c>
      <c r="F1114" t="s">
        <v>188</v>
      </c>
      <c r="G1114" t="s">
        <v>115</v>
      </c>
      <c r="H1114">
        <v>2</v>
      </c>
      <c r="I1114" t="s">
        <v>3649</v>
      </c>
      <c r="J1114" t="s">
        <v>357</v>
      </c>
    </row>
    <row r="1115" spans="1:10" x14ac:dyDescent="0.25">
      <c r="A1115" t="s">
        <v>3650</v>
      </c>
      <c r="B1115" t="s">
        <v>3651</v>
      </c>
      <c r="C1115" s="2">
        <v>46203.583333333336</v>
      </c>
      <c r="D1115" t="s">
        <v>418</v>
      </c>
      <c r="E1115" t="s">
        <v>43</v>
      </c>
      <c r="F1115" t="s">
        <v>164</v>
      </c>
      <c r="G1115" t="s">
        <v>117</v>
      </c>
      <c r="H1115">
        <v>2</v>
      </c>
      <c r="I1115" t="s">
        <v>3652</v>
      </c>
      <c r="J1115" t="s">
        <v>357</v>
      </c>
    </row>
    <row r="1116" spans="1:10" x14ac:dyDescent="0.25">
      <c r="A1116" t="s">
        <v>3653</v>
      </c>
      <c r="B1116" t="s">
        <v>3654</v>
      </c>
      <c r="C1116" s="2">
        <v>46203.583333333336</v>
      </c>
      <c r="D1116" t="s">
        <v>418</v>
      </c>
      <c r="E1116" t="s">
        <v>65</v>
      </c>
      <c r="F1116" t="s">
        <v>173</v>
      </c>
      <c r="G1116" t="s">
        <v>135</v>
      </c>
      <c r="H1116">
        <v>5</v>
      </c>
      <c r="I1116" t="s">
        <v>3655</v>
      </c>
      <c r="J1116" t="s">
        <v>357</v>
      </c>
    </row>
    <row r="1117" spans="1:10" x14ac:dyDescent="0.25">
      <c r="A1117" t="s">
        <v>3656</v>
      </c>
      <c r="B1117" t="s">
        <v>3657</v>
      </c>
      <c r="C1117" s="2">
        <v>46203.583333333336</v>
      </c>
      <c r="D1117" t="s">
        <v>418</v>
      </c>
      <c r="E1117" t="s">
        <v>75</v>
      </c>
      <c r="F1117" t="s">
        <v>178</v>
      </c>
      <c r="G1117" t="s">
        <v>145</v>
      </c>
      <c r="H1117">
        <v>5</v>
      </c>
      <c r="I1117" t="s">
        <v>3658</v>
      </c>
      <c r="J1117" t="s">
        <v>357</v>
      </c>
    </row>
    <row r="1118" spans="1:10" x14ac:dyDescent="0.25">
      <c r="A1118" t="s">
        <v>3659</v>
      </c>
      <c r="B1118" t="s">
        <v>3660</v>
      </c>
      <c r="C1118" s="2">
        <v>46203.583333333336</v>
      </c>
      <c r="D1118" t="s">
        <v>418</v>
      </c>
      <c r="E1118" t="s">
        <v>11</v>
      </c>
      <c r="F1118" t="s">
        <v>180</v>
      </c>
      <c r="G1118" t="s">
        <v>92</v>
      </c>
      <c r="H1118">
        <v>6</v>
      </c>
      <c r="I1118" t="s">
        <v>3661</v>
      </c>
      <c r="J1118" t="s">
        <v>357</v>
      </c>
    </row>
    <row r="1119" spans="1:10" x14ac:dyDescent="0.25">
      <c r="A1119" t="s">
        <v>3662</v>
      </c>
      <c r="B1119" t="s">
        <v>3663</v>
      </c>
      <c r="C1119" s="2">
        <v>46203.583333333336</v>
      </c>
      <c r="D1119" t="s">
        <v>418</v>
      </c>
      <c r="E1119" t="s">
        <v>18</v>
      </c>
      <c r="F1119" t="s">
        <v>181</v>
      </c>
      <c r="G1119" t="s">
        <v>95</v>
      </c>
      <c r="H1119">
        <v>4</v>
      </c>
      <c r="I1119" t="s">
        <v>3664</v>
      </c>
      <c r="J1119" t="s">
        <v>357</v>
      </c>
    </row>
    <row r="1120" spans="1:10" x14ac:dyDescent="0.25">
      <c r="A1120" t="s">
        <v>3665</v>
      </c>
      <c r="B1120" t="s">
        <v>3666</v>
      </c>
      <c r="C1120" s="2">
        <v>46203.583333333336</v>
      </c>
      <c r="D1120" t="s">
        <v>418</v>
      </c>
      <c r="E1120" t="s">
        <v>20</v>
      </c>
      <c r="F1120" t="s">
        <v>182</v>
      </c>
      <c r="G1120" t="s">
        <v>97</v>
      </c>
      <c r="H1120">
        <v>3</v>
      </c>
      <c r="I1120" t="s">
        <v>3667</v>
      </c>
      <c r="J1120" t="s">
        <v>357</v>
      </c>
    </row>
    <row r="1121" spans="1:10" x14ac:dyDescent="0.25">
      <c r="A1121" t="s">
        <v>3668</v>
      </c>
      <c r="B1121" t="s">
        <v>3669</v>
      </c>
      <c r="C1121" s="2">
        <v>46203.583333333336</v>
      </c>
      <c r="D1121" t="s">
        <v>418</v>
      </c>
      <c r="E1121" t="s">
        <v>20</v>
      </c>
      <c r="F1121" t="s">
        <v>203</v>
      </c>
      <c r="G1121" t="s">
        <v>97</v>
      </c>
      <c r="H1121">
        <v>3</v>
      </c>
      <c r="I1121" t="s">
        <v>3667</v>
      </c>
      <c r="J1121" t="s">
        <v>357</v>
      </c>
    </row>
    <row r="1122" spans="1:10" x14ac:dyDescent="0.25">
      <c r="A1122" t="s">
        <v>3670</v>
      </c>
      <c r="B1122" t="s">
        <v>3671</v>
      </c>
      <c r="C1122" s="2">
        <v>46203.583333333336</v>
      </c>
      <c r="D1122" t="s">
        <v>418</v>
      </c>
      <c r="E1122" t="s">
        <v>24</v>
      </c>
      <c r="F1122" t="s">
        <v>184</v>
      </c>
      <c r="G1122" t="s">
        <v>101</v>
      </c>
      <c r="H1122">
        <v>4</v>
      </c>
      <c r="I1122" t="s">
        <v>3672</v>
      </c>
      <c r="J1122" t="s">
        <v>357</v>
      </c>
    </row>
    <row r="1123" spans="1:10" x14ac:dyDescent="0.25">
      <c r="A1123" t="s">
        <v>3673</v>
      </c>
      <c r="B1123" t="s">
        <v>3674</v>
      </c>
      <c r="C1123" s="2">
        <v>46203.583333333336</v>
      </c>
      <c r="D1123" t="s">
        <v>418</v>
      </c>
      <c r="E1123" t="s">
        <v>26</v>
      </c>
      <c r="F1123" t="s">
        <v>102</v>
      </c>
      <c r="G1123" t="s">
        <v>103</v>
      </c>
      <c r="H1123">
        <v>4</v>
      </c>
      <c r="I1123" t="s">
        <v>3675</v>
      </c>
      <c r="J1123" t="s">
        <v>357</v>
      </c>
    </row>
    <row r="1124" spans="1:10" x14ac:dyDescent="0.25">
      <c r="A1124" t="s">
        <v>3676</v>
      </c>
      <c r="B1124" t="s">
        <v>3677</v>
      </c>
      <c r="C1124" s="2">
        <v>46203.583333333336</v>
      </c>
      <c r="D1124" t="s">
        <v>418</v>
      </c>
      <c r="E1124" t="s">
        <v>28</v>
      </c>
      <c r="F1124" t="s">
        <v>158</v>
      </c>
      <c r="G1124" t="s">
        <v>105</v>
      </c>
      <c r="H1124">
        <v>7</v>
      </c>
      <c r="I1124" t="s">
        <v>3678</v>
      </c>
      <c r="J1124" t="s">
        <v>357</v>
      </c>
    </row>
    <row r="1125" spans="1:10" x14ac:dyDescent="0.25">
      <c r="A1125" t="s">
        <v>3679</v>
      </c>
      <c r="B1125" t="s">
        <v>3680</v>
      </c>
      <c r="C1125" s="2">
        <v>46203.583333333336</v>
      </c>
      <c r="D1125" t="s">
        <v>418</v>
      </c>
      <c r="E1125" t="s">
        <v>45</v>
      </c>
      <c r="F1125" t="s">
        <v>165</v>
      </c>
      <c r="G1125" t="s">
        <v>119</v>
      </c>
      <c r="H1125">
        <v>7</v>
      </c>
      <c r="I1125" t="s">
        <v>3681</v>
      </c>
      <c r="J1125" t="s">
        <v>357</v>
      </c>
    </row>
    <row r="1126" spans="1:10" x14ac:dyDescent="0.25">
      <c r="A1126" t="s">
        <v>3682</v>
      </c>
      <c r="B1126" t="s">
        <v>3683</v>
      </c>
      <c r="C1126" s="2">
        <v>46203.583333333336</v>
      </c>
      <c r="D1126" t="s">
        <v>418</v>
      </c>
      <c r="E1126" t="s">
        <v>57</v>
      </c>
      <c r="F1126" t="s">
        <v>211</v>
      </c>
      <c r="G1126" t="s">
        <v>131</v>
      </c>
      <c r="H1126">
        <v>7</v>
      </c>
      <c r="I1126" t="s">
        <v>3684</v>
      </c>
      <c r="J1126" t="s">
        <v>357</v>
      </c>
    </row>
    <row r="1127" spans="1:10" x14ac:dyDescent="0.25">
      <c r="A1127" t="s">
        <v>3685</v>
      </c>
      <c r="B1127" t="s">
        <v>3686</v>
      </c>
      <c r="C1127" s="2">
        <v>46203.583333333336</v>
      </c>
      <c r="D1127" t="s">
        <v>418</v>
      </c>
      <c r="E1127" t="s">
        <v>73</v>
      </c>
      <c r="F1127" t="s">
        <v>142</v>
      </c>
      <c r="G1127" t="s">
        <v>143</v>
      </c>
      <c r="H1127">
        <v>3</v>
      </c>
      <c r="I1127" t="s">
        <v>3687</v>
      </c>
      <c r="J1127" t="s">
        <v>357</v>
      </c>
    </row>
    <row r="1128" spans="1:10" x14ac:dyDescent="0.25">
      <c r="A1128" t="s">
        <v>3688</v>
      </c>
      <c r="B1128" t="s">
        <v>3689</v>
      </c>
      <c r="C1128" s="2">
        <v>46203.583333333336</v>
      </c>
      <c r="D1128" t="s">
        <v>418</v>
      </c>
      <c r="E1128" t="s">
        <v>11</v>
      </c>
      <c r="F1128" t="s">
        <v>180</v>
      </c>
      <c r="G1128" t="s">
        <v>92</v>
      </c>
      <c r="H1128">
        <v>1</v>
      </c>
      <c r="I1128" t="s">
        <v>3690</v>
      </c>
      <c r="J1128" t="s">
        <v>357</v>
      </c>
    </row>
    <row r="1129" spans="1:10" x14ac:dyDescent="0.25">
      <c r="A1129" t="s">
        <v>3691</v>
      </c>
      <c r="B1129" t="s">
        <v>3692</v>
      </c>
      <c r="C1129" s="2">
        <v>46203.583333333336</v>
      </c>
      <c r="D1129" t="s">
        <v>418</v>
      </c>
      <c r="E1129" t="s">
        <v>30</v>
      </c>
      <c r="F1129" t="s">
        <v>159</v>
      </c>
      <c r="G1129" t="s">
        <v>107</v>
      </c>
      <c r="H1129">
        <v>2</v>
      </c>
      <c r="I1129" t="s">
        <v>3693</v>
      </c>
      <c r="J1129" t="s">
        <v>357</v>
      </c>
    </row>
    <row r="1130" spans="1:10" x14ac:dyDescent="0.25">
      <c r="A1130" t="s">
        <v>3694</v>
      </c>
      <c r="B1130" t="s">
        <v>3695</v>
      </c>
      <c r="C1130" s="2">
        <v>46203.583333333336</v>
      </c>
      <c r="D1130" t="s">
        <v>418</v>
      </c>
      <c r="E1130" t="s">
        <v>32</v>
      </c>
      <c r="F1130" t="s">
        <v>186</v>
      </c>
      <c r="G1130" t="s">
        <v>109</v>
      </c>
      <c r="H1130">
        <v>4</v>
      </c>
      <c r="I1130" t="s">
        <v>3696</v>
      </c>
      <c r="J1130" t="s">
        <v>357</v>
      </c>
    </row>
    <row r="1131" spans="1:10" x14ac:dyDescent="0.25">
      <c r="A1131" t="s">
        <v>3697</v>
      </c>
      <c r="B1131" t="s">
        <v>3698</v>
      </c>
      <c r="C1131" s="2">
        <v>46203.583333333336</v>
      </c>
      <c r="D1131" t="s">
        <v>418</v>
      </c>
      <c r="E1131" t="s">
        <v>36</v>
      </c>
      <c r="F1131" t="s">
        <v>112</v>
      </c>
      <c r="G1131" t="s">
        <v>113</v>
      </c>
      <c r="H1131">
        <v>4</v>
      </c>
      <c r="I1131" t="s">
        <v>3699</v>
      </c>
      <c r="J1131" t="s">
        <v>357</v>
      </c>
    </row>
    <row r="1132" spans="1:10" x14ac:dyDescent="0.25">
      <c r="A1132" t="s">
        <v>3700</v>
      </c>
      <c r="B1132" t="s">
        <v>3701</v>
      </c>
      <c r="C1132" s="2">
        <v>46203.583333333336</v>
      </c>
      <c r="D1132" t="s">
        <v>418</v>
      </c>
      <c r="E1132" t="s">
        <v>45</v>
      </c>
      <c r="F1132" t="s">
        <v>165</v>
      </c>
      <c r="G1132" t="s">
        <v>119</v>
      </c>
      <c r="H1132">
        <v>1</v>
      </c>
      <c r="I1132" t="s">
        <v>3702</v>
      </c>
      <c r="J1132" t="s">
        <v>357</v>
      </c>
    </row>
    <row r="1133" spans="1:10" x14ac:dyDescent="0.25">
      <c r="A1133" t="s">
        <v>3703</v>
      </c>
      <c r="B1133" t="s">
        <v>3704</v>
      </c>
      <c r="C1133" s="2">
        <v>46204.583333333336</v>
      </c>
      <c r="D1133" t="s">
        <v>418</v>
      </c>
      <c r="E1133" t="s">
        <v>11</v>
      </c>
      <c r="F1133" t="s">
        <v>180</v>
      </c>
      <c r="G1133" t="s">
        <v>92</v>
      </c>
      <c r="H1133">
        <v>4</v>
      </c>
      <c r="I1133" t="s">
        <v>3705</v>
      </c>
      <c r="J1133" t="s">
        <v>357</v>
      </c>
    </row>
    <row r="1134" spans="1:10" x14ac:dyDescent="0.25">
      <c r="A1134" t="s">
        <v>3706</v>
      </c>
      <c r="B1134" t="s">
        <v>3707</v>
      </c>
      <c r="C1134" s="2">
        <v>46204.583333333336</v>
      </c>
      <c r="D1134" t="s">
        <v>418</v>
      </c>
      <c r="E1134" t="s">
        <v>18</v>
      </c>
      <c r="F1134" t="s">
        <v>181</v>
      </c>
      <c r="G1134" t="s">
        <v>95</v>
      </c>
      <c r="H1134">
        <v>1</v>
      </c>
      <c r="I1134" t="s">
        <v>3708</v>
      </c>
      <c r="J1134" t="s">
        <v>357</v>
      </c>
    </row>
    <row r="1135" spans="1:10" x14ac:dyDescent="0.25">
      <c r="A1135" t="s">
        <v>3709</v>
      </c>
      <c r="B1135" t="s">
        <v>3710</v>
      </c>
      <c r="C1135" s="2">
        <v>46204.583333333336</v>
      </c>
      <c r="D1135" t="s">
        <v>418</v>
      </c>
      <c r="E1135" t="s">
        <v>26</v>
      </c>
      <c r="F1135" t="s">
        <v>102</v>
      </c>
      <c r="G1135" t="s">
        <v>103</v>
      </c>
      <c r="H1135">
        <v>2</v>
      </c>
      <c r="I1135" t="s">
        <v>3711</v>
      </c>
      <c r="J1135" t="s">
        <v>357</v>
      </c>
    </row>
    <row r="1136" spans="1:10" x14ac:dyDescent="0.25">
      <c r="A1136" t="s">
        <v>3712</v>
      </c>
      <c r="B1136" t="s">
        <v>3713</v>
      </c>
      <c r="C1136" s="2">
        <v>46204.583333333336</v>
      </c>
      <c r="D1136" t="s">
        <v>418</v>
      </c>
      <c r="E1136" t="s">
        <v>28</v>
      </c>
      <c r="F1136" t="s">
        <v>158</v>
      </c>
      <c r="G1136" t="s">
        <v>105</v>
      </c>
      <c r="H1136">
        <v>2</v>
      </c>
      <c r="I1136" t="s">
        <v>3714</v>
      </c>
      <c r="J1136" t="s">
        <v>357</v>
      </c>
    </row>
    <row r="1137" spans="1:10" x14ac:dyDescent="0.25">
      <c r="A1137" t="s">
        <v>3715</v>
      </c>
      <c r="B1137" t="s">
        <v>3716</v>
      </c>
      <c r="C1137" s="2">
        <v>46204.583333333336</v>
      </c>
      <c r="D1137" t="s">
        <v>418</v>
      </c>
      <c r="E1137" t="s">
        <v>30</v>
      </c>
      <c r="F1137" t="s">
        <v>159</v>
      </c>
      <c r="G1137" t="s">
        <v>107</v>
      </c>
      <c r="H1137">
        <v>2</v>
      </c>
      <c r="I1137" t="s">
        <v>3717</v>
      </c>
      <c r="J1137" t="s">
        <v>357</v>
      </c>
    </row>
    <row r="1138" spans="1:10" x14ac:dyDescent="0.25">
      <c r="A1138" t="s">
        <v>3718</v>
      </c>
      <c r="B1138" t="s">
        <v>3719</v>
      </c>
      <c r="C1138" s="2">
        <v>46204.583333333336</v>
      </c>
      <c r="D1138" t="s">
        <v>418</v>
      </c>
      <c r="E1138" t="s">
        <v>43</v>
      </c>
      <c r="F1138" t="s">
        <v>164</v>
      </c>
      <c r="G1138" t="s">
        <v>117</v>
      </c>
      <c r="H1138">
        <v>2</v>
      </c>
      <c r="I1138" t="s">
        <v>3720</v>
      </c>
      <c r="J1138" t="s">
        <v>357</v>
      </c>
    </row>
    <row r="1139" spans="1:10" x14ac:dyDescent="0.25">
      <c r="A1139" t="s">
        <v>3721</v>
      </c>
      <c r="B1139" t="s">
        <v>3722</v>
      </c>
      <c r="C1139" s="2">
        <v>46204.583333333336</v>
      </c>
      <c r="D1139" t="s">
        <v>418</v>
      </c>
      <c r="E1139" t="s">
        <v>59</v>
      </c>
      <c r="F1139" t="s">
        <v>172</v>
      </c>
      <c r="G1139" t="s">
        <v>133</v>
      </c>
      <c r="H1139">
        <v>3</v>
      </c>
      <c r="I1139" t="s">
        <v>3723</v>
      </c>
      <c r="J1139" t="s">
        <v>357</v>
      </c>
    </row>
    <row r="1140" spans="1:10" x14ac:dyDescent="0.25">
      <c r="A1140" t="s">
        <v>3724</v>
      </c>
      <c r="B1140" t="s">
        <v>3725</v>
      </c>
      <c r="C1140" s="2">
        <v>46204.583333333336</v>
      </c>
      <c r="D1140" t="s">
        <v>418</v>
      </c>
      <c r="E1140" t="s">
        <v>75</v>
      </c>
      <c r="F1140" t="s">
        <v>178</v>
      </c>
      <c r="G1140" t="s">
        <v>145</v>
      </c>
      <c r="H1140">
        <v>2</v>
      </c>
      <c r="I1140" t="s">
        <v>3726</v>
      </c>
      <c r="J1140" t="s">
        <v>357</v>
      </c>
    </row>
    <row r="1141" spans="1:10" x14ac:dyDescent="0.25">
      <c r="A1141" t="s">
        <v>3727</v>
      </c>
      <c r="B1141" t="s">
        <v>3728</v>
      </c>
      <c r="C1141" s="2">
        <v>46204.583333333336</v>
      </c>
      <c r="D1141" t="s">
        <v>418</v>
      </c>
      <c r="E1141" t="s">
        <v>11</v>
      </c>
      <c r="F1141" t="s">
        <v>180</v>
      </c>
      <c r="G1141" t="s">
        <v>92</v>
      </c>
      <c r="H1141">
        <v>5</v>
      </c>
      <c r="I1141" t="s">
        <v>3729</v>
      </c>
      <c r="J1141" t="s">
        <v>357</v>
      </c>
    </row>
    <row r="1142" spans="1:10" x14ac:dyDescent="0.25">
      <c r="A1142" t="s">
        <v>3730</v>
      </c>
      <c r="B1142" t="s">
        <v>3731</v>
      </c>
      <c r="C1142" s="2">
        <v>46204.583333333336</v>
      </c>
      <c r="D1142" t="s">
        <v>418</v>
      </c>
      <c r="E1142" t="s">
        <v>18</v>
      </c>
      <c r="F1142" t="s">
        <v>181</v>
      </c>
      <c r="G1142" t="s">
        <v>95</v>
      </c>
      <c r="H1142">
        <v>5</v>
      </c>
      <c r="I1142" t="s">
        <v>3732</v>
      </c>
      <c r="J1142" t="s">
        <v>357</v>
      </c>
    </row>
    <row r="1143" spans="1:10" x14ac:dyDescent="0.25">
      <c r="A1143" t="s">
        <v>3733</v>
      </c>
      <c r="B1143" t="s">
        <v>3734</v>
      </c>
      <c r="C1143" s="2">
        <v>46204.583333333336</v>
      </c>
      <c r="D1143" t="s">
        <v>418</v>
      </c>
      <c r="E1143" t="s">
        <v>20</v>
      </c>
      <c r="F1143" t="s">
        <v>203</v>
      </c>
      <c r="G1143" t="s">
        <v>97</v>
      </c>
      <c r="H1143">
        <v>4</v>
      </c>
      <c r="I1143" t="s">
        <v>3735</v>
      </c>
      <c r="J1143" t="s">
        <v>357</v>
      </c>
    </row>
    <row r="1144" spans="1:10" x14ac:dyDescent="0.25">
      <c r="A1144" t="s">
        <v>3736</v>
      </c>
      <c r="B1144" t="s">
        <v>3737</v>
      </c>
      <c r="C1144" s="2">
        <v>46204.583333333336</v>
      </c>
      <c r="D1144" t="s">
        <v>418</v>
      </c>
      <c r="E1144" t="s">
        <v>22</v>
      </c>
      <c r="F1144" t="s">
        <v>204</v>
      </c>
      <c r="G1144" t="s">
        <v>99</v>
      </c>
      <c r="H1144">
        <v>4</v>
      </c>
      <c r="I1144" t="s">
        <v>3738</v>
      </c>
      <c r="J1144" t="s">
        <v>357</v>
      </c>
    </row>
    <row r="1145" spans="1:10" x14ac:dyDescent="0.25">
      <c r="A1145" t="s">
        <v>3739</v>
      </c>
      <c r="B1145" t="s">
        <v>3740</v>
      </c>
      <c r="C1145" s="2">
        <v>46204.583333333336</v>
      </c>
      <c r="D1145" t="s">
        <v>418</v>
      </c>
      <c r="E1145" t="s">
        <v>26</v>
      </c>
      <c r="F1145" t="s">
        <v>102</v>
      </c>
      <c r="G1145" t="s">
        <v>103</v>
      </c>
      <c r="H1145">
        <v>4</v>
      </c>
      <c r="I1145" t="s">
        <v>3741</v>
      </c>
      <c r="J1145" t="s">
        <v>357</v>
      </c>
    </row>
    <row r="1146" spans="1:10" x14ac:dyDescent="0.25">
      <c r="A1146" t="s">
        <v>3742</v>
      </c>
      <c r="B1146" t="s">
        <v>3743</v>
      </c>
      <c r="C1146" s="2">
        <v>46204.583333333336</v>
      </c>
      <c r="D1146" t="s">
        <v>418</v>
      </c>
      <c r="E1146" t="s">
        <v>28</v>
      </c>
      <c r="F1146" t="s">
        <v>158</v>
      </c>
      <c r="G1146" t="s">
        <v>105</v>
      </c>
      <c r="H1146">
        <v>1</v>
      </c>
      <c r="I1146" t="s">
        <v>3744</v>
      </c>
      <c r="J1146" t="s">
        <v>357</v>
      </c>
    </row>
    <row r="1147" spans="1:10" x14ac:dyDescent="0.25">
      <c r="A1147" t="s">
        <v>3745</v>
      </c>
      <c r="B1147" t="s">
        <v>3746</v>
      </c>
      <c r="C1147" s="2">
        <v>46204.583333333336</v>
      </c>
      <c r="D1147" t="s">
        <v>418</v>
      </c>
      <c r="E1147" t="s">
        <v>32</v>
      </c>
      <c r="F1147" t="s">
        <v>186</v>
      </c>
      <c r="G1147" t="s">
        <v>109</v>
      </c>
      <c r="H1147">
        <v>3</v>
      </c>
      <c r="I1147" t="s">
        <v>3747</v>
      </c>
      <c r="J1147" t="s">
        <v>357</v>
      </c>
    </row>
    <row r="1148" spans="1:10" x14ac:dyDescent="0.25">
      <c r="A1148" t="s">
        <v>3748</v>
      </c>
      <c r="B1148" t="s">
        <v>3749</v>
      </c>
      <c r="C1148" s="2">
        <v>46204.583333333336</v>
      </c>
      <c r="D1148" t="s">
        <v>418</v>
      </c>
      <c r="E1148" t="s">
        <v>36</v>
      </c>
      <c r="F1148" t="s">
        <v>112</v>
      </c>
      <c r="G1148" t="s">
        <v>113</v>
      </c>
      <c r="H1148">
        <v>2</v>
      </c>
      <c r="I1148" t="s">
        <v>3750</v>
      </c>
      <c r="J1148" t="s">
        <v>357</v>
      </c>
    </row>
    <row r="1149" spans="1:10" x14ac:dyDescent="0.25">
      <c r="A1149" t="s">
        <v>3751</v>
      </c>
      <c r="B1149" t="s">
        <v>3752</v>
      </c>
      <c r="C1149" s="2">
        <v>46204.583333333336</v>
      </c>
      <c r="D1149" t="s">
        <v>418</v>
      </c>
      <c r="E1149" t="s">
        <v>51</v>
      </c>
      <c r="F1149" t="s">
        <v>209</v>
      </c>
      <c r="G1149" t="s">
        <v>125</v>
      </c>
      <c r="H1149">
        <v>5</v>
      </c>
      <c r="I1149" t="s">
        <v>3753</v>
      </c>
      <c r="J1149" t="s">
        <v>357</v>
      </c>
    </row>
    <row r="1150" spans="1:10" x14ac:dyDescent="0.25">
      <c r="A1150" t="s">
        <v>3754</v>
      </c>
      <c r="B1150" t="s">
        <v>3755</v>
      </c>
      <c r="C1150" s="2">
        <v>46204.583333333336</v>
      </c>
      <c r="D1150" t="s">
        <v>418</v>
      </c>
      <c r="E1150" t="s">
        <v>53</v>
      </c>
      <c r="F1150" t="s">
        <v>210</v>
      </c>
      <c r="G1150" t="s">
        <v>127</v>
      </c>
      <c r="H1150">
        <v>3</v>
      </c>
      <c r="I1150" t="s">
        <v>3756</v>
      </c>
      <c r="J1150" t="s">
        <v>357</v>
      </c>
    </row>
    <row r="1151" spans="1:10" x14ac:dyDescent="0.25">
      <c r="A1151" t="s">
        <v>3757</v>
      </c>
      <c r="B1151" t="s">
        <v>3758</v>
      </c>
      <c r="C1151" s="2">
        <v>46204.583333333336</v>
      </c>
      <c r="D1151" t="s">
        <v>418</v>
      </c>
      <c r="E1151" t="s">
        <v>59</v>
      </c>
      <c r="F1151" t="s">
        <v>172</v>
      </c>
      <c r="G1151" t="s">
        <v>133</v>
      </c>
      <c r="H1151">
        <v>3</v>
      </c>
      <c r="I1151" t="s">
        <v>3759</v>
      </c>
      <c r="J1151" t="s">
        <v>357</v>
      </c>
    </row>
    <row r="1152" spans="1:10" x14ac:dyDescent="0.25">
      <c r="A1152" t="s">
        <v>3760</v>
      </c>
      <c r="B1152" t="s">
        <v>3761</v>
      </c>
      <c r="C1152" s="2">
        <v>46204.583333333336</v>
      </c>
      <c r="D1152" t="s">
        <v>418</v>
      </c>
      <c r="E1152" t="s">
        <v>11</v>
      </c>
      <c r="F1152" t="s">
        <v>180</v>
      </c>
      <c r="G1152" t="s">
        <v>92</v>
      </c>
      <c r="H1152">
        <v>1</v>
      </c>
      <c r="I1152" t="s">
        <v>3762</v>
      </c>
      <c r="J1152" t="s">
        <v>357</v>
      </c>
    </row>
    <row r="1153" spans="1:10" x14ac:dyDescent="0.25">
      <c r="A1153" t="s">
        <v>3763</v>
      </c>
      <c r="B1153" t="s">
        <v>3764</v>
      </c>
      <c r="C1153" s="2">
        <v>46204.583333333336</v>
      </c>
      <c r="D1153" t="s">
        <v>418</v>
      </c>
      <c r="E1153" t="s">
        <v>18</v>
      </c>
      <c r="F1153" t="s">
        <v>181</v>
      </c>
      <c r="G1153" t="s">
        <v>95</v>
      </c>
      <c r="H1153">
        <v>6</v>
      </c>
      <c r="I1153" t="s">
        <v>3765</v>
      </c>
      <c r="J1153" t="s">
        <v>357</v>
      </c>
    </row>
    <row r="1154" spans="1:10" x14ac:dyDescent="0.25">
      <c r="A1154" t="s">
        <v>3766</v>
      </c>
      <c r="B1154" t="s">
        <v>3767</v>
      </c>
      <c r="C1154" s="2">
        <v>46204.583333333336</v>
      </c>
      <c r="D1154" t="s">
        <v>418</v>
      </c>
      <c r="E1154" t="s">
        <v>20</v>
      </c>
      <c r="F1154" t="s">
        <v>203</v>
      </c>
      <c r="G1154" t="s">
        <v>97</v>
      </c>
      <c r="H1154">
        <v>5</v>
      </c>
      <c r="I1154" t="s">
        <v>3768</v>
      </c>
      <c r="J1154" t="s">
        <v>357</v>
      </c>
    </row>
    <row r="1155" spans="1:10" x14ac:dyDescent="0.25">
      <c r="A1155" t="s">
        <v>3769</v>
      </c>
      <c r="B1155" t="s">
        <v>3770</v>
      </c>
      <c r="C1155" s="2">
        <v>46204.583333333336</v>
      </c>
      <c r="D1155" t="s">
        <v>418</v>
      </c>
      <c r="E1155" t="s">
        <v>26</v>
      </c>
      <c r="F1155" t="s">
        <v>102</v>
      </c>
      <c r="G1155" t="s">
        <v>103</v>
      </c>
      <c r="H1155">
        <v>1</v>
      </c>
      <c r="I1155" t="s">
        <v>3771</v>
      </c>
      <c r="J1155" t="s">
        <v>357</v>
      </c>
    </row>
    <row r="1156" spans="1:10" x14ac:dyDescent="0.25">
      <c r="A1156" t="s">
        <v>3772</v>
      </c>
      <c r="B1156" t="s">
        <v>3773</v>
      </c>
      <c r="C1156" s="2">
        <v>46204.583333333336</v>
      </c>
      <c r="D1156" t="s">
        <v>418</v>
      </c>
      <c r="E1156" t="s">
        <v>26</v>
      </c>
      <c r="F1156" t="s">
        <v>206</v>
      </c>
      <c r="G1156" t="s">
        <v>103</v>
      </c>
      <c r="H1156">
        <v>4</v>
      </c>
      <c r="I1156" t="s">
        <v>3771</v>
      </c>
      <c r="J1156" t="s">
        <v>357</v>
      </c>
    </row>
    <row r="1157" spans="1:10" x14ac:dyDescent="0.25">
      <c r="A1157" t="s">
        <v>3774</v>
      </c>
      <c r="B1157" t="s">
        <v>3775</v>
      </c>
      <c r="C1157" s="2">
        <v>46204.583333333336</v>
      </c>
      <c r="D1157" t="s">
        <v>418</v>
      </c>
      <c r="E1157" t="s">
        <v>28</v>
      </c>
      <c r="F1157" t="s">
        <v>158</v>
      </c>
      <c r="G1157" t="s">
        <v>105</v>
      </c>
      <c r="H1157">
        <v>4</v>
      </c>
      <c r="I1157" t="s">
        <v>3776</v>
      </c>
      <c r="J1157" t="s">
        <v>357</v>
      </c>
    </row>
    <row r="1158" spans="1:10" x14ac:dyDescent="0.25">
      <c r="A1158" t="s">
        <v>3777</v>
      </c>
      <c r="B1158" t="s">
        <v>3778</v>
      </c>
      <c r="C1158" s="2">
        <v>46204.583333333336</v>
      </c>
      <c r="D1158" t="s">
        <v>418</v>
      </c>
      <c r="E1158" t="s">
        <v>30</v>
      </c>
      <c r="F1158" t="s">
        <v>159</v>
      </c>
      <c r="G1158" t="s">
        <v>107</v>
      </c>
      <c r="H1158">
        <v>5</v>
      </c>
      <c r="I1158" t="s">
        <v>3779</v>
      </c>
      <c r="J1158" t="s">
        <v>357</v>
      </c>
    </row>
    <row r="1159" spans="1:10" x14ac:dyDescent="0.25">
      <c r="A1159" t="s">
        <v>3780</v>
      </c>
      <c r="B1159" t="s">
        <v>3781</v>
      </c>
      <c r="C1159" s="2">
        <v>46204.583333333336</v>
      </c>
      <c r="D1159" t="s">
        <v>418</v>
      </c>
      <c r="E1159" t="s">
        <v>49</v>
      </c>
      <c r="F1159" t="s">
        <v>167</v>
      </c>
      <c r="G1159" t="s">
        <v>123</v>
      </c>
      <c r="H1159">
        <v>4</v>
      </c>
      <c r="I1159" t="s">
        <v>3782</v>
      </c>
      <c r="J1159" t="s">
        <v>357</v>
      </c>
    </row>
    <row r="1160" spans="1:10" x14ac:dyDescent="0.25">
      <c r="A1160" t="s">
        <v>3783</v>
      </c>
      <c r="B1160" t="s">
        <v>3784</v>
      </c>
      <c r="C1160" s="2">
        <v>46204.583333333336</v>
      </c>
      <c r="D1160" t="s">
        <v>418</v>
      </c>
      <c r="E1160" t="s">
        <v>51</v>
      </c>
      <c r="F1160" t="s">
        <v>209</v>
      </c>
      <c r="G1160" t="s">
        <v>125</v>
      </c>
      <c r="H1160">
        <v>1</v>
      </c>
      <c r="I1160" t="s">
        <v>3785</v>
      </c>
      <c r="J1160" t="s">
        <v>357</v>
      </c>
    </row>
    <row r="1161" spans="1:10" x14ac:dyDescent="0.25">
      <c r="A1161" t="s">
        <v>3786</v>
      </c>
      <c r="B1161" t="s">
        <v>3787</v>
      </c>
      <c r="C1161" s="2">
        <v>46204.583333333336</v>
      </c>
      <c r="D1161" t="s">
        <v>418</v>
      </c>
      <c r="E1161" t="s">
        <v>53</v>
      </c>
      <c r="F1161" t="s">
        <v>210</v>
      </c>
      <c r="G1161" t="s">
        <v>127</v>
      </c>
      <c r="H1161">
        <v>1</v>
      </c>
      <c r="I1161" t="s">
        <v>3788</v>
      </c>
      <c r="J1161" t="s">
        <v>357</v>
      </c>
    </row>
    <row r="1162" spans="1:10" x14ac:dyDescent="0.25">
      <c r="A1162" t="s">
        <v>3789</v>
      </c>
      <c r="B1162" t="s">
        <v>3790</v>
      </c>
      <c r="C1162" s="2">
        <v>46204.583333333336</v>
      </c>
      <c r="D1162" t="s">
        <v>418</v>
      </c>
      <c r="E1162" t="s">
        <v>55</v>
      </c>
      <c r="F1162" t="s">
        <v>192</v>
      </c>
      <c r="G1162" t="s">
        <v>129</v>
      </c>
      <c r="H1162">
        <v>2</v>
      </c>
      <c r="I1162" t="s">
        <v>3791</v>
      </c>
      <c r="J1162" t="s">
        <v>357</v>
      </c>
    </row>
    <row r="1163" spans="1:10" x14ac:dyDescent="0.25">
      <c r="A1163" t="s">
        <v>3792</v>
      </c>
      <c r="B1163" t="s">
        <v>3793</v>
      </c>
      <c r="C1163" s="2">
        <v>46204.583333333336</v>
      </c>
      <c r="D1163" t="s">
        <v>418</v>
      </c>
      <c r="E1163" t="s">
        <v>67</v>
      </c>
      <c r="F1163" t="s">
        <v>174</v>
      </c>
      <c r="G1163" t="s">
        <v>137</v>
      </c>
      <c r="H1163">
        <v>6</v>
      </c>
      <c r="I1163" t="s">
        <v>3794</v>
      </c>
      <c r="J1163" t="s">
        <v>357</v>
      </c>
    </row>
    <row r="1164" spans="1:10" x14ac:dyDescent="0.25">
      <c r="A1164" t="s">
        <v>3795</v>
      </c>
      <c r="B1164" t="s">
        <v>3796</v>
      </c>
      <c r="C1164" s="2">
        <v>46204.583333333336</v>
      </c>
      <c r="D1164" t="s">
        <v>418</v>
      </c>
      <c r="E1164" t="s">
        <v>69</v>
      </c>
      <c r="F1164" t="s">
        <v>175</v>
      </c>
      <c r="G1164" t="s">
        <v>139</v>
      </c>
      <c r="H1164">
        <v>2</v>
      </c>
      <c r="I1164" t="s">
        <v>3797</v>
      </c>
      <c r="J1164" t="s">
        <v>357</v>
      </c>
    </row>
    <row r="1165" spans="1:10" x14ac:dyDescent="0.25">
      <c r="A1165" t="s">
        <v>3798</v>
      </c>
      <c r="B1165" t="s">
        <v>3799</v>
      </c>
      <c r="C1165" s="2">
        <v>46204.583333333336</v>
      </c>
      <c r="D1165" t="s">
        <v>418</v>
      </c>
      <c r="E1165" t="s">
        <v>75</v>
      </c>
      <c r="F1165" t="s">
        <v>178</v>
      </c>
      <c r="G1165" t="s">
        <v>145</v>
      </c>
      <c r="H1165">
        <v>4</v>
      </c>
      <c r="I1165" t="s">
        <v>3800</v>
      </c>
      <c r="J1165" t="s">
        <v>357</v>
      </c>
    </row>
    <row r="1166" spans="1:10" x14ac:dyDescent="0.25">
      <c r="A1166" t="s">
        <v>3801</v>
      </c>
      <c r="B1166" t="s">
        <v>3802</v>
      </c>
      <c r="C1166" s="2">
        <v>46204.583333333336</v>
      </c>
      <c r="D1166" t="s">
        <v>418</v>
      </c>
      <c r="E1166" t="s">
        <v>18</v>
      </c>
      <c r="F1166" t="s">
        <v>181</v>
      </c>
      <c r="G1166" t="s">
        <v>95</v>
      </c>
      <c r="H1166">
        <v>1</v>
      </c>
      <c r="I1166" t="s">
        <v>3803</v>
      </c>
      <c r="J1166" t="s">
        <v>357</v>
      </c>
    </row>
    <row r="1167" spans="1:10" x14ac:dyDescent="0.25">
      <c r="A1167" t="s">
        <v>3804</v>
      </c>
      <c r="B1167" t="s">
        <v>3805</v>
      </c>
      <c r="C1167" s="2">
        <v>46204.583333333336</v>
      </c>
      <c r="D1167" t="s">
        <v>418</v>
      </c>
      <c r="E1167" t="s">
        <v>20</v>
      </c>
      <c r="F1167" t="s">
        <v>203</v>
      </c>
      <c r="G1167" t="s">
        <v>97</v>
      </c>
      <c r="H1167">
        <v>6</v>
      </c>
      <c r="I1167" t="s">
        <v>3806</v>
      </c>
      <c r="J1167" t="s">
        <v>357</v>
      </c>
    </row>
    <row r="1168" spans="1:10" x14ac:dyDescent="0.25">
      <c r="A1168" t="s">
        <v>3807</v>
      </c>
      <c r="B1168" t="s">
        <v>3808</v>
      </c>
      <c r="C1168" s="2">
        <v>46204.583333333336</v>
      </c>
      <c r="D1168" t="s">
        <v>418</v>
      </c>
      <c r="E1168" t="s">
        <v>22</v>
      </c>
      <c r="F1168" t="s">
        <v>204</v>
      </c>
      <c r="G1168" t="s">
        <v>99</v>
      </c>
      <c r="H1168">
        <v>1</v>
      </c>
      <c r="I1168" t="s">
        <v>3809</v>
      </c>
      <c r="J1168" t="s">
        <v>357</v>
      </c>
    </row>
    <row r="1169" spans="1:10" x14ac:dyDescent="0.25">
      <c r="A1169" t="s">
        <v>3810</v>
      </c>
      <c r="B1169" t="s">
        <v>3811</v>
      </c>
      <c r="C1169" s="2">
        <v>46204.583333333336</v>
      </c>
      <c r="D1169" t="s">
        <v>418</v>
      </c>
      <c r="E1169" t="s">
        <v>26</v>
      </c>
      <c r="F1169" t="s">
        <v>206</v>
      </c>
      <c r="G1169" t="s">
        <v>103</v>
      </c>
      <c r="H1169">
        <v>6</v>
      </c>
      <c r="I1169" t="s">
        <v>3812</v>
      </c>
      <c r="J1169" t="s">
        <v>357</v>
      </c>
    </row>
    <row r="1170" spans="1:10" x14ac:dyDescent="0.25">
      <c r="A1170" t="s">
        <v>3813</v>
      </c>
      <c r="B1170" t="s">
        <v>3814</v>
      </c>
      <c r="C1170" s="2">
        <v>46204.583333333336</v>
      </c>
      <c r="D1170" t="s">
        <v>418</v>
      </c>
      <c r="E1170" t="s">
        <v>43</v>
      </c>
      <c r="F1170" t="s">
        <v>164</v>
      </c>
      <c r="G1170" t="s">
        <v>117</v>
      </c>
      <c r="H1170">
        <v>1</v>
      </c>
      <c r="I1170" t="s">
        <v>3815</v>
      </c>
      <c r="J1170" t="s">
        <v>357</v>
      </c>
    </row>
    <row r="1171" spans="1:10" x14ac:dyDescent="0.25">
      <c r="A1171" t="s">
        <v>3816</v>
      </c>
      <c r="B1171" t="s">
        <v>3817</v>
      </c>
      <c r="C1171" s="2">
        <v>46204.583333333336</v>
      </c>
      <c r="D1171" t="s">
        <v>418</v>
      </c>
      <c r="E1171" t="s">
        <v>51</v>
      </c>
      <c r="F1171" t="s">
        <v>209</v>
      </c>
      <c r="G1171" t="s">
        <v>125</v>
      </c>
      <c r="H1171">
        <v>3</v>
      </c>
      <c r="I1171" t="s">
        <v>3818</v>
      </c>
      <c r="J1171" t="s">
        <v>357</v>
      </c>
    </row>
    <row r="1172" spans="1:10" x14ac:dyDescent="0.25">
      <c r="A1172" t="s">
        <v>3819</v>
      </c>
      <c r="B1172" t="s">
        <v>3820</v>
      </c>
      <c r="C1172" s="2">
        <v>46204.583333333336</v>
      </c>
      <c r="D1172" t="s">
        <v>418</v>
      </c>
      <c r="E1172" t="s">
        <v>55</v>
      </c>
      <c r="F1172" t="s">
        <v>192</v>
      </c>
      <c r="G1172" t="s">
        <v>129</v>
      </c>
      <c r="H1172">
        <v>1</v>
      </c>
      <c r="I1172" t="s">
        <v>3821</v>
      </c>
      <c r="J1172" t="s">
        <v>357</v>
      </c>
    </row>
    <row r="1173" spans="1:10" x14ac:dyDescent="0.25">
      <c r="A1173" t="s">
        <v>3822</v>
      </c>
      <c r="B1173" t="s">
        <v>3823</v>
      </c>
      <c r="C1173" s="2">
        <v>46204.583333333336</v>
      </c>
      <c r="D1173" t="s">
        <v>418</v>
      </c>
      <c r="E1173" t="s">
        <v>57</v>
      </c>
      <c r="F1173" t="s">
        <v>211</v>
      </c>
      <c r="G1173" t="s">
        <v>131</v>
      </c>
      <c r="H1173">
        <v>6</v>
      </c>
      <c r="I1173" t="s">
        <v>3824</v>
      </c>
      <c r="J1173" t="s">
        <v>357</v>
      </c>
    </row>
    <row r="1174" spans="1:10" x14ac:dyDescent="0.25">
      <c r="A1174" t="s">
        <v>3825</v>
      </c>
      <c r="B1174" t="s">
        <v>3826</v>
      </c>
      <c r="C1174" s="2">
        <v>46204.583333333336</v>
      </c>
      <c r="D1174" t="s">
        <v>418</v>
      </c>
      <c r="E1174" t="s">
        <v>59</v>
      </c>
      <c r="F1174" t="s">
        <v>172</v>
      </c>
      <c r="G1174" t="s">
        <v>133</v>
      </c>
      <c r="H1174">
        <v>7</v>
      </c>
      <c r="I1174" t="s">
        <v>3827</v>
      </c>
      <c r="J1174" t="s">
        <v>357</v>
      </c>
    </row>
    <row r="1175" spans="1:10" x14ac:dyDescent="0.25">
      <c r="A1175" t="s">
        <v>3828</v>
      </c>
      <c r="B1175" t="s">
        <v>3829</v>
      </c>
      <c r="C1175" s="2">
        <v>46204.583333333336</v>
      </c>
      <c r="D1175" t="s">
        <v>418</v>
      </c>
      <c r="E1175" t="s">
        <v>65</v>
      </c>
      <c r="F1175" t="s">
        <v>173</v>
      </c>
      <c r="G1175" t="s">
        <v>135</v>
      </c>
      <c r="H1175">
        <v>7</v>
      </c>
      <c r="I1175" t="s">
        <v>3830</v>
      </c>
      <c r="J1175" t="s">
        <v>357</v>
      </c>
    </row>
    <row r="1176" spans="1:10" x14ac:dyDescent="0.25">
      <c r="A1176" t="s">
        <v>3831</v>
      </c>
      <c r="B1176" t="s">
        <v>3832</v>
      </c>
      <c r="C1176" s="2">
        <v>46204.583333333336</v>
      </c>
      <c r="D1176" t="s">
        <v>418</v>
      </c>
      <c r="E1176" t="s">
        <v>11</v>
      </c>
      <c r="F1176" t="s">
        <v>180</v>
      </c>
      <c r="G1176" t="s">
        <v>92</v>
      </c>
      <c r="H1176">
        <v>4</v>
      </c>
      <c r="I1176" t="s">
        <v>3833</v>
      </c>
      <c r="J1176" t="s">
        <v>357</v>
      </c>
    </row>
    <row r="1177" spans="1:10" x14ac:dyDescent="0.25">
      <c r="A1177" t="s">
        <v>3834</v>
      </c>
      <c r="B1177" t="s">
        <v>3835</v>
      </c>
      <c r="C1177" s="2">
        <v>46204.583333333336</v>
      </c>
      <c r="D1177" t="s">
        <v>418</v>
      </c>
      <c r="E1177" t="s">
        <v>20</v>
      </c>
      <c r="F1177" t="s">
        <v>203</v>
      </c>
      <c r="G1177" t="s">
        <v>97</v>
      </c>
      <c r="H1177">
        <v>3</v>
      </c>
      <c r="I1177" t="s">
        <v>3836</v>
      </c>
      <c r="J1177" t="s">
        <v>357</v>
      </c>
    </row>
    <row r="1178" spans="1:10" x14ac:dyDescent="0.25">
      <c r="A1178" t="s">
        <v>3837</v>
      </c>
      <c r="B1178" t="s">
        <v>3838</v>
      </c>
      <c r="C1178" s="2">
        <v>46204.583333333336</v>
      </c>
      <c r="D1178" t="s">
        <v>418</v>
      </c>
      <c r="E1178" t="s">
        <v>22</v>
      </c>
      <c r="F1178" t="s">
        <v>204</v>
      </c>
      <c r="G1178" t="s">
        <v>99</v>
      </c>
      <c r="H1178">
        <v>1</v>
      </c>
      <c r="I1178" t="s">
        <v>3839</v>
      </c>
      <c r="J1178" t="s">
        <v>357</v>
      </c>
    </row>
    <row r="1179" spans="1:10" x14ac:dyDescent="0.25">
      <c r="A1179" t="s">
        <v>3840</v>
      </c>
      <c r="B1179" t="s">
        <v>3841</v>
      </c>
      <c r="C1179" s="2">
        <v>46204.583333333336</v>
      </c>
      <c r="D1179" t="s">
        <v>418</v>
      </c>
      <c r="E1179" t="s">
        <v>24</v>
      </c>
      <c r="F1179" t="s">
        <v>184</v>
      </c>
      <c r="G1179" t="s">
        <v>101</v>
      </c>
      <c r="H1179">
        <v>3</v>
      </c>
      <c r="I1179" t="s">
        <v>3842</v>
      </c>
      <c r="J1179" t="s">
        <v>357</v>
      </c>
    </row>
    <row r="1180" spans="1:10" x14ac:dyDescent="0.25">
      <c r="A1180" t="s">
        <v>3843</v>
      </c>
      <c r="B1180" t="s">
        <v>3844</v>
      </c>
      <c r="C1180" s="2">
        <v>46204.583333333336</v>
      </c>
      <c r="D1180" t="s">
        <v>418</v>
      </c>
      <c r="E1180" t="s">
        <v>26</v>
      </c>
      <c r="F1180" t="s">
        <v>206</v>
      </c>
      <c r="G1180" t="s">
        <v>103</v>
      </c>
      <c r="H1180">
        <v>1</v>
      </c>
      <c r="I1180" t="s">
        <v>3845</v>
      </c>
      <c r="J1180" t="s">
        <v>357</v>
      </c>
    </row>
    <row r="1181" spans="1:10" x14ac:dyDescent="0.25">
      <c r="A1181" t="s">
        <v>3846</v>
      </c>
      <c r="B1181" t="s">
        <v>3847</v>
      </c>
      <c r="C1181" s="2">
        <v>46204.583333333336</v>
      </c>
      <c r="D1181" t="s">
        <v>418</v>
      </c>
      <c r="E1181" t="s">
        <v>32</v>
      </c>
      <c r="F1181" t="s">
        <v>186</v>
      </c>
      <c r="G1181" t="s">
        <v>109</v>
      </c>
      <c r="H1181">
        <v>3</v>
      </c>
      <c r="I1181" t="s">
        <v>3848</v>
      </c>
      <c r="J1181" t="s">
        <v>357</v>
      </c>
    </row>
    <row r="1182" spans="1:10" x14ac:dyDescent="0.25">
      <c r="A1182" t="s">
        <v>3849</v>
      </c>
      <c r="B1182" t="s">
        <v>3850</v>
      </c>
      <c r="C1182" s="2">
        <v>46204.583333333336</v>
      </c>
      <c r="D1182" t="s">
        <v>418</v>
      </c>
      <c r="E1182" t="s">
        <v>36</v>
      </c>
      <c r="F1182" t="s">
        <v>112</v>
      </c>
      <c r="G1182" t="s">
        <v>113</v>
      </c>
      <c r="H1182">
        <v>4</v>
      </c>
      <c r="I1182" t="s">
        <v>3851</v>
      </c>
      <c r="J1182" t="s">
        <v>357</v>
      </c>
    </row>
    <row r="1183" spans="1:10" x14ac:dyDescent="0.25">
      <c r="A1183" t="s">
        <v>3852</v>
      </c>
      <c r="B1183" t="s">
        <v>3853</v>
      </c>
      <c r="C1183" s="2">
        <v>46204.583333333336</v>
      </c>
      <c r="D1183" t="s">
        <v>418</v>
      </c>
      <c r="E1183" t="s">
        <v>43</v>
      </c>
      <c r="F1183" t="s">
        <v>164</v>
      </c>
      <c r="G1183" t="s">
        <v>117</v>
      </c>
      <c r="H1183">
        <v>4</v>
      </c>
      <c r="I1183" t="s">
        <v>3854</v>
      </c>
      <c r="J1183" t="s">
        <v>357</v>
      </c>
    </row>
    <row r="1184" spans="1:10" x14ac:dyDescent="0.25">
      <c r="A1184" t="s">
        <v>3855</v>
      </c>
      <c r="B1184" t="s">
        <v>3856</v>
      </c>
      <c r="C1184" s="2">
        <v>46204.583333333336</v>
      </c>
      <c r="D1184" t="s">
        <v>418</v>
      </c>
      <c r="E1184" t="s">
        <v>51</v>
      </c>
      <c r="F1184" t="s">
        <v>209</v>
      </c>
      <c r="G1184" t="s">
        <v>125</v>
      </c>
      <c r="H1184">
        <v>4</v>
      </c>
      <c r="I1184" t="s">
        <v>3857</v>
      </c>
      <c r="J1184" t="s">
        <v>357</v>
      </c>
    </row>
    <row r="1185" spans="1:10" x14ac:dyDescent="0.25">
      <c r="A1185" t="s">
        <v>3858</v>
      </c>
      <c r="B1185" t="s">
        <v>3859</v>
      </c>
      <c r="C1185" s="2">
        <v>46204.583333333336</v>
      </c>
      <c r="D1185" t="s">
        <v>418</v>
      </c>
      <c r="E1185" t="s">
        <v>59</v>
      </c>
      <c r="F1185" t="s">
        <v>172</v>
      </c>
      <c r="G1185" t="s">
        <v>133</v>
      </c>
      <c r="H1185">
        <v>4</v>
      </c>
      <c r="I1185" t="s">
        <v>3860</v>
      </c>
      <c r="J1185" t="s">
        <v>357</v>
      </c>
    </row>
    <row r="1186" spans="1:10" x14ac:dyDescent="0.25">
      <c r="A1186" t="s">
        <v>3861</v>
      </c>
      <c r="B1186" t="s">
        <v>3862</v>
      </c>
      <c r="C1186" s="2">
        <v>46204.583333333336</v>
      </c>
      <c r="D1186" t="s">
        <v>418</v>
      </c>
      <c r="E1186" t="s">
        <v>71</v>
      </c>
      <c r="F1186" t="s">
        <v>176</v>
      </c>
      <c r="G1186" t="s">
        <v>141</v>
      </c>
      <c r="H1186">
        <v>1</v>
      </c>
      <c r="I1186" t="s">
        <v>3863</v>
      </c>
      <c r="J1186" t="s">
        <v>357</v>
      </c>
    </row>
    <row r="1187" spans="1:10" x14ac:dyDescent="0.25">
      <c r="A1187" t="s">
        <v>3864</v>
      </c>
      <c r="B1187" t="s">
        <v>3865</v>
      </c>
      <c r="C1187" s="2">
        <v>46205.583333333336</v>
      </c>
      <c r="D1187" t="s">
        <v>418</v>
      </c>
      <c r="E1187" t="s">
        <v>11</v>
      </c>
      <c r="F1187" t="s">
        <v>180</v>
      </c>
      <c r="G1187" t="s">
        <v>92</v>
      </c>
      <c r="H1187">
        <v>2</v>
      </c>
      <c r="I1187" t="s">
        <v>3866</v>
      </c>
      <c r="J1187" t="s">
        <v>357</v>
      </c>
    </row>
    <row r="1188" spans="1:10" x14ac:dyDescent="0.25">
      <c r="A1188" t="s">
        <v>3867</v>
      </c>
      <c r="B1188" t="s">
        <v>3868</v>
      </c>
      <c r="C1188" s="2">
        <v>46205.583333333336</v>
      </c>
      <c r="D1188" t="s">
        <v>418</v>
      </c>
      <c r="E1188" t="s">
        <v>18</v>
      </c>
      <c r="F1188" t="s">
        <v>181</v>
      </c>
      <c r="G1188" t="s">
        <v>95</v>
      </c>
      <c r="H1188">
        <v>4</v>
      </c>
      <c r="I1188" t="s">
        <v>3869</v>
      </c>
      <c r="J1188" t="s">
        <v>357</v>
      </c>
    </row>
    <row r="1189" spans="1:10" x14ac:dyDescent="0.25">
      <c r="A1189" t="s">
        <v>3870</v>
      </c>
      <c r="B1189" t="s">
        <v>3871</v>
      </c>
      <c r="C1189" s="2">
        <v>46205.583333333336</v>
      </c>
      <c r="D1189" t="s">
        <v>418</v>
      </c>
      <c r="E1189" t="s">
        <v>20</v>
      </c>
      <c r="F1189" t="s">
        <v>203</v>
      </c>
      <c r="G1189" t="s">
        <v>97</v>
      </c>
      <c r="H1189">
        <v>2</v>
      </c>
      <c r="I1189" t="s">
        <v>3872</v>
      </c>
      <c r="J1189" t="s">
        <v>357</v>
      </c>
    </row>
    <row r="1190" spans="1:10" x14ac:dyDescent="0.25">
      <c r="A1190" t="s">
        <v>3873</v>
      </c>
      <c r="B1190" t="s">
        <v>3874</v>
      </c>
      <c r="C1190" s="2">
        <v>46205.583333333336</v>
      </c>
      <c r="D1190" t="s">
        <v>418</v>
      </c>
      <c r="E1190" t="s">
        <v>22</v>
      </c>
      <c r="F1190" t="s">
        <v>204</v>
      </c>
      <c r="G1190" t="s">
        <v>99</v>
      </c>
      <c r="H1190">
        <v>1</v>
      </c>
      <c r="I1190" t="s">
        <v>3875</v>
      </c>
      <c r="J1190" t="s">
        <v>357</v>
      </c>
    </row>
    <row r="1191" spans="1:10" x14ac:dyDescent="0.25">
      <c r="A1191" t="s">
        <v>3876</v>
      </c>
      <c r="B1191" t="s">
        <v>3877</v>
      </c>
      <c r="C1191" s="2">
        <v>46205.583333333336</v>
      </c>
      <c r="D1191" t="s">
        <v>418</v>
      </c>
      <c r="E1191" t="s">
        <v>24</v>
      </c>
      <c r="F1191" t="s">
        <v>184</v>
      </c>
      <c r="G1191" t="s">
        <v>101</v>
      </c>
      <c r="H1191">
        <v>2</v>
      </c>
      <c r="I1191" t="s">
        <v>3878</v>
      </c>
      <c r="J1191" t="s">
        <v>357</v>
      </c>
    </row>
    <row r="1192" spans="1:10" x14ac:dyDescent="0.25">
      <c r="A1192" t="s">
        <v>3879</v>
      </c>
      <c r="B1192" t="s">
        <v>3880</v>
      </c>
      <c r="C1192" s="2">
        <v>46205.583333333336</v>
      </c>
      <c r="D1192" t="s">
        <v>418</v>
      </c>
      <c r="E1192" t="s">
        <v>24</v>
      </c>
      <c r="F1192" t="s">
        <v>156</v>
      </c>
      <c r="G1192" t="s">
        <v>101</v>
      </c>
      <c r="H1192">
        <v>1</v>
      </c>
      <c r="I1192" t="s">
        <v>3878</v>
      </c>
      <c r="J1192" t="s">
        <v>357</v>
      </c>
    </row>
    <row r="1193" spans="1:10" x14ac:dyDescent="0.25">
      <c r="A1193" t="s">
        <v>3881</v>
      </c>
      <c r="B1193" t="s">
        <v>3882</v>
      </c>
      <c r="C1193" s="2">
        <v>46205.583333333336</v>
      </c>
      <c r="D1193" t="s">
        <v>418</v>
      </c>
      <c r="E1193" t="s">
        <v>26</v>
      </c>
      <c r="F1193" t="s">
        <v>206</v>
      </c>
      <c r="G1193" t="s">
        <v>103</v>
      </c>
      <c r="H1193">
        <v>2</v>
      </c>
      <c r="I1193" t="s">
        <v>3883</v>
      </c>
      <c r="J1193" t="s">
        <v>357</v>
      </c>
    </row>
    <row r="1194" spans="1:10" x14ac:dyDescent="0.25">
      <c r="A1194" t="s">
        <v>3884</v>
      </c>
      <c r="B1194" t="s">
        <v>3885</v>
      </c>
      <c r="C1194" s="2">
        <v>46205.583333333336</v>
      </c>
      <c r="D1194" t="s">
        <v>418</v>
      </c>
      <c r="E1194" t="s">
        <v>28</v>
      </c>
      <c r="F1194" t="s">
        <v>158</v>
      </c>
      <c r="G1194" t="s">
        <v>105</v>
      </c>
      <c r="H1194">
        <v>3</v>
      </c>
      <c r="I1194" t="s">
        <v>3886</v>
      </c>
      <c r="J1194" t="s">
        <v>357</v>
      </c>
    </row>
    <row r="1195" spans="1:10" x14ac:dyDescent="0.25">
      <c r="A1195" t="s">
        <v>3887</v>
      </c>
      <c r="B1195" t="s">
        <v>3888</v>
      </c>
      <c r="C1195" s="2">
        <v>46205.583333333336</v>
      </c>
      <c r="D1195" t="s">
        <v>418</v>
      </c>
      <c r="E1195" t="s">
        <v>32</v>
      </c>
      <c r="F1195" t="s">
        <v>186</v>
      </c>
      <c r="G1195" t="s">
        <v>109</v>
      </c>
      <c r="H1195">
        <v>2</v>
      </c>
      <c r="I1195" t="s">
        <v>3889</v>
      </c>
      <c r="J1195" t="s">
        <v>357</v>
      </c>
    </row>
    <row r="1196" spans="1:10" x14ac:dyDescent="0.25">
      <c r="A1196" t="s">
        <v>3890</v>
      </c>
      <c r="B1196" t="s">
        <v>3891</v>
      </c>
      <c r="C1196" s="2">
        <v>46205.583333333336</v>
      </c>
      <c r="D1196" t="s">
        <v>418</v>
      </c>
      <c r="E1196" t="s">
        <v>36</v>
      </c>
      <c r="F1196" t="s">
        <v>112</v>
      </c>
      <c r="G1196" t="s">
        <v>113</v>
      </c>
      <c r="H1196">
        <v>2</v>
      </c>
      <c r="I1196" t="s">
        <v>3892</v>
      </c>
      <c r="J1196" t="s">
        <v>357</v>
      </c>
    </row>
    <row r="1197" spans="1:10" x14ac:dyDescent="0.25">
      <c r="A1197" t="s">
        <v>3893</v>
      </c>
      <c r="B1197" t="s">
        <v>3894</v>
      </c>
      <c r="C1197" s="2">
        <v>46205.583333333336</v>
      </c>
      <c r="D1197" t="s">
        <v>418</v>
      </c>
      <c r="E1197" t="s">
        <v>43</v>
      </c>
      <c r="F1197" t="s">
        <v>164</v>
      </c>
      <c r="G1197" t="s">
        <v>117</v>
      </c>
      <c r="H1197">
        <v>2</v>
      </c>
      <c r="I1197" t="s">
        <v>3895</v>
      </c>
      <c r="J1197" t="s">
        <v>357</v>
      </c>
    </row>
    <row r="1198" spans="1:10" x14ac:dyDescent="0.25">
      <c r="A1198" t="s">
        <v>3896</v>
      </c>
      <c r="B1198" t="s">
        <v>3897</v>
      </c>
      <c r="C1198" s="2">
        <v>46205.583333333336</v>
      </c>
      <c r="D1198" t="s">
        <v>418</v>
      </c>
      <c r="E1198" t="s">
        <v>49</v>
      </c>
      <c r="F1198" t="s">
        <v>167</v>
      </c>
      <c r="G1198" t="s">
        <v>123</v>
      </c>
      <c r="H1198">
        <v>2</v>
      </c>
      <c r="I1198" t="s">
        <v>3898</v>
      </c>
      <c r="J1198" t="s">
        <v>357</v>
      </c>
    </row>
    <row r="1199" spans="1:10" x14ac:dyDescent="0.25">
      <c r="A1199" t="s">
        <v>3899</v>
      </c>
      <c r="B1199" t="s">
        <v>3900</v>
      </c>
      <c r="C1199" s="2">
        <v>46205.583333333336</v>
      </c>
      <c r="D1199" t="s">
        <v>418</v>
      </c>
      <c r="E1199" t="s">
        <v>51</v>
      </c>
      <c r="F1199" t="s">
        <v>209</v>
      </c>
      <c r="G1199" t="s">
        <v>125</v>
      </c>
      <c r="H1199">
        <v>1</v>
      </c>
      <c r="I1199" t="s">
        <v>3901</v>
      </c>
      <c r="J1199" t="s">
        <v>357</v>
      </c>
    </row>
    <row r="1200" spans="1:10" x14ac:dyDescent="0.25">
      <c r="A1200" t="s">
        <v>3902</v>
      </c>
      <c r="B1200" t="s">
        <v>3903</v>
      </c>
      <c r="C1200" s="2">
        <v>46205.583333333336</v>
      </c>
      <c r="D1200" t="s">
        <v>418</v>
      </c>
      <c r="E1200" t="s">
        <v>69</v>
      </c>
      <c r="F1200" t="s">
        <v>175</v>
      </c>
      <c r="G1200" t="s">
        <v>139</v>
      </c>
      <c r="H1200">
        <v>1</v>
      </c>
      <c r="I1200" t="s">
        <v>3904</v>
      </c>
      <c r="J1200" t="s">
        <v>357</v>
      </c>
    </row>
    <row r="1201" spans="1:10" x14ac:dyDescent="0.25">
      <c r="A1201" t="s">
        <v>3905</v>
      </c>
      <c r="B1201" t="s">
        <v>3906</v>
      </c>
      <c r="C1201" s="2">
        <v>46205.583333333336</v>
      </c>
      <c r="D1201" t="s">
        <v>418</v>
      </c>
      <c r="E1201" t="s">
        <v>73</v>
      </c>
      <c r="F1201" t="s">
        <v>142</v>
      </c>
      <c r="G1201" t="s">
        <v>143</v>
      </c>
      <c r="H1201">
        <v>4</v>
      </c>
      <c r="I1201" t="s">
        <v>3907</v>
      </c>
      <c r="J1201" t="s">
        <v>357</v>
      </c>
    </row>
    <row r="1202" spans="1:10" x14ac:dyDescent="0.25">
      <c r="A1202" t="s">
        <v>3908</v>
      </c>
      <c r="B1202" t="s">
        <v>3909</v>
      </c>
      <c r="C1202" s="2">
        <v>46205.583333333336</v>
      </c>
      <c r="D1202" t="s">
        <v>418</v>
      </c>
      <c r="E1202" t="s">
        <v>20</v>
      </c>
      <c r="F1202" t="s">
        <v>203</v>
      </c>
      <c r="G1202" t="s">
        <v>97</v>
      </c>
      <c r="H1202">
        <v>4</v>
      </c>
      <c r="I1202" t="s">
        <v>3910</v>
      </c>
      <c r="J1202" t="s">
        <v>357</v>
      </c>
    </row>
    <row r="1203" spans="1:10" x14ac:dyDescent="0.25">
      <c r="A1203" t="s">
        <v>3911</v>
      </c>
      <c r="B1203" t="s">
        <v>3912</v>
      </c>
      <c r="C1203" s="2">
        <v>46205.583333333336</v>
      </c>
      <c r="D1203" t="s">
        <v>418</v>
      </c>
      <c r="E1203" t="s">
        <v>24</v>
      </c>
      <c r="F1203" t="s">
        <v>156</v>
      </c>
      <c r="G1203" t="s">
        <v>101</v>
      </c>
      <c r="H1203">
        <v>1</v>
      </c>
      <c r="I1203" t="s">
        <v>3913</v>
      </c>
      <c r="J1203" t="s">
        <v>357</v>
      </c>
    </row>
    <row r="1204" spans="1:10" x14ac:dyDescent="0.25">
      <c r="A1204" t="s">
        <v>3914</v>
      </c>
      <c r="B1204" t="s">
        <v>3915</v>
      </c>
      <c r="C1204" s="2">
        <v>46205.583333333336</v>
      </c>
      <c r="D1204" t="s">
        <v>418</v>
      </c>
      <c r="E1204" t="s">
        <v>26</v>
      </c>
      <c r="F1204" t="s">
        <v>206</v>
      </c>
      <c r="G1204" t="s">
        <v>103</v>
      </c>
      <c r="H1204">
        <v>5</v>
      </c>
      <c r="I1204" t="s">
        <v>3916</v>
      </c>
      <c r="J1204" t="s">
        <v>357</v>
      </c>
    </row>
    <row r="1205" spans="1:10" x14ac:dyDescent="0.25">
      <c r="A1205" t="s">
        <v>3917</v>
      </c>
      <c r="B1205" t="s">
        <v>3918</v>
      </c>
      <c r="C1205" s="2">
        <v>46205.583333333336</v>
      </c>
      <c r="D1205" t="s">
        <v>418</v>
      </c>
      <c r="E1205" t="s">
        <v>32</v>
      </c>
      <c r="F1205" t="s">
        <v>186</v>
      </c>
      <c r="G1205" t="s">
        <v>109</v>
      </c>
      <c r="H1205">
        <v>2</v>
      </c>
      <c r="I1205" t="s">
        <v>3919</v>
      </c>
      <c r="J1205" t="s">
        <v>357</v>
      </c>
    </row>
    <row r="1206" spans="1:10" x14ac:dyDescent="0.25">
      <c r="A1206" t="s">
        <v>3920</v>
      </c>
      <c r="B1206" t="s">
        <v>3921</v>
      </c>
      <c r="C1206" s="2">
        <v>46205.583333333336</v>
      </c>
      <c r="D1206" t="s">
        <v>418</v>
      </c>
      <c r="E1206" t="s">
        <v>41</v>
      </c>
      <c r="F1206" t="s">
        <v>188</v>
      </c>
      <c r="G1206" t="s">
        <v>115</v>
      </c>
      <c r="H1206">
        <v>5</v>
      </c>
      <c r="I1206" t="s">
        <v>3922</v>
      </c>
      <c r="J1206" t="s">
        <v>357</v>
      </c>
    </row>
    <row r="1207" spans="1:10" x14ac:dyDescent="0.25">
      <c r="A1207" t="s">
        <v>3923</v>
      </c>
      <c r="B1207" t="s">
        <v>3924</v>
      </c>
      <c r="C1207" s="2">
        <v>46205.583333333336</v>
      </c>
      <c r="D1207" t="s">
        <v>418</v>
      </c>
      <c r="E1207" t="s">
        <v>45</v>
      </c>
      <c r="F1207" t="s">
        <v>165</v>
      </c>
      <c r="G1207" t="s">
        <v>119</v>
      </c>
      <c r="H1207">
        <v>3</v>
      </c>
      <c r="I1207" t="s">
        <v>3925</v>
      </c>
      <c r="J1207" t="s">
        <v>357</v>
      </c>
    </row>
    <row r="1208" spans="1:10" x14ac:dyDescent="0.25">
      <c r="A1208" t="s">
        <v>3926</v>
      </c>
      <c r="B1208" t="s">
        <v>3927</v>
      </c>
      <c r="C1208" s="2">
        <v>46205.583333333336</v>
      </c>
      <c r="D1208" t="s">
        <v>418</v>
      </c>
      <c r="E1208" t="s">
        <v>47</v>
      </c>
      <c r="F1208" t="s">
        <v>166</v>
      </c>
      <c r="G1208" t="s">
        <v>121</v>
      </c>
      <c r="H1208">
        <v>5</v>
      </c>
      <c r="I1208" t="s">
        <v>3928</v>
      </c>
      <c r="J1208" t="s">
        <v>357</v>
      </c>
    </row>
    <row r="1209" spans="1:10" x14ac:dyDescent="0.25">
      <c r="A1209" t="s">
        <v>3929</v>
      </c>
      <c r="B1209" t="s">
        <v>3930</v>
      </c>
      <c r="C1209" s="2">
        <v>46205.583333333336</v>
      </c>
      <c r="D1209" t="s">
        <v>418</v>
      </c>
      <c r="E1209" t="s">
        <v>73</v>
      </c>
      <c r="F1209" t="s">
        <v>142</v>
      </c>
      <c r="G1209" t="s">
        <v>143</v>
      </c>
      <c r="H1209">
        <v>1</v>
      </c>
      <c r="I1209" t="s">
        <v>3931</v>
      </c>
      <c r="J1209" t="s">
        <v>357</v>
      </c>
    </row>
    <row r="1210" spans="1:10" x14ac:dyDescent="0.25">
      <c r="A1210" t="s">
        <v>3932</v>
      </c>
      <c r="B1210" t="s">
        <v>3933</v>
      </c>
      <c r="C1210" s="2">
        <v>46205.583333333336</v>
      </c>
      <c r="D1210" t="s">
        <v>418</v>
      </c>
      <c r="E1210" t="s">
        <v>18</v>
      </c>
      <c r="F1210" t="s">
        <v>181</v>
      </c>
      <c r="G1210" t="s">
        <v>95</v>
      </c>
      <c r="H1210">
        <v>2</v>
      </c>
      <c r="I1210" t="s">
        <v>3934</v>
      </c>
      <c r="J1210" t="s">
        <v>357</v>
      </c>
    </row>
    <row r="1211" spans="1:10" x14ac:dyDescent="0.25">
      <c r="A1211" t="s">
        <v>3935</v>
      </c>
      <c r="B1211" t="s">
        <v>3936</v>
      </c>
      <c r="C1211" s="2">
        <v>46205.583333333336</v>
      </c>
      <c r="D1211" t="s">
        <v>418</v>
      </c>
      <c r="E1211" t="s">
        <v>20</v>
      </c>
      <c r="F1211" t="s">
        <v>203</v>
      </c>
      <c r="G1211" t="s">
        <v>97</v>
      </c>
      <c r="H1211">
        <v>2</v>
      </c>
      <c r="I1211" t="s">
        <v>3937</v>
      </c>
      <c r="J1211" t="s">
        <v>357</v>
      </c>
    </row>
    <row r="1212" spans="1:10" x14ac:dyDescent="0.25">
      <c r="A1212" t="s">
        <v>3938</v>
      </c>
      <c r="B1212" t="s">
        <v>3939</v>
      </c>
      <c r="C1212" s="2">
        <v>46205.583333333336</v>
      </c>
      <c r="D1212" t="s">
        <v>418</v>
      </c>
      <c r="E1212" t="s">
        <v>22</v>
      </c>
      <c r="F1212" t="s">
        <v>204</v>
      </c>
      <c r="G1212" t="s">
        <v>99</v>
      </c>
      <c r="H1212">
        <v>6</v>
      </c>
      <c r="I1212" t="s">
        <v>3940</v>
      </c>
      <c r="J1212" t="s">
        <v>357</v>
      </c>
    </row>
    <row r="1213" spans="1:10" x14ac:dyDescent="0.25">
      <c r="A1213" t="s">
        <v>3941</v>
      </c>
      <c r="B1213" t="s">
        <v>3942</v>
      </c>
      <c r="C1213" s="2">
        <v>46205.583333333336</v>
      </c>
      <c r="D1213" t="s">
        <v>418</v>
      </c>
      <c r="E1213" t="s">
        <v>24</v>
      </c>
      <c r="F1213" t="s">
        <v>156</v>
      </c>
      <c r="G1213" t="s">
        <v>101</v>
      </c>
      <c r="H1213">
        <v>4</v>
      </c>
      <c r="I1213" t="s">
        <v>3943</v>
      </c>
      <c r="J1213" t="s">
        <v>357</v>
      </c>
    </row>
    <row r="1214" spans="1:10" x14ac:dyDescent="0.25">
      <c r="A1214" t="s">
        <v>3944</v>
      </c>
      <c r="B1214" t="s">
        <v>3945</v>
      </c>
      <c r="C1214" s="2">
        <v>46205.583333333336</v>
      </c>
      <c r="D1214" t="s">
        <v>418</v>
      </c>
      <c r="E1214" t="s">
        <v>26</v>
      </c>
      <c r="F1214" t="s">
        <v>206</v>
      </c>
      <c r="G1214" t="s">
        <v>103</v>
      </c>
      <c r="H1214">
        <v>5</v>
      </c>
      <c r="I1214" t="s">
        <v>3946</v>
      </c>
      <c r="J1214" t="s">
        <v>357</v>
      </c>
    </row>
    <row r="1215" spans="1:10" x14ac:dyDescent="0.25">
      <c r="A1215" t="s">
        <v>3947</v>
      </c>
      <c r="B1215" t="s">
        <v>3948</v>
      </c>
      <c r="C1215" s="2">
        <v>46205.583333333336</v>
      </c>
      <c r="D1215" t="s">
        <v>418</v>
      </c>
      <c r="E1215" t="s">
        <v>28</v>
      </c>
      <c r="F1215" t="s">
        <v>158</v>
      </c>
      <c r="G1215" t="s">
        <v>105</v>
      </c>
      <c r="H1215">
        <v>4</v>
      </c>
      <c r="I1215" t="s">
        <v>3949</v>
      </c>
      <c r="J1215" t="s">
        <v>357</v>
      </c>
    </row>
    <row r="1216" spans="1:10" x14ac:dyDescent="0.25">
      <c r="A1216" t="s">
        <v>3950</v>
      </c>
      <c r="B1216" t="s">
        <v>3951</v>
      </c>
      <c r="C1216" s="2">
        <v>46205.583333333336</v>
      </c>
      <c r="D1216" t="s">
        <v>418</v>
      </c>
      <c r="E1216" t="s">
        <v>43</v>
      </c>
      <c r="F1216" t="s">
        <v>164</v>
      </c>
      <c r="G1216" t="s">
        <v>117</v>
      </c>
      <c r="H1216">
        <v>5</v>
      </c>
      <c r="I1216" t="s">
        <v>3952</v>
      </c>
      <c r="J1216" t="s">
        <v>357</v>
      </c>
    </row>
    <row r="1217" spans="1:10" x14ac:dyDescent="0.25">
      <c r="A1217" t="s">
        <v>3953</v>
      </c>
      <c r="B1217" t="s">
        <v>3954</v>
      </c>
      <c r="C1217" s="2">
        <v>46205.583333333336</v>
      </c>
      <c r="D1217" t="s">
        <v>418</v>
      </c>
      <c r="E1217" t="s">
        <v>53</v>
      </c>
      <c r="F1217" t="s">
        <v>210</v>
      </c>
      <c r="G1217" t="s">
        <v>127</v>
      </c>
      <c r="H1217">
        <v>1</v>
      </c>
      <c r="I1217" t="s">
        <v>3955</v>
      </c>
      <c r="J1217" t="s">
        <v>357</v>
      </c>
    </row>
    <row r="1218" spans="1:10" x14ac:dyDescent="0.25">
      <c r="A1218" t="s">
        <v>3956</v>
      </c>
      <c r="B1218" t="s">
        <v>3957</v>
      </c>
      <c r="C1218" s="2">
        <v>46205.583333333336</v>
      </c>
      <c r="D1218" t="s">
        <v>418</v>
      </c>
      <c r="E1218" t="s">
        <v>55</v>
      </c>
      <c r="F1218" t="s">
        <v>192</v>
      </c>
      <c r="G1218" t="s">
        <v>129</v>
      </c>
      <c r="H1218">
        <v>2</v>
      </c>
      <c r="I1218" t="s">
        <v>3958</v>
      </c>
      <c r="J1218" t="s">
        <v>357</v>
      </c>
    </row>
    <row r="1219" spans="1:10" x14ac:dyDescent="0.25">
      <c r="A1219" t="s">
        <v>3959</v>
      </c>
      <c r="B1219" t="s">
        <v>3960</v>
      </c>
      <c r="C1219" s="2">
        <v>46205.583333333336</v>
      </c>
      <c r="D1219" t="s">
        <v>418</v>
      </c>
      <c r="E1219" t="s">
        <v>77</v>
      </c>
      <c r="F1219" t="s">
        <v>179</v>
      </c>
      <c r="G1219" t="s">
        <v>147</v>
      </c>
      <c r="H1219">
        <v>4</v>
      </c>
      <c r="I1219" t="s">
        <v>3961</v>
      </c>
      <c r="J1219" t="s">
        <v>357</v>
      </c>
    </row>
    <row r="1220" spans="1:10" x14ac:dyDescent="0.25">
      <c r="A1220" t="s">
        <v>3962</v>
      </c>
      <c r="B1220" t="s">
        <v>3963</v>
      </c>
      <c r="C1220" s="2">
        <v>46205.583333333336</v>
      </c>
      <c r="D1220" t="s">
        <v>418</v>
      </c>
      <c r="E1220" t="s">
        <v>11</v>
      </c>
      <c r="F1220" t="s">
        <v>180</v>
      </c>
      <c r="G1220" t="s">
        <v>92</v>
      </c>
      <c r="H1220">
        <v>3</v>
      </c>
      <c r="I1220" t="s">
        <v>3964</v>
      </c>
      <c r="J1220" t="s">
        <v>357</v>
      </c>
    </row>
    <row r="1221" spans="1:10" x14ac:dyDescent="0.25">
      <c r="A1221" t="s">
        <v>3965</v>
      </c>
      <c r="B1221" t="s">
        <v>3966</v>
      </c>
      <c r="C1221" s="2">
        <v>46205.583333333336</v>
      </c>
      <c r="D1221" t="s">
        <v>418</v>
      </c>
      <c r="E1221" t="s">
        <v>18</v>
      </c>
      <c r="F1221" t="s">
        <v>181</v>
      </c>
      <c r="G1221" t="s">
        <v>95</v>
      </c>
      <c r="H1221">
        <v>1</v>
      </c>
      <c r="I1221" t="s">
        <v>3967</v>
      </c>
      <c r="J1221" t="s">
        <v>357</v>
      </c>
    </row>
    <row r="1222" spans="1:10" x14ac:dyDescent="0.25">
      <c r="A1222" t="s">
        <v>3968</v>
      </c>
      <c r="B1222" t="s">
        <v>3969</v>
      </c>
      <c r="C1222" s="2">
        <v>46205.583333333336</v>
      </c>
      <c r="D1222" t="s">
        <v>418</v>
      </c>
      <c r="E1222" t="s">
        <v>20</v>
      </c>
      <c r="F1222" t="s">
        <v>203</v>
      </c>
      <c r="G1222" t="s">
        <v>97</v>
      </c>
      <c r="H1222">
        <v>6</v>
      </c>
      <c r="I1222" t="s">
        <v>3970</v>
      </c>
      <c r="J1222" t="s">
        <v>357</v>
      </c>
    </row>
    <row r="1223" spans="1:10" x14ac:dyDescent="0.25">
      <c r="A1223" t="s">
        <v>3971</v>
      </c>
      <c r="B1223" t="s">
        <v>3972</v>
      </c>
      <c r="C1223" s="2">
        <v>46205.583333333336</v>
      </c>
      <c r="D1223" t="s">
        <v>418</v>
      </c>
      <c r="E1223" t="s">
        <v>24</v>
      </c>
      <c r="F1223" t="s">
        <v>156</v>
      </c>
      <c r="G1223" t="s">
        <v>101</v>
      </c>
      <c r="H1223">
        <v>3</v>
      </c>
      <c r="I1223" t="s">
        <v>3973</v>
      </c>
      <c r="J1223" t="s">
        <v>357</v>
      </c>
    </row>
    <row r="1224" spans="1:10" x14ac:dyDescent="0.25">
      <c r="A1224" t="s">
        <v>3974</v>
      </c>
      <c r="B1224" t="s">
        <v>3975</v>
      </c>
      <c r="C1224" s="2">
        <v>46205.583333333336</v>
      </c>
      <c r="D1224" t="s">
        <v>418</v>
      </c>
      <c r="E1224" t="s">
        <v>51</v>
      </c>
      <c r="F1224" t="s">
        <v>209</v>
      </c>
      <c r="G1224" t="s">
        <v>125</v>
      </c>
      <c r="H1224">
        <v>1</v>
      </c>
      <c r="I1224" t="s">
        <v>3976</v>
      </c>
      <c r="J1224" t="s">
        <v>357</v>
      </c>
    </row>
    <row r="1225" spans="1:10" x14ac:dyDescent="0.25">
      <c r="A1225" t="s">
        <v>3977</v>
      </c>
      <c r="B1225" t="s">
        <v>3978</v>
      </c>
      <c r="C1225" s="2">
        <v>46205.583333333336</v>
      </c>
      <c r="D1225" t="s">
        <v>418</v>
      </c>
      <c r="E1225" t="s">
        <v>57</v>
      </c>
      <c r="F1225" t="s">
        <v>211</v>
      </c>
      <c r="G1225" t="s">
        <v>131</v>
      </c>
      <c r="H1225">
        <v>6</v>
      </c>
      <c r="I1225" t="s">
        <v>3979</v>
      </c>
      <c r="J1225" t="s">
        <v>357</v>
      </c>
    </row>
    <row r="1226" spans="1:10" x14ac:dyDescent="0.25">
      <c r="A1226" t="s">
        <v>3980</v>
      </c>
      <c r="B1226" t="s">
        <v>3981</v>
      </c>
      <c r="C1226" s="2">
        <v>46205.583333333336</v>
      </c>
      <c r="D1226" t="s">
        <v>418</v>
      </c>
      <c r="E1226" t="s">
        <v>59</v>
      </c>
      <c r="F1226" t="s">
        <v>172</v>
      </c>
      <c r="G1226" t="s">
        <v>133</v>
      </c>
      <c r="H1226">
        <v>1</v>
      </c>
      <c r="I1226" t="s">
        <v>3982</v>
      </c>
      <c r="J1226" t="s">
        <v>357</v>
      </c>
    </row>
    <row r="1227" spans="1:10" x14ac:dyDescent="0.25">
      <c r="A1227" t="s">
        <v>3983</v>
      </c>
      <c r="B1227" t="s">
        <v>3984</v>
      </c>
      <c r="C1227" s="2">
        <v>46205.583333333336</v>
      </c>
      <c r="D1227" t="s">
        <v>418</v>
      </c>
      <c r="E1227" t="s">
        <v>77</v>
      </c>
      <c r="F1227" t="s">
        <v>179</v>
      </c>
      <c r="G1227" t="s">
        <v>147</v>
      </c>
      <c r="H1227">
        <v>1</v>
      </c>
      <c r="I1227" t="s">
        <v>3985</v>
      </c>
      <c r="J1227" t="s">
        <v>357</v>
      </c>
    </row>
    <row r="1228" spans="1:10" x14ac:dyDescent="0.25">
      <c r="A1228" t="s">
        <v>3986</v>
      </c>
      <c r="B1228" t="s">
        <v>3987</v>
      </c>
      <c r="C1228" s="2">
        <v>46205.583333333336</v>
      </c>
      <c r="D1228" t="s">
        <v>418</v>
      </c>
      <c r="E1228" t="s">
        <v>11</v>
      </c>
      <c r="F1228" t="s">
        <v>180</v>
      </c>
      <c r="G1228" t="s">
        <v>92</v>
      </c>
      <c r="H1228">
        <v>4</v>
      </c>
      <c r="I1228" t="s">
        <v>3988</v>
      </c>
      <c r="J1228" t="s">
        <v>357</v>
      </c>
    </row>
    <row r="1229" spans="1:10" x14ac:dyDescent="0.25">
      <c r="A1229" t="s">
        <v>3989</v>
      </c>
      <c r="B1229" t="s">
        <v>3990</v>
      </c>
      <c r="C1229" s="2">
        <v>46205.583333333336</v>
      </c>
      <c r="D1229" t="s">
        <v>418</v>
      </c>
      <c r="E1229" t="s">
        <v>18</v>
      </c>
      <c r="F1229" t="s">
        <v>181</v>
      </c>
      <c r="G1229" t="s">
        <v>95</v>
      </c>
      <c r="H1229">
        <v>4</v>
      </c>
      <c r="I1229" t="s">
        <v>3991</v>
      </c>
      <c r="J1229" t="s">
        <v>357</v>
      </c>
    </row>
    <row r="1230" spans="1:10" x14ac:dyDescent="0.25">
      <c r="A1230" t="s">
        <v>3992</v>
      </c>
      <c r="B1230" t="s">
        <v>3993</v>
      </c>
      <c r="C1230" s="2">
        <v>46205.583333333336</v>
      </c>
      <c r="D1230" t="s">
        <v>418</v>
      </c>
      <c r="E1230" t="s">
        <v>22</v>
      </c>
      <c r="F1230" t="s">
        <v>204</v>
      </c>
      <c r="G1230" t="s">
        <v>99</v>
      </c>
      <c r="H1230">
        <v>4</v>
      </c>
      <c r="I1230" t="s">
        <v>3994</v>
      </c>
      <c r="J1230" t="s">
        <v>357</v>
      </c>
    </row>
    <row r="1231" spans="1:10" x14ac:dyDescent="0.25">
      <c r="A1231" t="s">
        <v>3995</v>
      </c>
      <c r="B1231" t="s">
        <v>3996</v>
      </c>
      <c r="C1231" s="2">
        <v>46205.583333333336</v>
      </c>
      <c r="D1231" t="s">
        <v>418</v>
      </c>
      <c r="E1231" t="s">
        <v>26</v>
      </c>
      <c r="F1231" t="s">
        <v>206</v>
      </c>
      <c r="G1231" t="s">
        <v>103</v>
      </c>
      <c r="H1231">
        <v>4</v>
      </c>
      <c r="I1231" t="s">
        <v>3997</v>
      </c>
      <c r="J1231" t="s">
        <v>357</v>
      </c>
    </row>
    <row r="1232" spans="1:10" x14ac:dyDescent="0.25">
      <c r="A1232" t="s">
        <v>3998</v>
      </c>
      <c r="B1232" t="s">
        <v>3999</v>
      </c>
      <c r="C1232" s="2">
        <v>46205.583333333336</v>
      </c>
      <c r="D1232" t="s">
        <v>418</v>
      </c>
      <c r="E1232" t="s">
        <v>28</v>
      </c>
      <c r="F1232" t="s">
        <v>158</v>
      </c>
      <c r="G1232" t="s">
        <v>105</v>
      </c>
      <c r="H1232">
        <v>2</v>
      </c>
      <c r="I1232" t="s">
        <v>4000</v>
      </c>
      <c r="J1232" t="s">
        <v>357</v>
      </c>
    </row>
    <row r="1233" spans="1:10" x14ac:dyDescent="0.25">
      <c r="A1233" t="s">
        <v>4001</v>
      </c>
      <c r="B1233" t="s">
        <v>4002</v>
      </c>
      <c r="C1233" s="2">
        <v>46205.583333333336</v>
      </c>
      <c r="D1233" t="s">
        <v>418</v>
      </c>
      <c r="E1233" t="s">
        <v>30</v>
      </c>
      <c r="F1233" t="s">
        <v>159</v>
      </c>
      <c r="G1233" t="s">
        <v>107</v>
      </c>
      <c r="H1233">
        <v>3</v>
      </c>
      <c r="I1233" t="s">
        <v>4003</v>
      </c>
      <c r="J1233" t="s">
        <v>357</v>
      </c>
    </row>
    <row r="1234" spans="1:10" x14ac:dyDescent="0.25">
      <c r="A1234" t="s">
        <v>4004</v>
      </c>
      <c r="B1234" t="s">
        <v>4005</v>
      </c>
      <c r="C1234" s="2">
        <v>46205.583333333336</v>
      </c>
      <c r="D1234" t="s">
        <v>418</v>
      </c>
      <c r="E1234" t="s">
        <v>36</v>
      </c>
      <c r="F1234" t="s">
        <v>112</v>
      </c>
      <c r="G1234" t="s">
        <v>113</v>
      </c>
      <c r="H1234">
        <v>4</v>
      </c>
      <c r="I1234" t="s">
        <v>4006</v>
      </c>
      <c r="J1234" t="s">
        <v>357</v>
      </c>
    </row>
    <row r="1235" spans="1:10" x14ac:dyDescent="0.25">
      <c r="A1235" t="s">
        <v>4007</v>
      </c>
      <c r="B1235" t="s">
        <v>4008</v>
      </c>
      <c r="C1235" s="2">
        <v>46205.583333333336</v>
      </c>
      <c r="D1235" t="s">
        <v>418</v>
      </c>
      <c r="E1235" t="s">
        <v>45</v>
      </c>
      <c r="F1235" t="s">
        <v>165</v>
      </c>
      <c r="G1235" t="s">
        <v>119</v>
      </c>
      <c r="H1235">
        <v>4</v>
      </c>
      <c r="I1235" t="s">
        <v>4009</v>
      </c>
      <c r="J1235" t="s">
        <v>357</v>
      </c>
    </row>
    <row r="1236" spans="1:10" x14ac:dyDescent="0.25">
      <c r="A1236" t="s">
        <v>4010</v>
      </c>
      <c r="B1236" t="s">
        <v>4011</v>
      </c>
      <c r="C1236" s="2">
        <v>46205.583333333336</v>
      </c>
      <c r="D1236" t="s">
        <v>418</v>
      </c>
      <c r="E1236" t="s">
        <v>55</v>
      </c>
      <c r="F1236" t="s">
        <v>192</v>
      </c>
      <c r="G1236" t="s">
        <v>129</v>
      </c>
      <c r="H1236">
        <v>4</v>
      </c>
      <c r="I1236" t="s">
        <v>4012</v>
      </c>
      <c r="J1236" t="s">
        <v>357</v>
      </c>
    </row>
    <row r="1237" spans="1:10" x14ac:dyDescent="0.25">
      <c r="A1237" t="s">
        <v>4013</v>
      </c>
      <c r="B1237" t="s">
        <v>4014</v>
      </c>
      <c r="C1237" s="2">
        <v>46205.583333333336</v>
      </c>
      <c r="D1237" t="s">
        <v>418</v>
      </c>
      <c r="E1237" t="s">
        <v>67</v>
      </c>
      <c r="F1237" t="s">
        <v>174</v>
      </c>
      <c r="G1237" t="s">
        <v>137</v>
      </c>
      <c r="H1237">
        <v>3</v>
      </c>
      <c r="I1237" t="s">
        <v>4015</v>
      </c>
      <c r="J1237" t="s">
        <v>357</v>
      </c>
    </row>
    <row r="1238" spans="1:10" x14ac:dyDescent="0.25">
      <c r="A1238" t="s">
        <v>4016</v>
      </c>
      <c r="B1238" t="s">
        <v>4017</v>
      </c>
      <c r="C1238" s="2">
        <v>46205.583333333336</v>
      </c>
      <c r="D1238" t="s">
        <v>418</v>
      </c>
      <c r="E1238" t="s">
        <v>69</v>
      </c>
      <c r="F1238" t="s">
        <v>175</v>
      </c>
      <c r="G1238" t="s">
        <v>139</v>
      </c>
      <c r="H1238">
        <v>2</v>
      </c>
      <c r="I1238" t="s">
        <v>4018</v>
      </c>
      <c r="J1238" t="s">
        <v>357</v>
      </c>
    </row>
    <row r="1239" spans="1:10" x14ac:dyDescent="0.25">
      <c r="A1239" t="s">
        <v>4019</v>
      </c>
      <c r="B1239" t="s">
        <v>4020</v>
      </c>
      <c r="C1239" s="2">
        <v>46205.583333333336</v>
      </c>
      <c r="D1239" t="s">
        <v>418</v>
      </c>
      <c r="E1239" t="s">
        <v>75</v>
      </c>
      <c r="F1239" t="s">
        <v>178</v>
      </c>
      <c r="G1239" t="s">
        <v>145</v>
      </c>
      <c r="H1239">
        <v>1</v>
      </c>
      <c r="I1239" t="s">
        <v>4021</v>
      </c>
      <c r="J1239" t="s">
        <v>357</v>
      </c>
    </row>
    <row r="1240" spans="1:10" x14ac:dyDescent="0.25">
      <c r="A1240" t="s">
        <v>4022</v>
      </c>
      <c r="B1240" t="s">
        <v>4023</v>
      </c>
      <c r="C1240" s="2">
        <v>46205.583333333336</v>
      </c>
      <c r="D1240" t="s">
        <v>418</v>
      </c>
      <c r="E1240" t="s">
        <v>77</v>
      </c>
      <c r="F1240" t="s">
        <v>179</v>
      </c>
      <c r="G1240" t="s">
        <v>147</v>
      </c>
      <c r="H1240">
        <v>3</v>
      </c>
      <c r="I1240" t="s">
        <v>4024</v>
      </c>
      <c r="J1240" t="s">
        <v>357</v>
      </c>
    </row>
    <row r="1241" spans="1:10" x14ac:dyDescent="0.25">
      <c r="A1241" t="s">
        <v>4025</v>
      </c>
      <c r="B1241" t="s">
        <v>4026</v>
      </c>
      <c r="C1241" s="2">
        <v>46206.583333333336</v>
      </c>
      <c r="D1241" t="s">
        <v>418</v>
      </c>
      <c r="E1241" t="s">
        <v>18</v>
      </c>
      <c r="F1241" t="s">
        <v>181</v>
      </c>
      <c r="G1241" t="s">
        <v>95</v>
      </c>
      <c r="H1241">
        <v>2</v>
      </c>
      <c r="I1241" t="s">
        <v>4027</v>
      </c>
      <c r="J1241" t="s">
        <v>357</v>
      </c>
    </row>
    <row r="1242" spans="1:10" x14ac:dyDescent="0.25">
      <c r="A1242" t="s">
        <v>4028</v>
      </c>
      <c r="B1242" t="s">
        <v>4029</v>
      </c>
      <c r="C1242" s="2">
        <v>46206.583333333336</v>
      </c>
      <c r="D1242" t="s">
        <v>418</v>
      </c>
      <c r="E1242" t="s">
        <v>20</v>
      </c>
      <c r="F1242" t="s">
        <v>203</v>
      </c>
      <c r="G1242" t="s">
        <v>97</v>
      </c>
      <c r="H1242">
        <v>2</v>
      </c>
      <c r="I1242" t="s">
        <v>4030</v>
      </c>
      <c r="J1242" t="s">
        <v>357</v>
      </c>
    </row>
    <row r="1243" spans="1:10" x14ac:dyDescent="0.25">
      <c r="A1243" t="s">
        <v>4031</v>
      </c>
      <c r="B1243" t="s">
        <v>4032</v>
      </c>
      <c r="C1243" s="2">
        <v>46206.583333333336</v>
      </c>
      <c r="D1243" t="s">
        <v>418</v>
      </c>
      <c r="E1243" t="s">
        <v>22</v>
      </c>
      <c r="F1243" t="s">
        <v>204</v>
      </c>
      <c r="G1243" t="s">
        <v>99</v>
      </c>
      <c r="H1243">
        <v>2</v>
      </c>
      <c r="I1243" t="s">
        <v>4033</v>
      </c>
      <c r="J1243" t="s">
        <v>357</v>
      </c>
    </row>
    <row r="1244" spans="1:10" x14ac:dyDescent="0.25">
      <c r="A1244" t="s">
        <v>4034</v>
      </c>
      <c r="B1244" t="s">
        <v>4035</v>
      </c>
      <c r="C1244" s="2">
        <v>46206.583333333336</v>
      </c>
      <c r="D1244" t="s">
        <v>418</v>
      </c>
      <c r="E1244" t="s">
        <v>26</v>
      </c>
      <c r="F1244" t="s">
        <v>206</v>
      </c>
      <c r="G1244" t="s">
        <v>103</v>
      </c>
      <c r="H1244">
        <v>3</v>
      </c>
      <c r="I1244" t="s">
        <v>4036</v>
      </c>
      <c r="J1244" t="s">
        <v>357</v>
      </c>
    </row>
    <row r="1245" spans="1:10" x14ac:dyDescent="0.25">
      <c r="A1245" t="s">
        <v>4037</v>
      </c>
      <c r="B1245" t="s">
        <v>4038</v>
      </c>
      <c r="C1245" s="2">
        <v>46206.583333333336</v>
      </c>
      <c r="D1245" t="s">
        <v>418</v>
      </c>
      <c r="E1245" t="s">
        <v>41</v>
      </c>
      <c r="F1245" t="s">
        <v>188</v>
      </c>
      <c r="G1245" t="s">
        <v>115</v>
      </c>
      <c r="H1245">
        <v>2</v>
      </c>
      <c r="I1245" t="s">
        <v>4039</v>
      </c>
      <c r="J1245" t="s">
        <v>357</v>
      </c>
    </row>
    <row r="1246" spans="1:10" x14ac:dyDescent="0.25">
      <c r="A1246" t="s">
        <v>4040</v>
      </c>
      <c r="B1246" t="s">
        <v>4041</v>
      </c>
      <c r="C1246" s="2">
        <v>46206.583333333336</v>
      </c>
      <c r="D1246" t="s">
        <v>418</v>
      </c>
      <c r="E1246" t="s">
        <v>45</v>
      </c>
      <c r="F1246" t="s">
        <v>165</v>
      </c>
      <c r="G1246" t="s">
        <v>119</v>
      </c>
      <c r="H1246">
        <v>1</v>
      </c>
      <c r="I1246" t="s">
        <v>4042</v>
      </c>
      <c r="J1246" t="s">
        <v>357</v>
      </c>
    </row>
    <row r="1247" spans="1:10" x14ac:dyDescent="0.25">
      <c r="A1247" t="s">
        <v>4043</v>
      </c>
      <c r="B1247" t="s">
        <v>4044</v>
      </c>
      <c r="C1247" s="2">
        <v>46206.583333333336</v>
      </c>
      <c r="D1247" t="s">
        <v>418</v>
      </c>
      <c r="E1247" t="s">
        <v>11</v>
      </c>
      <c r="F1247" t="s">
        <v>180</v>
      </c>
      <c r="G1247" t="s">
        <v>92</v>
      </c>
      <c r="H1247">
        <v>1</v>
      </c>
      <c r="I1247" t="s">
        <v>4045</v>
      </c>
      <c r="J1247" t="s">
        <v>357</v>
      </c>
    </row>
    <row r="1248" spans="1:10" x14ac:dyDescent="0.25">
      <c r="A1248" t="s">
        <v>4046</v>
      </c>
      <c r="B1248" t="s">
        <v>4047</v>
      </c>
      <c r="C1248" s="2">
        <v>46206.583333333336</v>
      </c>
      <c r="D1248" t="s">
        <v>418</v>
      </c>
      <c r="E1248" t="s">
        <v>18</v>
      </c>
      <c r="F1248" t="s">
        <v>202</v>
      </c>
      <c r="G1248" t="s">
        <v>95</v>
      </c>
      <c r="H1248">
        <v>3</v>
      </c>
      <c r="I1248" t="s">
        <v>4048</v>
      </c>
      <c r="J1248" t="s">
        <v>357</v>
      </c>
    </row>
    <row r="1249" spans="1:10" x14ac:dyDescent="0.25">
      <c r="A1249" t="s">
        <v>4049</v>
      </c>
      <c r="B1249" t="s">
        <v>4050</v>
      </c>
      <c r="C1249" s="2">
        <v>46206.583333333336</v>
      </c>
      <c r="D1249" t="s">
        <v>418</v>
      </c>
      <c r="E1249" t="s">
        <v>24</v>
      </c>
      <c r="F1249" t="s">
        <v>156</v>
      </c>
      <c r="G1249" t="s">
        <v>101</v>
      </c>
      <c r="H1249">
        <v>1</v>
      </c>
      <c r="I1249" t="s">
        <v>4051</v>
      </c>
      <c r="J1249" t="s">
        <v>357</v>
      </c>
    </row>
    <row r="1250" spans="1:10" x14ac:dyDescent="0.25">
      <c r="A1250" t="s">
        <v>4052</v>
      </c>
      <c r="B1250" t="s">
        <v>4053</v>
      </c>
      <c r="C1250" s="2">
        <v>46206.583333333336</v>
      </c>
      <c r="D1250" t="s">
        <v>418</v>
      </c>
      <c r="E1250" t="s">
        <v>26</v>
      </c>
      <c r="F1250" t="s">
        <v>206</v>
      </c>
      <c r="G1250" t="s">
        <v>103</v>
      </c>
      <c r="H1250">
        <v>5</v>
      </c>
      <c r="I1250" t="s">
        <v>4054</v>
      </c>
      <c r="J1250" t="s">
        <v>357</v>
      </c>
    </row>
    <row r="1251" spans="1:10" x14ac:dyDescent="0.25">
      <c r="A1251" t="s">
        <v>4055</v>
      </c>
      <c r="B1251" t="s">
        <v>4056</v>
      </c>
      <c r="C1251" s="2">
        <v>46206.583333333336</v>
      </c>
      <c r="D1251" t="s">
        <v>418</v>
      </c>
      <c r="E1251" t="s">
        <v>36</v>
      </c>
      <c r="F1251" t="s">
        <v>112</v>
      </c>
      <c r="G1251" t="s">
        <v>113</v>
      </c>
      <c r="H1251">
        <v>2</v>
      </c>
      <c r="I1251" t="s">
        <v>4057</v>
      </c>
      <c r="J1251" t="s">
        <v>357</v>
      </c>
    </row>
    <row r="1252" spans="1:10" x14ac:dyDescent="0.25">
      <c r="A1252" t="s">
        <v>4058</v>
      </c>
      <c r="B1252" t="s">
        <v>4059</v>
      </c>
      <c r="C1252" s="2">
        <v>46206.583333333336</v>
      </c>
      <c r="D1252" t="s">
        <v>418</v>
      </c>
      <c r="E1252" t="s">
        <v>45</v>
      </c>
      <c r="F1252" t="s">
        <v>165</v>
      </c>
      <c r="G1252" t="s">
        <v>119</v>
      </c>
      <c r="H1252">
        <v>3</v>
      </c>
      <c r="I1252" t="s">
        <v>4060</v>
      </c>
      <c r="J1252" t="s">
        <v>357</v>
      </c>
    </row>
    <row r="1253" spans="1:10" x14ac:dyDescent="0.25">
      <c r="A1253" t="s">
        <v>4061</v>
      </c>
      <c r="B1253" t="s">
        <v>4062</v>
      </c>
      <c r="C1253" s="2">
        <v>46206.583333333336</v>
      </c>
      <c r="D1253" t="s">
        <v>418</v>
      </c>
      <c r="E1253" t="s">
        <v>47</v>
      </c>
      <c r="F1253" t="s">
        <v>166</v>
      </c>
      <c r="G1253" t="s">
        <v>121</v>
      </c>
      <c r="H1253">
        <v>4</v>
      </c>
      <c r="I1253" t="s">
        <v>4063</v>
      </c>
      <c r="J1253" t="s">
        <v>357</v>
      </c>
    </row>
    <row r="1254" spans="1:10" x14ac:dyDescent="0.25">
      <c r="A1254" t="s">
        <v>4064</v>
      </c>
      <c r="B1254" t="s">
        <v>4065</v>
      </c>
      <c r="C1254" s="2">
        <v>46206.583333333336</v>
      </c>
      <c r="D1254" t="s">
        <v>418</v>
      </c>
      <c r="E1254" t="s">
        <v>69</v>
      </c>
      <c r="F1254" t="s">
        <v>175</v>
      </c>
      <c r="G1254" t="s">
        <v>139</v>
      </c>
      <c r="H1254">
        <v>1</v>
      </c>
      <c r="I1254" t="s">
        <v>4066</v>
      </c>
      <c r="J1254" t="s">
        <v>357</v>
      </c>
    </row>
    <row r="1255" spans="1:10" x14ac:dyDescent="0.25">
      <c r="A1255" t="s">
        <v>4067</v>
      </c>
      <c r="B1255" t="s">
        <v>4068</v>
      </c>
      <c r="C1255" s="2">
        <v>46206.583333333336</v>
      </c>
      <c r="D1255" t="s">
        <v>418</v>
      </c>
      <c r="E1255" t="s">
        <v>11</v>
      </c>
      <c r="F1255" t="s">
        <v>180</v>
      </c>
      <c r="G1255" t="s">
        <v>92</v>
      </c>
      <c r="H1255">
        <v>2</v>
      </c>
      <c r="I1255" t="s">
        <v>4069</v>
      </c>
      <c r="J1255" t="s">
        <v>357</v>
      </c>
    </row>
    <row r="1256" spans="1:10" x14ac:dyDescent="0.25">
      <c r="A1256" t="s">
        <v>4070</v>
      </c>
      <c r="B1256" t="s">
        <v>4071</v>
      </c>
      <c r="C1256" s="2">
        <v>46206.583333333336</v>
      </c>
      <c r="D1256" t="s">
        <v>418</v>
      </c>
      <c r="E1256" t="s">
        <v>11</v>
      </c>
      <c r="F1256" t="s">
        <v>201</v>
      </c>
      <c r="G1256" t="s">
        <v>92</v>
      </c>
      <c r="H1256">
        <v>3</v>
      </c>
      <c r="I1256" t="s">
        <v>4069</v>
      </c>
      <c r="J1256" t="s">
        <v>357</v>
      </c>
    </row>
    <row r="1257" spans="1:10" x14ac:dyDescent="0.25">
      <c r="A1257" t="s">
        <v>4072</v>
      </c>
      <c r="B1257" t="s">
        <v>4073</v>
      </c>
      <c r="C1257" s="2">
        <v>46206.583333333336</v>
      </c>
      <c r="D1257" t="s">
        <v>418</v>
      </c>
      <c r="E1257" t="s">
        <v>18</v>
      </c>
      <c r="F1257" t="s">
        <v>202</v>
      </c>
      <c r="G1257" t="s">
        <v>95</v>
      </c>
      <c r="H1257">
        <v>4</v>
      </c>
      <c r="I1257" t="s">
        <v>4074</v>
      </c>
      <c r="J1257" t="s">
        <v>357</v>
      </c>
    </row>
    <row r="1258" spans="1:10" x14ac:dyDescent="0.25">
      <c r="A1258" t="s">
        <v>4075</v>
      </c>
      <c r="B1258" t="s">
        <v>4076</v>
      </c>
      <c r="C1258" s="2">
        <v>46206.583333333336</v>
      </c>
      <c r="D1258" t="s">
        <v>418</v>
      </c>
      <c r="E1258" t="s">
        <v>20</v>
      </c>
      <c r="F1258" t="s">
        <v>203</v>
      </c>
      <c r="G1258" t="s">
        <v>97</v>
      </c>
      <c r="H1258">
        <v>2</v>
      </c>
      <c r="I1258" t="s">
        <v>4077</v>
      </c>
      <c r="J1258" t="s">
        <v>357</v>
      </c>
    </row>
    <row r="1259" spans="1:10" x14ac:dyDescent="0.25">
      <c r="A1259" t="s">
        <v>4078</v>
      </c>
      <c r="B1259" t="s">
        <v>4079</v>
      </c>
      <c r="C1259" s="2">
        <v>46206.583333333336</v>
      </c>
      <c r="D1259" t="s">
        <v>418</v>
      </c>
      <c r="E1259" t="s">
        <v>22</v>
      </c>
      <c r="F1259" t="s">
        <v>204</v>
      </c>
      <c r="G1259" t="s">
        <v>99</v>
      </c>
      <c r="H1259">
        <v>6</v>
      </c>
      <c r="I1259" t="s">
        <v>4080</v>
      </c>
      <c r="J1259" t="s">
        <v>357</v>
      </c>
    </row>
    <row r="1260" spans="1:10" x14ac:dyDescent="0.25">
      <c r="A1260" t="s">
        <v>4081</v>
      </c>
      <c r="B1260" t="s">
        <v>4082</v>
      </c>
      <c r="C1260" s="2">
        <v>46206.583333333336</v>
      </c>
      <c r="D1260" t="s">
        <v>418</v>
      </c>
      <c r="E1260" t="s">
        <v>30</v>
      </c>
      <c r="F1260" t="s">
        <v>159</v>
      </c>
      <c r="G1260" t="s">
        <v>107</v>
      </c>
      <c r="H1260">
        <v>1</v>
      </c>
      <c r="I1260" t="s">
        <v>4083</v>
      </c>
      <c r="J1260" t="s">
        <v>357</v>
      </c>
    </row>
    <row r="1261" spans="1:10" x14ac:dyDescent="0.25">
      <c r="A1261" t="s">
        <v>4084</v>
      </c>
      <c r="B1261" t="s">
        <v>4085</v>
      </c>
      <c r="C1261" s="2">
        <v>46206.583333333336</v>
      </c>
      <c r="D1261" t="s">
        <v>418</v>
      </c>
      <c r="E1261" t="s">
        <v>36</v>
      </c>
      <c r="F1261" t="s">
        <v>112</v>
      </c>
      <c r="G1261" t="s">
        <v>113</v>
      </c>
      <c r="H1261">
        <v>1</v>
      </c>
      <c r="I1261" t="s">
        <v>4086</v>
      </c>
      <c r="J1261" t="s">
        <v>357</v>
      </c>
    </row>
    <row r="1262" spans="1:10" x14ac:dyDescent="0.25">
      <c r="A1262" t="s">
        <v>4087</v>
      </c>
      <c r="B1262" t="s">
        <v>4088</v>
      </c>
      <c r="C1262" s="2">
        <v>46206.583333333336</v>
      </c>
      <c r="D1262" t="s">
        <v>418</v>
      </c>
      <c r="E1262" t="s">
        <v>36</v>
      </c>
      <c r="F1262" t="s">
        <v>187</v>
      </c>
      <c r="G1262" t="s">
        <v>113</v>
      </c>
      <c r="H1262">
        <v>1</v>
      </c>
      <c r="I1262" t="s">
        <v>4086</v>
      </c>
      <c r="J1262" t="s">
        <v>357</v>
      </c>
    </row>
    <row r="1263" spans="1:10" x14ac:dyDescent="0.25">
      <c r="A1263" t="s">
        <v>4089</v>
      </c>
      <c r="B1263" t="s">
        <v>4090</v>
      </c>
      <c r="C1263" s="2">
        <v>46206.583333333336</v>
      </c>
      <c r="D1263" t="s">
        <v>418</v>
      </c>
      <c r="E1263" t="s">
        <v>43</v>
      </c>
      <c r="F1263" t="s">
        <v>164</v>
      </c>
      <c r="G1263" t="s">
        <v>117</v>
      </c>
      <c r="H1263">
        <v>4</v>
      </c>
      <c r="I1263" t="s">
        <v>4091</v>
      </c>
      <c r="J1263" t="s">
        <v>357</v>
      </c>
    </row>
    <row r="1264" spans="1:10" x14ac:dyDescent="0.25">
      <c r="A1264" t="s">
        <v>4092</v>
      </c>
      <c r="B1264" t="s">
        <v>4093</v>
      </c>
      <c r="C1264" s="2">
        <v>46206.583333333336</v>
      </c>
      <c r="D1264" t="s">
        <v>418</v>
      </c>
      <c r="E1264" t="s">
        <v>47</v>
      </c>
      <c r="F1264" t="s">
        <v>166</v>
      </c>
      <c r="G1264" t="s">
        <v>121</v>
      </c>
      <c r="H1264">
        <v>1</v>
      </c>
      <c r="I1264" t="s">
        <v>4094</v>
      </c>
      <c r="J1264" t="s">
        <v>357</v>
      </c>
    </row>
    <row r="1265" spans="1:10" x14ac:dyDescent="0.25">
      <c r="A1265" t="s">
        <v>4095</v>
      </c>
      <c r="B1265" t="s">
        <v>4096</v>
      </c>
      <c r="C1265" s="2">
        <v>46206.583333333336</v>
      </c>
      <c r="D1265" t="s">
        <v>418</v>
      </c>
      <c r="E1265" t="s">
        <v>55</v>
      </c>
      <c r="F1265" t="s">
        <v>192</v>
      </c>
      <c r="G1265" t="s">
        <v>129</v>
      </c>
      <c r="H1265">
        <v>5</v>
      </c>
      <c r="I1265" t="s">
        <v>4097</v>
      </c>
      <c r="J1265" t="s">
        <v>357</v>
      </c>
    </row>
    <row r="1266" spans="1:10" x14ac:dyDescent="0.25">
      <c r="A1266" t="s">
        <v>4098</v>
      </c>
      <c r="B1266" t="s">
        <v>4099</v>
      </c>
      <c r="C1266" s="2">
        <v>46206.583333333336</v>
      </c>
      <c r="D1266" t="s">
        <v>418</v>
      </c>
      <c r="E1266" t="s">
        <v>59</v>
      </c>
      <c r="F1266" t="s">
        <v>172</v>
      </c>
      <c r="G1266" t="s">
        <v>133</v>
      </c>
      <c r="H1266">
        <v>6</v>
      </c>
      <c r="I1266" t="s">
        <v>4100</v>
      </c>
      <c r="J1266" t="s">
        <v>357</v>
      </c>
    </row>
    <row r="1267" spans="1:10" x14ac:dyDescent="0.25">
      <c r="A1267" t="s">
        <v>4101</v>
      </c>
      <c r="B1267" t="s">
        <v>4102</v>
      </c>
      <c r="C1267" s="2">
        <v>46206.583333333336</v>
      </c>
      <c r="D1267" t="s">
        <v>418</v>
      </c>
      <c r="E1267" t="s">
        <v>75</v>
      </c>
      <c r="F1267" t="s">
        <v>178</v>
      </c>
      <c r="G1267" t="s">
        <v>145</v>
      </c>
      <c r="H1267">
        <v>5</v>
      </c>
      <c r="I1267" t="s">
        <v>4103</v>
      </c>
      <c r="J1267" t="s">
        <v>357</v>
      </c>
    </row>
    <row r="1268" spans="1:10" x14ac:dyDescent="0.25">
      <c r="A1268" t="s">
        <v>4104</v>
      </c>
      <c r="B1268" t="s">
        <v>4105</v>
      </c>
      <c r="C1268" s="2">
        <v>46206.583333333336</v>
      </c>
      <c r="D1268" t="s">
        <v>418</v>
      </c>
      <c r="E1268" t="s">
        <v>77</v>
      </c>
      <c r="F1268" t="s">
        <v>179</v>
      </c>
      <c r="G1268" t="s">
        <v>147</v>
      </c>
      <c r="H1268">
        <v>5</v>
      </c>
      <c r="I1268" t="s">
        <v>4106</v>
      </c>
      <c r="J1268" t="s">
        <v>357</v>
      </c>
    </row>
    <row r="1269" spans="1:10" x14ac:dyDescent="0.25">
      <c r="A1269" t="s">
        <v>4107</v>
      </c>
      <c r="B1269" t="s">
        <v>4108</v>
      </c>
      <c r="C1269" s="2">
        <v>46206.583333333336</v>
      </c>
      <c r="D1269" t="s">
        <v>418</v>
      </c>
      <c r="E1269" t="s">
        <v>18</v>
      </c>
      <c r="F1269" t="s">
        <v>202</v>
      </c>
      <c r="G1269" t="s">
        <v>95</v>
      </c>
      <c r="H1269">
        <v>6</v>
      </c>
      <c r="I1269" t="s">
        <v>4109</v>
      </c>
      <c r="J1269" t="s">
        <v>357</v>
      </c>
    </row>
    <row r="1270" spans="1:10" x14ac:dyDescent="0.25">
      <c r="A1270" t="s">
        <v>4110</v>
      </c>
      <c r="B1270" t="s">
        <v>4111</v>
      </c>
      <c r="C1270" s="2">
        <v>46206.583333333336</v>
      </c>
      <c r="D1270" t="s">
        <v>418</v>
      </c>
      <c r="E1270" t="s">
        <v>22</v>
      </c>
      <c r="F1270" t="s">
        <v>204</v>
      </c>
      <c r="G1270" t="s">
        <v>99</v>
      </c>
      <c r="H1270">
        <v>6</v>
      </c>
      <c r="I1270" t="s">
        <v>4112</v>
      </c>
      <c r="J1270" t="s">
        <v>357</v>
      </c>
    </row>
    <row r="1271" spans="1:10" x14ac:dyDescent="0.25">
      <c r="A1271" t="s">
        <v>4113</v>
      </c>
      <c r="B1271" t="s">
        <v>4114</v>
      </c>
      <c r="C1271" s="2">
        <v>46206.583333333336</v>
      </c>
      <c r="D1271" t="s">
        <v>418</v>
      </c>
      <c r="E1271" t="s">
        <v>24</v>
      </c>
      <c r="F1271" t="s">
        <v>156</v>
      </c>
      <c r="G1271" t="s">
        <v>101</v>
      </c>
      <c r="H1271">
        <v>1</v>
      </c>
      <c r="I1271" t="s">
        <v>4115</v>
      </c>
      <c r="J1271" t="s">
        <v>357</v>
      </c>
    </row>
    <row r="1272" spans="1:10" x14ac:dyDescent="0.25">
      <c r="A1272" t="s">
        <v>4116</v>
      </c>
      <c r="B1272" t="s">
        <v>4117</v>
      </c>
      <c r="C1272" s="2">
        <v>46206.583333333336</v>
      </c>
      <c r="D1272" t="s">
        <v>418</v>
      </c>
      <c r="E1272" t="s">
        <v>26</v>
      </c>
      <c r="F1272" t="s">
        <v>206</v>
      </c>
      <c r="G1272" t="s">
        <v>103</v>
      </c>
      <c r="H1272">
        <v>1</v>
      </c>
      <c r="I1272" t="s">
        <v>4118</v>
      </c>
      <c r="J1272" t="s">
        <v>357</v>
      </c>
    </row>
    <row r="1273" spans="1:10" x14ac:dyDescent="0.25">
      <c r="A1273" t="s">
        <v>4119</v>
      </c>
      <c r="B1273" t="s">
        <v>4120</v>
      </c>
      <c r="C1273" s="2">
        <v>46206.583333333336</v>
      </c>
      <c r="D1273" t="s">
        <v>418</v>
      </c>
      <c r="E1273" t="s">
        <v>28</v>
      </c>
      <c r="F1273" t="s">
        <v>158</v>
      </c>
      <c r="G1273" t="s">
        <v>105</v>
      </c>
      <c r="H1273">
        <v>4</v>
      </c>
      <c r="I1273" t="s">
        <v>4121</v>
      </c>
      <c r="J1273" t="s">
        <v>357</v>
      </c>
    </row>
    <row r="1274" spans="1:10" x14ac:dyDescent="0.25">
      <c r="A1274" t="s">
        <v>4122</v>
      </c>
      <c r="B1274" t="s">
        <v>4123</v>
      </c>
      <c r="C1274" s="2">
        <v>46206.583333333336</v>
      </c>
      <c r="D1274" t="s">
        <v>418</v>
      </c>
      <c r="E1274" t="s">
        <v>36</v>
      </c>
      <c r="F1274" t="s">
        <v>187</v>
      </c>
      <c r="G1274" t="s">
        <v>113</v>
      </c>
      <c r="H1274">
        <v>1</v>
      </c>
      <c r="I1274" t="s">
        <v>4124</v>
      </c>
      <c r="J1274" t="s">
        <v>357</v>
      </c>
    </row>
    <row r="1275" spans="1:10" x14ac:dyDescent="0.25">
      <c r="A1275" t="s">
        <v>4125</v>
      </c>
      <c r="B1275" t="s">
        <v>4126</v>
      </c>
      <c r="C1275" s="2">
        <v>46206.583333333336</v>
      </c>
      <c r="D1275" t="s">
        <v>418</v>
      </c>
      <c r="E1275" t="s">
        <v>43</v>
      </c>
      <c r="F1275" t="s">
        <v>164</v>
      </c>
      <c r="G1275" t="s">
        <v>117</v>
      </c>
      <c r="H1275">
        <v>3</v>
      </c>
      <c r="I1275" t="s">
        <v>4127</v>
      </c>
      <c r="J1275" t="s">
        <v>357</v>
      </c>
    </row>
    <row r="1276" spans="1:10" x14ac:dyDescent="0.25">
      <c r="A1276" t="s">
        <v>4128</v>
      </c>
      <c r="B1276" t="s">
        <v>4129</v>
      </c>
      <c r="C1276" s="2">
        <v>46206.583333333336</v>
      </c>
      <c r="D1276" t="s">
        <v>418</v>
      </c>
      <c r="E1276" t="s">
        <v>43</v>
      </c>
      <c r="F1276" t="s">
        <v>208</v>
      </c>
      <c r="G1276" t="s">
        <v>117</v>
      </c>
      <c r="H1276">
        <v>1</v>
      </c>
      <c r="I1276" t="s">
        <v>4127</v>
      </c>
      <c r="J1276" t="s">
        <v>357</v>
      </c>
    </row>
    <row r="1277" spans="1:10" x14ac:dyDescent="0.25">
      <c r="A1277" t="s">
        <v>4130</v>
      </c>
      <c r="B1277" t="s">
        <v>4131</v>
      </c>
      <c r="C1277" s="2">
        <v>46206.583333333336</v>
      </c>
      <c r="D1277" t="s">
        <v>418</v>
      </c>
      <c r="E1277" t="s">
        <v>49</v>
      </c>
      <c r="F1277" t="s">
        <v>167</v>
      </c>
      <c r="G1277" t="s">
        <v>123</v>
      </c>
      <c r="H1277">
        <v>1</v>
      </c>
      <c r="I1277" t="s">
        <v>4132</v>
      </c>
      <c r="J1277" t="s">
        <v>357</v>
      </c>
    </row>
    <row r="1278" spans="1:10" x14ac:dyDescent="0.25">
      <c r="A1278" t="s">
        <v>4133</v>
      </c>
      <c r="B1278" t="s">
        <v>4134</v>
      </c>
      <c r="C1278" s="2">
        <v>46206.583333333336</v>
      </c>
      <c r="D1278" t="s">
        <v>418</v>
      </c>
      <c r="E1278" t="s">
        <v>59</v>
      </c>
      <c r="F1278" t="s">
        <v>172</v>
      </c>
      <c r="G1278" t="s">
        <v>133</v>
      </c>
      <c r="H1278">
        <v>4</v>
      </c>
      <c r="I1278" t="s">
        <v>4135</v>
      </c>
      <c r="J1278" t="s">
        <v>357</v>
      </c>
    </row>
    <row r="1279" spans="1:10" x14ac:dyDescent="0.25">
      <c r="A1279" t="s">
        <v>4136</v>
      </c>
      <c r="B1279" t="s">
        <v>4137</v>
      </c>
      <c r="C1279" s="2">
        <v>46206.583333333336</v>
      </c>
      <c r="D1279" t="s">
        <v>418</v>
      </c>
      <c r="E1279" t="s">
        <v>71</v>
      </c>
      <c r="F1279" t="s">
        <v>176</v>
      </c>
      <c r="G1279" t="s">
        <v>141</v>
      </c>
      <c r="H1279">
        <v>6</v>
      </c>
      <c r="I1279" t="s">
        <v>4138</v>
      </c>
      <c r="J1279" t="s">
        <v>357</v>
      </c>
    </row>
    <row r="1280" spans="1:10" x14ac:dyDescent="0.25">
      <c r="A1280" t="s">
        <v>4139</v>
      </c>
      <c r="B1280" t="s">
        <v>4140</v>
      </c>
      <c r="C1280" s="2">
        <v>46206.583333333336</v>
      </c>
      <c r="D1280" t="s">
        <v>418</v>
      </c>
      <c r="E1280" t="s">
        <v>73</v>
      </c>
      <c r="F1280" t="s">
        <v>142</v>
      </c>
      <c r="G1280" t="s">
        <v>143</v>
      </c>
      <c r="H1280">
        <v>7</v>
      </c>
      <c r="I1280" t="s">
        <v>4141</v>
      </c>
      <c r="J1280" t="s">
        <v>357</v>
      </c>
    </row>
    <row r="1281" spans="1:10" x14ac:dyDescent="0.25">
      <c r="A1281" t="s">
        <v>4142</v>
      </c>
      <c r="B1281" t="s">
        <v>4143</v>
      </c>
      <c r="C1281" s="2">
        <v>46206.583333333336</v>
      </c>
      <c r="D1281" t="s">
        <v>418</v>
      </c>
      <c r="E1281" t="s">
        <v>77</v>
      </c>
      <c r="F1281" t="s">
        <v>179</v>
      </c>
      <c r="G1281" t="s">
        <v>147</v>
      </c>
      <c r="H1281">
        <v>7</v>
      </c>
      <c r="I1281" t="s">
        <v>4144</v>
      </c>
      <c r="J1281" t="s">
        <v>357</v>
      </c>
    </row>
    <row r="1282" spans="1:10" x14ac:dyDescent="0.25">
      <c r="A1282" t="s">
        <v>4145</v>
      </c>
      <c r="B1282" t="s">
        <v>4146</v>
      </c>
      <c r="C1282" s="2">
        <v>46206.583333333336</v>
      </c>
      <c r="D1282" t="s">
        <v>418</v>
      </c>
      <c r="E1282" t="s">
        <v>18</v>
      </c>
      <c r="F1282" t="s">
        <v>202</v>
      </c>
      <c r="G1282" t="s">
        <v>95</v>
      </c>
      <c r="H1282">
        <v>2</v>
      </c>
      <c r="I1282" t="s">
        <v>4147</v>
      </c>
      <c r="J1282" t="s">
        <v>357</v>
      </c>
    </row>
    <row r="1283" spans="1:10" x14ac:dyDescent="0.25">
      <c r="A1283" t="s">
        <v>4148</v>
      </c>
      <c r="B1283" t="s">
        <v>4149</v>
      </c>
      <c r="C1283" s="2">
        <v>46206.583333333336</v>
      </c>
      <c r="D1283" t="s">
        <v>418</v>
      </c>
      <c r="E1283" t="s">
        <v>20</v>
      </c>
      <c r="F1283" t="s">
        <v>203</v>
      </c>
      <c r="G1283" t="s">
        <v>97</v>
      </c>
      <c r="H1283">
        <v>3</v>
      </c>
      <c r="I1283" t="s">
        <v>4150</v>
      </c>
      <c r="J1283" t="s">
        <v>357</v>
      </c>
    </row>
    <row r="1284" spans="1:10" x14ac:dyDescent="0.25">
      <c r="A1284" t="s">
        <v>4151</v>
      </c>
      <c r="B1284" t="s">
        <v>4152</v>
      </c>
      <c r="C1284" s="2">
        <v>46206.583333333336</v>
      </c>
      <c r="D1284" t="s">
        <v>418</v>
      </c>
      <c r="E1284" t="s">
        <v>26</v>
      </c>
      <c r="F1284" t="s">
        <v>206</v>
      </c>
      <c r="G1284" t="s">
        <v>103</v>
      </c>
      <c r="H1284">
        <v>2</v>
      </c>
      <c r="I1284" t="s">
        <v>4153</v>
      </c>
      <c r="J1284" t="s">
        <v>357</v>
      </c>
    </row>
    <row r="1285" spans="1:10" x14ac:dyDescent="0.25">
      <c r="A1285" t="s">
        <v>4154</v>
      </c>
      <c r="B1285" t="s">
        <v>4155</v>
      </c>
      <c r="C1285" s="2">
        <v>46206.583333333336</v>
      </c>
      <c r="D1285" t="s">
        <v>418</v>
      </c>
      <c r="E1285" t="s">
        <v>28</v>
      </c>
      <c r="F1285" t="s">
        <v>158</v>
      </c>
      <c r="G1285" t="s">
        <v>105</v>
      </c>
      <c r="H1285">
        <v>4</v>
      </c>
      <c r="I1285" t="s">
        <v>4156</v>
      </c>
      <c r="J1285" t="s">
        <v>357</v>
      </c>
    </row>
    <row r="1286" spans="1:10" x14ac:dyDescent="0.25">
      <c r="A1286" t="s">
        <v>4157</v>
      </c>
      <c r="B1286" t="s">
        <v>4158</v>
      </c>
      <c r="C1286" s="2">
        <v>46206.583333333336</v>
      </c>
      <c r="D1286" t="s">
        <v>418</v>
      </c>
      <c r="E1286" t="s">
        <v>57</v>
      </c>
      <c r="F1286" t="s">
        <v>211</v>
      </c>
      <c r="G1286" t="s">
        <v>131</v>
      </c>
      <c r="H1286">
        <v>1</v>
      </c>
      <c r="I1286" t="s">
        <v>4159</v>
      </c>
      <c r="J1286" t="s">
        <v>357</v>
      </c>
    </row>
    <row r="1287" spans="1:10" x14ac:dyDescent="0.25">
      <c r="A1287" t="s">
        <v>4160</v>
      </c>
      <c r="B1287" t="s">
        <v>4161</v>
      </c>
      <c r="C1287" s="2">
        <v>46206.583333333336</v>
      </c>
      <c r="D1287" t="s">
        <v>418</v>
      </c>
      <c r="E1287" t="s">
        <v>59</v>
      </c>
      <c r="F1287" t="s">
        <v>172</v>
      </c>
      <c r="G1287" t="s">
        <v>133</v>
      </c>
      <c r="H1287">
        <v>2</v>
      </c>
      <c r="I1287" t="s">
        <v>4162</v>
      </c>
      <c r="J1287" t="s">
        <v>357</v>
      </c>
    </row>
    <row r="1288" spans="1:10" x14ac:dyDescent="0.25">
      <c r="A1288" t="s">
        <v>4163</v>
      </c>
      <c r="B1288" t="s">
        <v>4164</v>
      </c>
      <c r="C1288" s="2">
        <v>46206.583333333336</v>
      </c>
      <c r="D1288" t="s">
        <v>418</v>
      </c>
      <c r="E1288" t="s">
        <v>73</v>
      </c>
      <c r="F1288" t="s">
        <v>142</v>
      </c>
      <c r="G1288" t="s">
        <v>143</v>
      </c>
      <c r="H1288">
        <v>4</v>
      </c>
      <c r="I1288" t="s">
        <v>4165</v>
      </c>
      <c r="J1288" t="s">
        <v>357</v>
      </c>
    </row>
    <row r="1289" spans="1:10" x14ac:dyDescent="0.25">
      <c r="A1289" t="s">
        <v>4166</v>
      </c>
      <c r="B1289" t="s">
        <v>4167</v>
      </c>
      <c r="C1289" s="2">
        <v>46206.583333333336</v>
      </c>
      <c r="D1289" t="s">
        <v>418</v>
      </c>
      <c r="E1289" t="s">
        <v>77</v>
      </c>
      <c r="F1289" t="s">
        <v>179</v>
      </c>
      <c r="G1289" t="s">
        <v>147</v>
      </c>
      <c r="H1289">
        <v>2</v>
      </c>
      <c r="I1289" t="s">
        <v>4168</v>
      </c>
      <c r="J1289" t="s">
        <v>357</v>
      </c>
    </row>
    <row r="1290" spans="1:10" x14ac:dyDescent="0.25">
      <c r="A1290" t="s">
        <v>4169</v>
      </c>
      <c r="B1290" t="s">
        <v>4170</v>
      </c>
      <c r="C1290" s="2">
        <v>46207.583333333336</v>
      </c>
      <c r="D1290" t="s">
        <v>418</v>
      </c>
      <c r="E1290" t="s">
        <v>22</v>
      </c>
      <c r="F1290" t="s">
        <v>204</v>
      </c>
      <c r="G1290" t="s">
        <v>99</v>
      </c>
      <c r="H1290">
        <v>4</v>
      </c>
      <c r="I1290" t="s">
        <v>4171</v>
      </c>
      <c r="J1290" t="s">
        <v>357</v>
      </c>
    </row>
    <row r="1291" spans="1:10" x14ac:dyDescent="0.25">
      <c r="A1291" t="s">
        <v>4172</v>
      </c>
      <c r="B1291" t="s">
        <v>4173</v>
      </c>
      <c r="C1291" s="2">
        <v>46207.583333333336</v>
      </c>
      <c r="D1291" t="s">
        <v>418</v>
      </c>
      <c r="E1291" t="s">
        <v>26</v>
      </c>
      <c r="F1291" t="s">
        <v>206</v>
      </c>
      <c r="G1291" t="s">
        <v>103</v>
      </c>
      <c r="H1291">
        <v>1</v>
      </c>
      <c r="I1291" t="s">
        <v>4174</v>
      </c>
      <c r="J1291" t="s">
        <v>357</v>
      </c>
    </row>
    <row r="1292" spans="1:10" x14ac:dyDescent="0.25">
      <c r="A1292" t="s">
        <v>4175</v>
      </c>
      <c r="B1292" t="s">
        <v>4176</v>
      </c>
      <c r="C1292" s="2">
        <v>46207.583333333336</v>
      </c>
      <c r="D1292" t="s">
        <v>418</v>
      </c>
      <c r="E1292" t="s">
        <v>32</v>
      </c>
      <c r="F1292" t="s">
        <v>186</v>
      </c>
      <c r="G1292" t="s">
        <v>109</v>
      </c>
      <c r="H1292">
        <v>2</v>
      </c>
      <c r="I1292" t="s">
        <v>4177</v>
      </c>
      <c r="J1292" t="s">
        <v>357</v>
      </c>
    </row>
    <row r="1293" spans="1:10" x14ac:dyDescent="0.25">
      <c r="A1293" t="s">
        <v>4178</v>
      </c>
      <c r="B1293" t="s">
        <v>4179</v>
      </c>
      <c r="C1293" s="2">
        <v>46207.583333333336</v>
      </c>
      <c r="D1293" t="s">
        <v>418</v>
      </c>
      <c r="E1293" t="s">
        <v>47</v>
      </c>
      <c r="F1293" t="s">
        <v>120</v>
      </c>
      <c r="G1293" t="s">
        <v>121</v>
      </c>
      <c r="H1293">
        <v>3</v>
      </c>
      <c r="I1293" t="s">
        <v>4180</v>
      </c>
      <c r="J1293" t="s">
        <v>357</v>
      </c>
    </row>
    <row r="1294" spans="1:10" x14ac:dyDescent="0.25">
      <c r="A1294" t="s">
        <v>4181</v>
      </c>
      <c r="B1294" t="s">
        <v>4182</v>
      </c>
      <c r="C1294" s="2">
        <v>46207.583333333336</v>
      </c>
      <c r="D1294" t="s">
        <v>418</v>
      </c>
      <c r="E1294" t="s">
        <v>53</v>
      </c>
      <c r="F1294" t="s">
        <v>210</v>
      </c>
      <c r="G1294" t="s">
        <v>127</v>
      </c>
      <c r="H1294">
        <v>3</v>
      </c>
      <c r="I1294" t="s">
        <v>4183</v>
      </c>
      <c r="J1294" t="s">
        <v>357</v>
      </c>
    </row>
    <row r="1295" spans="1:10" x14ac:dyDescent="0.25">
      <c r="A1295" t="s">
        <v>4184</v>
      </c>
      <c r="B1295" t="s">
        <v>4185</v>
      </c>
      <c r="C1295" s="2">
        <v>46207.583333333336</v>
      </c>
      <c r="D1295" t="s">
        <v>418</v>
      </c>
      <c r="E1295" t="s">
        <v>65</v>
      </c>
      <c r="F1295" t="s">
        <v>173</v>
      </c>
      <c r="G1295" t="s">
        <v>135</v>
      </c>
      <c r="H1295">
        <v>5</v>
      </c>
      <c r="I1295" t="s">
        <v>4186</v>
      </c>
      <c r="J1295" t="s">
        <v>357</v>
      </c>
    </row>
    <row r="1296" spans="1:10" x14ac:dyDescent="0.25">
      <c r="A1296" t="s">
        <v>4187</v>
      </c>
      <c r="B1296" t="s">
        <v>4188</v>
      </c>
      <c r="C1296" s="2">
        <v>46207.583333333336</v>
      </c>
      <c r="D1296" t="s">
        <v>418</v>
      </c>
      <c r="E1296" t="s">
        <v>67</v>
      </c>
      <c r="F1296" t="s">
        <v>174</v>
      </c>
      <c r="G1296" t="s">
        <v>137</v>
      </c>
      <c r="H1296">
        <v>5</v>
      </c>
      <c r="I1296" t="s">
        <v>4189</v>
      </c>
      <c r="J1296" t="s">
        <v>357</v>
      </c>
    </row>
    <row r="1297" spans="1:10" x14ac:dyDescent="0.25">
      <c r="A1297" t="s">
        <v>4190</v>
      </c>
      <c r="B1297" t="s">
        <v>4191</v>
      </c>
      <c r="C1297" s="2">
        <v>46207.583333333336</v>
      </c>
      <c r="D1297" t="s">
        <v>418</v>
      </c>
      <c r="E1297" t="s">
        <v>71</v>
      </c>
      <c r="F1297" t="s">
        <v>176</v>
      </c>
      <c r="G1297" t="s">
        <v>141</v>
      </c>
      <c r="H1297">
        <v>3</v>
      </c>
      <c r="I1297" t="s">
        <v>4192</v>
      </c>
      <c r="J1297" t="s">
        <v>357</v>
      </c>
    </row>
    <row r="1298" spans="1:10" x14ac:dyDescent="0.25">
      <c r="A1298" t="s">
        <v>4193</v>
      </c>
      <c r="B1298" t="s">
        <v>4194</v>
      </c>
      <c r="C1298" s="2">
        <v>46207.583333333336</v>
      </c>
      <c r="D1298" t="s">
        <v>418</v>
      </c>
      <c r="E1298" t="s">
        <v>11</v>
      </c>
      <c r="F1298" t="s">
        <v>201</v>
      </c>
      <c r="G1298" t="s">
        <v>92</v>
      </c>
      <c r="H1298">
        <v>6</v>
      </c>
      <c r="I1298" t="s">
        <v>4195</v>
      </c>
      <c r="J1298" t="s">
        <v>357</v>
      </c>
    </row>
    <row r="1299" spans="1:10" x14ac:dyDescent="0.25">
      <c r="A1299" t="s">
        <v>4196</v>
      </c>
      <c r="B1299" t="s">
        <v>4197</v>
      </c>
      <c r="C1299" s="2">
        <v>46207.583333333336</v>
      </c>
      <c r="D1299" t="s">
        <v>418</v>
      </c>
      <c r="E1299" t="s">
        <v>20</v>
      </c>
      <c r="F1299" t="s">
        <v>203</v>
      </c>
      <c r="G1299" t="s">
        <v>97</v>
      </c>
      <c r="H1299">
        <v>1</v>
      </c>
      <c r="I1299" t="s">
        <v>4198</v>
      </c>
      <c r="J1299" t="s">
        <v>357</v>
      </c>
    </row>
    <row r="1300" spans="1:10" x14ac:dyDescent="0.25">
      <c r="A1300" t="s">
        <v>4199</v>
      </c>
      <c r="B1300" t="s">
        <v>4200</v>
      </c>
      <c r="C1300" s="2">
        <v>46207.583333333336</v>
      </c>
      <c r="D1300" t="s">
        <v>418</v>
      </c>
      <c r="E1300" t="s">
        <v>47</v>
      </c>
      <c r="F1300" t="s">
        <v>120</v>
      </c>
      <c r="G1300" t="s">
        <v>121</v>
      </c>
      <c r="H1300">
        <v>3</v>
      </c>
      <c r="I1300" t="s">
        <v>4201</v>
      </c>
      <c r="J1300" t="s">
        <v>357</v>
      </c>
    </row>
    <row r="1301" spans="1:10" x14ac:dyDescent="0.25">
      <c r="A1301" t="s">
        <v>4202</v>
      </c>
      <c r="B1301" t="s">
        <v>4203</v>
      </c>
      <c r="C1301" s="2">
        <v>46207.583333333336</v>
      </c>
      <c r="D1301" t="s">
        <v>418</v>
      </c>
      <c r="E1301" t="s">
        <v>55</v>
      </c>
      <c r="F1301" t="s">
        <v>192</v>
      </c>
      <c r="G1301" t="s">
        <v>129</v>
      </c>
      <c r="H1301">
        <v>1</v>
      </c>
      <c r="I1301" t="s">
        <v>4204</v>
      </c>
      <c r="J1301" t="s">
        <v>357</v>
      </c>
    </row>
    <row r="1302" spans="1:10" x14ac:dyDescent="0.25">
      <c r="A1302" t="s">
        <v>4205</v>
      </c>
      <c r="B1302" t="s">
        <v>4206</v>
      </c>
      <c r="C1302" s="2">
        <v>46207.583333333336</v>
      </c>
      <c r="D1302" t="s">
        <v>418</v>
      </c>
      <c r="E1302" t="s">
        <v>11</v>
      </c>
      <c r="F1302" t="s">
        <v>201</v>
      </c>
      <c r="G1302" t="s">
        <v>92</v>
      </c>
      <c r="H1302">
        <v>8</v>
      </c>
      <c r="I1302" t="s">
        <v>4207</v>
      </c>
      <c r="J1302" t="s">
        <v>357</v>
      </c>
    </row>
    <row r="1303" spans="1:10" x14ac:dyDescent="0.25">
      <c r="A1303" t="s">
        <v>4208</v>
      </c>
      <c r="B1303" t="s">
        <v>4209</v>
      </c>
      <c r="C1303" s="2">
        <v>46207.583333333336</v>
      </c>
      <c r="D1303" t="s">
        <v>418</v>
      </c>
      <c r="E1303" t="s">
        <v>18</v>
      </c>
      <c r="F1303" t="s">
        <v>202</v>
      </c>
      <c r="G1303" t="s">
        <v>95</v>
      </c>
      <c r="H1303">
        <v>8</v>
      </c>
      <c r="I1303" t="s">
        <v>4210</v>
      </c>
      <c r="J1303" t="s">
        <v>357</v>
      </c>
    </row>
    <row r="1304" spans="1:10" x14ac:dyDescent="0.25">
      <c r="A1304" t="s">
        <v>4211</v>
      </c>
      <c r="B1304" t="s">
        <v>4212</v>
      </c>
      <c r="C1304" s="2">
        <v>46207.583333333336</v>
      </c>
      <c r="D1304" t="s">
        <v>418</v>
      </c>
      <c r="E1304" t="s">
        <v>20</v>
      </c>
      <c r="F1304" t="s">
        <v>203</v>
      </c>
      <c r="G1304" t="s">
        <v>97</v>
      </c>
      <c r="H1304">
        <v>6</v>
      </c>
      <c r="I1304" t="s">
        <v>4213</v>
      </c>
      <c r="J1304" t="s">
        <v>357</v>
      </c>
    </row>
    <row r="1305" spans="1:10" x14ac:dyDescent="0.25">
      <c r="A1305" t="s">
        <v>4214</v>
      </c>
      <c r="B1305" t="s">
        <v>4215</v>
      </c>
      <c r="C1305" s="2">
        <v>46207.583333333336</v>
      </c>
      <c r="D1305" t="s">
        <v>418</v>
      </c>
      <c r="E1305" t="s">
        <v>22</v>
      </c>
      <c r="F1305" t="s">
        <v>204</v>
      </c>
      <c r="G1305" t="s">
        <v>99</v>
      </c>
      <c r="H1305">
        <v>3</v>
      </c>
      <c r="I1305" t="s">
        <v>4216</v>
      </c>
      <c r="J1305" t="s">
        <v>357</v>
      </c>
    </row>
    <row r="1306" spans="1:10" x14ac:dyDescent="0.25">
      <c r="A1306" t="s">
        <v>4217</v>
      </c>
      <c r="B1306" t="s">
        <v>4218</v>
      </c>
      <c r="C1306" s="2">
        <v>46207.583333333336</v>
      </c>
      <c r="D1306" t="s">
        <v>418</v>
      </c>
      <c r="E1306" t="s">
        <v>26</v>
      </c>
      <c r="F1306" t="s">
        <v>206</v>
      </c>
      <c r="G1306" t="s">
        <v>103</v>
      </c>
      <c r="H1306">
        <v>6</v>
      </c>
      <c r="I1306" t="s">
        <v>4219</v>
      </c>
      <c r="J1306" t="s">
        <v>357</v>
      </c>
    </row>
    <row r="1307" spans="1:10" x14ac:dyDescent="0.25">
      <c r="A1307" t="s">
        <v>4220</v>
      </c>
      <c r="B1307" t="s">
        <v>4221</v>
      </c>
      <c r="C1307" s="2">
        <v>46207.583333333336</v>
      </c>
      <c r="D1307" t="s">
        <v>418</v>
      </c>
      <c r="E1307" t="s">
        <v>41</v>
      </c>
      <c r="F1307" t="s">
        <v>188</v>
      </c>
      <c r="G1307" t="s">
        <v>115</v>
      </c>
      <c r="H1307">
        <v>3</v>
      </c>
      <c r="I1307" t="s">
        <v>4222</v>
      </c>
      <c r="J1307" t="s">
        <v>357</v>
      </c>
    </row>
    <row r="1308" spans="1:10" x14ac:dyDescent="0.25">
      <c r="A1308" t="s">
        <v>4223</v>
      </c>
      <c r="B1308" t="s">
        <v>4224</v>
      </c>
      <c r="C1308" s="2">
        <v>46207.583333333336</v>
      </c>
      <c r="D1308" t="s">
        <v>418</v>
      </c>
      <c r="E1308" t="s">
        <v>55</v>
      </c>
      <c r="F1308" t="s">
        <v>192</v>
      </c>
      <c r="G1308" t="s">
        <v>129</v>
      </c>
      <c r="H1308">
        <v>2</v>
      </c>
      <c r="I1308" t="s">
        <v>4225</v>
      </c>
      <c r="J1308" t="s">
        <v>357</v>
      </c>
    </row>
    <row r="1309" spans="1:10" x14ac:dyDescent="0.25">
      <c r="A1309" t="s">
        <v>4226</v>
      </c>
      <c r="B1309" t="s">
        <v>4227</v>
      </c>
      <c r="C1309" s="2">
        <v>46207.583333333336</v>
      </c>
      <c r="D1309" t="s">
        <v>418</v>
      </c>
      <c r="E1309" t="s">
        <v>65</v>
      </c>
      <c r="F1309" t="s">
        <v>173</v>
      </c>
      <c r="G1309" t="s">
        <v>135</v>
      </c>
      <c r="H1309">
        <v>6</v>
      </c>
      <c r="I1309" t="s">
        <v>4228</v>
      </c>
      <c r="J1309" t="s">
        <v>357</v>
      </c>
    </row>
    <row r="1310" spans="1:10" x14ac:dyDescent="0.25">
      <c r="A1310" t="s">
        <v>4229</v>
      </c>
      <c r="B1310" t="s">
        <v>4230</v>
      </c>
      <c r="C1310" s="2">
        <v>46207.583333333336</v>
      </c>
      <c r="D1310" t="s">
        <v>418</v>
      </c>
      <c r="E1310" t="s">
        <v>69</v>
      </c>
      <c r="F1310" t="s">
        <v>175</v>
      </c>
      <c r="G1310" t="s">
        <v>139</v>
      </c>
      <c r="H1310">
        <v>3</v>
      </c>
      <c r="I1310" t="s">
        <v>4231</v>
      </c>
      <c r="J1310" t="s">
        <v>357</v>
      </c>
    </row>
    <row r="1311" spans="1:10" x14ac:dyDescent="0.25">
      <c r="A1311" t="s">
        <v>4232</v>
      </c>
      <c r="B1311" t="s">
        <v>4233</v>
      </c>
      <c r="C1311" s="2">
        <v>46207.583333333336</v>
      </c>
      <c r="D1311" t="s">
        <v>418</v>
      </c>
      <c r="E1311" t="s">
        <v>77</v>
      </c>
      <c r="F1311" t="s">
        <v>179</v>
      </c>
      <c r="G1311" t="s">
        <v>147</v>
      </c>
      <c r="H1311">
        <v>5</v>
      </c>
      <c r="I1311" t="s">
        <v>4234</v>
      </c>
      <c r="J1311" t="s">
        <v>357</v>
      </c>
    </row>
    <row r="1312" spans="1:10" x14ac:dyDescent="0.25">
      <c r="A1312" t="s">
        <v>4235</v>
      </c>
      <c r="B1312" t="s">
        <v>4236</v>
      </c>
      <c r="C1312" s="2">
        <v>46207.583333333336</v>
      </c>
      <c r="D1312" t="s">
        <v>418</v>
      </c>
      <c r="E1312" t="s">
        <v>11</v>
      </c>
      <c r="F1312" t="s">
        <v>201</v>
      </c>
      <c r="G1312" t="s">
        <v>92</v>
      </c>
      <c r="H1312">
        <v>5</v>
      </c>
      <c r="I1312" t="s">
        <v>4237</v>
      </c>
      <c r="J1312" t="s">
        <v>357</v>
      </c>
    </row>
    <row r="1313" spans="1:10" x14ac:dyDescent="0.25">
      <c r="A1313" t="s">
        <v>4238</v>
      </c>
      <c r="B1313" t="s">
        <v>4239</v>
      </c>
      <c r="C1313" s="2">
        <v>46207.583333333336</v>
      </c>
      <c r="D1313" t="s">
        <v>418</v>
      </c>
      <c r="E1313" t="s">
        <v>20</v>
      </c>
      <c r="F1313" t="s">
        <v>203</v>
      </c>
      <c r="G1313" t="s">
        <v>97</v>
      </c>
      <c r="H1313">
        <v>9</v>
      </c>
      <c r="I1313" t="s">
        <v>4240</v>
      </c>
      <c r="J1313" t="s">
        <v>357</v>
      </c>
    </row>
    <row r="1314" spans="1:10" x14ac:dyDescent="0.25">
      <c r="A1314" t="s">
        <v>4241</v>
      </c>
      <c r="B1314" t="s">
        <v>4242</v>
      </c>
      <c r="C1314" s="2">
        <v>46207.583333333336</v>
      </c>
      <c r="D1314" t="s">
        <v>418</v>
      </c>
      <c r="E1314" t="s">
        <v>26</v>
      </c>
      <c r="F1314" t="s">
        <v>206</v>
      </c>
      <c r="G1314" t="s">
        <v>103</v>
      </c>
      <c r="H1314">
        <v>2</v>
      </c>
      <c r="I1314" t="s">
        <v>4243</v>
      </c>
      <c r="J1314" t="s">
        <v>357</v>
      </c>
    </row>
    <row r="1315" spans="1:10" x14ac:dyDescent="0.25">
      <c r="A1315" t="s">
        <v>4244</v>
      </c>
      <c r="B1315" t="s">
        <v>4245</v>
      </c>
      <c r="C1315" s="2">
        <v>46207.583333333336</v>
      </c>
      <c r="D1315" t="s">
        <v>418</v>
      </c>
      <c r="E1315" t="s">
        <v>32</v>
      </c>
      <c r="F1315" t="s">
        <v>186</v>
      </c>
      <c r="G1315" t="s">
        <v>109</v>
      </c>
      <c r="H1315">
        <v>5</v>
      </c>
      <c r="I1315" t="s">
        <v>4246</v>
      </c>
      <c r="J1315" t="s">
        <v>357</v>
      </c>
    </row>
    <row r="1316" spans="1:10" x14ac:dyDescent="0.25">
      <c r="A1316" t="s">
        <v>4247</v>
      </c>
      <c r="B1316" t="s">
        <v>4248</v>
      </c>
      <c r="C1316" s="2">
        <v>46207.583333333336</v>
      </c>
      <c r="D1316" t="s">
        <v>418</v>
      </c>
      <c r="E1316" t="s">
        <v>53</v>
      </c>
      <c r="F1316" t="s">
        <v>210</v>
      </c>
      <c r="G1316" t="s">
        <v>127</v>
      </c>
      <c r="H1316">
        <v>2</v>
      </c>
      <c r="I1316" t="s">
        <v>4249</v>
      </c>
      <c r="J1316" t="s">
        <v>357</v>
      </c>
    </row>
    <row r="1317" spans="1:10" x14ac:dyDescent="0.25">
      <c r="A1317" t="s">
        <v>4250</v>
      </c>
      <c r="B1317" t="s">
        <v>4251</v>
      </c>
      <c r="C1317" s="2">
        <v>46207.583333333336</v>
      </c>
      <c r="D1317" t="s">
        <v>418</v>
      </c>
      <c r="E1317" t="s">
        <v>11</v>
      </c>
      <c r="F1317" t="s">
        <v>201</v>
      </c>
      <c r="G1317" t="s">
        <v>92</v>
      </c>
      <c r="H1317">
        <v>5</v>
      </c>
      <c r="I1317" t="s">
        <v>4252</v>
      </c>
      <c r="J1317" t="s">
        <v>357</v>
      </c>
    </row>
    <row r="1318" spans="1:10" x14ac:dyDescent="0.25">
      <c r="A1318" t="s">
        <v>4253</v>
      </c>
      <c r="B1318" t="s">
        <v>4254</v>
      </c>
      <c r="C1318" s="2">
        <v>46207.583333333336</v>
      </c>
      <c r="D1318" t="s">
        <v>418</v>
      </c>
      <c r="E1318" t="s">
        <v>43</v>
      </c>
      <c r="F1318" t="s">
        <v>208</v>
      </c>
      <c r="G1318" t="s">
        <v>117</v>
      </c>
      <c r="H1318">
        <v>1</v>
      </c>
      <c r="I1318" t="s">
        <v>4255</v>
      </c>
      <c r="J1318" t="s">
        <v>357</v>
      </c>
    </row>
    <row r="1319" spans="1:10" x14ac:dyDescent="0.25">
      <c r="A1319" t="s">
        <v>4256</v>
      </c>
      <c r="B1319" t="s">
        <v>4257</v>
      </c>
      <c r="C1319" s="2">
        <v>46207.583333333336</v>
      </c>
      <c r="D1319" t="s">
        <v>418</v>
      </c>
      <c r="E1319" t="s">
        <v>47</v>
      </c>
      <c r="F1319" t="s">
        <v>120</v>
      </c>
      <c r="G1319" t="s">
        <v>121</v>
      </c>
      <c r="H1319">
        <v>4</v>
      </c>
      <c r="I1319" t="s">
        <v>4258</v>
      </c>
      <c r="J1319" t="s">
        <v>357</v>
      </c>
    </row>
    <row r="1320" spans="1:10" x14ac:dyDescent="0.25">
      <c r="A1320" t="s">
        <v>4259</v>
      </c>
      <c r="B1320" t="s">
        <v>4260</v>
      </c>
      <c r="C1320" s="2">
        <v>46207.583333333336</v>
      </c>
      <c r="D1320" t="s">
        <v>418</v>
      </c>
      <c r="E1320" t="s">
        <v>71</v>
      </c>
      <c r="F1320" t="s">
        <v>176</v>
      </c>
      <c r="G1320" t="s">
        <v>141</v>
      </c>
      <c r="H1320">
        <v>1</v>
      </c>
      <c r="I1320" t="s">
        <v>4261</v>
      </c>
      <c r="J1320" t="s">
        <v>357</v>
      </c>
    </row>
    <row r="1321" spans="1:10" x14ac:dyDescent="0.25">
      <c r="A1321" t="s">
        <v>4262</v>
      </c>
      <c r="B1321" t="s">
        <v>4263</v>
      </c>
      <c r="C1321" s="2">
        <v>46207.583333333336</v>
      </c>
      <c r="D1321" t="s">
        <v>418</v>
      </c>
      <c r="E1321" t="s">
        <v>75</v>
      </c>
      <c r="F1321" t="s">
        <v>178</v>
      </c>
      <c r="G1321" t="s">
        <v>145</v>
      </c>
      <c r="H1321">
        <v>5</v>
      </c>
      <c r="I1321" t="s">
        <v>4264</v>
      </c>
      <c r="J1321" t="s">
        <v>357</v>
      </c>
    </row>
    <row r="1322" spans="1:10" x14ac:dyDescent="0.25">
      <c r="A1322" t="s">
        <v>4265</v>
      </c>
      <c r="B1322" t="s">
        <v>4266</v>
      </c>
      <c r="C1322" s="2">
        <v>46207.583333333336</v>
      </c>
      <c r="D1322" t="s">
        <v>418</v>
      </c>
      <c r="E1322" t="s">
        <v>77</v>
      </c>
      <c r="F1322" t="s">
        <v>179</v>
      </c>
      <c r="G1322" t="s">
        <v>147</v>
      </c>
      <c r="H1322">
        <v>1</v>
      </c>
      <c r="I1322" t="s">
        <v>4267</v>
      </c>
      <c r="J1322" t="s">
        <v>357</v>
      </c>
    </row>
    <row r="1323" spans="1:10" x14ac:dyDescent="0.25">
      <c r="A1323" t="s">
        <v>4268</v>
      </c>
      <c r="B1323" t="s">
        <v>4269</v>
      </c>
      <c r="C1323" s="2">
        <v>46208.583333333336</v>
      </c>
      <c r="D1323" t="s">
        <v>418</v>
      </c>
      <c r="E1323" t="s">
        <v>20</v>
      </c>
      <c r="F1323" t="s">
        <v>203</v>
      </c>
      <c r="G1323" t="s">
        <v>97</v>
      </c>
      <c r="H1323">
        <v>2</v>
      </c>
      <c r="I1323" t="s">
        <v>4270</v>
      </c>
      <c r="J1323" t="s">
        <v>357</v>
      </c>
    </row>
    <row r="1324" spans="1:10" x14ac:dyDescent="0.25">
      <c r="A1324" t="s">
        <v>4271</v>
      </c>
      <c r="B1324" t="s">
        <v>4272</v>
      </c>
      <c r="C1324" s="2">
        <v>46208.583333333336</v>
      </c>
      <c r="D1324" t="s">
        <v>418</v>
      </c>
      <c r="E1324" t="s">
        <v>24</v>
      </c>
      <c r="F1324" t="s">
        <v>156</v>
      </c>
      <c r="G1324" t="s">
        <v>101</v>
      </c>
      <c r="H1324">
        <v>2</v>
      </c>
      <c r="I1324" t="s">
        <v>4273</v>
      </c>
      <c r="J1324" t="s">
        <v>357</v>
      </c>
    </row>
    <row r="1325" spans="1:10" x14ac:dyDescent="0.25">
      <c r="A1325" t="s">
        <v>4274</v>
      </c>
      <c r="B1325" t="s">
        <v>4275</v>
      </c>
      <c r="C1325" s="2">
        <v>46208.583333333336</v>
      </c>
      <c r="D1325" t="s">
        <v>418</v>
      </c>
      <c r="E1325" t="s">
        <v>26</v>
      </c>
      <c r="F1325" t="s">
        <v>206</v>
      </c>
      <c r="G1325" t="s">
        <v>103</v>
      </c>
      <c r="H1325">
        <v>5</v>
      </c>
      <c r="I1325" t="s">
        <v>4276</v>
      </c>
      <c r="J1325" t="s">
        <v>357</v>
      </c>
    </row>
    <row r="1326" spans="1:10" x14ac:dyDescent="0.25">
      <c r="A1326" t="s">
        <v>4277</v>
      </c>
      <c r="B1326" t="s">
        <v>4278</v>
      </c>
      <c r="C1326" s="2">
        <v>46208.583333333336</v>
      </c>
      <c r="D1326" t="s">
        <v>418</v>
      </c>
      <c r="E1326" t="s">
        <v>28</v>
      </c>
      <c r="F1326" t="s">
        <v>158</v>
      </c>
      <c r="G1326" t="s">
        <v>105</v>
      </c>
      <c r="H1326">
        <v>5</v>
      </c>
      <c r="I1326" t="s">
        <v>4279</v>
      </c>
      <c r="J1326" t="s">
        <v>357</v>
      </c>
    </row>
    <row r="1327" spans="1:10" x14ac:dyDescent="0.25">
      <c r="A1327" t="s">
        <v>4280</v>
      </c>
      <c r="B1327" t="s">
        <v>4281</v>
      </c>
      <c r="C1327" s="2">
        <v>46208.583333333336</v>
      </c>
      <c r="D1327" t="s">
        <v>418</v>
      </c>
      <c r="E1327" t="s">
        <v>30</v>
      </c>
      <c r="F1327" t="s">
        <v>159</v>
      </c>
      <c r="G1327" t="s">
        <v>107</v>
      </c>
      <c r="H1327">
        <v>4</v>
      </c>
      <c r="I1327" t="s">
        <v>4282</v>
      </c>
      <c r="J1327" t="s">
        <v>357</v>
      </c>
    </row>
    <row r="1328" spans="1:10" x14ac:dyDescent="0.25">
      <c r="A1328" t="s">
        <v>4283</v>
      </c>
      <c r="B1328" t="s">
        <v>4284</v>
      </c>
      <c r="C1328" s="2">
        <v>46208.583333333336</v>
      </c>
      <c r="D1328" t="s">
        <v>418</v>
      </c>
      <c r="E1328" t="s">
        <v>41</v>
      </c>
      <c r="F1328" t="s">
        <v>188</v>
      </c>
      <c r="G1328" t="s">
        <v>115</v>
      </c>
      <c r="H1328">
        <v>1</v>
      </c>
      <c r="I1328" t="s">
        <v>4285</v>
      </c>
      <c r="J1328" t="s">
        <v>357</v>
      </c>
    </row>
    <row r="1329" spans="1:10" x14ac:dyDescent="0.25">
      <c r="A1329" t="s">
        <v>4286</v>
      </c>
      <c r="B1329" t="s">
        <v>4287</v>
      </c>
      <c r="C1329" s="2">
        <v>46208.583333333336</v>
      </c>
      <c r="D1329" t="s">
        <v>418</v>
      </c>
      <c r="E1329" t="s">
        <v>45</v>
      </c>
      <c r="F1329" t="s">
        <v>165</v>
      </c>
      <c r="G1329" t="s">
        <v>119</v>
      </c>
      <c r="H1329">
        <v>2</v>
      </c>
      <c r="I1329" t="s">
        <v>4288</v>
      </c>
      <c r="J1329" t="s">
        <v>357</v>
      </c>
    </row>
    <row r="1330" spans="1:10" x14ac:dyDescent="0.25">
      <c r="A1330" t="s">
        <v>4289</v>
      </c>
      <c r="B1330" t="s">
        <v>4290</v>
      </c>
      <c r="C1330" s="2">
        <v>46208.583333333336</v>
      </c>
      <c r="D1330" t="s">
        <v>418</v>
      </c>
      <c r="E1330" t="s">
        <v>47</v>
      </c>
      <c r="F1330" t="s">
        <v>120</v>
      </c>
      <c r="G1330" t="s">
        <v>121</v>
      </c>
      <c r="H1330">
        <v>3</v>
      </c>
      <c r="I1330" t="s">
        <v>4291</v>
      </c>
      <c r="J1330" t="s">
        <v>357</v>
      </c>
    </row>
    <row r="1331" spans="1:10" x14ac:dyDescent="0.25">
      <c r="A1331" t="s">
        <v>4292</v>
      </c>
      <c r="B1331" t="s">
        <v>4293</v>
      </c>
      <c r="C1331" s="2">
        <v>46208.583333333336</v>
      </c>
      <c r="D1331" t="s">
        <v>418</v>
      </c>
      <c r="E1331" t="s">
        <v>53</v>
      </c>
      <c r="F1331" t="s">
        <v>210</v>
      </c>
      <c r="G1331" t="s">
        <v>127</v>
      </c>
      <c r="H1331">
        <v>5</v>
      </c>
      <c r="I1331" t="s">
        <v>4294</v>
      </c>
      <c r="J1331" t="s">
        <v>357</v>
      </c>
    </row>
    <row r="1332" spans="1:10" x14ac:dyDescent="0.25">
      <c r="A1332" t="s">
        <v>4295</v>
      </c>
      <c r="B1332" t="s">
        <v>4296</v>
      </c>
      <c r="C1332" s="2">
        <v>46208.583333333336</v>
      </c>
      <c r="D1332" t="s">
        <v>418</v>
      </c>
      <c r="E1332" t="s">
        <v>57</v>
      </c>
      <c r="F1332" t="s">
        <v>211</v>
      </c>
      <c r="G1332" t="s">
        <v>131</v>
      </c>
      <c r="H1332">
        <v>5</v>
      </c>
      <c r="I1332" t="s">
        <v>4297</v>
      </c>
      <c r="J1332" t="s">
        <v>357</v>
      </c>
    </row>
    <row r="1333" spans="1:10" x14ac:dyDescent="0.25">
      <c r="A1333" t="s">
        <v>4298</v>
      </c>
      <c r="B1333" t="s">
        <v>4299</v>
      </c>
      <c r="C1333" s="2">
        <v>46208.583333333336</v>
      </c>
      <c r="D1333" t="s">
        <v>418</v>
      </c>
      <c r="E1333" t="s">
        <v>71</v>
      </c>
      <c r="F1333" t="s">
        <v>176</v>
      </c>
      <c r="G1333" t="s">
        <v>141</v>
      </c>
      <c r="H1333">
        <v>3</v>
      </c>
      <c r="I1333" t="s">
        <v>4300</v>
      </c>
      <c r="J1333" t="s">
        <v>357</v>
      </c>
    </row>
    <row r="1334" spans="1:10" x14ac:dyDescent="0.25">
      <c r="A1334" t="s">
        <v>4301</v>
      </c>
      <c r="B1334" t="s">
        <v>4302</v>
      </c>
      <c r="C1334" s="2">
        <v>46208.583333333336</v>
      </c>
      <c r="D1334" t="s">
        <v>418</v>
      </c>
      <c r="E1334" t="s">
        <v>75</v>
      </c>
      <c r="F1334" t="s">
        <v>178</v>
      </c>
      <c r="G1334" t="s">
        <v>145</v>
      </c>
      <c r="H1334">
        <v>5</v>
      </c>
      <c r="I1334" t="s">
        <v>4303</v>
      </c>
      <c r="J1334" t="s">
        <v>357</v>
      </c>
    </row>
    <row r="1335" spans="1:10" x14ac:dyDescent="0.25">
      <c r="A1335" t="s">
        <v>4304</v>
      </c>
      <c r="B1335" t="s">
        <v>4305</v>
      </c>
      <c r="C1335" s="2">
        <v>46208.583333333336</v>
      </c>
      <c r="D1335" t="s">
        <v>418</v>
      </c>
      <c r="E1335" t="s">
        <v>20</v>
      </c>
      <c r="F1335" t="s">
        <v>203</v>
      </c>
      <c r="G1335" t="s">
        <v>97</v>
      </c>
      <c r="H1335">
        <v>4</v>
      </c>
      <c r="I1335" t="s">
        <v>4306</v>
      </c>
      <c r="J1335" t="s">
        <v>357</v>
      </c>
    </row>
    <row r="1336" spans="1:10" x14ac:dyDescent="0.25">
      <c r="A1336" t="s">
        <v>4307</v>
      </c>
      <c r="B1336" t="s">
        <v>4308</v>
      </c>
      <c r="C1336" s="2">
        <v>46208.583333333336</v>
      </c>
      <c r="D1336" t="s">
        <v>418</v>
      </c>
      <c r="E1336" t="s">
        <v>24</v>
      </c>
      <c r="F1336" t="s">
        <v>156</v>
      </c>
      <c r="G1336" t="s">
        <v>101</v>
      </c>
      <c r="H1336">
        <v>3</v>
      </c>
      <c r="I1336" t="s">
        <v>4309</v>
      </c>
      <c r="J1336" t="s">
        <v>357</v>
      </c>
    </row>
    <row r="1337" spans="1:10" x14ac:dyDescent="0.25">
      <c r="A1337" t="s">
        <v>4310</v>
      </c>
      <c r="B1337" t="s">
        <v>4311</v>
      </c>
      <c r="C1337" s="2">
        <v>46208.583333333336</v>
      </c>
      <c r="D1337" t="s">
        <v>418</v>
      </c>
      <c r="E1337" t="s">
        <v>30</v>
      </c>
      <c r="F1337" t="s">
        <v>159</v>
      </c>
      <c r="G1337" t="s">
        <v>107</v>
      </c>
      <c r="H1337">
        <v>3</v>
      </c>
      <c r="I1337" t="s">
        <v>4312</v>
      </c>
      <c r="J1337" t="s">
        <v>357</v>
      </c>
    </row>
    <row r="1338" spans="1:10" x14ac:dyDescent="0.25">
      <c r="A1338" t="s">
        <v>4313</v>
      </c>
      <c r="B1338" t="s">
        <v>4314</v>
      </c>
      <c r="C1338" s="2">
        <v>46208.583333333336</v>
      </c>
      <c r="D1338" t="s">
        <v>418</v>
      </c>
      <c r="E1338" t="s">
        <v>36</v>
      </c>
      <c r="F1338" t="s">
        <v>187</v>
      </c>
      <c r="G1338" t="s">
        <v>113</v>
      </c>
      <c r="H1338">
        <v>6</v>
      </c>
      <c r="I1338" t="s">
        <v>4315</v>
      </c>
      <c r="J1338" t="s">
        <v>357</v>
      </c>
    </row>
    <row r="1339" spans="1:10" x14ac:dyDescent="0.25">
      <c r="A1339" t="s">
        <v>4316</v>
      </c>
      <c r="B1339" t="s">
        <v>4317</v>
      </c>
      <c r="C1339" s="2">
        <v>46208.583333333336</v>
      </c>
      <c r="D1339" t="s">
        <v>418</v>
      </c>
      <c r="E1339" t="s">
        <v>57</v>
      </c>
      <c r="F1339" t="s">
        <v>211</v>
      </c>
      <c r="G1339" t="s">
        <v>131</v>
      </c>
      <c r="H1339">
        <v>6</v>
      </c>
      <c r="I1339" t="s">
        <v>4318</v>
      </c>
      <c r="J1339" t="s">
        <v>357</v>
      </c>
    </row>
    <row r="1340" spans="1:10" x14ac:dyDescent="0.25">
      <c r="A1340" t="s">
        <v>4319</v>
      </c>
      <c r="B1340" t="s">
        <v>4320</v>
      </c>
      <c r="C1340" s="2">
        <v>46208.583333333336</v>
      </c>
      <c r="D1340" t="s">
        <v>418</v>
      </c>
      <c r="E1340" t="s">
        <v>59</v>
      </c>
      <c r="F1340" t="s">
        <v>172</v>
      </c>
      <c r="G1340" t="s">
        <v>133</v>
      </c>
      <c r="H1340">
        <v>6</v>
      </c>
      <c r="I1340" t="s">
        <v>4321</v>
      </c>
      <c r="J1340" t="s">
        <v>357</v>
      </c>
    </row>
    <row r="1341" spans="1:10" x14ac:dyDescent="0.25">
      <c r="A1341" t="s">
        <v>4322</v>
      </c>
      <c r="B1341" t="s">
        <v>4323</v>
      </c>
      <c r="C1341" s="2">
        <v>46208.583333333336</v>
      </c>
      <c r="D1341" t="s">
        <v>418</v>
      </c>
      <c r="E1341" t="s">
        <v>24</v>
      </c>
      <c r="F1341" t="s">
        <v>156</v>
      </c>
      <c r="G1341" t="s">
        <v>101</v>
      </c>
      <c r="H1341">
        <v>3</v>
      </c>
      <c r="I1341" t="s">
        <v>4324</v>
      </c>
      <c r="J1341" t="s">
        <v>357</v>
      </c>
    </row>
    <row r="1342" spans="1:10" x14ac:dyDescent="0.25">
      <c r="A1342" t="s">
        <v>4325</v>
      </c>
      <c r="B1342" t="s">
        <v>4326</v>
      </c>
      <c r="C1342" s="2">
        <v>46208.583333333336</v>
      </c>
      <c r="D1342" t="s">
        <v>418</v>
      </c>
      <c r="E1342" t="s">
        <v>26</v>
      </c>
      <c r="F1342" t="s">
        <v>206</v>
      </c>
      <c r="G1342" t="s">
        <v>103</v>
      </c>
      <c r="H1342">
        <v>5</v>
      </c>
      <c r="I1342" t="s">
        <v>4327</v>
      </c>
      <c r="J1342" t="s">
        <v>357</v>
      </c>
    </row>
    <row r="1343" spans="1:10" x14ac:dyDescent="0.25">
      <c r="A1343" t="s">
        <v>4328</v>
      </c>
      <c r="B1343" t="s">
        <v>4329</v>
      </c>
      <c r="C1343" s="2">
        <v>46208.583333333336</v>
      </c>
      <c r="D1343" t="s">
        <v>418</v>
      </c>
      <c r="E1343" t="s">
        <v>32</v>
      </c>
      <c r="F1343" t="s">
        <v>186</v>
      </c>
      <c r="G1343" t="s">
        <v>109</v>
      </c>
      <c r="H1343">
        <v>3</v>
      </c>
      <c r="I1343" t="s">
        <v>4330</v>
      </c>
      <c r="J1343" t="s">
        <v>357</v>
      </c>
    </row>
    <row r="1344" spans="1:10" x14ac:dyDescent="0.25">
      <c r="A1344" t="s">
        <v>4331</v>
      </c>
      <c r="B1344" t="s">
        <v>4332</v>
      </c>
      <c r="C1344" s="2">
        <v>46208.583333333336</v>
      </c>
      <c r="D1344" t="s">
        <v>418</v>
      </c>
      <c r="E1344" t="s">
        <v>49</v>
      </c>
      <c r="F1344" t="s">
        <v>167</v>
      </c>
      <c r="G1344" t="s">
        <v>123</v>
      </c>
      <c r="H1344">
        <v>8</v>
      </c>
      <c r="I1344" t="s">
        <v>4333</v>
      </c>
      <c r="J1344" t="s">
        <v>357</v>
      </c>
    </row>
    <row r="1345" spans="1:10" x14ac:dyDescent="0.25">
      <c r="A1345" t="s">
        <v>4334</v>
      </c>
      <c r="B1345" t="s">
        <v>4335</v>
      </c>
      <c r="C1345" s="2">
        <v>46208.583333333336</v>
      </c>
      <c r="D1345" t="s">
        <v>418</v>
      </c>
      <c r="E1345" t="s">
        <v>55</v>
      </c>
      <c r="F1345" t="s">
        <v>192</v>
      </c>
      <c r="G1345" t="s">
        <v>129</v>
      </c>
      <c r="H1345">
        <v>2</v>
      </c>
      <c r="I1345" t="s">
        <v>4336</v>
      </c>
      <c r="J1345" t="s">
        <v>357</v>
      </c>
    </row>
    <row r="1346" spans="1:10" x14ac:dyDescent="0.25">
      <c r="A1346" t="s">
        <v>4337</v>
      </c>
      <c r="B1346" t="s">
        <v>4338</v>
      </c>
      <c r="C1346" s="2">
        <v>46208.583333333336</v>
      </c>
      <c r="D1346" t="s">
        <v>418</v>
      </c>
      <c r="E1346" t="s">
        <v>71</v>
      </c>
      <c r="F1346" t="s">
        <v>198</v>
      </c>
      <c r="G1346" t="s">
        <v>141</v>
      </c>
      <c r="H1346">
        <v>6</v>
      </c>
      <c r="I1346" t="s">
        <v>4339</v>
      </c>
      <c r="J1346" t="s">
        <v>357</v>
      </c>
    </row>
    <row r="1347" spans="1:10" x14ac:dyDescent="0.25">
      <c r="A1347" t="s">
        <v>4340</v>
      </c>
      <c r="B1347" t="s">
        <v>4341</v>
      </c>
      <c r="C1347" s="2">
        <v>46208.583333333336</v>
      </c>
      <c r="D1347" t="s">
        <v>418</v>
      </c>
      <c r="E1347" t="s">
        <v>20</v>
      </c>
      <c r="F1347" t="s">
        <v>203</v>
      </c>
      <c r="G1347" t="s">
        <v>97</v>
      </c>
      <c r="H1347">
        <v>9</v>
      </c>
      <c r="I1347" t="s">
        <v>4342</v>
      </c>
      <c r="J1347" t="s">
        <v>357</v>
      </c>
    </row>
    <row r="1348" spans="1:10" x14ac:dyDescent="0.25">
      <c r="A1348" t="s">
        <v>4343</v>
      </c>
      <c r="B1348" t="s">
        <v>4344</v>
      </c>
      <c r="C1348" s="2">
        <v>46208.583333333336</v>
      </c>
      <c r="D1348" t="s">
        <v>418</v>
      </c>
      <c r="E1348" t="s">
        <v>22</v>
      </c>
      <c r="F1348" t="s">
        <v>204</v>
      </c>
      <c r="G1348" t="s">
        <v>99</v>
      </c>
      <c r="H1348">
        <v>4</v>
      </c>
      <c r="I1348" t="s">
        <v>4345</v>
      </c>
      <c r="J1348" t="s">
        <v>357</v>
      </c>
    </row>
    <row r="1349" spans="1:10" x14ac:dyDescent="0.25">
      <c r="A1349" t="s">
        <v>4346</v>
      </c>
      <c r="B1349" t="s">
        <v>4347</v>
      </c>
      <c r="C1349" s="2">
        <v>46208.583333333336</v>
      </c>
      <c r="D1349" t="s">
        <v>418</v>
      </c>
      <c r="E1349" t="s">
        <v>24</v>
      </c>
      <c r="F1349" t="s">
        <v>156</v>
      </c>
      <c r="G1349" t="s">
        <v>101</v>
      </c>
      <c r="H1349">
        <v>5</v>
      </c>
      <c r="I1349" t="s">
        <v>4348</v>
      </c>
      <c r="J1349" t="s">
        <v>357</v>
      </c>
    </row>
    <row r="1350" spans="1:10" x14ac:dyDescent="0.25">
      <c r="A1350" t="s">
        <v>4349</v>
      </c>
      <c r="B1350" t="s">
        <v>4350</v>
      </c>
      <c r="C1350" s="2">
        <v>46208.583333333336</v>
      </c>
      <c r="D1350" t="s">
        <v>418</v>
      </c>
      <c r="E1350" t="s">
        <v>26</v>
      </c>
      <c r="F1350" t="s">
        <v>206</v>
      </c>
      <c r="G1350" t="s">
        <v>103</v>
      </c>
      <c r="H1350">
        <v>7</v>
      </c>
      <c r="I1350" t="s">
        <v>4351</v>
      </c>
      <c r="J1350" t="s">
        <v>357</v>
      </c>
    </row>
    <row r="1351" spans="1:10" x14ac:dyDescent="0.25">
      <c r="A1351" t="s">
        <v>4352</v>
      </c>
      <c r="B1351" t="s">
        <v>4353</v>
      </c>
      <c r="C1351" s="2">
        <v>46208.583333333336</v>
      </c>
      <c r="D1351" t="s">
        <v>418</v>
      </c>
      <c r="E1351" t="s">
        <v>28</v>
      </c>
      <c r="F1351" t="s">
        <v>158</v>
      </c>
      <c r="G1351" t="s">
        <v>105</v>
      </c>
      <c r="H1351">
        <v>4</v>
      </c>
      <c r="I1351" t="s">
        <v>4354</v>
      </c>
      <c r="J1351" t="s">
        <v>357</v>
      </c>
    </row>
    <row r="1352" spans="1:10" x14ac:dyDescent="0.25">
      <c r="A1352" t="s">
        <v>4355</v>
      </c>
      <c r="B1352" t="s">
        <v>4356</v>
      </c>
      <c r="C1352" s="2">
        <v>46208.583333333336</v>
      </c>
      <c r="D1352" t="s">
        <v>418</v>
      </c>
      <c r="E1352" t="s">
        <v>32</v>
      </c>
      <c r="F1352" t="s">
        <v>186</v>
      </c>
      <c r="G1352" t="s">
        <v>109</v>
      </c>
      <c r="H1352">
        <v>7</v>
      </c>
      <c r="I1352" t="s">
        <v>4357</v>
      </c>
      <c r="J1352" t="s">
        <v>357</v>
      </c>
    </row>
    <row r="1353" spans="1:10" x14ac:dyDescent="0.25">
      <c r="A1353" t="s">
        <v>4358</v>
      </c>
      <c r="B1353" t="s">
        <v>4359</v>
      </c>
      <c r="C1353" s="2">
        <v>46208.583333333336</v>
      </c>
      <c r="D1353" t="s">
        <v>418</v>
      </c>
      <c r="E1353" t="s">
        <v>36</v>
      </c>
      <c r="F1353" t="s">
        <v>187</v>
      </c>
      <c r="G1353" t="s">
        <v>113</v>
      </c>
      <c r="H1353">
        <v>4</v>
      </c>
      <c r="I1353" t="s">
        <v>4360</v>
      </c>
      <c r="J1353" t="s">
        <v>357</v>
      </c>
    </row>
    <row r="1354" spans="1:10" x14ac:dyDescent="0.25">
      <c r="A1354" t="s">
        <v>4361</v>
      </c>
      <c r="B1354" t="s">
        <v>4362</v>
      </c>
      <c r="C1354" s="2">
        <v>46208.583333333336</v>
      </c>
      <c r="D1354" t="s">
        <v>418</v>
      </c>
      <c r="E1354" t="s">
        <v>47</v>
      </c>
      <c r="F1354" t="s">
        <v>120</v>
      </c>
      <c r="G1354" t="s">
        <v>121</v>
      </c>
      <c r="H1354">
        <v>7</v>
      </c>
      <c r="I1354" t="s">
        <v>4363</v>
      </c>
      <c r="J1354" t="s">
        <v>357</v>
      </c>
    </row>
    <row r="1355" spans="1:10" x14ac:dyDescent="0.25">
      <c r="A1355" t="s">
        <v>4364</v>
      </c>
      <c r="B1355" t="s">
        <v>4365</v>
      </c>
      <c r="C1355" s="2">
        <v>46208.583333333336</v>
      </c>
      <c r="D1355" t="s">
        <v>418</v>
      </c>
      <c r="E1355" t="s">
        <v>53</v>
      </c>
      <c r="F1355" t="s">
        <v>210</v>
      </c>
      <c r="G1355" t="s">
        <v>127</v>
      </c>
      <c r="H1355">
        <v>2</v>
      </c>
      <c r="I1355" t="s">
        <v>4366</v>
      </c>
      <c r="J1355" t="s">
        <v>357</v>
      </c>
    </row>
    <row r="1356" spans="1:10" x14ac:dyDescent="0.25">
      <c r="A1356" t="s">
        <v>4367</v>
      </c>
      <c r="B1356" t="s">
        <v>4368</v>
      </c>
      <c r="C1356" s="2">
        <v>46208.583333333336</v>
      </c>
      <c r="D1356" t="s">
        <v>418</v>
      </c>
      <c r="E1356" t="s">
        <v>59</v>
      </c>
      <c r="F1356" t="s">
        <v>172</v>
      </c>
      <c r="G1356" t="s">
        <v>133</v>
      </c>
      <c r="H1356">
        <v>5</v>
      </c>
      <c r="I1356" t="s">
        <v>4369</v>
      </c>
      <c r="J1356" t="s">
        <v>357</v>
      </c>
    </row>
    <row r="1357" spans="1:10" x14ac:dyDescent="0.25">
      <c r="A1357" t="s">
        <v>4370</v>
      </c>
      <c r="B1357" t="s">
        <v>4371</v>
      </c>
      <c r="C1357" s="2">
        <v>46208.583333333336</v>
      </c>
      <c r="D1357" t="s">
        <v>418</v>
      </c>
      <c r="E1357" t="s">
        <v>67</v>
      </c>
      <c r="F1357" t="s">
        <v>174</v>
      </c>
      <c r="G1357" t="s">
        <v>137</v>
      </c>
      <c r="H1357">
        <v>9</v>
      </c>
      <c r="I1357" t="s">
        <v>4372</v>
      </c>
      <c r="J1357" t="s">
        <v>357</v>
      </c>
    </row>
    <row r="1358" spans="1:10" x14ac:dyDescent="0.25">
      <c r="A1358" t="s">
        <v>4373</v>
      </c>
      <c r="B1358" t="s">
        <v>4374</v>
      </c>
      <c r="C1358" s="2">
        <v>46208.583333333336</v>
      </c>
      <c r="D1358" t="s">
        <v>418</v>
      </c>
      <c r="E1358" t="s">
        <v>69</v>
      </c>
      <c r="F1358" t="s">
        <v>175</v>
      </c>
      <c r="G1358" t="s">
        <v>139</v>
      </c>
      <c r="H1358">
        <v>5</v>
      </c>
      <c r="I1358" t="s">
        <v>4375</v>
      </c>
      <c r="J1358" t="s">
        <v>357</v>
      </c>
    </row>
    <row r="1359" spans="1:10" x14ac:dyDescent="0.25">
      <c r="A1359" t="s">
        <v>4376</v>
      </c>
      <c r="B1359" t="s">
        <v>4377</v>
      </c>
      <c r="C1359" s="2">
        <v>46208.583333333336</v>
      </c>
      <c r="D1359" t="s">
        <v>418</v>
      </c>
      <c r="E1359" t="s">
        <v>75</v>
      </c>
      <c r="F1359" t="s">
        <v>178</v>
      </c>
      <c r="G1359" t="s">
        <v>145</v>
      </c>
      <c r="H1359">
        <v>2</v>
      </c>
      <c r="I1359" t="s">
        <v>4378</v>
      </c>
      <c r="J1359" t="s">
        <v>357</v>
      </c>
    </row>
    <row r="1360" spans="1:10" x14ac:dyDescent="0.25">
      <c r="A1360" t="s">
        <v>4379</v>
      </c>
      <c r="B1360" t="s">
        <v>4380</v>
      </c>
      <c r="C1360" s="2">
        <v>46208.583333333336</v>
      </c>
      <c r="D1360" t="s">
        <v>418</v>
      </c>
      <c r="E1360" t="s">
        <v>11</v>
      </c>
      <c r="F1360" t="s">
        <v>201</v>
      </c>
      <c r="G1360" t="s">
        <v>92</v>
      </c>
      <c r="H1360">
        <v>6</v>
      </c>
      <c r="I1360" t="s">
        <v>4381</v>
      </c>
      <c r="J1360" t="s">
        <v>357</v>
      </c>
    </row>
    <row r="1361" spans="1:10" x14ac:dyDescent="0.25">
      <c r="A1361" t="s">
        <v>4382</v>
      </c>
      <c r="B1361" t="s">
        <v>4383</v>
      </c>
      <c r="C1361" s="2">
        <v>46208.583333333336</v>
      </c>
      <c r="D1361" t="s">
        <v>418</v>
      </c>
      <c r="E1361" t="s">
        <v>18</v>
      </c>
      <c r="F1361" t="s">
        <v>202</v>
      </c>
      <c r="G1361" t="s">
        <v>95</v>
      </c>
      <c r="H1361">
        <v>4</v>
      </c>
      <c r="I1361" t="s">
        <v>4384</v>
      </c>
      <c r="J1361" t="s">
        <v>357</v>
      </c>
    </row>
    <row r="1362" spans="1:10" x14ac:dyDescent="0.25">
      <c r="A1362" t="s">
        <v>4385</v>
      </c>
      <c r="B1362" t="s">
        <v>4386</v>
      </c>
      <c r="C1362" s="2">
        <v>46208.583333333336</v>
      </c>
      <c r="D1362" t="s">
        <v>418</v>
      </c>
      <c r="E1362" t="s">
        <v>22</v>
      </c>
      <c r="F1362" t="s">
        <v>204</v>
      </c>
      <c r="G1362" t="s">
        <v>99</v>
      </c>
      <c r="H1362">
        <v>5</v>
      </c>
      <c r="I1362" t="s">
        <v>4387</v>
      </c>
      <c r="J1362" t="s">
        <v>357</v>
      </c>
    </row>
    <row r="1363" spans="1:10" x14ac:dyDescent="0.25">
      <c r="A1363" t="s">
        <v>4388</v>
      </c>
      <c r="B1363" t="s">
        <v>4389</v>
      </c>
      <c r="C1363" s="2">
        <v>46208.583333333336</v>
      </c>
      <c r="D1363" t="s">
        <v>418</v>
      </c>
      <c r="E1363" t="s">
        <v>26</v>
      </c>
      <c r="F1363" t="s">
        <v>206</v>
      </c>
      <c r="G1363" t="s">
        <v>103</v>
      </c>
      <c r="H1363">
        <v>6</v>
      </c>
      <c r="I1363" t="s">
        <v>4390</v>
      </c>
      <c r="J1363" t="s">
        <v>357</v>
      </c>
    </row>
    <row r="1364" spans="1:10" x14ac:dyDescent="0.25">
      <c r="A1364" t="s">
        <v>4391</v>
      </c>
      <c r="B1364" t="s">
        <v>4392</v>
      </c>
      <c r="C1364" s="2">
        <v>46208.583333333336</v>
      </c>
      <c r="D1364" t="s">
        <v>418</v>
      </c>
      <c r="E1364" t="s">
        <v>28</v>
      </c>
      <c r="F1364" t="s">
        <v>158</v>
      </c>
      <c r="G1364" t="s">
        <v>105</v>
      </c>
      <c r="H1364">
        <v>4</v>
      </c>
      <c r="I1364" t="s">
        <v>4393</v>
      </c>
      <c r="J1364" t="s">
        <v>357</v>
      </c>
    </row>
    <row r="1365" spans="1:10" x14ac:dyDescent="0.25">
      <c r="A1365" t="s">
        <v>4394</v>
      </c>
      <c r="B1365" t="s">
        <v>4395</v>
      </c>
      <c r="C1365" s="2">
        <v>46208.583333333336</v>
      </c>
      <c r="D1365" t="s">
        <v>418</v>
      </c>
      <c r="E1365" t="s">
        <v>32</v>
      </c>
      <c r="F1365" t="s">
        <v>186</v>
      </c>
      <c r="G1365" t="s">
        <v>109</v>
      </c>
      <c r="H1365">
        <v>2</v>
      </c>
      <c r="I1365" t="s">
        <v>4396</v>
      </c>
      <c r="J1365" t="s">
        <v>357</v>
      </c>
    </row>
    <row r="1366" spans="1:10" x14ac:dyDescent="0.25">
      <c r="A1366" t="s">
        <v>4397</v>
      </c>
      <c r="B1366" t="s">
        <v>4398</v>
      </c>
      <c r="C1366" s="2">
        <v>46208.583333333336</v>
      </c>
      <c r="D1366" t="s">
        <v>418</v>
      </c>
      <c r="E1366" t="s">
        <v>43</v>
      </c>
      <c r="F1366" t="s">
        <v>208</v>
      </c>
      <c r="G1366" t="s">
        <v>117</v>
      </c>
      <c r="H1366">
        <v>2</v>
      </c>
      <c r="I1366" t="s">
        <v>4399</v>
      </c>
      <c r="J1366" t="s">
        <v>357</v>
      </c>
    </row>
    <row r="1367" spans="1:10" x14ac:dyDescent="0.25">
      <c r="A1367" t="s">
        <v>4400</v>
      </c>
      <c r="B1367" t="s">
        <v>4401</v>
      </c>
      <c r="C1367" s="2">
        <v>46208.583333333336</v>
      </c>
      <c r="D1367" t="s">
        <v>418</v>
      </c>
      <c r="E1367" t="s">
        <v>45</v>
      </c>
      <c r="F1367" t="s">
        <v>165</v>
      </c>
      <c r="G1367" t="s">
        <v>119</v>
      </c>
      <c r="H1367">
        <v>1</v>
      </c>
      <c r="I1367" t="s">
        <v>4402</v>
      </c>
      <c r="J1367" t="s">
        <v>357</v>
      </c>
    </row>
    <row r="1368" spans="1:10" x14ac:dyDescent="0.25">
      <c r="A1368" t="s">
        <v>4403</v>
      </c>
      <c r="B1368" t="s">
        <v>4404</v>
      </c>
      <c r="C1368" s="2">
        <v>46208.583333333336</v>
      </c>
      <c r="D1368" t="s">
        <v>418</v>
      </c>
      <c r="E1368" t="s">
        <v>51</v>
      </c>
      <c r="F1368" t="s">
        <v>209</v>
      </c>
      <c r="G1368" t="s">
        <v>125</v>
      </c>
      <c r="H1368">
        <v>4</v>
      </c>
      <c r="I1368" t="s">
        <v>4405</v>
      </c>
      <c r="J1368" t="s">
        <v>357</v>
      </c>
    </row>
    <row r="1369" spans="1:10" x14ac:dyDescent="0.25">
      <c r="A1369" t="s">
        <v>4406</v>
      </c>
      <c r="B1369" t="s">
        <v>4407</v>
      </c>
      <c r="C1369" s="2">
        <v>46208.583333333336</v>
      </c>
      <c r="D1369" t="s">
        <v>418</v>
      </c>
      <c r="E1369" t="s">
        <v>65</v>
      </c>
      <c r="F1369" t="s">
        <v>173</v>
      </c>
      <c r="G1369" t="s">
        <v>135</v>
      </c>
      <c r="H1369">
        <v>5</v>
      </c>
      <c r="I1369" t="s">
        <v>4408</v>
      </c>
      <c r="J1369" t="s">
        <v>357</v>
      </c>
    </row>
    <row r="1370" spans="1:10" x14ac:dyDescent="0.25">
      <c r="A1370" t="s">
        <v>4409</v>
      </c>
      <c r="B1370" t="s">
        <v>4410</v>
      </c>
      <c r="C1370" s="2">
        <v>46208.583333333336</v>
      </c>
      <c r="D1370" t="s">
        <v>418</v>
      </c>
      <c r="E1370" t="s">
        <v>73</v>
      </c>
      <c r="F1370" t="s">
        <v>142</v>
      </c>
      <c r="G1370" t="s">
        <v>143</v>
      </c>
      <c r="H1370">
        <v>6</v>
      </c>
      <c r="I1370" t="s">
        <v>4411</v>
      </c>
      <c r="J1370" t="s">
        <v>357</v>
      </c>
    </row>
    <row r="1371" spans="1:10" x14ac:dyDescent="0.25">
      <c r="A1371" t="s">
        <v>4412</v>
      </c>
      <c r="B1371" t="s">
        <v>4413</v>
      </c>
      <c r="C1371" s="2">
        <v>46208.583333333336</v>
      </c>
      <c r="D1371" t="s">
        <v>418</v>
      </c>
      <c r="E1371" t="s">
        <v>77</v>
      </c>
      <c r="F1371" t="s">
        <v>179</v>
      </c>
      <c r="G1371" t="s">
        <v>147</v>
      </c>
      <c r="H1371">
        <v>5</v>
      </c>
      <c r="I1371" t="s">
        <v>4414</v>
      </c>
      <c r="J1371" t="s">
        <v>357</v>
      </c>
    </row>
    <row r="1372" spans="1:10" x14ac:dyDescent="0.25">
      <c r="A1372" t="s">
        <v>4415</v>
      </c>
      <c r="B1372" t="s">
        <v>4416</v>
      </c>
      <c r="C1372" s="2">
        <v>46209.583333333336</v>
      </c>
      <c r="D1372" t="s">
        <v>418</v>
      </c>
      <c r="E1372" t="s">
        <v>11</v>
      </c>
      <c r="F1372" t="s">
        <v>201</v>
      </c>
      <c r="G1372" t="s">
        <v>92</v>
      </c>
      <c r="H1372">
        <v>4</v>
      </c>
      <c r="I1372" t="s">
        <v>4417</v>
      </c>
      <c r="J1372" t="s">
        <v>357</v>
      </c>
    </row>
    <row r="1373" spans="1:10" x14ac:dyDescent="0.25">
      <c r="A1373" t="s">
        <v>4418</v>
      </c>
      <c r="B1373" t="s">
        <v>4419</v>
      </c>
      <c r="C1373" s="2">
        <v>46209.583333333336</v>
      </c>
      <c r="D1373" t="s">
        <v>418</v>
      </c>
      <c r="E1373" t="s">
        <v>24</v>
      </c>
      <c r="F1373" t="s">
        <v>156</v>
      </c>
      <c r="G1373" t="s">
        <v>101</v>
      </c>
      <c r="H1373">
        <v>2</v>
      </c>
      <c r="I1373" t="s">
        <v>4420</v>
      </c>
      <c r="J1373" t="s">
        <v>357</v>
      </c>
    </row>
    <row r="1374" spans="1:10" x14ac:dyDescent="0.25">
      <c r="A1374" t="s">
        <v>4421</v>
      </c>
      <c r="B1374" t="s">
        <v>4422</v>
      </c>
      <c r="C1374" s="2">
        <v>46209.583333333336</v>
      </c>
      <c r="D1374" t="s">
        <v>418</v>
      </c>
      <c r="E1374" t="s">
        <v>28</v>
      </c>
      <c r="F1374" t="s">
        <v>158</v>
      </c>
      <c r="G1374" t="s">
        <v>105</v>
      </c>
      <c r="H1374">
        <v>2</v>
      </c>
      <c r="I1374" t="s">
        <v>4423</v>
      </c>
      <c r="J1374" t="s">
        <v>357</v>
      </c>
    </row>
    <row r="1375" spans="1:10" x14ac:dyDescent="0.25">
      <c r="A1375" t="s">
        <v>4424</v>
      </c>
      <c r="B1375" t="s">
        <v>4425</v>
      </c>
      <c r="C1375" s="2">
        <v>46209.583333333336</v>
      </c>
      <c r="D1375" t="s">
        <v>418</v>
      </c>
      <c r="E1375" t="s">
        <v>32</v>
      </c>
      <c r="F1375" t="s">
        <v>186</v>
      </c>
      <c r="G1375" t="s">
        <v>109</v>
      </c>
      <c r="H1375">
        <v>4</v>
      </c>
      <c r="I1375" t="s">
        <v>4426</v>
      </c>
      <c r="J1375" t="s">
        <v>357</v>
      </c>
    </row>
    <row r="1376" spans="1:10" x14ac:dyDescent="0.25">
      <c r="A1376" t="s">
        <v>4427</v>
      </c>
      <c r="B1376" t="s">
        <v>4428</v>
      </c>
      <c r="C1376" s="2">
        <v>46209.583333333336</v>
      </c>
      <c r="D1376" t="s">
        <v>418</v>
      </c>
      <c r="E1376" t="s">
        <v>43</v>
      </c>
      <c r="F1376" t="s">
        <v>208</v>
      </c>
      <c r="G1376" t="s">
        <v>117</v>
      </c>
      <c r="H1376">
        <v>2</v>
      </c>
      <c r="I1376" t="s">
        <v>4429</v>
      </c>
      <c r="J1376" t="s">
        <v>357</v>
      </c>
    </row>
    <row r="1377" spans="1:10" x14ac:dyDescent="0.25">
      <c r="A1377" t="s">
        <v>4430</v>
      </c>
      <c r="B1377" t="s">
        <v>4431</v>
      </c>
      <c r="C1377" s="2">
        <v>46209.583333333336</v>
      </c>
      <c r="D1377" t="s">
        <v>418</v>
      </c>
      <c r="E1377" t="s">
        <v>45</v>
      </c>
      <c r="F1377" t="s">
        <v>165</v>
      </c>
      <c r="G1377" t="s">
        <v>119</v>
      </c>
      <c r="H1377">
        <v>1</v>
      </c>
      <c r="I1377" t="s">
        <v>4432</v>
      </c>
      <c r="J1377" t="s">
        <v>357</v>
      </c>
    </row>
    <row r="1378" spans="1:10" x14ac:dyDescent="0.25">
      <c r="A1378" t="s">
        <v>4433</v>
      </c>
      <c r="B1378" t="s">
        <v>4434</v>
      </c>
      <c r="C1378" s="2">
        <v>46209.583333333336</v>
      </c>
      <c r="D1378" t="s">
        <v>418</v>
      </c>
      <c r="E1378" t="s">
        <v>53</v>
      </c>
      <c r="F1378" t="s">
        <v>210</v>
      </c>
      <c r="G1378" t="s">
        <v>127</v>
      </c>
      <c r="H1378">
        <v>4</v>
      </c>
      <c r="I1378" t="s">
        <v>4435</v>
      </c>
      <c r="J1378" t="s">
        <v>357</v>
      </c>
    </row>
    <row r="1379" spans="1:10" x14ac:dyDescent="0.25">
      <c r="A1379" t="s">
        <v>4436</v>
      </c>
      <c r="B1379" t="s">
        <v>4437</v>
      </c>
      <c r="C1379" s="2">
        <v>46209.583333333336</v>
      </c>
      <c r="D1379" t="s">
        <v>418</v>
      </c>
      <c r="E1379" t="s">
        <v>57</v>
      </c>
      <c r="F1379" t="s">
        <v>211</v>
      </c>
      <c r="G1379" t="s">
        <v>131</v>
      </c>
      <c r="H1379">
        <v>2</v>
      </c>
      <c r="I1379" t="s">
        <v>4438</v>
      </c>
      <c r="J1379" t="s">
        <v>357</v>
      </c>
    </row>
    <row r="1380" spans="1:10" x14ac:dyDescent="0.25">
      <c r="A1380" t="s">
        <v>4439</v>
      </c>
      <c r="B1380" t="s">
        <v>4440</v>
      </c>
      <c r="C1380" s="2">
        <v>46209.583333333336</v>
      </c>
      <c r="D1380" t="s">
        <v>418</v>
      </c>
      <c r="E1380" t="s">
        <v>67</v>
      </c>
      <c r="F1380" t="s">
        <v>174</v>
      </c>
      <c r="G1380" t="s">
        <v>137</v>
      </c>
      <c r="H1380">
        <v>4</v>
      </c>
      <c r="I1380" t="s">
        <v>4441</v>
      </c>
      <c r="J1380" t="s">
        <v>357</v>
      </c>
    </row>
    <row r="1381" spans="1:10" x14ac:dyDescent="0.25">
      <c r="A1381" t="s">
        <v>4442</v>
      </c>
      <c r="B1381" t="s">
        <v>4443</v>
      </c>
      <c r="C1381" s="2">
        <v>46209.583333333336</v>
      </c>
      <c r="D1381" t="s">
        <v>418</v>
      </c>
      <c r="E1381" t="s">
        <v>11</v>
      </c>
      <c r="F1381" t="s">
        <v>201</v>
      </c>
      <c r="G1381" t="s">
        <v>92</v>
      </c>
      <c r="H1381">
        <v>4</v>
      </c>
      <c r="I1381" t="s">
        <v>4444</v>
      </c>
      <c r="J1381" t="s">
        <v>357</v>
      </c>
    </row>
    <row r="1382" spans="1:10" x14ac:dyDescent="0.25">
      <c r="A1382" t="s">
        <v>4445</v>
      </c>
      <c r="B1382" t="s">
        <v>4446</v>
      </c>
      <c r="C1382" s="2">
        <v>46209.583333333336</v>
      </c>
      <c r="D1382" t="s">
        <v>418</v>
      </c>
      <c r="E1382" t="s">
        <v>18</v>
      </c>
      <c r="F1382" t="s">
        <v>202</v>
      </c>
      <c r="G1382" t="s">
        <v>95</v>
      </c>
      <c r="H1382">
        <v>1</v>
      </c>
      <c r="I1382" t="s">
        <v>4447</v>
      </c>
      <c r="J1382" t="s">
        <v>357</v>
      </c>
    </row>
    <row r="1383" spans="1:10" x14ac:dyDescent="0.25">
      <c r="A1383" t="s">
        <v>4448</v>
      </c>
      <c r="B1383" t="s">
        <v>4449</v>
      </c>
      <c r="C1383" s="2">
        <v>46209.583333333336</v>
      </c>
      <c r="D1383" t="s">
        <v>418</v>
      </c>
      <c r="E1383" t="s">
        <v>22</v>
      </c>
      <c r="F1383" t="s">
        <v>204</v>
      </c>
      <c r="G1383" t="s">
        <v>99</v>
      </c>
      <c r="H1383">
        <v>1</v>
      </c>
      <c r="I1383" t="s">
        <v>4450</v>
      </c>
      <c r="J1383" t="s">
        <v>357</v>
      </c>
    </row>
    <row r="1384" spans="1:10" x14ac:dyDescent="0.25">
      <c r="A1384" t="s">
        <v>4451</v>
      </c>
      <c r="B1384" t="s">
        <v>4452</v>
      </c>
      <c r="C1384" s="2">
        <v>46209.583333333336</v>
      </c>
      <c r="D1384" t="s">
        <v>418</v>
      </c>
      <c r="E1384" t="s">
        <v>24</v>
      </c>
      <c r="F1384" t="s">
        <v>156</v>
      </c>
      <c r="G1384" t="s">
        <v>101</v>
      </c>
      <c r="H1384">
        <v>3</v>
      </c>
      <c r="I1384" t="s">
        <v>4453</v>
      </c>
      <c r="J1384" t="s">
        <v>357</v>
      </c>
    </row>
    <row r="1385" spans="1:10" x14ac:dyDescent="0.25">
      <c r="A1385" t="s">
        <v>4454</v>
      </c>
      <c r="B1385" t="s">
        <v>4455</v>
      </c>
      <c r="C1385" s="2">
        <v>46209.583333333336</v>
      </c>
      <c r="D1385" t="s">
        <v>418</v>
      </c>
      <c r="E1385" t="s">
        <v>32</v>
      </c>
      <c r="F1385" t="s">
        <v>186</v>
      </c>
      <c r="G1385" t="s">
        <v>109</v>
      </c>
      <c r="H1385">
        <v>1</v>
      </c>
      <c r="I1385" t="s">
        <v>4456</v>
      </c>
      <c r="J1385" t="s">
        <v>357</v>
      </c>
    </row>
    <row r="1386" spans="1:10" x14ac:dyDescent="0.25">
      <c r="A1386" t="s">
        <v>4457</v>
      </c>
      <c r="B1386" t="s">
        <v>4458</v>
      </c>
      <c r="C1386" s="2">
        <v>46209.583333333336</v>
      </c>
      <c r="D1386" t="s">
        <v>418</v>
      </c>
      <c r="E1386" t="s">
        <v>53</v>
      </c>
      <c r="F1386" t="s">
        <v>210</v>
      </c>
      <c r="G1386" t="s">
        <v>127</v>
      </c>
      <c r="H1386">
        <v>4</v>
      </c>
      <c r="I1386" t="s">
        <v>4459</v>
      </c>
      <c r="J1386" t="s">
        <v>357</v>
      </c>
    </row>
    <row r="1387" spans="1:10" x14ac:dyDescent="0.25">
      <c r="A1387" t="s">
        <v>4460</v>
      </c>
      <c r="B1387" t="s">
        <v>4461</v>
      </c>
      <c r="C1387" s="2">
        <v>46209.583333333336</v>
      </c>
      <c r="D1387" t="s">
        <v>418</v>
      </c>
      <c r="E1387" t="s">
        <v>65</v>
      </c>
      <c r="F1387" t="s">
        <v>173</v>
      </c>
      <c r="G1387" t="s">
        <v>135</v>
      </c>
      <c r="H1387">
        <v>2</v>
      </c>
      <c r="I1387" t="s">
        <v>4462</v>
      </c>
      <c r="J1387" t="s">
        <v>357</v>
      </c>
    </row>
    <row r="1388" spans="1:10" x14ac:dyDescent="0.25">
      <c r="A1388" t="s">
        <v>4463</v>
      </c>
      <c r="B1388" t="s">
        <v>4464</v>
      </c>
      <c r="C1388" s="2">
        <v>46209.583333333336</v>
      </c>
      <c r="D1388" t="s">
        <v>418</v>
      </c>
      <c r="E1388" t="s">
        <v>67</v>
      </c>
      <c r="F1388" t="s">
        <v>174</v>
      </c>
      <c r="G1388" t="s">
        <v>137</v>
      </c>
      <c r="H1388">
        <v>1</v>
      </c>
      <c r="I1388" t="s">
        <v>4465</v>
      </c>
      <c r="J1388" t="s">
        <v>357</v>
      </c>
    </row>
    <row r="1389" spans="1:10" x14ac:dyDescent="0.25">
      <c r="A1389" t="s">
        <v>4466</v>
      </c>
      <c r="B1389" t="s">
        <v>4467</v>
      </c>
      <c r="C1389" s="2">
        <v>46209.583333333336</v>
      </c>
      <c r="D1389" t="s">
        <v>418</v>
      </c>
      <c r="E1389" t="s">
        <v>71</v>
      </c>
      <c r="F1389" t="s">
        <v>198</v>
      </c>
      <c r="G1389" t="s">
        <v>141</v>
      </c>
      <c r="H1389">
        <v>4</v>
      </c>
      <c r="I1389" t="s">
        <v>4468</v>
      </c>
      <c r="J1389" t="s">
        <v>357</v>
      </c>
    </row>
    <row r="1390" spans="1:10" x14ac:dyDescent="0.25">
      <c r="A1390" t="s">
        <v>4469</v>
      </c>
      <c r="B1390" t="s">
        <v>4470</v>
      </c>
      <c r="C1390" s="2">
        <v>46209.583333333336</v>
      </c>
      <c r="D1390" t="s">
        <v>418</v>
      </c>
      <c r="E1390" t="s">
        <v>20</v>
      </c>
      <c r="F1390" t="s">
        <v>203</v>
      </c>
      <c r="G1390" t="s">
        <v>97</v>
      </c>
      <c r="H1390">
        <v>6</v>
      </c>
      <c r="I1390" t="s">
        <v>4471</v>
      </c>
      <c r="J1390" t="s">
        <v>357</v>
      </c>
    </row>
    <row r="1391" spans="1:10" x14ac:dyDescent="0.25">
      <c r="A1391" t="s">
        <v>4472</v>
      </c>
      <c r="B1391" t="s">
        <v>4473</v>
      </c>
      <c r="C1391" s="2">
        <v>46209.583333333336</v>
      </c>
      <c r="D1391" t="s">
        <v>418</v>
      </c>
      <c r="E1391" t="s">
        <v>28</v>
      </c>
      <c r="F1391" t="s">
        <v>158</v>
      </c>
      <c r="G1391" t="s">
        <v>105</v>
      </c>
      <c r="H1391">
        <v>4</v>
      </c>
      <c r="I1391" t="s">
        <v>4474</v>
      </c>
      <c r="J1391" t="s">
        <v>357</v>
      </c>
    </row>
    <row r="1392" spans="1:10" x14ac:dyDescent="0.25">
      <c r="A1392" t="s">
        <v>4475</v>
      </c>
      <c r="B1392" t="s">
        <v>4476</v>
      </c>
      <c r="C1392" s="2">
        <v>46209.583333333336</v>
      </c>
      <c r="D1392" t="s">
        <v>418</v>
      </c>
      <c r="E1392" t="s">
        <v>41</v>
      </c>
      <c r="F1392" t="s">
        <v>188</v>
      </c>
      <c r="G1392" t="s">
        <v>115</v>
      </c>
      <c r="H1392">
        <v>5</v>
      </c>
      <c r="I1392" t="s">
        <v>4477</v>
      </c>
      <c r="J1392" t="s">
        <v>357</v>
      </c>
    </row>
    <row r="1393" spans="1:10" x14ac:dyDescent="0.25">
      <c r="A1393" t="s">
        <v>4478</v>
      </c>
      <c r="B1393" t="s">
        <v>4479</v>
      </c>
      <c r="C1393" s="2">
        <v>46209.583333333336</v>
      </c>
      <c r="D1393" t="s">
        <v>418</v>
      </c>
      <c r="E1393" t="s">
        <v>45</v>
      </c>
      <c r="F1393" t="s">
        <v>165</v>
      </c>
      <c r="G1393" t="s">
        <v>119</v>
      </c>
      <c r="H1393">
        <v>5</v>
      </c>
      <c r="I1393" t="s">
        <v>4480</v>
      </c>
      <c r="J1393" t="s">
        <v>357</v>
      </c>
    </row>
    <row r="1394" spans="1:10" x14ac:dyDescent="0.25">
      <c r="A1394" t="s">
        <v>4481</v>
      </c>
      <c r="B1394" t="s">
        <v>4482</v>
      </c>
      <c r="C1394" s="2">
        <v>46209.583333333336</v>
      </c>
      <c r="D1394" t="s">
        <v>418</v>
      </c>
      <c r="E1394" t="s">
        <v>47</v>
      </c>
      <c r="F1394" t="s">
        <v>120</v>
      </c>
      <c r="G1394" t="s">
        <v>121</v>
      </c>
      <c r="H1394">
        <v>6</v>
      </c>
      <c r="I1394" t="s">
        <v>4483</v>
      </c>
      <c r="J1394" t="s">
        <v>357</v>
      </c>
    </row>
    <row r="1395" spans="1:10" x14ac:dyDescent="0.25">
      <c r="A1395" t="s">
        <v>4484</v>
      </c>
      <c r="B1395" t="s">
        <v>4485</v>
      </c>
      <c r="C1395" s="2">
        <v>46209.583333333336</v>
      </c>
      <c r="D1395" t="s">
        <v>418</v>
      </c>
      <c r="E1395" t="s">
        <v>51</v>
      </c>
      <c r="F1395" t="s">
        <v>209</v>
      </c>
      <c r="G1395" t="s">
        <v>125</v>
      </c>
      <c r="H1395">
        <v>1</v>
      </c>
      <c r="I1395" t="s">
        <v>4486</v>
      </c>
      <c r="J1395" t="s">
        <v>357</v>
      </c>
    </row>
    <row r="1396" spans="1:10" x14ac:dyDescent="0.25">
      <c r="A1396" t="s">
        <v>4487</v>
      </c>
      <c r="B1396" t="s">
        <v>4488</v>
      </c>
      <c r="C1396" s="2">
        <v>46209.583333333336</v>
      </c>
      <c r="D1396" t="s">
        <v>418</v>
      </c>
      <c r="E1396" t="s">
        <v>69</v>
      </c>
      <c r="F1396" t="s">
        <v>175</v>
      </c>
      <c r="G1396" t="s">
        <v>139</v>
      </c>
      <c r="H1396">
        <v>4</v>
      </c>
      <c r="I1396" t="s">
        <v>4489</v>
      </c>
      <c r="J1396" t="s">
        <v>357</v>
      </c>
    </row>
    <row r="1397" spans="1:10" x14ac:dyDescent="0.25">
      <c r="A1397" t="s">
        <v>4490</v>
      </c>
      <c r="B1397" t="s">
        <v>4491</v>
      </c>
      <c r="C1397" s="2">
        <v>46209.583333333336</v>
      </c>
      <c r="D1397" t="s">
        <v>418</v>
      </c>
      <c r="E1397" t="s">
        <v>73</v>
      </c>
      <c r="F1397" t="s">
        <v>142</v>
      </c>
      <c r="G1397" t="s">
        <v>143</v>
      </c>
      <c r="H1397">
        <v>1</v>
      </c>
      <c r="I1397" t="s">
        <v>4492</v>
      </c>
      <c r="J1397" t="s">
        <v>357</v>
      </c>
    </row>
    <row r="1398" spans="1:10" x14ac:dyDescent="0.25">
      <c r="A1398" t="s">
        <v>4493</v>
      </c>
      <c r="B1398" t="s">
        <v>4494</v>
      </c>
      <c r="C1398" s="2">
        <v>46209.583333333336</v>
      </c>
      <c r="D1398" t="s">
        <v>418</v>
      </c>
      <c r="E1398" t="s">
        <v>73</v>
      </c>
      <c r="F1398" t="s">
        <v>177</v>
      </c>
      <c r="G1398" t="s">
        <v>143</v>
      </c>
      <c r="H1398">
        <v>1</v>
      </c>
      <c r="I1398" t="s">
        <v>4492</v>
      </c>
      <c r="J1398" t="s">
        <v>357</v>
      </c>
    </row>
    <row r="1399" spans="1:10" x14ac:dyDescent="0.25">
      <c r="A1399" t="s">
        <v>4495</v>
      </c>
      <c r="B1399" t="s">
        <v>4496</v>
      </c>
      <c r="C1399" s="2">
        <v>46209.583333333336</v>
      </c>
      <c r="D1399" t="s">
        <v>418</v>
      </c>
      <c r="E1399" t="s">
        <v>20</v>
      </c>
      <c r="F1399" t="s">
        <v>203</v>
      </c>
      <c r="G1399" t="s">
        <v>97</v>
      </c>
      <c r="H1399">
        <v>4</v>
      </c>
      <c r="I1399" t="s">
        <v>4497</v>
      </c>
      <c r="J1399" t="s">
        <v>357</v>
      </c>
    </row>
    <row r="1400" spans="1:10" x14ac:dyDescent="0.25">
      <c r="A1400" t="s">
        <v>4498</v>
      </c>
      <c r="B1400" t="s">
        <v>4499</v>
      </c>
      <c r="C1400" s="2">
        <v>46209.583333333336</v>
      </c>
      <c r="D1400" t="s">
        <v>418</v>
      </c>
      <c r="E1400" t="s">
        <v>26</v>
      </c>
      <c r="F1400" t="s">
        <v>206</v>
      </c>
      <c r="G1400" t="s">
        <v>103</v>
      </c>
      <c r="H1400">
        <v>4</v>
      </c>
      <c r="I1400" t="s">
        <v>4500</v>
      </c>
      <c r="J1400" t="s">
        <v>357</v>
      </c>
    </row>
    <row r="1401" spans="1:10" x14ac:dyDescent="0.25">
      <c r="A1401" t="s">
        <v>4501</v>
      </c>
      <c r="B1401" t="s">
        <v>4502</v>
      </c>
      <c r="C1401" s="2">
        <v>46209.583333333336</v>
      </c>
      <c r="D1401" t="s">
        <v>418</v>
      </c>
      <c r="E1401" t="s">
        <v>30</v>
      </c>
      <c r="F1401" t="s">
        <v>159</v>
      </c>
      <c r="G1401" t="s">
        <v>107</v>
      </c>
      <c r="H1401">
        <v>6</v>
      </c>
      <c r="I1401" t="s">
        <v>4503</v>
      </c>
      <c r="J1401" t="s">
        <v>357</v>
      </c>
    </row>
    <row r="1402" spans="1:10" x14ac:dyDescent="0.25">
      <c r="A1402" t="s">
        <v>4504</v>
      </c>
      <c r="B1402" t="s">
        <v>4505</v>
      </c>
      <c r="C1402" s="2">
        <v>46209.583333333336</v>
      </c>
      <c r="D1402" t="s">
        <v>418</v>
      </c>
      <c r="E1402" t="s">
        <v>32</v>
      </c>
      <c r="F1402" t="s">
        <v>160</v>
      </c>
      <c r="G1402" t="s">
        <v>109</v>
      </c>
      <c r="H1402">
        <v>7</v>
      </c>
      <c r="I1402" t="s">
        <v>4506</v>
      </c>
      <c r="J1402" t="s">
        <v>357</v>
      </c>
    </row>
    <row r="1403" spans="1:10" x14ac:dyDescent="0.25">
      <c r="A1403" t="s">
        <v>4507</v>
      </c>
      <c r="B1403" t="s">
        <v>4508</v>
      </c>
      <c r="C1403" s="2">
        <v>46209.583333333336</v>
      </c>
      <c r="D1403" t="s">
        <v>418</v>
      </c>
      <c r="E1403" t="s">
        <v>43</v>
      </c>
      <c r="F1403" t="s">
        <v>208</v>
      </c>
      <c r="G1403" t="s">
        <v>117</v>
      </c>
      <c r="H1403">
        <v>3</v>
      </c>
      <c r="I1403" t="s">
        <v>4509</v>
      </c>
      <c r="J1403" t="s">
        <v>357</v>
      </c>
    </row>
    <row r="1404" spans="1:10" x14ac:dyDescent="0.25">
      <c r="A1404" t="s">
        <v>4510</v>
      </c>
      <c r="B1404" t="s">
        <v>4511</v>
      </c>
      <c r="C1404" s="2">
        <v>46209.583333333336</v>
      </c>
      <c r="D1404" t="s">
        <v>418</v>
      </c>
      <c r="E1404" t="s">
        <v>53</v>
      </c>
      <c r="F1404" t="s">
        <v>210</v>
      </c>
      <c r="G1404" t="s">
        <v>127</v>
      </c>
      <c r="H1404">
        <v>1</v>
      </c>
      <c r="I1404" t="s">
        <v>4512</v>
      </c>
      <c r="J1404" t="s">
        <v>357</v>
      </c>
    </row>
    <row r="1405" spans="1:10" x14ac:dyDescent="0.25">
      <c r="A1405" t="s">
        <v>4513</v>
      </c>
      <c r="B1405" t="s">
        <v>4514</v>
      </c>
      <c r="C1405" s="2">
        <v>46209.583333333336</v>
      </c>
      <c r="D1405" t="s">
        <v>418</v>
      </c>
      <c r="E1405" t="s">
        <v>55</v>
      </c>
      <c r="F1405" t="s">
        <v>192</v>
      </c>
      <c r="G1405" t="s">
        <v>129</v>
      </c>
      <c r="H1405">
        <v>7</v>
      </c>
      <c r="I1405" t="s">
        <v>4515</v>
      </c>
      <c r="J1405" t="s">
        <v>357</v>
      </c>
    </row>
    <row r="1406" spans="1:10" x14ac:dyDescent="0.25">
      <c r="A1406" t="s">
        <v>4516</v>
      </c>
      <c r="B1406" t="s">
        <v>4517</v>
      </c>
      <c r="C1406" s="2">
        <v>46209.583333333336</v>
      </c>
      <c r="D1406" t="s">
        <v>418</v>
      </c>
      <c r="E1406" t="s">
        <v>59</v>
      </c>
      <c r="F1406" t="s">
        <v>172</v>
      </c>
      <c r="G1406" t="s">
        <v>133</v>
      </c>
      <c r="H1406">
        <v>3</v>
      </c>
      <c r="I1406" t="s">
        <v>4518</v>
      </c>
      <c r="J1406" t="s">
        <v>357</v>
      </c>
    </row>
    <row r="1407" spans="1:10" x14ac:dyDescent="0.25">
      <c r="A1407" t="s">
        <v>4519</v>
      </c>
      <c r="B1407" t="s">
        <v>4520</v>
      </c>
      <c r="C1407" s="2">
        <v>46209.583333333336</v>
      </c>
      <c r="D1407" t="s">
        <v>418</v>
      </c>
      <c r="E1407" t="s">
        <v>69</v>
      </c>
      <c r="F1407" t="s">
        <v>175</v>
      </c>
      <c r="G1407" t="s">
        <v>139</v>
      </c>
      <c r="H1407">
        <v>7</v>
      </c>
      <c r="I1407" t="s">
        <v>4521</v>
      </c>
      <c r="J1407" t="s">
        <v>357</v>
      </c>
    </row>
    <row r="1408" spans="1:10" x14ac:dyDescent="0.25">
      <c r="A1408" t="s">
        <v>4522</v>
      </c>
      <c r="B1408" t="s">
        <v>4523</v>
      </c>
      <c r="C1408" s="2">
        <v>46209.583333333336</v>
      </c>
      <c r="D1408" t="s">
        <v>418</v>
      </c>
      <c r="E1408" t="s">
        <v>75</v>
      </c>
      <c r="F1408" t="s">
        <v>178</v>
      </c>
      <c r="G1408" t="s">
        <v>145</v>
      </c>
      <c r="H1408">
        <v>7</v>
      </c>
      <c r="I1408" t="s">
        <v>4524</v>
      </c>
      <c r="J1408" t="s">
        <v>357</v>
      </c>
    </row>
    <row r="1409" spans="1:10" x14ac:dyDescent="0.25">
      <c r="A1409" t="s">
        <v>4525</v>
      </c>
      <c r="B1409" t="s">
        <v>4526</v>
      </c>
      <c r="C1409" s="2">
        <v>46209.583333333336</v>
      </c>
      <c r="D1409" t="s">
        <v>418</v>
      </c>
      <c r="E1409" t="s">
        <v>11</v>
      </c>
      <c r="F1409" t="s">
        <v>201</v>
      </c>
      <c r="G1409" t="s">
        <v>92</v>
      </c>
      <c r="H1409">
        <v>4</v>
      </c>
      <c r="I1409" t="s">
        <v>4527</v>
      </c>
      <c r="J1409" t="s">
        <v>357</v>
      </c>
    </row>
    <row r="1410" spans="1:10" x14ac:dyDescent="0.25">
      <c r="A1410" t="s">
        <v>4528</v>
      </c>
      <c r="B1410" t="s">
        <v>4529</v>
      </c>
      <c r="C1410" s="2">
        <v>46209.583333333336</v>
      </c>
      <c r="D1410" t="s">
        <v>418</v>
      </c>
      <c r="E1410" t="s">
        <v>18</v>
      </c>
      <c r="F1410" t="s">
        <v>202</v>
      </c>
      <c r="G1410" t="s">
        <v>95</v>
      </c>
      <c r="H1410">
        <v>2</v>
      </c>
      <c r="I1410" t="s">
        <v>4530</v>
      </c>
      <c r="J1410" t="s">
        <v>357</v>
      </c>
    </row>
    <row r="1411" spans="1:10" x14ac:dyDescent="0.25">
      <c r="A1411" t="s">
        <v>4531</v>
      </c>
      <c r="B1411" t="s">
        <v>4532</v>
      </c>
      <c r="C1411" s="2">
        <v>46209.583333333336</v>
      </c>
      <c r="D1411" t="s">
        <v>418</v>
      </c>
      <c r="E1411" t="s">
        <v>24</v>
      </c>
      <c r="F1411" t="s">
        <v>205</v>
      </c>
      <c r="G1411" t="s">
        <v>101</v>
      </c>
      <c r="H1411">
        <v>4</v>
      </c>
      <c r="I1411" t="s">
        <v>4533</v>
      </c>
      <c r="J1411" t="s">
        <v>357</v>
      </c>
    </row>
    <row r="1412" spans="1:10" x14ac:dyDescent="0.25">
      <c r="A1412" t="s">
        <v>4534</v>
      </c>
      <c r="B1412" t="s">
        <v>4535</v>
      </c>
      <c r="C1412" s="2">
        <v>46209.583333333336</v>
      </c>
      <c r="D1412" t="s">
        <v>418</v>
      </c>
      <c r="E1412" t="s">
        <v>26</v>
      </c>
      <c r="F1412" t="s">
        <v>206</v>
      </c>
      <c r="G1412" t="s">
        <v>103</v>
      </c>
      <c r="H1412">
        <v>4</v>
      </c>
      <c r="I1412" t="s">
        <v>4536</v>
      </c>
      <c r="J1412" t="s">
        <v>357</v>
      </c>
    </row>
    <row r="1413" spans="1:10" x14ac:dyDescent="0.25">
      <c r="A1413" t="s">
        <v>4537</v>
      </c>
      <c r="B1413" t="s">
        <v>4538</v>
      </c>
      <c r="C1413" s="2">
        <v>46209.583333333336</v>
      </c>
      <c r="D1413" t="s">
        <v>418</v>
      </c>
      <c r="E1413" t="s">
        <v>28</v>
      </c>
      <c r="F1413" t="s">
        <v>158</v>
      </c>
      <c r="G1413" t="s">
        <v>105</v>
      </c>
      <c r="H1413">
        <v>4</v>
      </c>
      <c r="I1413" t="s">
        <v>4539</v>
      </c>
      <c r="J1413" t="s">
        <v>357</v>
      </c>
    </row>
    <row r="1414" spans="1:10" x14ac:dyDescent="0.25">
      <c r="A1414" t="s">
        <v>4540</v>
      </c>
      <c r="B1414" t="s">
        <v>4541</v>
      </c>
      <c r="C1414" s="2">
        <v>46209.583333333336</v>
      </c>
      <c r="D1414" t="s">
        <v>418</v>
      </c>
      <c r="E1414" t="s">
        <v>30</v>
      </c>
      <c r="F1414" t="s">
        <v>159</v>
      </c>
      <c r="G1414" t="s">
        <v>107</v>
      </c>
      <c r="H1414">
        <v>1</v>
      </c>
      <c r="I1414" t="s">
        <v>4542</v>
      </c>
      <c r="J1414" t="s">
        <v>357</v>
      </c>
    </row>
    <row r="1415" spans="1:10" x14ac:dyDescent="0.25">
      <c r="A1415" t="s">
        <v>4543</v>
      </c>
      <c r="B1415" t="s">
        <v>4544</v>
      </c>
      <c r="C1415" s="2">
        <v>46209.583333333336</v>
      </c>
      <c r="D1415" t="s">
        <v>418</v>
      </c>
      <c r="E1415" t="s">
        <v>49</v>
      </c>
      <c r="F1415" t="s">
        <v>167</v>
      </c>
      <c r="G1415" t="s">
        <v>123</v>
      </c>
      <c r="H1415">
        <v>1</v>
      </c>
      <c r="I1415" t="s">
        <v>4545</v>
      </c>
      <c r="J1415" t="s">
        <v>357</v>
      </c>
    </row>
    <row r="1416" spans="1:10" x14ac:dyDescent="0.25">
      <c r="A1416" t="s">
        <v>4546</v>
      </c>
      <c r="B1416" t="s">
        <v>4547</v>
      </c>
      <c r="C1416" s="2">
        <v>46209.583333333336</v>
      </c>
      <c r="D1416" t="s">
        <v>418</v>
      </c>
      <c r="E1416" t="s">
        <v>51</v>
      </c>
      <c r="F1416" t="s">
        <v>209</v>
      </c>
      <c r="G1416" t="s">
        <v>125</v>
      </c>
      <c r="H1416">
        <v>1</v>
      </c>
      <c r="I1416" t="s">
        <v>4548</v>
      </c>
      <c r="J1416" t="s">
        <v>357</v>
      </c>
    </row>
    <row r="1417" spans="1:10" x14ac:dyDescent="0.25">
      <c r="A1417" t="s">
        <v>4549</v>
      </c>
      <c r="B1417" t="s">
        <v>4550</v>
      </c>
      <c r="C1417" s="2">
        <v>46209.583333333336</v>
      </c>
      <c r="D1417" t="s">
        <v>418</v>
      </c>
      <c r="E1417" t="s">
        <v>67</v>
      </c>
      <c r="F1417" t="s">
        <v>174</v>
      </c>
      <c r="G1417" t="s">
        <v>137</v>
      </c>
      <c r="H1417">
        <v>3</v>
      </c>
      <c r="I1417" t="s">
        <v>4551</v>
      </c>
      <c r="J1417" t="s">
        <v>357</v>
      </c>
    </row>
    <row r="1418" spans="1:10" x14ac:dyDescent="0.25">
      <c r="A1418" t="s">
        <v>4552</v>
      </c>
      <c r="B1418" t="s">
        <v>4553</v>
      </c>
      <c r="C1418" s="2">
        <v>46209.583333333336</v>
      </c>
      <c r="D1418" t="s">
        <v>418</v>
      </c>
      <c r="E1418" t="s">
        <v>73</v>
      </c>
      <c r="F1418" t="s">
        <v>177</v>
      </c>
      <c r="G1418" t="s">
        <v>143</v>
      </c>
      <c r="H1418">
        <v>3</v>
      </c>
      <c r="I1418" t="s">
        <v>4554</v>
      </c>
      <c r="J1418" t="s">
        <v>357</v>
      </c>
    </row>
    <row r="1419" spans="1:10" x14ac:dyDescent="0.25">
      <c r="A1419" t="s">
        <v>4555</v>
      </c>
      <c r="B1419" t="s">
        <v>4556</v>
      </c>
      <c r="C1419" s="2">
        <v>46209.583333333336</v>
      </c>
      <c r="D1419" t="s">
        <v>418</v>
      </c>
      <c r="E1419" t="s">
        <v>77</v>
      </c>
      <c r="F1419" t="s">
        <v>179</v>
      </c>
      <c r="G1419" t="s">
        <v>147</v>
      </c>
      <c r="H1419">
        <v>3</v>
      </c>
      <c r="I1419" t="s">
        <v>4557</v>
      </c>
      <c r="J1419" t="s">
        <v>357</v>
      </c>
    </row>
    <row r="1420" spans="1:10" x14ac:dyDescent="0.25">
      <c r="A1420" t="s">
        <v>4558</v>
      </c>
      <c r="B1420" t="s">
        <v>4559</v>
      </c>
      <c r="C1420" s="2">
        <v>46210.333333333336</v>
      </c>
      <c r="D1420" t="s">
        <v>1412</v>
      </c>
      <c r="E1420" t="s">
        <v>11</v>
      </c>
      <c r="F1420" t="s">
        <v>214</v>
      </c>
      <c r="G1420" t="s">
        <v>92</v>
      </c>
      <c r="H1420">
        <v>76</v>
      </c>
      <c r="I1420" t="s">
        <v>357</v>
      </c>
      <c r="J1420" t="s">
        <v>4560</v>
      </c>
    </row>
    <row r="1421" spans="1:10" x14ac:dyDescent="0.25">
      <c r="A1421" t="s">
        <v>4561</v>
      </c>
      <c r="B1421" t="s">
        <v>4562</v>
      </c>
      <c r="C1421" s="2">
        <v>46210.333333333336</v>
      </c>
      <c r="D1421" t="s">
        <v>1412</v>
      </c>
      <c r="E1421" t="s">
        <v>18</v>
      </c>
      <c r="F1421" t="s">
        <v>215</v>
      </c>
      <c r="G1421" t="s">
        <v>95</v>
      </c>
      <c r="H1421">
        <v>86</v>
      </c>
      <c r="I1421" t="s">
        <v>357</v>
      </c>
      <c r="J1421" t="s">
        <v>4563</v>
      </c>
    </row>
    <row r="1422" spans="1:10" x14ac:dyDescent="0.25">
      <c r="A1422" t="s">
        <v>4564</v>
      </c>
      <c r="B1422" t="s">
        <v>4565</v>
      </c>
      <c r="C1422" s="2">
        <v>46210.333333333336</v>
      </c>
      <c r="D1422" t="s">
        <v>1412</v>
      </c>
      <c r="E1422" t="s">
        <v>20</v>
      </c>
      <c r="F1422" t="s">
        <v>216</v>
      </c>
      <c r="G1422" t="s">
        <v>97</v>
      </c>
      <c r="H1422">
        <v>62</v>
      </c>
      <c r="I1422" t="s">
        <v>357</v>
      </c>
      <c r="J1422" t="s">
        <v>4566</v>
      </c>
    </row>
    <row r="1423" spans="1:10" x14ac:dyDescent="0.25">
      <c r="A1423" t="s">
        <v>4567</v>
      </c>
      <c r="B1423" t="s">
        <v>4568</v>
      </c>
      <c r="C1423" s="2">
        <v>46210.333333333336</v>
      </c>
      <c r="D1423" t="s">
        <v>1412</v>
      </c>
      <c r="E1423" t="s">
        <v>22</v>
      </c>
      <c r="F1423" t="s">
        <v>217</v>
      </c>
      <c r="G1423" t="s">
        <v>99</v>
      </c>
      <c r="H1423">
        <v>87</v>
      </c>
      <c r="I1423" t="s">
        <v>357</v>
      </c>
      <c r="J1423" t="s">
        <v>4569</v>
      </c>
    </row>
    <row r="1424" spans="1:10" x14ac:dyDescent="0.25">
      <c r="A1424" t="s">
        <v>4570</v>
      </c>
      <c r="B1424" t="s">
        <v>4571</v>
      </c>
      <c r="C1424" s="2">
        <v>46210.333333333336</v>
      </c>
      <c r="D1424" t="s">
        <v>1412</v>
      </c>
      <c r="E1424" t="s">
        <v>24</v>
      </c>
      <c r="F1424" t="s">
        <v>218</v>
      </c>
      <c r="G1424" t="s">
        <v>101</v>
      </c>
      <c r="H1424">
        <v>72</v>
      </c>
      <c r="I1424" t="s">
        <v>357</v>
      </c>
      <c r="J1424" t="s">
        <v>4572</v>
      </c>
    </row>
    <row r="1425" spans="1:10" x14ac:dyDescent="0.25">
      <c r="A1425" t="s">
        <v>4573</v>
      </c>
      <c r="B1425" t="s">
        <v>4574</v>
      </c>
      <c r="C1425" s="2">
        <v>46210.333333333336</v>
      </c>
      <c r="D1425" t="s">
        <v>1412</v>
      </c>
      <c r="E1425" t="s">
        <v>26</v>
      </c>
      <c r="F1425" t="s">
        <v>219</v>
      </c>
      <c r="G1425" t="s">
        <v>103</v>
      </c>
      <c r="H1425">
        <v>77</v>
      </c>
      <c r="I1425" t="s">
        <v>357</v>
      </c>
      <c r="J1425" t="s">
        <v>4575</v>
      </c>
    </row>
    <row r="1426" spans="1:10" x14ac:dyDescent="0.25">
      <c r="A1426" t="s">
        <v>4576</v>
      </c>
      <c r="B1426" t="s">
        <v>4577</v>
      </c>
      <c r="C1426" s="2">
        <v>46210.333333333336</v>
      </c>
      <c r="D1426" t="s">
        <v>1412</v>
      </c>
      <c r="E1426" t="s">
        <v>28</v>
      </c>
      <c r="F1426" t="s">
        <v>221</v>
      </c>
      <c r="G1426" t="s">
        <v>105</v>
      </c>
      <c r="H1426">
        <v>64</v>
      </c>
      <c r="I1426" t="s">
        <v>357</v>
      </c>
      <c r="J1426" t="s">
        <v>4578</v>
      </c>
    </row>
    <row r="1427" spans="1:10" x14ac:dyDescent="0.25">
      <c r="A1427" t="s">
        <v>4579</v>
      </c>
      <c r="B1427" t="s">
        <v>4580</v>
      </c>
      <c r="C1427" s="2">
        <v>46210.333333333336</v>
      </c>
      <c r="D1427" t="s">
        <v>1412</v>
      </c>
      <c r="E1427" t="s">
        <v>32</v>
      </c>
      <c r="F1427" t="s">
        <v>222</v>
      </c>
      <c r="G1427" t="s">
        <v>109</v>
      </c>
      <c r="H1427">
        <v>68</v>
      </c>
      <c r="I1427" t="s">
        <v>357</v>
      </c>
      <c r="J1427" t="s">
        <v>4581</v>
      </c>
    </row>
    <row r="1428" spans="1:10" x14ac:dyDescent="0.25">
      <c r="A1428" t="s">
        <v>4582</v>
      </c>
      <c r="B1428" t="s">
        <v>4583</v>
      </c>
      <c r="C1428" s="2">
        <v>46210.333333333336</v>
      </c>
      <c r="D1428" t="s">
        <v>1412</v>
      </c>
      <c r="E1428" t="s">
        <v>36</v>
      </c>
      <c r="F1428" t="s">
        <v>223</v>
      </c>
      <c r="G1428" t="s">
        <v>113</v>
      </c>
      <c r="H1428">
        <v>63</v>
      </c>
      <c r="I1428" t="s">
        <v>357</v>
      </c>
      <c r="J1428" t="s">
        <v>4584</v>
      </c>
    </row>
    <row r="1429" spans="1:10" x14ac:dyDescent="0.25">
      <c r="A1429" t="s">
        <v>4585</v>
      </c>
      <c r="B1429" t="s">
        <v>4586</v>
      </c>
      <c r="C1429" s="2">
        <v>46210.333333333336</v>
      </c>
      <c r="D1429" t="s">
        <v>1412</v>
      </c>
      <c r="E1429" t="s">
        <v>41</v>
      </c>
      <c r="F1429" t="s">
        <v>224</v>
      </c>
      <c r="G1429" t="s">
        <v>115</v>
      </c>
      <c r="H1429">
        <v>70</v>
      </c>
      <c r="I1429" t="s">
        <v>357</v>
      </c>
      <c r="J1429" t="s">
        <v>4587</v>
      </c>
    </row>
    <row r="1430" spans="1:10" x14ac:dyDescent="0.25">
      <c r="A1430" t="s">
        <v>4588</v>
      </c>
      <c r="B1430" t="s">
        <v>4589</v>
      </c>
      <c r="C1430" s="2">
        <v>46210.333333333336</v>
      </c>
      <c r="D1430" t="s">
        <v>1412</v>
      </c>
      <c r="E1430" t="s">
        <v>45</v>
      </c>
      <c r="F1430" t="s">
        <v>225</v>
      </c>
      <c r="G1430" t="s">
        <v>119</v>
      </c>
      <c r="H1430">
        <v>69</v>
      </c>
      <c r="I1430" t="s">
        <v>357</v>
      </c>
      <c r="J1430" t="s">
        <v>4590</v>
      </c>
    </row>
    <row r="1431" spans="1:10" x14ac:dyDescent="0.25">
      <c r="A1431" t="s">
        <v>4591</v>
      </c>
      <c r="B1431" t="s">
        <v>4592</v>
      </c>
      <c r="C1431" s="2">
        <v>46210.333333333336</v>
      </c>
      <c r="D1431" t="s">
        <v>1412</v>
      </c>
      <c r="E1431" t="s">
        <v>49</v>
      </c>
      <c r="F1431" t="s">
        <v>226</v>
      </c>
      <c r="G1431" t="s">
        <v>123</v>
      </c>
      <c r="H1431">
        <v>60</v>
      </c>
      <c r="I1431" t="s">
        <v>357</v>
      </c>
      <c r="J1431" t="s">
        <v>4593</v>
      </c>
    </row>
    <row r="1432" spans="1:10" x14ac:dyDescent="0.25">
      <c r="A1432" t="s">
        <v>4594</v>
      </c>
      <c r="B1432" t="s">
        <v>4595</v>
      </c>
      <c r="C1432" s="2">
        <v>46210.333333333336</v>
      </c>
      <c r="D1432" t="s">
        <v>1412</v>
      </c>
      <c r="E1432" t="s">
        <v>59</v>
      </c>
      <c r="F1432" t="s">
        <v>227</v>
      </c>
      <c r="G1432" t="s">
        <v>133</v>
      </c>
      <c r="H1432">
        <v>90</v>
      </c>
      <c r="I1432" t="s">
        <v>357</v>
      </c>
      <c r="J1432" t="s">
        <v>4596</v>
      </c>
    </row>
    <row r="1433" spans="1:10" x14ac:dyDescent="0.25">
      <c r="A1433" t="s">
        <v>4597</v>
      </c>
      <c r="B1433" t="s">
        <v>4598</v>
      </c>
      <c r="C1433" s="2">
        <v>46210.333333333336</v>
      </c>
      <c r="D1433" t="s">
        <v>1412</v>
      </c>
      <c r="E1433" t="s">
        <v>65</v>
      </c>
      <c r="F1433" t="s">
        <v>228</v>
      </c>
      <c r="G1433" t="s">
        <v>135</v>
      </c>
      <c r="H1433">
        <v>63</v>
      </c>
      <c r="I1433" t="s">
        <v>357</v>
      </c>
      <c r="J1433" t="s">
        <v>4599</v>
      </c>
    </row>
    <row r="1434" spans="1:10" x14ac:dyDescent="0.25">
      <c r="A1434" t="s">
        <v>4600</v>
      </c>
      <c r="B1434" t="s">
        <v>4601</v>
      </c>
      <c r="C1434" s="2">
        <v>46210.333333333336</v>
      </c>
      <c r="D1434" t="s">
        <v>1412</v>
      </c>
      <c r="E1434" t="s">
        <v>69</v>
      </c>
      <c r="F1434" t="s">
        <v>229</v>
      </c>
      <c r="G1434" t="s">
        <v>139</v>
      </c>
      <c r="H1434">
        <v>92</v>
      </c>
      <c r="I1434" t="s">
        <v>357</v>
      </c>
      <c r="J1434" t="s">
        <v>4602</v>
      </c>
    </row>
    <row r="1435" spans="1:10" x14ac:dyDescent="0.25">
      <c r="A1435" t="s">
        <v>4603</v>
      </c>
      <c r="B1435" t="s">
        <v>4604</v>
      </c>
      <c r="C1435" s="2">
        <v>46210.333333333336</v>
      </c>
      <c r="D1435" t="s">
        <v>1412</v>
      </c>
      <c r="E1435" t="s">
        <v>75</v>
      </c>
      <c r="F1435" t="s">
        <v>230</v>
      </c>
      <c r="G1435" t="s">
        <v>145</v>
      </c>
      <c r="H1435">
        <v>62</v>
      </c>
      <c r="I1435" t="s">
        <v>357</v>
      </c>
      <c r="J1435" t="s">
        <v>4605</v>
      </c>
    </row>
    <row r="1436" spans="1:10" x14ac:dyDescent="0.25">
      <c r="A1436" t="s">
        <v>4606</v>
      </c>
      <c r="B1436" t="s">
        <v>4607</v>
      </c>
      <c r="C1436" s="2">
        <v>46210.583333333336</v>
      </c>
      <c r="D1436" t="s">
        <v>418</v>
      </c>
      <c r="E1436" t="s">
        <v>11</v>
      </c>
      <c r="F1436" t="s">
        <v>214</v>
      </c>
      <c r="G1436" t="s">
        <v>92</v>
      </c>
      <c r="H1436">
        <v>2</v>
      </c>
      <c r="I1436" t="s">
        <v>4608</v>
      </c>
      <c r="J1436" t="s">
        <v>357</v>
      </c>
    </row>
    <row r="1437" spans="1:10" x14ac:dyDescent="0.25">
      <c r="A1437" t="s">
        <v>4609</v>
      </c>
      <c r="B1437" t="s">
        <v>4610</v>
      </c>
      <c r="C1437" s="2">
        <v>46210.583333333336</v>
      </c>
      <c r="D1437" t="s">
        <v>418</v>
      </c>
      <c r="E1437" t="s">
        <v>20</v>
      </c>
      <c r="F1437" t="s">
        <v>216</v>
      </c>
      <c r="G1437" t="s">
        <v>97</v>
      </c>
      <c r="H1437">
        <v>1</v>
      </c>
      <c r="I1437" t="s">
        <v>4611</v>
      </c>
      <c r="J1437" t="s">
        <v>357</v>
      </c>
    </row>
    <row r="1438" spans="1:10" x14ac:dyDescent="0.25">
      <c r="A1438" t="s">
        <v>4612</v>
      </c>
      <c r="B1438" t="s">
        <v>4613</v>
      </c>
      <c r="C1438" s="2">
        <v>46210.583333333336</v>
      </c>
      <c r="D1438" t="s">
        <v>418</v>
      </c>
      <c r="E1438" t="s">
        <v>24</v>
      </c>
      <c r="F1438" t="s">
        <v>205</v>
      </c>
      <c r="G1438" t="s">
        <v>101</v>
      </c>
      <c r="H1438">
        <v>2</v>
      </c>
      <c r="I1438" t="s">
        <v>4614</v>
      </c>
      <c r="J1438" t="s">
        <v>357</v>
      </c>
    </row>
    <row r="1439" spans="1:10" x14ac:dyDescent="0.25">
      <c r="A1439" t="s">
        <v>4615</v>
      </c>
      <c r="B1439" t="s">
        <v>4616</v>
      </c>
      <c r="C1439" s="2">
        <v>46210.583333333336</v>
      </c>
      <c r="D1439" t="s">
        <v>418</v>
      </c>
      <c r="E1439" t="s">
        <v>26</v>
      </c>
      <c r="F1439" t="s">
        <v>206</v>
      </c>
      <c r="G1439" t="s">
        <v>103</v>
      </c>
      <c r="H1439">
        <v>2</v>
      </c>
      <c r="I1439" t="s">
        <v>4617</v>
      </c>
      <c r="J1439" t="s">
        <v>357</v>
      </c>
    </row>
    <row r="1440" spans="1:10" x14ac:dyDescent="0.25">
      <c r="A1440" t="s">
        <v>4618</v>
      </c>
      <c r="B1440" t="s">
        <v>4619</v>
      </c>
      <c r="C1440" s="2">
        <v>46210.583333333336</v>
      </c>
      <c r="D1440" t="s">
        <v>418</v>
      </c>
      <c r="E1440" t="s">
        <v>28</v>
      </c>
      <c r="F1440" t="s">
        <v>158</v>
      </c>
      <c r="G1440" t="s">
        <v>105</v>
      </c>
      <c r="H1440">
        <v>1</v>
      </c>
      <c r="I1440" t="s">
        <v>4620</v>
      </c>
      <c r="J1440" t="s">
        <v>357</v>
      </c>
    </row>
    <row r="1441" spans="1:10" x14ac:dyDescent="0.25">
      <c r="A1441" t="s">
        <v>4621</v>
      </c>
      <c r="B1441" t="s">
        <v>4622</v>
      </c>
      <c r="C1441" s="2">
        <v>46210.583333333336</v>
      </c>
      <c r="D1441" t="s">
        <v>418</v>
      </c>
      <c r="E1441" t="s">
        <v>28</v>
      </c>
      <c r="F1441" t="s">
        <v>221</v>
      </c>
      <c r="G1441" t="s">
        <v>105</v>
      </c>
      <c r="H1441">
        <v>1</v>
      </c>
      <c r="I1441" t="s">
        <v>4620</v>
      </c>
      <c r="J1441" t="s">
        <v>357</v>
      </c>
    </row>
    <row r="1442" spans="1:10" x14ac:dyDescent="0.25">
      <c r="A1442" t="s">
        <v>4623</v>
      </c>
      <c r="B1442" t="s">
        <v>4624</v>
      </c>
      <c r="C1442" s="2">
        <v>46210.583333333336</v>
      </c>
      <c r="D1442" t="s">
        <v>418</v>
      </c>
      <c r="E1442" t="s">
        <v>45</v>
      </c>
      <c r="F1442" t="s">
        <v>165</v>
      </c>
      <c r="G1442" t="s">
        <v>119</v>
      </c>
      <c r="H1442">
        <v>4</v>
      </c>
      <c r="I1442" t="s">
        <v>4625</v>
      </c>
      <c r="J1442" t="s">
        <v>357</v>
      </c>
    </row>
    <row r="1443" spans="1:10" x14ac:dyDescent="0.25">
      <c r="A1443" t="s">
        <v>4626</v>
      </c>
      <c r="B1443" t="s">
        <v>4627</v>
      </c>
      <c r="C1443" s="2">
        <v>46210.583333333336</v>
      </c>
      <c r="D1443" t="s">
        <v>418</v>
      </c>
      <c r="E1443" t="s">
        <v>53</v>
      </c>
      <c r="F1443" t="s">
        <v>210</v>
      </c>
      <c r="G1443" t="s">
        <v>127</v>
      </c>
      <c r="H1443">
        <v>2</v>
      </c>
      <c r="I1443" t="s">
        <v>4628</v>
      </c>
      <c r="J1443" t="s">
        <v>357</v>
      </c>
    </row>
    <row r="1444" spans="1:10" x14ac:dyDescent="0.25">
      <c r="A1444" t="s">
        <v>4629</v>
      </c>
      <c r="B1444" t="s">
        <v>4630</v>
      </c>
      <c r="C1444" s="2">
        <v>46210.583333333336</v>
      </c>
      <c r="D1444" t="s">
        <v>418</v>
      </c>
      <c r="E1444" t="s">
        <v>55</v>
      </c>
      <c r="F1444" t="s">
        <v>192</v>
      </c>
      <c r="G1444" t="s">
        <v>129</v>
      </c>
      <c r="H1444">
        <v>2</v>
      </c>
      <c r="I1444" t="s">
        <v>4631</v>
      </c>
      <c r="J1444" t="s">
        <v>357</v>
      </c>
    </row>
    <row r="1445" spans="1:10" x14ac:dyDescent="0.25">
      <c r="A1445" t="s">
        <v>4632</v>
      </c>
      <c r="B1445" t="s">
        <v>4633</v>
      </c>
      <c r="C1445" s="2">
        <v>46210.583333333336</v>
      </c>
      <c r="D1445" t="s">
        <v>418</v>
      </c>
      <c r="E1445" t="s">
        <v>65</v>
      </c>
      <c r="F1445" t="s">
        <v>173</v>
      </c>
      <c r="G1445" t="s">
        <v>135</v>
      </c>
      <c r="H1445">
        <v>3</v>
      </c>
      <c r="I1445" t="s">
        <v>4634</v>
      </c>
      <c r="J1445" t="s">
        <v>357</v>
      </c>
    </row>
    <row r="1446" spans="1:10" x14ac:dyDescent="0.25">
      <c r="A1446" t="s">
        <v>4635</v>
      </c>
      <c r="B1446" t="s">
        <v>4636</v>
      </c>
      <c r="C1446" s="2">
        <v>46210.583333333336</v>
      </c>
      <c r="D1446" t="s">
        <v>418</v>
      </c>
      <c r="E1446" t="s">
        <v>11</v>
      </c>
      <c r="F1446" t="s">
        <v>214</v>
      </c>
      <c r="G1446" t="s">
        <v>92</v>
      </c>
      <c r="H1446">
        <v>2</v>
      </c>
      <c r="I1446" t="s">
        <v>4637</v>
      </c>
      <c r="J1446" t="s">
        <v>357</v>
      </c>
    </row>
    <row r="1447" spans="1:10" x14ac:dyDescent="0.25">
      <c r="A1447" t="s">
        <v>4638</v>
      </c>
      <c r="B1447" t="s">
        <v>4639</v>
      </c>
      <c r="C1447" s="2">
        <v>46210.583333333336</v>
      </c>
      <c r="D1447" t="s">
        <v>418</v>
      </c>
      <c r="E1447" t="s">
        <v>20</v>
      </c>
      <c r="F1447" t="s">
        <v>216</v>
      </c>
      <c r="G1447" t="s">
        <v>97</v>
      </c>
      <c r="H1447">
        <v>1</v>
      </c>
      <c r="I1447" t="s">
        <v>4640</v>
      </c>
      <c r="J1447" t="s">
        <v>357</v>
      </c>
    </row>
    <row r="1448" spans="1:10" x14ac:dyDescent="0.25">
      <c r="A1448" t="s">
        <v>4641</v>
      </c>
      <c r="B1448" t="s">
        <v>4642</v>
      </c>
      <c r="C1448" s="2">
        <v>46210.583333333336</v>
      </c>
      <c r="D1448" t="s">
        <v>418</v>
      </c>
      <c r="E1448" t="s">
        <v>22</v>
      </c>
      <c r="F1448" t="s">
        <v>204</v>
      </c>
      <c r="G1448" t="s">
        <v>99</v>
      </c>
      <c r="H1448">
        <v>4</v>
      </c>
      <c r="I1448" t="s">
        <v>4643</v>
      </c>
      <c r="J1448" t="s">
        <v>357</v>
      </c>
    </row>
    <row r="1449" spans="1:10" x14ac:dyDescent="0.25">
      <c r="A1449" t="s">
        <v>4644</v>
      </c>
      <c r="B1449" t="s">
        <v>4645</v>
      </c>
      <c r="C1449" s="2">
        <v>46210.583333333336</v>
      </c>
      <c r="D1449" t="s">
        <v>418</v>
      </c>
      <c r="E1449" t="s">
        <v>24</v>
      </c>
      <c r="F1449" t="s">
        <v>205</v>
      </c>
      <c r="G1449" t="s">
        <v>101</v>
      </c>
      <c r="H1449">
        <v>5</v>
      </c>
      <c r="I1449" t="s">
        <v>4646</v>
      </c>
      <c r="J1449" t="s">
        <v>357</v>
      </c>
    </row>
    <row r="1450" spans="1:10" x14ac:dyDescent="0.25">
      <c r="A1450" t="s">
        <v>4647</v>
      </c>
      <c r="B1450" t="s">
        <v>4648</v>
      </c>
      <c r="C1450" s="2">
        <v>46210.583333333336</v>
      </c>
      <c r="D1450" t="s">
        <v>418</v>
      </c>
      <c r="E1450" t="s">
        <v>26</v>
      </c>
      <c r="F1450" t="s">
        <v>206</v>
      </c>
      <c r="G1450" t="s">
        <v>103</v>
      </c>
      <c r="H1450">
        <v>3</v>
      </c>
      <c r="I1450" t="s">
        <v>4649</v>
      </c>
      <c r="J1450" t="s">
        <v>357</v>
      </c>
    </row>
    <row r="1451" spans="1:10" x14ac:dyDescent="0.25">
      <c r="A1451" t="s">
        <v>4650</v>
      </c>
      <c r="B1451" t="s">
        <v>4651</v>
      </c>
      <c r="C1451" s="2">
        <v>46210.583333333336</v>
      </c>
      <c r="D1451" t="s">
        <v>418</v>
      </c>
      <c r="E1451" t="s">
        <v>41</v>
      </c>
      <c r="F1451" t="s">
        <v>188</v>
      </c>
      <c r="G1451" t="s">
        <v>115</v>
      </c>
      <c r="H1451">
        <v>5</v>
      </c>
      <c r="I1451" t="s">
        <v>4652</v>
      </c>
      <c r="J1451" t="s">
        <v>357</v>
      </c>
    </row>
    <row r="1452" spans="1:10" x14ac:dyDescent="0.25">
      <c r="A1452" t="s">
        <v>4653</v>
      </c>
      <c r="B1452" t="s">
        <v>4654</v>
      </c>
      <c r="C1452" s="2">
        <v>46210.583333333336</v>
      </c>
      <c r="D1452" t="s">
        <v>418</v>
      </c>
      <c r="E1452" t="s">
        <v>47</v>
      </c>
      <c r="F1452" t="s">
        <v>120</v>
      </c>
      <c r="G1452" t="s">
        <v>121</v>
      </c>
      <c r="H1452">
        <v>3</v>
      </c>
      <c r="I1452" t="s">
        <v>4655</v>
      </c>
      <c r="J1452" t="s">
        <v>357</v>
      </c>
    </row>
    <row r="1453" spans="1:10" x14ac:dyDescent="0.25">
      <c r="A1453" t="s">
        <v>4656</v>
      </c>
      <c r="B1453" t="s">
        <v>4657</v>
      </c>
      <c r="C1453" s="2">
        <v>46210.583333333336</v>
      </c>
      <c r="D1453" t="s">
        <v>418</v>
      </c>
      <c r="E1453" t="s">
        <v>69</v>
      </c>
      <c r="F1453" t="s">
        <v>175</v>
      </c>
      <c r="G1453" t="s">
        <v>139</v>
      </c>
      <c r="H1453">
        <v>4</v>
      </c>
      <c r="I1453" t="s">
        <v>4658</v>
      </c>
      <c r="J1453" t="s">
        <v>357</v>
      </c>
    </row>
    <row r="1454" spans="1:10" x14ac:dyDescent="0.25">
      <c r="A1454" t="s">
        <v>4659</v>
      </c>
      <c r="B1454" t="s">
        <v>4660</v>
      </c>
      <c r="C1454" s="2">
        <v>46210.583333333336</v>
      </c>
      <c r="D1454" t="s">
        <v>418</v>
      </c>
      <c r="E1454" t="s">
        <v>79</v>
      </c>
      <c r="F1454" t="s">
        <v>148</v>
      </c>
      <c r="G1454" t="s">
        <v>149</v>
      </c>
      <c r="H1454">
        <v>1</v>
      </c>
      <c r="I1454" t="s">
        <v>4661</v>
      </c>
      <c r="J1454" t="s">
        <v>357</v>
      </c>
    </row>
    <row r="1455" spans="1:10" x14ac:dyDescent="0.25">
      <c r="A1455" t="s">
        <v>4662</v>
      </c>
      <c r="B1455" t="s">
        <v>4663</v>
      </c>
      <c r="C1455" s="2">
        <v>46210.583333333336</v>
      </c>
      <c r="D1455" t="s">
        <v>418</v>
      </c>
      <c r="E1455" t="s">
        <v>11</v>
      </c>
      <c r="F1455" t="s">
        <v>214</v>
      </c>
      <c r="G1455" t="s">
        <v>92</v>
      </c>
      <c r="H1455">
        <v>6</v>
      </c>
      <c r="I1455" t="s">
        <v>4664</v>
      </c>
      <c r="J1455" t="s">
        <v>357</v>
      </c>
    </row>
    <row r="1456" spans="1:10" x14ac:dyDescent="0.25">
      <c r="A1456" t="s">
        <v>4665</v>
      </c>
      <c r="B1456" t="s">
        <v>4666</v>
      </c>
      <c r="C1456" s="2">
        <v>46210.583333333336</v>
      </c>
      <c r="D1456" t="s">
        <v>418</v>
      </c>
      <c r="E1456" t="s">
        <v>20</v>
      </c>
      <c r="F1456" t="s">
        <v>216</v>
      </c>
      <c r="G1456" t="s">
        <v>97</v>
      </c>
      <c r="H1456">
        <v>6</v>
      </c>
      <c r="I1456" t="s">
        <v>4667</v>
      </c>
      <c r="J1456" t="s">
        <v>357</v>
      </c>
    </row>
    <row r="1457" spans="1:10" x14ac:dyDescent="0.25">
      <c r="A1457" t="s">
        <v>4668</v>
      </c>
      <c r="B1457" t="s">
        <v>4669</v>
      </c>
      <c r="C1457" s="2">
        <v>46210.583333333336</v>
      </c>
      <c r="D1457" t="s">
        <v>418</v>
      </c>
      <c r="E1457" t="s">
        <v>22</v>
      </c>
      <c r="F1457" t="s">
        <v>204</v>
      </c>
      <c r="G1457" t="s">
        <v>99</v>
      </c>
      <c r="H1457">
        <v>6</v>
      </c>
      <c r="I1457" t="s">
        <v>4670</v>
      </c>
      <c r="J1457" t="s">
        <v>357</v>
      </c>
    </row>
    <row r="1458" spans="1:10" x14ac:dyDescent="0.25">
      <c r="A1458" t="s">
        <v>4671</v>
      </c>
      <c r="B1458" t="s">
        <v>4672</v>
      </c>
      <c r="C1458" s="2">
        <v>46210.583333333336</v>
      </c>
      <c r="D1458" t="s">
        <v>418</v>
      </c>
      <c r="E1458" t="s">
        <v>28</v>
      </c>
      <c r="F1458" t="s">
        <v>221</v>
      </c>
      <c r="G1458" t="s">
        <v>105</v>
      </c>
      <c r="H1458">
        <v>6</v>
      </c>
      <c r="I1458" t="s">
        <v>4673</v>
      </c>
      <c r="J1458" t="s">
        <v>357</v>
      </c>
    </row>
    <row r="1459" spans="1:10" x14ac:dyDescent="0.25">
      <c r="A1459" t="s">
        <v>4674</v>
      </c>
      <c r="B1459" t="s">
        <v>4675</v>
      </c>
      <c r="C1459" s="2">
        <v>46210.583333333336</v>
      </c>
      <c r="D1459" t="s">
        <v>418</v>
      </c>
      <c r="E1459" t="s">
        <v>32</v>
      </c>
      <c r="F1459" t="s">
        <v>160</v>
      </c>
      <c r="G1459" t="s">
        <v>109</v>
      </c>
      <c r="H1459">
        <v>4</v>
      </c>
      <c r="I1459" t="s">
        <v>4676</v>
      </c>
      <c r="J1459" t="s">
        <v>357</v>
      </c>
    </row>
    <row r="1460" spans="1:10" x14ac:dyDescent="0.25">
      <c r="A1460" t="s">
        <v>4677</v>
      </c>
      <c r="B1460" t="s">
        <v>4678</v>
      </c>
      <c r="C1460" s="2">
        <v>46210.583333333336</v>
      </c>
      <c r="D1460" t="s">
        <v>418</v>
      </c>
      <c r="E1460" t="s">
        <v>41</v>
      </c>
      <c r="F1460" t="s">
        <v>188</v>
      </c>
      <c r="G1460" t="s">
        <v>115</v>
      </c>
      <c r="H1460">
        <v>5</v>
      </c>
      <c r="I1460" t="s">
        <v>4679</v>
      </c>
      <c r="J1460" t="s">
        <v>357</v>
      </c>
    </row>
    <row r="1461" spans="1:10" x14ac:dyDescent="0.25">
      <c r="A1461" t="s">
        <v>4680</v>
      </c>
      <c r="B1461" t="s">
        <v>4681</v>
      </c>
      <c r="C1461" s="2">
        <v>46210.583333333336</v>
      </c>
      <c r="D1461" t="s">
        <v>418</v>
      </c>
      <c r="E1461" t="s">
        <v>43</v>
      </c>
      <c r="F1461" t="s">
        <v>208</v>
      </c>
      <c r="G1461" t="s">
        <v>117</v>
      </c>
      <c r="H1461">
        <v>6</v>
      </c>
      <c r="I1461" t="s">
        <v>4682</v>
      </c>
      <c r="J1461" t="s">
        <v>357</v>
      </c>
    </row>
    <row r="1462" spans="1:10" x14ac:dyDescent="0.25">
      <c r="A1462" t="s">
        <v>4683</v>
      </c>
      <c r="B1462" t="s">
        <v>4684</v>
      </c>
      <c r="C1462" s="2">
        <v>46210.583333333336</v>
      </c>
      <c r="D1462" t="s">
        <v>418</v>
      </c>
      <c r="E1462" t="s">
        <v>57</v>
      </c>
      <c r="F1462" t="s">
        <v>211</v>
      </c>
      <c r="G1462" t="s">
        <v>131</v>
      </c>
      <c r="H1462">
        <v>6</v>
      </c>
      <c r="I1462" t="s">
        <v>4685</v>
      </c>
      <c r="J1462" t="s">
        <v>357</v>
      </c>
    </row>
    <row r="1463" spans="1:10" x14ac:dyDescent="0.25">
      <c r="A1463" t="s">
        <v>4686</v>
      </c>
      <c r="B1463" t="s">
        <v>4687</v>
      </c>
      <c r="C1463" s="2">
        <v>46210.583333333336</v>
      </c>
      <c r="D1463" t="s">
        <v>418</v>
      </c>
      <c r="E1463" t="s">
        <v>11</v>
      </c>
      <c r="F1463" t="s">
        <v>214</v>
      </c>
      <c r="G1463" t="s">
        <v>92</v>
      </c>
      <c r="H1463">
        <v>4</v>
      </c>
      <c r="I1463" t="s">
        <v>4688</v>
      </c>
      <c r="J1463" t="s">
        <v>357</v>
      </c>
    </row>
    <row r="1464" spans="1:10" x14ac:dyDescent="0.25">
      <c r="A1464" t="s">
        <v>4689</v>
      </c>
      <c r="B1464" t="s">
        <v>4690</v>
      </c>
      <c r="C1464" s="2">
        <v>46210.583333333336</v>
      </c>
      <c r="D1464" t="s">
        <v>418</v>
      </c>
      <c r="E1464" t="s">
        <v>18</v>
      </c>
      <c r="F1464" t="s">
        <v>215</v>
      </c>
      <c r="G1464" t="s">
        <v>95</v>
      </c>
      <c r="H1464">
        <v>7</v>
      </c>
      <c r="I1464" t="s">
        <v>4691</v>
      </c>
      <c r="J1464" t="s">
        <v>357</v>
      </c>
    </row>
    <row r="1465" spans="1:10" x14ac:dyDescent="0.25">
      <c r="A1465" t="s">
        <v>4692</v>
      </c>
      <c r="B1465" t="s">
        <v>4693</v>
      </c>
      <c r="C1465" s="2">
        <v>46210.583333333336</v>
      </c>
      <c r="D1465" t="s">
        <v>418</v>
      </c>
      <c r="E1465" t="s">
        <v>22</v>
      </c>
      <c r="F1465" t="s">
        <v>204</v>
      </c>
      <c r="G1465" t="s">
        <v>99</v>
      </c>
      <c r="H1465">
        <v>6</v>
      </c>
      <c r="I1465" t="s">
        <v>4694</v>
      </c>
      <c r="J1465" t="s">
        <v>357</v>
      </c>
    </row>
    <row r="1466" spans="1:10" x14ac:dyDescent="0.25">
      <c r="A1466" t="s">
        <v>4695</v>
      </c>
      <c r="B1466" t="s">
        <v>4696</v>
      </c>
      <c r="C1466" s="2">
        <v>46210.583333333336</v>
      </c>
      <c r="D1466" t="s">
        <v>418</v>
      </c>
      <c r="E1466" t="s">
        <v>26</v>
      </c>
      <c r="F1466" t="s">
        <v>206</v>
      </c>
      <c r="G1466" t="s">
        <v>103</v>
      </c>
      <c r="H1466">
        <v>7</v>
      </c>
      <c r="I1466" t="s">
        <v>4697</v>
      </c>
      <c r="J1466" t="s">
        <v>357</v>
      </c>
    </row>
    <row r="1467" spans="1:10" x14ac:dyDescent="0.25">
      <c r="A1467" t="s">
        <v>4698</v>
      </c>
      <c r="B1467" t="s">
        <v>4699</v>
      </c>
      <c r="C1467" s="2">
        <v>46210.583333333336</v>
      </c>
      <c r="D1467" t="s">
        <v>418</v>
      </c>
      <c r="E1467" t="s">
        <v>30</v>
      </c>
      <c r="F1467" t="s">
        <v>159</v>
      </c>
      <c r="G1467" t="s">
        <v>107</v>
      </c>
      <c r="H1467">
        <v>3</v>
      </c>
      <c r="I1467" t="s">
        <v>4700</v>
      </c>
      <c r="J1467" t="s">
        <v>357</v>
      </c>
    </row>
    <row r="1468" spans="1:10" x14ac:dyDescent="0.25">
      <c r="A1468" t="s">
        <v>4701</v>
      </c>
      <c r="B1468" t="s">
        <v>4702</v>
      </c>
      <c r="C1468" s="2">
        <v>46210.583333333336</v>
      </c>
      <c r="D1468" t="s">
        <v>418</v>
      </c>
      <c r="E1468" t="s">
        <v>59</v>
      </c>
      <c r="F1468" t="s">
        <v>172</v>
      </c>
      <c r="G1468" t="s">
        <v>133</v>
      </c>
      <c r="H1468">
        <v>3</v>
      </c>
      <c r="I1468" t="s">
        <v>4703</v>
      </c>
      <c r="J1468" t="s">
        <v>357</v>
      </c>
    </row>
    <row r="1469" spans="1:10" x14ac:dyDescent="0.25">
      <c r="A1469" t="s">
        <v>4704</v>
      </c>
      <c r="B1469" t="s">
        <v>4705</v>
      </c>
      <c r="C1469" s="2">
        <v>46210.583333333336</v>
      </c>
      <c r="D1469" t="s">
        <v>418</v>
      </c>
      <c r="E1469" t="s">
        <v>73</v>
      </c>
      <c r="F1469" t="s">
        <v>177</v>
      </c>
      <c r="G1469" t="s">
        <v>143</v>
      </c>
      <c r="H1469">
        <v>1</v>
      </c>
      <c r="I1469" t="s">
        <v>4706</v>
      </c>
      <c r="J1469" t="s">
        <v>357</v>
      </c>
    </row>
    <row r="1470" spans="1:10" x14ac:dyDescent="0.25">
      <c r="A1470" t="s">
        <v>4707</v>
      </c>
      <c r="B1470" t="s">
        <v>4708</v>
      </c>
      <c r="C1470" s="2">
        <v>46210.583333333336</v>
      </c>
      <c r="D1470" t="s">
        <v>418</v>
      </c>
      <c r="E1470" t="s">
        <v>77</v>
      </c>
      <c r="F1470" t="s">
        <v>179</v>
      </c>
      <c r="G1470" t="s">
        <v>147</v>
      </c>
      <c r="H1470">
        <v>4</v>
      </c>
      <c r="I1470" t="s">
        <v>4709</v>
      </c>
      <c r="J1470" t="s">
        <v>357</v>
      </c>
    </row>
    <row r="1471" spans="1:10" x14ac:dyDescent="0.25">
      <c r="A1471" t="s">
        <v>4710</v>
      </c>
      <c r="B1471" t="s">
        <v>4711</v>
      </c>
      <c r="C1471" s="2">
        <v>46210.583333333336</v>
      </c>
      <c r="D1471" t="s">
        <v>418</v>
      </c>
      <c r="E1471" t="s">
        <v>11</v>
      </c>
      <c r="F1471" t="s">
        <v>214</v>
      </c>
      <c r="G1471" t="s">
        <v>92</v>
      </c>
      <c r="H1471">
        <v>2</v>
      </c>
      <c r="I1471" t="s">
        <v>4712</v>
      </c>
      <c r="J1471" t="s">
        <v>357</v>
      </c>
    </row>
    <row r="1472" spans="1:10" x14ac:dyDescent="0.25">
      <c r="A1472" t="s">
        <v>4713</v>
      </c>
      <c r="B1472" t="s">
        <v>4714</v>
      </c>
      <c r="C1472" s="2">
        <v>46210.583333333336</v>
      </c>
      <c r="D1472" t="s">
        <v>418</v>
      </c>
      <c r="E1472" t="s">
        <v>18</v>
      </c>
      <c r="F1472" t="s">
        <v>215</v>
      </c>
      <c r="G1472" t="s">
        <v>95</v>
      </c>
      <c r="H1472">
        <v>1</v>
      </c>
      <c r="I1472" t="s">
        <v>4715</v>
      </c>
      <c r="J1472" t="s">
        <v>357</v>
      </c>
    </row>
    <row r="1473" spans="1:10" x14ac:dyDescent="0.25">
      <c r="A1473" t="s">
        <v>4716</v>
      </c>
      <c r="B1473" t="s">
        <v>4717</v>
      </c>
      <c r="C1473" s="2">
        <v>46210.583333333336</v>
      </c>
      <c r="D1473" t="s">
        <v>418</v>
      </c>
      <c r="E1473" t="s">
        <v>20</v>
      </c>
      <c r="F1473" t="s">
        <v>216</v>
      </c>
      <c r="G1473" t="s">
        <v>97</v>
      </c>
      <c r="H1473">
        <v>2</v>
      </c>
      <c r="I1473" t="s">
        <v>4718</v>
      </c>
      <c r="J1473" t="s">
        <v>357</v>
      </c>
    </row>
    <row r="1474" spans="1:10" x14ac:dyDescent="0.25">
      <c r="A1474" t="s">
        <v>4719</v>
      </c>
      <c r="B1474" t="s">
        <v>4720</v>
      </c>
      <c r="C1474" s="2">
        <v>46210.583333333336</v>
      </c>
      <c r="D1474" t="s">
        <v>418</v>
      </c>
      <c r="E1474" t="s">
        <v>22</v>
      </c>
      <c r="F1474" t="s">
        <v>204</v>
      </c>
      <c r="G1474" t="s">
        <v>99</v>
      </c>
      <c r="H1474">
        <v>1</v>
      </c>
      <c r="I1474" t="s">
        <v>4721</v>
      </c>
      <c r="J1474" t="s">
        <v>357</v>
      </c>
    </row>
    <row r="1475" spans="1:10" x14ac:dyDescent="0.25">
      <c r="A1475" t="s">
        <v>4722</v>
      </c>
      <c r="B1475" t="s">
        <v>4723</v>
      </c>
      <c r="C1475" s="2">
        <v>46210.583333333336</v>
      </c>
      <c r="D1475" t="s">
        <v>418</v>
      </c>
      <c r="E1475" t="s">
        <v>28</v>
      </c>
      <c r="F1475" t="s">
        <v>221</v>
      </c>
      <c r="G1475" t="s">
        <v>105</v>
      </c>
      <c r="H1475">
        <v>4</v>
      </c>
      <c r="I1475" t="s">
        <v>4724</v>
      </c>
      <c r="J1475" t="s">
        <v>357</v>
      </c>
    </row>
    <row r="1476" spans="1:10" x14ac:dyDescent="0.25">
      <c r="A1476" t="s">
        <v>4725</v>
      </c>
      <c r="B1476" t="s">
        <v>4726</v>
      </c>
      <c r="C1476" s="2">
        <v>46210.583333333336</v>
      </c>
      <c r="D1476" t="s">
        <v>418</v>
      </c>
      <c r="E1476" t="s">
        <v>65</v>
      </c>
      <c r="F1476" t="s">
        <v>173</v>
      </c>
      <c r="G1476" t="s">
        <v>135</v>
      </c>
      <c r="H1476">
        <v>4</v>
      </c>
      <c r="I1476" t="s">
        <v>4727</v>
      </c>
      <c r="J1476" t="s">
        <v>357</v>
      </c>
    </row>
    <row r="1477" spans="1:10" x14ac:dyDescent="0.25">
      <c r="A1477" t="s">
        <v>4728</v>
      </c>
      <c r="B1477" t="s">
        <v>4729</v>
      </c>
      <c r="C1477" s="2">
        <v>46210.583333333336</v>
      </c>
      <c r="D1477" t="s">
        <v>418</v>
      </c>
      <c r="E1477" t="s">
        <v>73</v>
      </c>
      <c r="F1477" t="s">
        <v>177</v>
      </c>
      <c r="G1477" t="s">
        <v>143</v>
      </c>
      <c r="H1477">
        <v>4</v>
      </c>
      <c r="I1477" t="s">
        <v>4730</v>
      </c>
      <c r="J1477" t="s">
        <v>357</v>
      </c>
    </row>
    <row r="1478" spans="1:10" x14ac:dyDescent="0.25">
      <c r="A1478" t="s">
        <v>4731</v>
      </c>
      <c r="B1478" t="s">
        <v>4732</v>
      </c>
      <c r="C1478" s="2">
        <v>46210.583333333336</v>
      </c>
      <c r="D1478" t="s">
        <v>418</v>
      </c>
      <c r="E1478" t="s">
        <v>75</v>
      </c>
      <c r="F1478" t="s">
        <v>178</v>
      </c>
      <c r="G1478" t="s">
        <v>145</v>
      </c>
      <c r="H1478">
        <v>1</v>
      </c>
      <c r="I1478" t="s">
        <v>4733</v>
      </c>
      <c r="J1478" t="s">
        <v>357</v>
      </c>
    </row>
    <row r="1479" spans="1:10" x14ac:dyDescent="0.25">
      <c r="A1479" t="s">
        <v>4734</v>
      </c>
      <c r="B1479" t="s">
        <v>4735</v>
      </c>
      <c r="C1479" s="2">
        <v>46211.583333333336</v>
      </c>
      <c r="D1479" t="s">
        <v>418</v>
      </c>
      <c r="E1479" t="s">
        <v>11</v>
      </c>
      <c r="F1479" t="s">
        <v>214</v>
      </c>
      <c r="G1479" t="s">
        <v>92</v>
      </c>
      <c r="H1479">
        <v>3</v>
      </c>
      <c r="I1479" t="s">
        <v>4736</v>
      </c>
      <c r="J1479" t="s">
        <v>357</v>
      </c>
    </row>
    <row r="1480" spans="1:10" x14ac:dyDescent="0.25">
      <c r="A1480" t="s">
        <v>4737</v>
      </c>
      <c r="B1480" t="s">
        <v>4738</v>
      </c>
      <c r="C1480" s="2">
        <v>46211.583333333336</v>
      </c>
      <c r="D1480" t="s">
        <v>418</v>
      </c>
      <c r="E1480" t="s">
        <v>18</v>
      </c>
      <c r="F1480" t="s">
        <v>215</v>
      </c>
      <c r="G1480" t="s">
        <v>95</v>
      </c>
      <c r="H1480">
        <v>1</v>
      </c>
      <c r="I1480" t="s">
        <v>4739</v>
      </c>
      <c r="J1480" t="s">
        <v>357</v>
      </c>
    </row>
    <row r="1481" spans="1:10" x14ac:dyDescent="0.25">
      <c r="A1481" t="s">
        <v>4740</v>
      </c>
      <c r="B1481" t="s">
        <v>4741</v>
      </c>
      <c r="C1481" s="2">
        <v>46211.583333333336</v>
      </c>
      <c r="D1481" t="s">
        <v>418</v>
      </c>
      <c r="E1481" t="s">
        <v>22</v>
      </c>
      <c r="F1481" t="s">
        <v>204</v>
      </c>
      <c r="G1481" t="s">
        <v>99</v>
      </c>
      <c r="H1481">
        <v>1</v>
      </c>
      <c r="I1481" t="s">
        <v>4742</v>
      </c>
      <c r="J1481" t="s">
        <v>357</v>
      </c>
    </row>
    <row r="1482" spans="1:10" x14ac:dyDescent="0.25">
      <c r="A1482" t="s">
        <v>4743</v>
      </c>
      <c r="B1482" t="s">
        <v>4744</v>
      </c>
      <c r="C1482" s="2">
        <v>46211.583333333336</v>
      </c>
      <c r="D1482" t="s">
        <v>418</v>
      </c>
      <c r="E1482" t="s">
        <v>22</v>
      </c>
      <c r="F1482" t="s">
        <v>217</v>
      </c>
      <c r="G1482" t="s">
        <v>99</v>
      </c>
      <c r="H1482">
        <v>1</v>
      </c>
      <c r="I1482" t="s">
        <v>4742</v>
      </c>
      <c r="J1482" t="s">
        <v>357</v>
      </c>
    </row>
    <row r="1483" spans="1:10" x14ac:dyDescent="0.25">
      <c r="A1483" t="s">
        <v>4745</v>
      </c>
      <c r="B1483" t="s">
        <v>4746</v>
      </c>
      <c r="C1483" s="2">
        <v>46211.583333333336</v>
      </c>
      <c r="D1483" t="s">
        <v>418</v>
      </c>
      <c r="E1483" t="s">
        <v>28</v>
      </c>
      <c r="F1483" t="s">
        <v>221</v>
      </c>
      <c r="G1483" t="s">
        <v>105</v>
      </c>
      <c r="H1483">
        <v>4</v>
      </c>
      <c r="I1483" t="s">
        <v>4747</v>
      </c>
      <c r="J1483" t="s">
        <v>357</v>
      </c>
    </row>
    <row r="1484" spans="1:10" x14ac:dyDescent="0.25">
      <c r="A1484" t="s">
        <v>4748</v>
      </c>
      <c r="B1484" t="s">
        <v>4749</v>
      </c>
      <c r="C1484" s="2">
        <v>46211.583333333336</v>
      </c>
      <c r="D1484" t="s">
        <v>418</v>
      </c>
      <c r="E1484" t="s">
        <v>43</v>
      </c>
      <c r="F1484" t="s">
        <v>208</v>
      </c>
      <c r="G1484" t="s">
        <v>117</v>
      </c>
      <c r="H1484">
        <v>2</v>
      </c>
      <c r="I1484" t="s">
        <v>4750</v>
      </c>
      <c r="J1484" t="s">
        <v>357</v>
      </c>
    </row>
    <row r="1485" spans="1:10" x14ac:dyDescent="0.25">
      <c r="A1485" t="s">
        <v>4751</v>
      </c>
      <c r="B1485" t="s">
        <v>4752</v>
      </c>
      <c r="C1485" s="2">
        <v>46211.583333333336</v>
      </c>
      <c r="D1485" t="s">
        <v>418</v>
      </c>
      <c r="E1485" t="s">
        <v>47</v>
      </c>
      <c r="F1485" t="s">
        <v>120</v>
      </c>
      <c r="G1485" t="s">
        <v>121</v>
      </c>
      <c r="H1485">
        <v>2</v>
      </c>
      <c r="I1485" t="s">
        <v>4753</v>
      </c>
      <c r="J1485" t="s">
        <v>357</v>
      </c>
    </row>
    <row r="1486" spans="1:10" x14ac:dyDescent="0.25">
      <c r="A1486" t="s">
        <v>4754</v>
      </c>
      <c r="B1486" t="s">
        <v>4755</v>
      </c>
      <c r="C1486" s="2">
        <v>46211.583333333336</v>
      </c>
      <c r="D1486" t="s">
        <v>418</v>
      </c>
      <c r="E1486" t="s">
        <v>49</v>
      </c>
      <c r="F1486" t="s">
        <v>226</v>
      </c>
      <c r="G1486" t="s">
        <v>123</v>
      </c>
      <c r="H1486">
        <v>2</v>
      </c>
      <c r="I1486" t="s">
        <v>4756</v>
      </c>
      <c r="J1486" t="s">
        <v>357</v>
      </c>
    </row>
    <row r="1487" spans="1:10" x14ac:dyDescent="0.25">
      <c r="A1487" t="s">
        <v>4757</v>
      </c>
      <c r="B1487" t="s">
        <v>4758</v>
      </c>
      <c r="C1487" s="2">
        <v>46211.583333333336</v>
      </c>
      <c r="D1487" t="s">
        <v>418</v>
      </c>
      <c r="E1487" t="s">
        <v>59</v>
      </c>
      <c r="F1487" t="s">
        <v>172</v>
      </c>
      <c r="G1487" t="s">
        <v>133</v>
      </c>
      <c r="H1487">
        <v>1</v>
      </c>
      <c r="I1487" t="s">
        <v>4759</v>
      </c>
      <c r="J1487" t="s">
        <v>357</v>
      </c>
    </row>
    <row r="1488" spans="1:10" x14ac:dyDescent="0.25">
      <c r="A1488" t="s">
        <v>4760</v>
      </c>
      <c r="B1488" t="s">
        <v>4761</v>
      </c>
      <c r="C1488" s="2">
        <v>46211.583333333336</v>
      </c>
      <c r="D1488" t="s">
        <v>418</v>
      </c>
      <c r="E1488" t="s">
        <v>71</v>
      </c>
      <c r="F1488" t="s">
        <v>198</v>
      </c>
      <c r="G1488" t="s">
        <v>141</v>
      </c>
      <c r="H1488">
        <v>4</v>
      </c>
      <c r="I1488" t="s">
        <v>4762</v>
      </c>
      <c r="J1488" t="s">
        <v>357</v>
      </c>
    </row>
    <row r="1489" spans="1:10" x14ac:dyDescent="0.25">
      <c r="A1489" t="s">
        <v>4763</v>
      </c>
      <c r="B1489" t="s">
        <v>4764</v>
      </c>
      <c r="C1489" s="2">
        <v>46211.583333333336</v>
      </c>
      <c r="D1489" t="s">
        <v>418</v>
      </c>
      <c r="E1489" t="s">
        <v>75</v>
      </c>
      <c r="F1489" t="s">
        <v>178</v>
      </c>
      <c r="G1489" t="s">
        <v>145</v>
      </c>
      <c r="H1489">
        <v>1</v>
      </c>
      <c r="I1489" t="s">
        <v>4765</v>
      </c>
      <c r="J1489" t="s">
        <v>357</v>
      </c>
    </row>
    <row r="1490" spans="1:10" x14ac:dyDescent="0.25">
      <c r="A1490" t="s">
        <v>4766</v>
      </c>
      <c r="B1490" t="s">
        <v>4767</v>
      </c>
      <c r="C1490" s="2">
        <v>46211.583333333336</v>
      </c>
      <c r="D1490" t="s">
        <v>418</v>
      </c>
      <c r="E1490" t="s">
        <v>18</v>
      </c>
      <c r="F1490" t="s">
        <v>215</v>
      </c>
      <c r="G1490" t="s">
        <v>95</v>
      </c>
      <c r="H1490">
        <v>1</v>
      </c>
      <c r="I1490" t="s">
        <v>4768</v>
      </c>
      <c r="J1490" t="s">
        <v>357</v>
      </c>
    </row>
    <row r="1491" spans="1:10" x14ac:dyDescent="0.25">
      <c r="A1491" t="s">
        <v>4769</v>
      </c>
      <c r="B1491" t="s">
        <v>4770</v>
      </c>
      <c r="C1491" s="2">
        <v>46211.583333333336</v>
      </c>
      <c r="D1491" t="s">
        <v>418</v>
      </c>
      <c r="E1491" t="s">
        <v>20</v>
      </c>
      <c r="F1491" t="s">
        <v>216</v>
      </c>
      <c r="G1491" t="s">
        <v>97</v>
      </c>
      <c r="H1491">
        <v>3</v>
      </c>
      <c r="I1491" t="s">
        <v>4771</v>
      </c>
      <c r="J1491" t="s">
        <v>357</v>
      </c>
    </row>
    <row r="1492" spans="1:10" x14ac:dyDescent="0.25">
      <c r="A1492" t="s">
        <v>4772</v>
      </c>
      <c r="B1492" t="s">
        <v>4773</v>
      </c>
      <c r="C1492" s="2">
        <v>46211.583333333336</v>
      </c>
      <c r="D1492" t="s">
        <v>418</v>
      </c>
      <c r="E1492" t="s">
        <v>22</v>
      </c>
      <c r="F1492" t="s">
        <v>217</v>
      </c>
      <c r="G1492" t="s">
        <v>99</v>
      </c>
      <c r="H1492">
        <v>1</v>
      </c>
      <c r="I1492" t="s">
        <v>4774</v>
      </c>
      <c r="J1492" t="s">
        <v>357</v>
      </c>
    </row>
    <row r="1493" spans="1:10" x14ac:dyDescent="0.25">
      <c r="A1493" t="s">
        <v>4775</v>
      </c>
      <c r="B1493" t="s">
        <v>4776</v>
      </c>
      <c r="C1493" s="2">
        <v>46211.583333333336</v>
      </c>
      <c r="D1493" t="s">
        <v>418</v>
      </c>
      <c r="E1493" t="s">
        <v>24</v>
      </c>
      <c r="F1493" t="s">
        <v>205</v>
      </c>
      <c r="G1493" t="s">
        <v>101</v>
      </c>
      <c r="H1493">
        <v>1</v>
      </c>
      <c r="I1493" t="s">
        <v>4777</v>
      </c>
      <c r="J1493" t="s">
        <v>357</v>
      </c>
    </row>
    <row r="1494" spans="1:10" x14ac:dyDescent="0.25">
      <c r="A1494" t="s">
        <v>4778</v>
      </c>
      <c r="B1494" t="s">
        <v>4779</v>
      </c>
      <c r="C1494" s="2">
        <v>46211.583333333336</v>
      </c>
      <c r="D1494" t="s">
        <v>418</v>
      </c>
      <c r="E1494" t="s">
        <v>28</v>
      </c>
      <c r="F1494" t="s">
        <v>221</v>
      </c>
      <c r="G1494" t="s">
        <v>105</v>
      </c>
      <c r="H1494">
        <v>2</v>
      </c>
      <c r="I1494" t="s">
        <v>4780</v>
      </c>
      <c r="J1494" t="s">
        <v>357</v>
      </c>
    </row>
    <row r="1495" spans="1:10" x14ac:dyDescent="0.25">
      <c r="A1495" t="s">
        <v>4781</v>
      </c>
      <c r="B1495" t="s">
        <v>4782</v>
      </c>
      <c r="C1495" s="2">
        <v>46211.583333333336</v>
      </c>
      <c r="D1495" t="s">
        <v>418</v>
      </c>
      <c r="E1495" t="s">
        <v>32</v>
      </c>
      <c r="F1495" t="s">
        <v>160</v>
      </c>
      <c r="G1495" t="s">
        <v>109</v>
      </c>
      <c r="H1495">
        <v>5</v>
      </c>
      <c r="I1495" t="s">
        <v>4783</v>
      </c>
      <c r="J1495" t="s">
        <v>357</v>
      </c>
    </row>
    <row r="1496" spans="1:10" x14ac:dyDescent="0.25">
      <c r="A1496" t="s">
        <v>4784</v>
      </c>
      <c r="B1496" t="s">
        <v>4785</v>
      </c>
      <c r="C1496" s="2">
        <v>46211.583333333336</v>
      </c>
      <c r="D1496" t="s">
        <v>418</v>
      </c>
      <c r="E1496" t="s">
        <v>49</v>
      </c>
      <c r="F1496" t="s">
        <v>226</v>
      </c>
      <c r="G1496" t="s">
        <v>123</v>
      </c>
      <c r="H1496">
        <v>2</v>
      </c>
      <c r="I1496" t="s">
        <v>4786</v>
      </c>
      <c r="J1496" t="s">
        <v>357</v>
      </c>
    </row>
    <row r="1497" spans="1:10" x14ac:dyDescent="0.25">
      <c r="A1497" t="s">
        <v>4787</v>
      </c>
      <c r="B1497" t="s">
        <v>4788</v>
      </c>
      <c r="C1497" s="2">
        <v>46211.583333333336</v>
      </c>
      <c r="D1497" t="s">
        <v>418</v>
      </c>
      <c r="E1497" t="s">
        <v>67</v>
      </c>
      <c r="F1497" t="s">
        <v>174</v>
      </c>
      <c r="G1497" t="s">
        <v>137</v>
      </c>
      <c r="H1497">
        <v>4</v>
      </c>
      <c r="I1497" t="s">
        <v>4789</v>
      </c>
      <c r="J1497" t="s">
        <v>357</v>
      </c>
    </row>
    <row r="1498" spans="1:10" x14ac:dyDescent="0.25">
      <c r="A1498" t="s">
        <v>4790</v>
      </c>
      <c r="B1498" t="s">
        <v>4791</v>
      </c>
      <c r="C1498" s="2">
        <v>46211.583333333336</v>
      </c>
      <c r="D1498" t="s">
        <v>418</v>
      </c>
      <c r="E1498" t="s">
        <v>71</v>
      </c>
      <c r="F1498" t="s">
        <v>198</v>
      </c>
      <c r="G1498" t="s">
        <v>141</v>
      </c>
      <c r="H1498">
        <v>5</v>
      </c>
      <c r="I1498" t="s">
        <v>4792</v>
      </c>
      <c r="J1498" t="s">
        <v>357</v>
      </c>
    </row>
    <row r="1499" spans="1:10" x14ac:dyDescent="0.25">
      <c r="A1499" t="s">
        <v>4793</v>
      </c>
      <c r="B1499" t="s">
        <v>4794</v>
      </c>
      <c r="C1499" s="2">
        <v>46211.583333333336</v>
      </c>
      <c r="D1499" t="s">
        <v>418</v>
      </c>
      <c r="E1499" t="s">
        <v>11</v>
      </c>
      <c r="F1499" t="s">
        <v>214</v>
      </c>
      <c r="G1499" t="s">
        <v>92</v>
      </c>
      <c r="H1499">
        <v>5</v>
      </c>
      <c r="I1499" t="s">
        <v>4795</v>
      </c>
      <c r="J1499" t="s">
        <v>357</v>
      </c>
    </row>
    <row r="1500" spans="1:10" x14ac:dyDescent="0.25">
      <c r="A1500" t="s">
        <v>4796</v>
      </c>
      <c r="B1500" t="s">
        <v>4797</v>
      </c>
      <c r="C1500" s="2">
        <v>46211.583333333336</v>
      </c>
      <c r="D1500" t="s">
        <v>418</v>
      </c>
      <c r="E1500" t="s">
        <v>18</v>
      </c>
      <c r="F1500" t="s">
        <v>215</v>
      </c>
      <c r="G1500" t="s">
        <v>95</v>
      </c>
      <c r="H1500">
        <v>1</v>
      </c>
      <c r="I1500" t="s">
        <v>4798</v>
      </c>
      <c r="J1500" t="s">
        <v>357</v>
      </c>
    </row>
    <row r="1501" spans="1:10" x14ac:dyDescent="0.25">
      <c r="A1501" t="s">
        <v>4799</v>
      </c>
      <c r="B1501" t="s">
        <v>4800</v>
      </c>
      <c r="C1501" s="2">
        <v>46211.583333333336</v>
      </c>
      <c r="D1501" t="s">
        <v>418</v>
      </c>
      <c r="E1501" t="s">
        <v>22</v>
      </c>
      <c r="F1501" t="s">
        <v>217</v>
      </c>
      <c r="G1501" t="s">
        <v>99</v>
      </c>
      <c r="H1501">
        <v>1</v>
      </c>
      <c r="I1501" t="s">
        <v>4801</v>
      </c>
      <c r="J1501" t="s">
        <v>357</v>
      </c>
    </row>
    <row r="1502" spans="1:10" x14ac:dyDescent="0.25">
      <c r="A1502" t="s">
        <v>4802</v>
      </c>
      <c r="B1502" t="s">
        <v>4803</v>
      </c>
      <c r="C1502" s="2">
        <v>46211.583333333336</v>
      </c>
      <c r="D1502" t="s">
        <v>418</v>
      </c>
      <c r="E1502" t="s">
        <v>24</v>
      </c>
      <c r="F1502" t="s">
        <v>205</v>
      </c>
      <c r="G1502" t="s">
        <v>101</v>
      </c>
      <c r="H1502">
        <v>6</v>
      </c>
      <c r="I1502" t="s">
        <v>4804</v>
      </c>
      <c r="J1502" t="s">
        <v>357</v>
      </c>
    </row>
    <row r="1503" spans="1:10" x14ac:dyDescent="0.25">
      <c r="A1503" t="s">
        <v>4805</v>
      </c>
      <c r="B1503" t="s">
        <v>4806</v>
      </c>
      <c r="C1503" s="2">
        <v>46211.583333333336</v>
      </c>
      <c r="D1503" t="s">
        <v>418</v>
      </c>
      <c r="E1503" t="s">
        <v>28</v>
      </c>
      <c r="F1503" t="s">
        <v>221</v>
      </c>
      <c r="G1503" t="s">
        <v>105</v>
      </c>
      <c r="H1503">
        <v>6</v>
      </c>
      <c r="I1503" t="s">
        <v>4807</v>
      </c>
      <c r="J1503" t="s">
        <v>357</v>
      </c>
    </row>
    <row r="1504" spans="1:10" x14ac:dyDescent="0.25">
      <c r="A1504" t="s">
        <v>4808</v>
      </c>
      <c r="B1504" t="s">
        <v>4809</v>
      </c>
      <c r="C1504" s="2">
        <v>46211.583333333336</v>
      </c>
      <c r="D1504" t="s">
        <v>418</v>
      </c>
      <c r="E1504" t="s">
        <v>41</v>
      </c>
      <c r="F1504" t="s">
        <v>188</v>
      </c>
      <c r="G1504" t="s">
        <v>115</v>
      </c>
      <c r="H1504">
        <v>1</v>
      </c>
      <c r="I1504" t="s">
        <v>4810</v>
      </c>
      <c r="J1504" t="s">
        <v>357</v>
      </c>
    </row>
    <row r="1505" spans="1:10" x14ac:dyDescent="0.25">
      <c r="A1505" t="s">
        <v>4811</v>
      </c>
      <c r="B1505" t="s">
        <v>4812</v>
      </c>
      <c r="C1505" s="2">
        <v>46211.583333333336</v>
      </c>
      <c r="D1505" t="s">
        <v>418</v>
      </c>
      <c r="E1505" t="s">
        <v>53</v>
      </c>
      <c r="F1505" t="s">
        <v>210</v>
      </c>
      <c r="G1505" t="s">
        <v>127</v>
      </c>
      <c r="H1505">
        <v>5</v>
      </c>
      <c r="I1505" t="s">
        <v>4813</v>
      </c>
      <c r="J1505" t="s">
        <v>357</v>
      </c>
    </row>
    <row r="1506" spans="1:10" x14ac:dyDescent="0.25">
      <c r="A1506" t="s">
        <v>4814</v>
      </c>
      <c r="B1506" t="s">
        <v>4815</v>
      </c>
      <c r="C1506" s="2">
        <v>46211.583333333336</v>
      </c>
      <c r="D1506" t="s">
        <v>418</v>
      </c>
      <c r="E1506" t="s">
        <v>65</v>
      </c>
      <c r="F1506" t="s">
        <v>173</v>
      </c>
      <c r="G1506" t="s">
        <v>135</v>
      </c>
      <c r="H1506">
        <v>6</v>
      </c>
      <c r="I1506" t="s">
        <v>4816</v>
      </c>
      <c r="J1506" t="s">
        <v>357</v>
      </c>
    </row>
    <row r="1507" spans="1:10" x14ac:dyDescent="0.25">
      <c r="A1507" t="s">
        <v>4817</v>
      </c>
      <c r="B1507" t="s">
        <v>4818</v>
      </c>
      <c r="C1507" s="2">
        <v>46211.583333333336</v>
      </c>
      <c r="D1507" t="s">
        <v>418</v>
      </c>
      <c r="E1507" t="s">
        <v>69</v>
      </c>
      <c r="F1507" t="s">
        <v>175</v>
      </c>
      <c r="G1507" t="s">
        <v>139</v>
      </c>
      <c r="H1507">
        <v>6</v>
      </c>
      <c r="I1507" t="s">
        <v>4819</v>
      </c>
      <c r="J1507" t="s">
        <v>357</v>
      </c>
    </row>
    <row r="1508" spans="1:10" x14ac:dyDescent="0.25">
      <c r="A1508" t="s">
        <v>4820</v>
      </c>
      <c r="B1508" t="s">
        <v>4821</v>
      </c>
      <c r="C1508" s="2">
        <v>46211.583333333336</v>
      </c>
      <c r="D1508" t="s">
        <v>418</v>
      </c>
      <c r="E1508" t="s">
        <v>73</v>
      </c>
      <c r="F1508" t="s">
        <v>177</v>
      </c>
      <c r="G1508" t="s">
        <v>143</v>
      </c>
      <c r="H1508">
        <v>6</v>
      </c>
      <c r="I1508" t="s">
        <v>4822</v>
      </c>
      <c r="J1508" t="s">
        <v>357</v>
      </c>
    </row>
    <row r="1509" spans="1:10" x14ac:dyDescent="0.25">
      <c r="A1509" t="s">
        <v>4823</v>
      </c>
      <c r="B1509" t="s">
        <v>4824</v>
      </c>
      <c r="C1509" s="2">
        <v>46211.583333333336</v>
      </c>
      <c r="D1509" t="s">
        <v>418</v>
      </c>
      <c r="E1509" t="s">
        <v>22</v>
      </c>
      <c r="F1509" t="s">
        <v>217</v>
      </c>
      <c r="G1509" t="s">
        <v>99</v>
      </c>
      <c r="H1509">
        <v>3</v>
      </c>
      <c r="I1509" t="s">
        <v>4825</v>
      </c>
      <c r="J1509" t="s">
        <v>357</v>
      </c>
    </row>
    <row r="1510" spans="1:10" x14ac:dyDescent="0.25">
      <c r="A1510" t="s">
        <v>4826</v>
      </c>
      <c r="B1510" t="s">
        <v>4827</v>
      </c>
      <c r="C1510" s="2">
        <v>46211.583333333336</v>
      </c>
      <c r="D1510" t="s">
        <v>418</v>
      </c>
      <c r="E1510" t="s">
        <v>24</v>
      </c>
      <c r="F1510" t="s">
        <v>205</v>
      </c>
      <c r="G1510" t="s">
        <v>101</v>
      </c>
      <c r="H1510">
        <v>6</v>
      </c>
      <c r="I1510" t="s">
        <v>4828</v>
      </c>
      <c r="J1510" t="s">
        <v>357</v>
      </c>
    </row>
    <row r="1511" spans="1:10" x14ac:dyDescent="0.25">
      <c r="A1511" t="s">
        <v>4829</v>
      </c>
      <c r="B1511" t="s">
        <v>4830</v>
      </c>
      <c r="C1511" s="2">
        <v>46211.583333333336</v>
      </c>
      <c r="D1511" t="s">
        <v>418</v>
      </c>
      <c r="E1511" t="s">
        <v>28</v>
      </c>
      <c r="F1511" t="s">
        <v>221</v>
      </c>
      <c r="G1511" t="s">
        <v>105</v>
      </c>
      <c r="H1511">
        <v>4</v>
      </c>
      <c r="I1511" t="s">
        <v>4831</v>
      </c>
      <c r="J1511" t="s">
        <v>357</v>
      </c>
    </row>
    <row r="1512" spans="1:10" x14ac:dyDescent="0.25">
      <c r="A1512" t="s">
        <v>4832</v>
      </c>
      <c r="B1512" t="s">
        <v>4833</v>
      </c>
      <c r="C1512" s="2">
        <v>46211.583333333336</v>
      </c>
      <c r="D1512" t="s">
        <v>418</v>
      </c>
      <c r="E1512" t="s">
        <v>43</v>
      </c>
      <c r="F1512" t="s">
        <v>208</v>
      </c>
      <c r="G1512" t="s">
        <v>117</v>
      </c>
      <c r="H1512">
        <v>3</v>
      </c>
      <c r="I1512" t="s">
        <v>4834</v>
      </c>
      <c r="J1512" t="s">
        <v>357</v>
      </c>
    </row>
    <row r="1513" spans="1:10" x14ac:dyDescent="0.25">
      <c r="A1513" t="s">
        <v>4835</v>
      </c>
      <c r="B1513" t="s">
        <v>4836</v>
      </c>
      <c r="C1513" s="2">
        <v>46211.583333333336</v>
      </c>
      <c r="D1513" t="s">
        <v>418</v>
      </c>
      <c r="E1513" t="s">
        <v>65</v>
      </c>
      <c r="F1513" t="s">
        <v>173</v>
      </c>
      <c r="G1513" t="s">
        <v>135</v>
      </c>
      <c r="H1513">
        <v>4</v>
      </c>
      <c r="I1513" t="s">
        <v>4837</v>
      </c>
      <c r="J1513" t="s">
        <v>357</v>
      </c>
    </row>
    <row r="1514" spans="1:10" x14ac:dyDescent="0.25">
      <c r="A1514" t="s">
        <v>4838</v>
      </c>
      <c r="B1514" t="s">
        <v>4839</v>
      </c>
      <c r="C1514" s="2">
        <v>46211.583333333336</v>
      </c>
      <c r="D1514" t="s">
        <v>418</v>
      </c>
      <c r="E1514" t="s">
        <v>65</v>
      </c>
      <c r="F1514" t="s">
        <v>195</v>
      </c>
      <c r="G1514" t="s">
        <v>135</v>
      </c>
      <c r="H1514">
        <v>2</v>
      </c>
      <c r="I1514" t="s">
        <v>4837</v>
      </c>
      <c r="J1514" t="s">
        <v>357</v>
      </c>
    </row>
    <row r="1515" spans="1:10" x14ac:dyDescent="0.25">
      <c r="A1515" t="s">
        <v>4840</v>
      </c>
      <c r="B1515" t="s">
        <v>4841</v>
      </c>
      <c r="C1515" s="2">
        <v>46211.583333333336</v>
      </c>
      <c r="D1515" t="s">
        <v>418</v>
      </c>
      <c r="E1515" t="s">
        <v>73</v>
      </c>
      <c r="F1515" t="s">
        <v>177</v>
      </c>
      <c r="G1515" t="s">
        <v>143</v>
      </c>
      <c r="H1515">
        <v>7</v>
      </c>
      <c r="I1515" t="s">
        <v>4842</v>
      </c>
      <c r="J1515" t="s">
        <v>357</v>
      </c>
    </row>
    <row r="1516" spans="1:10" x14ac:dyDescent="0.25">
      <c r="A1516" t="s">
        <v>4843</v>
      </c>
      <c r="B1516" t="s">
        <v>4844</v>
      </c>
      <c r="C1516" s="2">
        <v>46211.583333333336</v>
      </c>
      <c r="D1516" t="s">
        <v>418</v>
      </c>
      <c r="E1516" t="s">
        <v>77</v>
      </c>
      <c r="F1516" t="s">
        <v>179</v>
      </c>
      <c r="G1516" t="s">
        <v>147</v>
      </c>
      <c r="H1516">
        <v>4</v>
      </c>
      <c r="I1516" t="s">
        <v>4845</v>
      </c>
      <c r="J1516" t="s">
        <v>357</v>
      </c>
    </row>
    <row r="1517" spans="1:10" x14ac:dyDescent="0.25">
      <c r="A1517" t="s">
        <v>4846</v>
      </c>
      <c r="B1517" t="s">
        <v>4847</v>
      </c>
      <c r="C1517" s="2">
        <v>46211.583333333336</v>
      </c>
      <c r="D1517" t="s">
        <v>418</v>
      </c>
      <c r="E1517" t="s">
        <v>20</v>
      </c>
      <c r="F1517" t="s">
        <v>216</v>
      </c>
      <c r="G1517" t="s">
        <v>97</v>
      </c>
      <c r="H1517">
        <v>2</v>
      </c>
      <c r="I1517" t="s">
        <v>4848</v>
      </c>
      <c r="J1517" t="s">
        <v>357</v>
      </c>
    </row>
    <row r="1518" spans="1:10" x14ac:dyDescent="0.25">
      <c r="A1518" t="s">
        <v>4849</v>
      </c>
      <c r="B1518" t="s">
        <v>4850</v>
      </c>
      <c r="C1518" s="2">
        <v>46211.583333333336</v>
      </c>
      <c r="D1518" t="s">
        <v>418</v>
      </c>
      <c r="E1518" t="s">
        <v>24</v>
      </c>
      <c r="F1518" t="s">
        <v>205</v>
      </c>
      <c r="G1518" t="s">
        <v>101</v>
      </c>
      <c r="H1518">
        <v>4</v>
      </c>
      <c r="I1518" t="s">
        <v>4851</v>
      </c>
      <c r="J1518" t="s">
        <v>357</v>
      </c>
    </row>
    <row r="1519" spans="1:10" x14ac:dyDescent="0.25">
      <c r="A1519" t="s">
        <v>4852</v>
      </c>
      <c r="B1519" t="s">
        <v>4853</v>
      </c>
      <c r="C1519" s="2">
        <v>46211.583333333336</v>
      </c>
      <c r="D1519" t="s">
        <v>418</v>
      </c>
      <c r="E1519" t="s">
        <v>28</v>
      </c>
      <c r="F1519" t="s">
        <v>221</v>
      </c>
      <c r="G1519" t="s">
        <v>105</v>
      </c>
      <c r="H1519">
        <v>4</v>
      </c>
      <c r="I1519" t="s">
        <v>4854</v>
      </c>
      <c r="J1519" t="s">
        <v>357</v>
      </c>
    </row>
    <row r="1520" spans="1:10" x14ac:dyDescent="0.25">
      <c r="A1520" t="s">
        <v>4855</v>
      </c>
      <c r="B1520" t="s">
        <v>4856</v>
      </c>
      <c r="C1520" s="2">
        <v>46211.583333333336</v>
      </c>
      <c r="D1520" t="s">
        <v>418</v>
      </c>
      <c r="E1520" t="s">
        <v>30</v>
      </c>
      <c r="F1520" t="s">
        <v>159</v>
      </c>
      <c r="G1520" t="s">
        <v>107</v>
      </c>
      <c r="H1520">
        <v>4</v>
      </c>
      <c r="I1520" t="s">
        <v>4857</v>
      </c>
      <c r="J1520" t="s">
        <v>357</v>
      </c>
    </row>
    <row r="1521" spans="1:10" x14ac:dyDescent="0.25">
      <c r="A1521" t="s">
        <v>4858</v>
      </c>
      <c r="B1521" t="s">
        <v>4859</v>
      </c>
      <c r="C1521" s="2">
        <v>46211.583333333336</v>
      </c>
      <c r="D1521" t="s">
        <v>418</v>
      </c>
      <c r="E1521" t="s">
        <v>32</v>
      </c>
      <c r="F1521" t="s">
        <v>160</v>
      </c>
      <c r="G1521" t="s">
        <v>109</v>
      </c>
      <c r="H1521">
        <v>1</v>
      </c>
      <c r="I1521" t="s">
        <v>4860</v>
      </c>
      <c r="J1521" t="s">
        <v>357</v>
      </c>
    </row>
    <row r="1522" spans="1:10" x14ac:dyDescent="0.25">
      <c r="A1522" t="s">
        <v>4861</v>
      </c>
      <c r="B1522" t="s">
        <v>4862</v>
      </c>
      <c r="C1522" s="2">
        <v>46211.583333333336</v>
      </c>
      <c r="D1522" t="s">
        <v>418</v>
      </c>
      <c r="E1522" t="s">
        <v>41</v>
      </c>
      <c r="F1522" t="s">
        <v>188</v>
      </c>
      <c r="G1522" t="s">
        <v>115</v>
      </c>
      <c r="H1522">
        <v>2</v>
      </c>
      <c r="I1522" t="s">
        <v>4863</v>
      </c>
      <c r="J1522" t="s">
        <v>357</v>
      </c>
    </row>
    <row r="1523" spans="1:10" x14ac:dyDescent="0.25">
      <c r="A1523" t="s">
        <v>4864</v>
      </c>
      <c r="B1523" t="s">
        <v>4865</v>
      </c>
      <c r="C1523" s="2">
        <v>46211.583333333336</v>
      </c>
      <c r="D1523" t="s">
        <v>418</v>
      </c>
      <c r="E1523" t="s">
        <v>49</v>
      </c>
      <c r="F1523" t="s">
        <v>226</v>
      </c>
      <c r="G1523" t="s">
        <v>123</v>
      </c>
      <c r="H1523">
        <v>4</v>
      </c>
      <c r="I1523" t="s">
        <v>4866</v>
      </c>
      <c r="J1523" t="s">
        <v>357</v>
      </c>
    </row>
    <row r="1524" spans="1:10" x14ac:dyDescent="0.25">
      <c r="A1524" t="s">
        <v>4867</v>
      </c>
      <c r="B1524" t="s">
        <v>4868</v>
      </c>
      <c r="C1524" s="2">
        <v>46211.583333333336</v>
      </c>
      <c r="D1524" t="s">
        <v>418</v>
      </c>
      <c r="E1524" t="s">
        <v>65</v>
      </c>
      <c r="F1524" t="s">
        <v>195</v>
      </c>
      <c r="G1524" t="s">
        <v>135</v>
      </c>
      <c r="H1524">
        <v>3</v>
      </c>
      <c r="I1524" t="s">
        <v>4869</v>
      </c>
      <c r="J1524" t="s">
        <v>357</v>
      </c>
    </row>
    <row r="1525" spans="1:10" x14ac:dyDescent="0.25">
      <c r="A1525" t="s">
        <v>4870</v>
      </c>
      <c r="B1525" t="s">
        <v>4871</v>
      </c>
      <c r="C1525" s="2">
        <v>46211.583333333336</v>
      </c>
      <c r="D1525" t="s">
        <v>418</v>
      </c>
      <c r="E1525" t="s">
        <v>67</v>
      </c>
      <c r="F1525" t="s">
        <v>174</v>
      </c>
      <c r="G1525" t="s">
        <v>137</v>
      </c>
      <c r="H1525">
        <v>2</v>
      </c>
      <c r="I1525" t="s">
        <v>4872</v>
      </c>
      <c r="J1525" t="s">
        <v>357</v>
      </c>
    </row>
    <row r="1526" spans="1:10" x14ac:dyDescent="0.25">
      <c r="A1526" t="s">
        <v>4873</v>
      </c>
      <c r="B1526" t="s">
        <v>4874</v>
      </c>
      <c r="C1526" s="2">
        <v>46212.583333333336</v>
      </c>
      <c r="D1526" t="s">
        <v>418</v>
      </c>
      <c r="E1526" t="s">
        <v>18</v>
      </c>
      <c r="F1526" t="s">
        <v>215</v>
      </c>
      <c r="G1526" t="s">
        <v>95</v>
      </c>
      <c r="H1526">
        <v>2</v>
      </c>
      <c r="I1526" t="s">
        <v>4875</v>
      </c>
      <c r="J1526" t="s">
        <v>357</v>
      </c>
    </row>
    <row r="1527" spans="1:10" x14ac:dyDescent="0.25">
      <c r="A1527" t="s">
        <v>4876</v>
      </c>
      <c r="B1527" t="s">
        <v>4877</v>
      </c>
      <c r="C1527" s="2">
        <v>46212.583333333336</v>
      </c>
      <c r="D1527" t="s">
        <v>418</v>
      </c>
      <c r="E1527" t="s">
        <v>20</v>
      </c>
      <c r="F1527" t="s">
        <v>216</v>
      </c>
      <c r="G1527" t="s">
        <v>97</v>
      </c>
      <c r="H1527">
        <v>3</v>
      </c>
      <c r="I1527" t="s">
        <v>4878</v>
      </c>
      <c r="J1527" t="s">
        <v>357</v>
      </c>
    </row>
    <row r="1528" spans="1:10" x14ac:dyDescent="0.25">
      <c r="A1528" t="s">
        <v>4879</v>
      </c>
      <c r="B1528" t="s">
        <v>4880</v>
      </c>
      <c r="C1528" s="2">
        <v>46212.583333333336</v>
      </c>
      <c r="D1528" t="s">
        <v>418</v>
      </c>
      <c r="E1528" t="s">
        <v>22</v>
      </c>
      <c r="F1528" t="s">
        <v>217</v>
      </c>
      <c r="G1528" t="s">
        <v>99</v>
      </c>
      <c r="H1528">
        <v>4</v>
      </c>
      <c r="I1528" t="s">
        <v>4881</v>
      </c>
      <c r="J1528" t="s">
        <v>357</v>
      </c>
    </row>
    <row r="1529" spans="1:10" x14ac:dyDescent="0.25">
      <c r="A1529" t="s">
        <v>4882</v>
      </c>
      <c r="B1529" t="s">
        <v>4883</v>
      </c>
      <c r="C1529" s="2">
        <v>46212.583333333336</v>
      </c>
      <c r="D1529" t="s">
        <v>418</v>
      </c>
      <c r="E1529" t="s">
        <v>24</v>
      </c>
      <c r="F1529" t="s">
        <v>205</v>
      </c>
      <c r="G1529" t="s">
        <v>101</v>
      </c>
      <c r="H1529">
        <v>1</v>
      </c>
      <c r="I1529" t="s">
        <v>4884</v>
      </c>
      <c r="J1529" t="s">
        <v>357</v>
      </c>
    </row>
    <row r="1530" spans="1:10" x14ac:dyDescent="0.25">
      <c r="A1530" t="s">
        <v>4885</v>
      </c>
      <c r="B1530" t="s">
        <v>4886</v>
      </c>
      <c r="C1530" s="2">
        <v>46212.583333333336</v>
      </c>
      <c r="D1530" t="s">
        <v>418</v>
      </c>
      <c r="E1530" t="s">
        <v>41</v>
      </c>
      <c r="F1530" t="s">
        <v>188</v>
      </c>
      <c r="G1530" t="s">
        <v>115</v>
      </c>
      <c r="H1530">
        <v>3</v>
      </c>
      <c r="I1530" t="s">
        <v>4887</v>
      </c>
      <c r="J1530" t="s">
        <v>357</v>
      </c>
    </row>
    <row r="1531" spans="1:10" x14ac:dyDescent="0.25">
      <c r="A1531" t="s">
        <v>4888</v>
      </c>
      <c r="B1531" t="s">
        <v>4889</v>
      </c>
      <c r="C1531" s="2">
        <v>46212.583333333336</v>
      </c>
      <c r="D1531" t="s">
        <v>418</v>
      </c>
      <c r="E1531" t="s">
        <v>49</v>
      </c>
      <c r="F1531" t="s">
        <v>226</v>
      </c>
      <c r="G1531" t="s">
        <v>123</v>
      </c>
      <c r="H1531">
        <v>2</v>
      </c>
      <c r="I1531" t="s">
        <v>4890</v>
      </c>
      <c r="J1531" t="s">
        <v>357</v>
      </c>
    </row>
    <row r="1532" spans="1:10" x14ac:dyDescent="0.25">
      <c r="A1532" t="s">
        <v>4891</v>
      </c>
      <c r="B1532" t="s">
        <v>4892</v>
      </c>
      <c r="C1532" s="2">
        <v>46212.583333333336</v>
      </c>
      <c r="D1532" t="s">
        <v>418</v>
      </c>
      <c r="E1532" t="s">
        <v>11</v>
      </c>
      <c r="F1532" t="s">
        <v>214</v>
      </c>
      <c r="G1532" t="s">
        <v>92</v>
      </c>
      <c r="H1532">
        <v>5</v>
      </c>
      <c r="I1532" t="s">
        <v>4893</v>
      </c>
      <c r="J1532" t="s">
        <v>357</v>
      </c>
    </row>
    <row r="1533" spans="1:10" x14ac:dyDescent="0.25">
      <c r="A1533" t="s">
        <v>4894</v>
      </c>
      <c r="B1533" t="s">
        <v>4895</v>
      </c>
      <c r="C1533" s="2">
        <v>46212.583333333336</v>
      </c>
      <c r="D1533" t="s">
        <v>418</v>
      </c>
      <c r="E1533" t="s">
        <v>18</v>
      </c>
      <c r="F1533" t="s">
        <v>215</v>
      </c>
      <c r="G1533" t="s">
        <v>95</v>
      </c>
      <c r="H1533">
        <v>4</v>
      </c>
      <c r="I1533" t="s">
        <v>4896</v>
      </c>
      <c r="J1533" t="s">
        <v>357</v>
      </c>
    </row>
    <row r="1534" spans="1:10" x14ac:dyDescent="0.25">
      <c r="A1534" t="s">
        <v>4897</v>
      </c>
      <c r="B1534" t="s">
        <v>4898</v>
      </c>
      <c r="C1534" s="2">
        <v>46212.583333333336</v>
      </c>
      <c r="D1534" t="s">
        <v>418</v>
      </c>
      <c r="E1534" t="s">
        <v>28</v>
      </c>
      <c r="F1534" t="s">
        <v>221</v>
      </c>
      <c r="G1534" t="s">
        <v>105</v>
      </c>
      <c r="H1534">
        <v>3</v>
      </c>
      <c r="I1534" t="s">
        <v>4899</v>
      </c>
      <c r="J1534" t="s">
        <v>357</v>
      </c>
    </row>
    <row r="1535" spans="1:10" x14ac:dyDescent="0.25">
      <c r="A1535" t="s">
        <v>4900</v>
      </c>
      <c r="B1535" t="s">
        <v>4901</v>
      </c>
      <c r="C1535" s="2">
        <v>46212.583333333336</v>
      </c>
      <c r="D1535" t="s">
        <v>418</v>
      </c>
      <c r="E1535" t="s">
        <v>45</v>
      </c>
      <c r="F1535" t="s">
        <v>165</v>
      </c>
      <c r="G1535" t="s">
        <v>119</v>
      </c>
      <c r="H1535">
        <v>3</v>
      </c>
      <c r="I1535" t="s">
        <v>4902</v>
      </c>
      <c r="J1535" t="s">
        <v>357</v>
      </c>
    </row>
    <row r="1536" spans="1:10" x14ac:dyDescent="0.25">
      <c r="A1536" t="s">
        <v>4903</v>
      </c>
      <c r="B1536" t="s">
        <v>4904</v>
      </c>
      <c r="C1536" s="2">
        <v>46212.583333333336</v>
      </c>
      <c r="D1536" t="s">
        <v>418</v>
      </c>
      <c r="E1536" t="s">
        <v>49</v>
      </c>
      <c r="F1536" t="s">
        <v>226</v>
      </c>
      <c r="G1536" t="s">
        <v>123</v>
      </c>
      <c r="H1536">
        <v>2</v>
      </c>
      <c r="I1536" t="s">
        <v>4905</v>
      </c>
      <c r="J1536" t="s">
        <v>357</v>
      </c>
    </row>
    <row r="1537" spans="1:10" x14ac:dyDescent="0.25">
      <c r="A1537" t="s">
        <v>4906</v>
      </c>
      <c r="B1537" t="s">
        <v>4907</v>
      </c>
      <c r="C1537" s="2">
        <v>46212.583333333336</v>
      </c>
      <c r="D1537" t="s">
        <v>418</v>
      </c>
      <c r="E1537" t="s">
        <v>71</v>
      </c>
      <c r="F1537" t="s">
        <v>198</v>
      </c>
      <c r="G1537" t="s">
        <v>141</v>
      </c>
      <c r="H1537">
        <v>5</v>
      </c>
      <c r="I1537" t="s">
        <v>4908</v>
      </c>
      <c r="J1537" t="s">
        <v>357</v>
      </c>
    </row>
    <row r="1538" spans="1:10" x14ac:dyDescent="0.25">
      <c r="A1538" t="s">
        <v>4909</v>
      </c>
      <c r="B1538" t="s">
        <v>4910</v>
      </c>
      <c r="C1538" s="2">
        <v>46212.583333333336</v>
      </c>
      <c r="D1538" t="s">
        <v>418</v>
      </c>
      <c r="E1538" t="s">
        <v>11</v>
      </c>
      <c r="F1538" t="s">
        <v>214</v>
      </c>
      <c r="G1538" t="s">
        <v>92</v>
      </c>
      <c r="H1538">
        <v>1</v>
      </c>
      <c r="I1538" t="s">
        <v>4911</v>
      </c>
      <c r="J1538" t="s">
        <v>357</v>
      </c>
    </row>
    <row r="1539" spans="1:10" x14ac:dyDescent="0.25">
      <c r="A1539" t="s">
        <v>4912</v>
      </c>
      <c r="B1539" t="s">
        <v>4913</v>
      </c>
      <c r="C1539" s="2">
        <v>46212.583333333336</v>
      </c>
      <c r="D1539" t="s">
        <v>418</v>
      </c>
      <c r="E1539" t="s">
        <v>18</v>
      </c>
      <c r="F1539" t="s">
        <v>215</v>
      </c>
      <c r="G1539" t="s">
        <v>95</v>
      </c>
      <c r="H1539">
        <v>4</v>
      </c>
      <c r="I1539" t="s">
        <v>4914</v>
      </c>
      <c r="J1539" t="s">
        <v>357</v>
      </c>
    </row>
    <row r="1540" spans="1:10" x14ac:dyDescent="0.25">
      <c r="A1540" t="s">
        <v>4915</v>
      </c>
      <c r="B1540" t="s">
        <v>4916</v>
      </c>
      <c r="C1540" s="2">
        <v>46212.583333333336</v>
      </c>
      <c r="D1540" t="s">
        <v>418</v>
      </c>
      <c r="E1540" t="s">
        <v>22</v>
      </c>
      <c r="F1540" t="s">
        <v>217</v>
      </c>
      <c r="G1540" t="s">
        <v>99</v>
      </c>
      <c r="H1540">
        <v>6</v>
      </c>
      <c r="I1540" t="s">
        <v>4917</v>
      </c>
      <c r="J1540" t="s">
        <v>357</v>
      </c>
    </row>
    <row r="1541" spans="1:10" x14ac:dyDescent="0.25">
      <c r="A1541" t="s">
        <v>4918</v>
      </c>
      <c r="B1541" t="s">
        <v>4919</v>
      </c>
      <c r="C1541" s="2">
        <v>46212.583333333336</v>
      </c>
      <c r="D1541" t="s">
        <v>418</v>
      </c>
      <c r="E1541" t="s">
        <v>30</v>
      </c>
      <c r="F1541" t="s">
        <v>159</v>
      </c>
      <c r="G1541" t="s">
        <v>107</v>
      </c>
      <c r="H1541">
        <v>5</v>
      </c>
      <c r="I1541" t="s">
        <v>4920</v>
      </c>
      <c r="J1541" t="s">
        <v>357</v>
      </c>
    </row>
    <row r="1542" spans="1:10" x14ac:dyDescent="0.25">
      <c r="A1542" t="s">
        <v>4921</v>
      </c>
      <c r="B1542" t="s">
        <v>4922</v>
      </c>
      <c r="C1542" s="2">
        <v>46212.583333333336</v>
      </c>
      <c r="D1542" t="s">
        <v>418</v>
      </c>
      <c r="E1542" t="s">
        <v>36</v>
      </c>
      <c r="F1542" t="s">
        <v>223</v>
      </c>
      <c r="G1542" t="s">
        <v>113</v>
      </c>
      <c r="H1542">
        <v>4</v>
      </c>
      <c r="I1542" t="s">
        <v>4923</v>
      </c>
      <c r="J1542" t="s">
        <v>357</v>
      </c>
    </row>
    <row r="1543" spans="1:10" x14ac:dyDescent="0.25">
      <c r="A1543" t="s">
        <v>4924</v>
      </c>
      <c r="B1543" t="s">
        <v>4925</v>
      </c>
      <c r="C1543" s="2">
        <v>46212.583333333336</v>
      </c>
      <c r="D1543" t="s">
        <v>418</v>
      </c>
      <c r="E1543" t="s">
        <v>43</v>
      </c>
      <c r="F1543" t="s">
        <v>208</v>
      </c>
      <c r="G1543" t="s">
        <v>117</v>
      </c>
      <c r="H1543">
        <v>6</v>
      </c>
      <c r="I1543" t="s">
        <v>4926</v>
      </c>
      <c r="J1543" t="s">
        <v>357</v>
      </c>
    </row>
    <row r="1544" spans="1:10" x14ac:dyDescent="0.25">
      <c r="A1544" t="s">
        <v>4927</v>
      </c>
      <c r="B1544" t="s">
        <v>4928</v>
      </c>
      <c r="C1544" s="2">
        <v>46212.583333333336</v>
      </c>
      <c r="D1544" t="s">
        <v>418</v>
      </c>
      <c r="E1544" t="s">
        <v>45</v>
      </c>
      <c r="F1544" t="s">
        <v>165</v>
      </c>
      <c r="G1544" t="s">
        <v>119</v>
      </c>
      <c r="H1544">
        <v>5</v>
      </c>
      <c r="I1544" t="s">
        <v>4929</v>
      </c>
      <c r="J1544" t="s">
        <v>357</v>
      </c>
    </row>
    <row r="1545" spans="1:10" x14ac:dyDescent="0.25">
      <c r="A1545" t="s">
        <v>4930</v>
      </c>
      <c r="B1545" t="s">
        <v>4931</v>
      </c>
      <c r="C1545" s="2">
        <v>46212.583333333336</v>
      </c>
      <c r="D1545" t="s">
        <v>418</v>
      </c>
      <c r="E1545" t="s">
        <v>59</v>
      </c>
      <c r="F1545" t="s">
        <v>172</v>
      </c>
      <c r="G1545" t="s">
        <v>133</v>
      </c>
      <c r="H1545">
        <v>2</v>
      </c>
      <c r="I1545" t="s">
        <v>4932</v>
      </c>
      <c r="J1545" t="s">
        <v>357</v>
      </c>
    </row>
    <row r="1546" spans="1:10" x14ac:dyDescent="0.25">
      <c r="A1546" t="s">
        <v>4933</v>
      </c>
      <c r="B1546" t="s">
        <v>4934</v>
      </c>
      <c r="C1546" s="2">
        <v>46212.583333333336</v>
      </c>
      <c r="D1546" t="s">
        <v>418</v>
      </c>
      <c r="E1546" t="s">
        <v>67</v>
      </c>
      <c r="F1546" t="s">
        <v>174</v>
      </c>
      <c r="G1546" t="s">
        <v>137</v>
      </c>
      <c r="H1546">
        <v>4</v>
      </c>
      <c r="I1546" t="s">
        <v>4935</v>
      </c>
      <c r="J1546" t="s">
        <v>357</v>
      </c>
    </row>
    <row r="1547" spans="1:10" x14ac:dyDescent="0.25">
      <c r="A1547" t="s">
        <v>4936</v>
      </c>
      <c r="B1547" t="s">
        <v>4937</v>
      </c>
      <c r="C1547" s="2">
        <v>46212.583333333336</v>
      </c>
      <c r="D1547" t="s">
        <v>418</v>
      </c>
      <c r="E1547" t="s">
        <v>20</v>
      </c>
      <c r="F1547" t="s">
        <v>216</v>
      </c>
      <c r="G1547" t="s">
        <v>97</v>
      </c>
      <c r="H1547">
        <v>1</v>
      </c>
      <c r="I1547" t="s">
        <v>4938</v>
      </c>
      <c r="J1547" t="s">
        <v>357</v>
      </c>
    </row>
    <row r="1548" spans="1:10" x14ac:dyDescent="0.25">
      <c r="A1548" t="s">
        <v>4939</v>
      </c>
      <c r="B1548" t="s">
        <v>4940</v>
      </c>
      <c r="C1548" s="2">
        <v>46212.583333333336</v>
      </c>
      <c r="D1548" t="s">
        <v>418</v>
      </c>
      <c r="E1548" t="s">
        <v>22</v>
      </c>
      <c r="F1548" t="s">
        <v>217</v>
      </c>
      <c r="G1548" t="s">
        <v>99</v>
      </c>
      <c r="H1548">
        <v>3</v>
      </c>
      <c r="I1548" t="s">
        <v>4941</v>
      </c>
      <c r="J1548" t="s">
        <v>357</v>
      </c>
    </row>
    <row r="1549" spans="1:10" x14ac:dyDescent="0.25">
      <c r="A1549" t="s">
        <v>4942</v>
      </c>
      <c r="B1549" t="s">
        <v>4943</v>
      </c>
      <c r="C1549" s="2">
        <v>46212.583333333336</v>
      </c>
      <c r="D1549" t="s">
        <v>418</v>
      </c>
      <c r="E1549" t="s">
        <v>24</v>
      </c>
      <c r="F1549" t="s">
        <v>205</v>
      </c>
      <c r="G1549" t="s">
        <v>101</v>
      </c>
      <c r="H1549">
        <v>3</v>
      </c>
      <c r="I1549" t="s">
        <v>4944</v>
      </c>
      <c r="J1549" t="s">
        <v>357</v>
      </c>
    </row>
    <row r="1550" spans="1:10" x14ac:dyDescent="0.25">
      <c r="A1550" t="s">
        <v>4945</v>
      </c>
      <c r="B1550" t="s">
        <v>4946</v>
      </c>
      <c r="C1550" s="2">
        <v>46212.583333333336</v>
      </c>
      <c r="D1550" t="s">
        <v>418</v>
      </c>
      <c r="E1550" t="s">
        <v>30</v>
      </c>
      <c r="F1550" t="s">
        <v>159</v>
      </c>
      <c r="G1550" t="s">
        <v>107</v>
      </c>
      <c r="H1550">
        <v>4</v>
      </c>
      <c r="I1550" t="s">
        <v>4947</v>
      </c>
      <c r="J1550" t="s">
        <v>357</v>
      </c>
    </row>
    <row r="1551" spans="1:10" x14ac:dyDescent="0.25">
      <c r="A1551" t="s">
        <v>4948</v>
      </c>
      <c r="B1551" t="s">
        <v>4949</v>
      </c>
      <c r="C1551" s="2">
        <v>46212.583333333336</v>
      </c>
      <c r="D1551" t="s">
        <v>418</v>
      </c>
      <c r="E1551" t="s">
        <v>32</v>
      </c>
      <c r="F1551" t="s">
        <v>160</v>
      </c>
      <c r="G1551" t="s">
        <v>109</v>
      </c>
      <c r="H1551">
        <v>1</v>
      </c>
      <c r="I1551" t="s">
        <v>4950</v>
      </c>
      <c r="J1551" t="s">
        <v>357</v>
      </c>
    </row>
    <row r="1552" spans="1:10" x14ac:dyDescent="0.25">
      <c r="A1552" t="s">
        <v>4951</v>
      </c>
      <c r="B1552" t="s">
        <v>4952</v>
      </c>
      <c r="C1552" s="2">
        <v>46212.583333333336</v>
      </c>
      <c r="D1552" t="s">
        <v>418</v>
      </c>
      <c r="E1552" t="s">
        <v>45</v>
      </c>
      <c r="F1552" t="s">
        <v>165</v>
      </c>
      <c r="G1552" t="s">
        <v>119</v>
      </c>
      <c r="H1552">
        <v>1</v>
      </c>
      <c r="I1552" t="s">
        <v>4953</v>
      </c>
      <c r="J1552" t="s">
        <v>357</v>
      </c>
    </row>
    <row r="1553" spans="1:10" x14ac:dyDescent="0.25">
      <c r="A1553" t="s">
        <v>4954</v>
      </c>
      <c r="B1553" t="s">
        <v>4955</v>
      </c>
      <c r="C1553" s="2">
        <v>46212.583333333336</v>
      </c>
      <c r="D1553" t="s">
        <v>418</v>
      </c>
      <c r="E1553" t="s">
        <v>49</v>
      </c>
      <c r="F1553" t="s">
        <v>226</v>
      </c>
      <c r="G1553" t="s">
        <v>123</v>
      </c>
      <c r="H1553">
        <v>4</v>
      </c>
      <c r="I1553" t="s">
        <v>4956</v>
      </c>
      <c r="J1553" t="s">
        <v>357</v>
      </c>
    </row>
    <row r="1554" spans="1:10" x14ac:dyDescent="0.25">
      <c r="A1554" t="s">
        <v>4957</v>
      </c>
      <c r="B1554" t="s">
        <v>4958</v>
      </c>
      <c r="C1554" s="2">
        <v>46212.583333333336</v>
      </c>
      <c r="D1554" t="s">
        <v>418</v>
      </c>
      <c r="E1554" t="s">
        <v>57</v>
      </c>
      <c r="F1554" t="s">
        <v>211</v>
      </c>
      <c r="G1554" t="s">
        <v>131</v>
      </c>
      <c r="H1554">
        <v>6</v>
      </c>
      <c r="I1554" t="s">
        <v>4959</v>
      </c>
      <c r="J1554" t="s">
        <v>357</v>
      </c>
    </row>
    <row r="1555" spans="1:10" x14ac:dyDescent="0.25">
      <c r="A1555" t="s">
        <v>4960</v>
      </c>
      <c r="B1555" t="s">
        <v>4961</v>
      </c>
      <c r="C1555" s="2">
        <v>46212.583333333336</v>
      </c>
      <c r="D1555" t="s">
        <v>418</v>
      </c>
      <c r="E1555" t="s">
        <v>69</v>
      </c>
      <c r="F1555" t="s">
        <v>175</v>
      </c>
      <c r="G1555" t="s">
        <v>139</v>
      </c>
      <c r="H1555">
        <v>6</v>
      </c>
      <c r="I1555" t="s">
        <v>4962</v>
      </c>
      <c r="J1555" t="s">
        <v>357</v>
      </c>
    </row>
    <row r="1556" spans="1:10" x14ac:dyDescent="0.25">
      <c r="A1556" t="s">
        <v>4963</v>
      </c>
      <c r="B1556" t="s">
        <v>4964</v>
      </c>
      <c r="C1556" s="2">
        <v>46212.583333333336</v>
      </c>
      <c r="D1556" t="s">
        <v>418</v>
      </c>
      <c r="E1556" t="s">
        <v>77</v>
      </c>
      <c r="F1556" t="s">
        <v>179</v>
      </c>
      <c r="G1556" t="s">
        <v>147</v>
      </c>
      <c r="H1556">
        <v>1</v>
      </c>
      <c r="I1556" t="s">
        <v>4965</v>
      </c>
      <c r="J1556" t="s">
        <v>357</v>
      </c>
    </row>
    <row r="1557" spans="1:10" x14ac:dyDescent="0.25">
      <c r="A1557" t="s">
        <v>4966</v>
      </c>
      <c r="B1557" t="s">
        <v>4967</v>
      </c>
      <c r="C1557" s="2">
        <v>46212.583333333336</v>
      </c>
      <c r="D1557" t="s">
        <v>418</v>
      </c>
      <c r="E1557" t="s">
        <v>18</v>
      </c>
      <c r="F1557" t="s">
        <v>215</v>
      </c>
      <c r="G1557" t="s">
        <v>95</v>
      </c>
      <c r="H1557">
        <v>2</v>
      </c>
      <c r="I1557" t="s">
        <v>4968</v>
      </c>
      <c r="J1557" t="s">
        <v>357</v>
      </c>
    </row>
    <row r="1558" spans="1:10" x14ac:dyDescent="0.25">
      <c r="A1558" t="s">
        <v>4969</v>
      </c>
      <c r="B1558" t="s">
        <v>4970</v>
      </c>
      <c r="C1558" s="2">
        <v>46212.583333333336</v>
      </c>
      <c r="D1558" t="s">
        <v>418</v>
      </c>
      <c r="E1558" t="s">
        <v>24</v>
      </c>
      <c r="F1558" t="s">
        <v>205</v>
      </c>
      <c r="G1558" t="s">
        <v>101</v>
      </c>
      <c r="H1558">
        <v>1</v>
      </c>
      <c r="I1558" t="s">
        <v>4971</v>
      </c>
      <c r="J1558" t="s">
        <v>357</v>
      </c>
    </row>
    <row r="1559" spans="1:10" x14ac:dyDescent="0.25">
      <c r="A1559" t="s">
        <v>4972</v>
      </c>
      <c r="B1559" t="s">
        <v>4973</v>
      </c>
      <c r="C1559" s="2">
        <v>46212.583333333336</v>
      </c>
      <c r="D1559" t="s">
        <v>418</v>
      </c>
      <c r="E1559" t="s">
        <v>28</v>
      </c>
      <c r="F1559" t="s">
        <v>221</v>
      </c>
      <c r="G1559" t="s">
        <v>105</v>
      </c>
      <c r="H1559">
        <v>4</v>
      </c>
      <c r="I1559" t="s">
        <v>4974</v>
      </c>
      <c r="J1559" t="s">
        <v>357</v>
      </c>
    </row>
    <row r="1560" spans="1:10" x14ac:dyDescent="0.25">
      <c r="A1560" t="s">
        <v>4975</v>
      </c>
      <c r="B1560" t="s">
        <v>4976</v>
      </c>
      <c r="C1560" s="2">
        <v>46212.583333333336</v>
      </c>
      <c r="D1560" t="s">
        <v>418</v>
      </c>
      <c r="E1560" t="s">
        <v>41</v>
      </c>
      <c r="F1560" t="s">
        <v>188</v>
      </c>
      <c r="G1560" t="s">
        <v>115</v>
      </c>
      <c r="H1560">
        <v>1</v>
      </c>
      <c r="I1560" t="s">
        <v>4977</v>
      </c>
      <c r="J1560" t="s">
        <v>357</v>
      </c>
    </row>
    <row r="1561" spans="1:10" x14ac:dyDescent="0.25">
      <c r="A1561" t="s">
        <v>4978</v>
      </c>
      <c r="B1561" t="s">
        <v>4979</v>
      </c>
      <c r="C1561" s="2">
        <v>46212.583333333336</v>
      </c>
      <c r="D1561" t="s">
        <v>418</v>
      </c>
      <c r="E1561" t="s">
        <v>47</v>
      </c>
      <c r="F1561" t="s">
        <v>120</v>
      </c>
      <c r="G1561" t="s">
        <v>121</v>
      </c>
      <c r="H1561">
        <v>4</v>
      </c>
      <c r="I1561" t="s">
        <v>4980</v>
      </c>
      <c r="J1561" t="s">
        <v>357</v>
      </c>
    </row>
    <row r="1562" spans="1:10" x14ac:dyDescent="0.25">
      <c r="A1562" t="s">
        <v>4981</v>
      </c>
      <c r="B1562" t="s">
        <v>4982</v>
      </c>
      <c r="C1562" s="2">
        <v>46212.583333333336</v>
      </c>
      <c r="D1562" t="s">
        <v>418</v>
      </c>
      <c r="E1562" t="s">
        <v>59</v>
      </c>
      <c r="F1562" t="s">
        <v>172</v>
      </c>
      <c r="G1562" t="s">
        <v>133</v>
      </c>
      <c r="H1562">
        <v>1</v>
      </c>
      <c r="I1562" t="s">
        <v>4983</v>
      </c>
      <c r="J1562" t="s">
        <v>357</v>
      </c>
    </row>
    <row r="1563" spans="1:10" x14ac:dyDescent="0.25">
      <c r="A1563" t="s">
        <v>4984</v>
      </c>
      <c r="B1563" t="s">
        <v>4985</v>
      </c>
      <c r="C1563" s="2">
        <v>46212.583333333336</v>
      </c>
      <c r="D1563" t="s">
        <v>418</v>
      </c>
      <c r="E1563" t="s">
        <v>69</v>
      </c>
      <c r="F1563" t="s">
        <v>175</v>
      </c>
      <c r="G1563" t="s">
        <v>139</v>
      </c>
      <c r="H1563">
        <v>3</v>
      </c>
      <c r="I1563" t="s">
        <v>4986</v>
      </c>
      <c r="J1563" t="s">
        <v>357</v>
      </c>
    </row>
    <row r="1564" spans="1:10" x14ac:dyDescent="0.25">
      <c r="A1564" t="s">
        <v>4987</v>
      </c>
      <c r="B1564" t="s">
        <v>4988</v>
      </c>
      <c r="C1564" s="2">
        <v>46213.583333333336</v>
      </c>
      <c r="D1564" t="s">
        <v>418</v>
      </c>
      <c r="E1564" t="s">
        <v>22</v>
      </c>
      <c r="F1564" t="s">
        <v>217</v>
      </c>
      <c r="G1564" t="s">
        <v>99</v>
      </c>
      <c r="H1564">
        <v>2</v>
      </c>
      <c r="I1564" t="s">
        <v>4989</v>
      </c>
      <c r="J1564" t="s">
        <v>357</v>
      </c>
    </row>
    <row r="1565" spans="1:10" x14ac:dyDescent="0.25">
      <c r="A1565" t="s">
        <v>4990</v>
      </c>
      <c r="B1565" t="s">
        <v>4991</v>
      </c>
      <c r="C1565" s="2">
        <v>46213.583333333336</v>
      </c>
      <c r="D1565" t="s">
        <v>418</v>
      </c>
      <c r="E1565" t="s">
        <v>24</v>
      </c>
      <c r="F1565" t="s">
        <v>205</v>
      </c>
      <c r="G1565" t="s">
        <v>101</v>
      </c>
      <c r="H1565">
        <v>2</v>
      </c>
      <c r="I1565" t="s">
        <v>4992</v>
      </c>
      <c r="J1565" t="s">
        <v>357</v>
      </c>
    </row>
    <row r="1566" spans="1:10" x14ac:dyDescent="0.25">
      <c r="A1566" t="s">
        <v>4993</v>
      </c>
      <c r="B1566" t="s">
        <v>4994</v>
      </c>
      <c r="C1566" s="2">
        <v>46213.583333333336</v>
      </c>
      <c r="D1566" t="s">
        <v>418</v>
      </c>
      <c r="E1566" t="s">
        <v>32</v>
      </c>
      <c r="F1566" t="s">
        <v>160</v>
      </c>
      <c r="G1566" t="s">
        <v>109</v>
      </c>
      <c r="H1566">
        <v>3</v>
      </c>
      <c r="I1566" t="s">
        <v>4995</v>
      </c>
      <c r="J1566" t="s">
        <v>357</v>
      </c>
    </row>
    <row r="1567" spans="1:10" x14ac:dyDescent="0.25">
      <c r="A1567" t="s">
        <v>4996</v>
      </c>
      <c r="B1567" t="s">
        <v>4997</v>
      </c>
      <c r="C1567" s="2">
        <v>46213.583333333336</v>
      </c>
      <c r="D1567" t="s">
        <v>418</v>
      </c>
      <c r="E1567" t="s">
        <v>43</v>
      </c>
      <c r="F1567" t="s">
        <v>208</v>
      </c>
      <c r="G1567" t="s">
        <v>117</v>
      </c>
      <c r="H1567">
        <v>2</v>
      </c>
      <c r="I1567" t="s">
        <v>4998</v>
      </c>
      <c r="J1567" t="s">
        <v>357</v>
      </c>
    </row>
    <row r="1568" spans="1:10" x14ac:dyDescent="0.25">
      <c r="A1568" t="s">
        <v>4999</v>
      </c>
      <c r="B1568" t="s">
        <v>5000</v>
      </c>
      <c r="C1568" s="2">
        <v>46213.583333333336</v>
      </c>
      <c r="D1568" t="s">
        <v>418</v>
      </c>
      <c r="E1568" t="s">
        <v>49</v>
      </c>
      <c r="F1568" t="s">
        <v>226</v>
      </c>
      <c r="G1568" t="s">
        <v>123</v>
      </c>
      <c r="H1568">
        <v>4</v>
      </c>
      <c r="I1568" t="s">
        <v>5001</v>
      </c>
      <c r="J1568" t="s">
        <v>357</v>
      </c>
    </row>
    <row r="1569" spans="1:10" x14ac:dyDescent="0.25">
      <c r="A1569" t="s">
        <v>5002</v>
      </c>
      <c r="B1569" t="s">
        <v>5003</v>
      </c>
      <c r="C1569" s="2">
        <v>46213.583333333336</v>
      </c>
      <c r="D1569" t="s">
        <v>418</v>
      </c>
      <c r="E1569" t="s">
        <v>59</v>
      </c>
      <c r="F1569" t="s">
        <v>172</v>
      </c>
      <c r="G1569" t="s">
        <v>133</v>
      </c>
      <c r="H1569">
        <v>2</v>
      </c>
      <c r="I1569" t="s">
        <v>5004</v>
      </c>
      <c r="J1569" t="s">
        <v>357</v>
      </c>
    </row>
    <row r="1570" spans="1:10" x14ac:dyDescent="0.25">
      <c r="A1570" t="s">
        <v>5005</v>
      </c>
      <c r="B1570" t="s">
        <v>5006</v>
      </c>
      <c r="C1570" s="2">
        <v>46213.583333333336</v>
      </c>
      <c r="D1570" t="s">
        <v>418</v>
      </c>
      <c r="E1570" t="s">
        <v>69</v>
      </c>
      <c r="F1570" t="s">
        <v>175</v>
      </c>
      <c r="G1570" t="s">
        <v>139</v>
      </c>
      <c r="H1570">
        <v>2</v>
      </c>
      <c r="I1570" t="s">
        <v>5007</v>
      </c>
      <c r="J1570" t="s">
        <v>357</v>
      </c>
    </row>
    <row r="1571" spans="1:10" x14ac:dyDescent="0.25">
      <c r="A1571" t="s">
        <v>5008</v>
      </c>
      <c r="B1571" t="s">
        <v>5009</v>
      </c>
      <c r="C1571" s="2">
        <v>46213.583333333336</v>
      </c>
      <c r="D1571" t="s">
        <v>418</v>
      </c>
      <c r="E1571" t="s">
        <v>71</v>
      </c>
      <c r="F1571" t="s">
        <v>198</v>
      </c>
      <c r="G1571" t="s">
        <v>141</v>
      </c>
      <c r="H1571">
        <v>4</v>
      </c>
      <c r="I1571" t="s">
        <v>5010</v>
      </c>
      <c r="J1571" t="s">
        <v>357</v>
      </c>
    </row>
    <row r="1572" spans="1:10" x14ac:dyDescent="0.25">
      <c r="A1572" t="s">
        <v>5011</v>
      </c>
      <c r="B1572" t="s">
        <v>5012</v>
      </c>
      <c r="C1572" s="2">
        <v>46213.583333333336</v>
      </c>
      <c r="D1572" t="s">
        <v>418</v>
      </c>
      <c r="E1572" t="s">
        <v>77</v>
      </c>
      <c r="F1572" t="s">
        <v>179</v>
      </c>
      <c r="G1572" t="s">
        <v>147</v>
      </c>
      <c r="H1572">
        <v>3</v>
      </c>
      <c r="I1572" t="s">
        <v>5013</v>
      </c>
      <c r="J1572" t="s">
        <v>357</v>
      </c>
    </row>
    <row r="1573" spans="1:10" x14ac:dyDescent="0.25">
      <c r="A1573" t="s">
        <v>5014</v>
      </c>
      <c r="B1573" t="s">
        <v>5015</v>
      </c>
      <c r="C1573" s="2">
        <v>46213.583333333336</v>
      </c>
      <c r="D1573" t="s">
        <v>418</v>
      </c>
      <c r="E1573" t="s">
        <v>20</v>
      </c>
      <c r="F1573" t="s">
        <v>216</v>
      </c>
      <c r="G1573" t="s">
        <v>97</v>
      </c>
      <c r="H1573">
        <v>1</v>
      </c>
      <c r="I1573" t="s">
        <v>5016</v>
      </c>
      <c r="J1573" t="s">
        <v>357</v>
      </c>
    </row>
    <row r="1574" spans="1:10" x14ac:dyDescent="0.25">
      <c r="A1574" t="s">
        <v>5017</v>
      </c>
      <c r="B1574" t="s">
        <v>5018</v>
      </c>
      <c r="C1574" s="2">
        <v>46213.583333333336</v>
      </c>
      <c r="D1574" t="s">
        <v>418</v>
      </c>
      <c r="E1574" t="s">
        <v>24</v>
      </c>
      <c r="F1574" t="s">
        <v>205</v>
      </c>
      <c r="G1574" t="s">
        <v>101</v>
      </c>
      <c r="H1574">
        <v>1</v>
      </c>
      <c r="I1574" t="s">
        <v>5019</v>
      </c>
      <c r="J1574" t="s">
        <v>357</v>
      </c>
    </row>
    <row r="1575" spans="1:10" x14ac:dyDescent="0.25">
      <c r="A1575" t="s">
        <v>5020</v>
      </c>
      <c r="B1575" t="s">
        <v>5021</v>
      </c>
      <c r="C1575" s="2">
        <v>46213.583333333336</v>
      </c>
      <c r="D1575" t="s">
        <v>418</v>
      </c>
      <c r="E1575" t="s">
        <v>55</v>
      </c>
      <c r="F1575" t="s">
        <v>192</v>
      </c>
      <c r="G1575" t="s">
        <v>129</v>
      </c>
      <c r="H1575">
        <v>1</v>
      </c>
      <c r="I1575" t="s">
        <v>5022</v>
      </c>
      <c r="J1575" t="s">
        <v>357</v>
      </c>
    </row>
    <row r="1576" spans="1:10" x14ac:dyDescent="0.25">
      <c r="A1576" t="s">
        <v>5023</v>
      </c>
      <c r="B1576" t="s">
        <v>5024</v>
      </c>
      <c r="C1576" s="2">
        <v>46213.583333333336</v>
      </c>
      <c r="D1576" t="s">
        <v>418</v>
      </c>
      <c r="E1576" t="s">
        <v>65</v>
      </c>
      <c r="F1576" t="s">
        <v>195</v>
      </c>
      <c r="G1576" t="s">
        <v>135</v>
      </c>
      <c r="H1576">
        <v>5</v>
      </c>
      <c r="I1576" t="s">
        <v>5025</v>
      </c>
      <c r="J1576" t="s">
        <v>357</v>
      </c>
    </row>
    <row r="1577" spans="1:10" x14ac:dyDescent="0.25">
      <c r="A1577" t="s">
        <v>5026</v>
      </c>
      <c r="B1577" t="s">
        <v>5027</v>
      </c>
      <c r="C1577" s="2">
        <v>46213.583333333336</v>
      </c>
      <c r="D1577" t="s">
        <v>418</v>
      </c>
      <c r="E1577" t="s">
        <v>69</v>
      </c>
      <c r="F1577" t="s">
        <v>175</v>
      </c>
      <c r="G1577" t="s">
        <v>139</v>
      </c>
      <c r="H1577">
        <v>2</v>
      </c>
      <c r="I1577" t="s">
        <v>5028</v>
      </c>
      <c r="J1577" t="s">
        <v>357</v>
      </c>
    </row>
    <row r="1578" spans="1:10" x14ac:dyDescent="0.25">
      <c r="A1578" t="s">
        <v>5029</v>
      </c>
      <c r="B1578" t="s">
        <v>5030</v>
      </c>
      <c r="C1578" s="2">
        <v>46213.583333333336</v>
      </c>
      <c r="D1578" t="s">
        <v>418</v>
      </c>
      <c r="E1578" t="s">
        <v>75</v>
      </c>
      <c r="F1578" t="s">
        <v>178</v>
      </c>
      <c r="G1578" t="s">
        <v>145</v>
      </c>
      <c r="H1578">
        <v>3</v>
      </c>
      <c r="I1578" t="s">
        <v>5031</v>
      </c>
      <c r="J1578" t="s">
        <v>357</v>
      </c>
    </row>
    <row r="1579" spans="1:10" x14ac:dyDescent="0.25">
      <c r="A1579" t="s">
        <v>5032</v>
      </c>
      <c r="B1579" t="s">
        <v>5033</v>
      </c>
      <c r="C1579" s="2">
        <v>46213.583333333336</v>
      </c>
      <c r="D1579" t="s">
        <v>418</v>
      </c>
      <c r="E1579" t="s">
        <v>11</v>
      </c>
      <c r="F1579" t="s">
        <v>214</v>
      </c>
      <c r="G1579" t="s">
        <v>92</v>
      </c>
      <c r="H1579">
        <v>1</v>
      </c>
      <c r="I1579" t="s">
        <v>5034</v>
      </c>
      <c r="J1579" t="s">
        <v>357</v>
      </c>
    </row>
    <row r="1580" spans="1:10" x14ac:dyDescent="0.25">
      <c r="A1580" t="s">
        <v>5035</v>
      </c>
      <c r="B1580" t="s">
        <v>5036</v>
      </c>
      <c r="C1580" s="2">
        <v>46213.583333333336</v>
      </c>
      <c r="D1580" t="s">
        <v>418</v>
      </c>
      <c r="E1580" t="s">
        <v>18</v>
      </c>
      <c r="F1580" t="s">
        <v>215</v>
      </c>
      <c r="G1580" t="s">
        <v>95</v>
      </c>
      <c r="H1580">
        <v>2</v>
      </c>
      <c r="I1580" t="s">
        <v>5037</v>
      </c>
      <c r="J1580" t="s">
        <v>357</v>
      </c>
    </row>
    <row r="1581" spans="1:10" x14ac:dyDescent="0.25">
      <c r="A1581" t="s">
        <v>5038</v>
      </c>
      <c r="B1581" t="s">
        <v>5039</v>
      </c>
      <c r="C1581" s="2">
        <v>46213.583333333336</v>
      </c>
      <c r="D1581" t="s">
        <v>418</v>
      </c>
      <c r="E1581" t="s">
        <v>20</v>
      </c>
      <c r="F1581" t="s">
        <v>216</v>
      </c>
      <c r="G1581" t="s">
        <v>97</v>
      </c>
      <c r="H1581">
        <v>5</v>
      </c>
      <c r="I1581" t="s">
        <v>5040</v>
      </c>
      <c r="J1581" t="s">
        <v>357</v>
      </c>
    </row>
    <row r="1582" spans="1:10" x14ac:dyDescent="0.25">
      <c r="A1582" t="s">
        <v>5041</v>
      </c>
      <c r="B1582" t="s">
        <v>5042</v>
      </c>
      <c r="C1582" s="2">
        <v>46213.583333333336</v>
      </c>
      <c r="D1582" t="s">
        <v>418</v>
      </c>
      <c r="E1582" t="s">
        <v>24</v>
      </c>
      <c r="F1582" t="s">
        <v>205</v>
      </c>
      <c r="G1582" t="s">
        <v>101</v>
      </c>
      <c r="H1582">
        <v>2</v>
      </c>
      <c r="I1582" t="s">
        <v>5043</v>
      </c>
      <c r="J1582" t="s">
        <v>357</v>
      </c>
    </row>
    <row r="1583" spans="1:10" x14ac:dyDescent="0.25">
      <c r="A1583" t="s">
        <v>5044</v>
      </c>
      <c r="B1583" t="s">
        <v>5045</v>
      </c>
      <c r="C1583" s="2">
        <v>46213.583333333336</v>
      </c>
      <c r="D1583" t="s">
        <v>418</v>
      </c>
      <c r="E1583" t="s">
        <v>36</v>
      </c>
      <c r="F1583" t="s">
        <v>223</v>
      </c>
      <c r="G1583" t="s">
        <v>113</v>
      </c>
      <c r="H1583">
        <v>5</v>
      </c>
      <c r="I1583" t="s">
        <v>5046</v>
      </c>
      <c r="J1583" t="s">
        <v>357</v>
      </c>
    </row>
    <row r="1584" spans="1:10" x14ac:dyDescent="0.25">
      <c r="A1584" t="s">
        <v>5047</v>
      </c>
      <c r="B1584" t="s">
        <v>5048</v>
      </c>
      <c r="C1584" s="2">
        <v>46213.583333333336</v>
      </c>
      <c r="D1584" t="s">
        <v>418</v>
      </c>
      <c r="E1584" t="s">
        <v>49</v>
      </c>
      <c r="F1584" t="s">
        <v>226</v>
      </c>
      <c r="G1584" t="s">
        <v>123</v>
      </c>
      <c r="H1584">
        <v>4</v>
      </c>
      <c r="I1584" t="s">
        <v>5049</v>
      </c>
      <c r="J1584" t="s">
        <v>357</v>
      </c>
    </row>
    <row r="1585" spans="1:10" x14ac:dyDescent="0.25">
      <c r="A1585" t="s">
        <v>5050</v>
      </c>
      <c r="B1585" t="s">
        <v>5051</v>
      </c>
      <c r="C1585" s="2">
        <v>46213.583333333336</v>
      </c>
      <c r="D1585" t="s">
        <v>418</v>
      </c>
      <c r="E1585" t="s">
        <v>51</v>
      </c>
      <c r="F1585" t="s">
        <v>209</v>
      </c>
      <c r="G1585" t="s">
        <v>125</v>
      </c>
      <c r="H1585">
        <v>6</v>
      </c>
      <c r="I1585" t="s">
        <v>5052</v>
      </c>
      <c r="J1585" t="s">
        <v>357</v>
      </c>
    </row>
    <row r="1586" spans="1:10" x14ac:dyDescent="0.25">
      <c r="A1586" t="s">
        <v>5053</v>
      </c>
      <c r="B1586" t="s">
        <v>5054</v>
      </c>
      <c r="C1586" s="2">
        <v>46213.583333333336</v>
      </c>
      <c r="D1586" t="s">
        <v>418</v>
      </c>
      <c r="E1586" t="s">
        <v>53</v>
      </c>
      <c r="F1586" t="s">
        <v>210</v>
      </c>
      <c r="G1586" t="s">
        <v>127</v>
      </c>
      <c r="H1586">
        <v>5</v>
      </c>
      <c r="I1586" t="s">
        <v>5055</v>
      </c>
      <c r="J1586" t="s">
        <v>357</v>
      </c>
    </row>
    <row r="1587" spans="1:10" x14ac:dyDescent="0.25">
      <c r="A1587" t="s">
        <v>5056</v>
      </c>
      <c r="B1587" t="s">
        <v>5057</v>
      </c>
      <c r="C1587" s="2">
        <v>46213.583333333336</v>
      </c>
      <c r="D1587" t="s">
        <v>418</v>
      </c>
      <c r="E1587" t="s">
        <v>71</v>
      </c>
      <c r="F1587" t="s">
        <v>198</v>
      </c>
      <c r="G1587" t="s">
        <v>141</v>
      </c>
      <c r="H1587">
        <v>4</v>
      </c>
      <c r="I1587" t="s">
        <v>5058</v>
      </c>
      <c r="J1587" t="s">
        <v>357</v>
      </c>
    </row>
    <row r="1588" spans="1:10" x14ac:dyDescent="0.25">
      <c r="A1588" t="s">
        <v>5059</v>
      </c>
      <c r="B1588" t="s">
        <v>5060</v>
      </c>
      <c r="C1588" s="2">
        <v>46213.583333333336</v>
      </c>
      <c r="D1588" t="s">
        <v>418</v>
      </c>
      <c r="E1588" t="s">
        <v>75</v>
      </c>
      <c r="F1588" t="s">
        <v>178</v>
      </c>
      <c r="G1588" t="s">
        <v>145</v>
      </c>
      <c r="H1588">
        <v>6</v>
      </c>
      <c r="I1588" t="s">
        <v>5061</v>
      </c>
      <c r="J1588" t="s">
        <v>357</v>
      </c>
    </row>
    <row r="1589" spans="1:10" x14ac:dyDescent="0.25">
      <c r="A1589" t="s">
        <v>5062</v>
      </c>
      <c r="B1589" t="s">
        <v>5063</v>
      </c>
      <c r="C1589" s="2">
        <v>46213.583333333336</v>
      </c>
      <c r="D1589" t="s">
        <v>418</v>
      </c>
      <c r="E1589" t="s">
        <v>11</v>
      </c>
      <c r="F1589" t="s">
        <v>214</v>
      </c>
      <c r="G1589" t="s">
        <v>92</v>
      </c>
      <c r="H1589">
        <v>7</v>
      </c>
      <c r="I1589" t="s">
        <v>5064</v>
      </c>
      <c r="J1589" t="s">
        <v>357</v>
      </c>
    </row>
    <row r="1590" spans="1:10" x14ac:dyDescent="0.25">
      <c r="A1590" t="s">
        <v>5065</v>
      </c>
      <c r="B1590" t="s">
        <v>5066</v>
      </c>
      <c r="C1590" s="2">
        <v>46213.583333333336</v>
      </c>
      <c r="D1590" t="s">
        <v>418</v>
      </c>
      <c r="E1590" t="s">
        <v>18</v>
      </c>
      <c r="F1590" t="s">
        <v>215</v>
      </c>
      <c r="G1590" t="s">
        <v>95</v>
      </c>
      <c r="H1590">
        <v>6</v>
      </c>
      <c r="I1590" t="s">
        <v>5067</v>
      </c>
      <c r="J1590" t="s">
        <v>357</v>
      </c>
    </row>
    <row r="1591" spans="1:10" x14ac:dyDescent="0.25">
      <c r="A1591" t="s">
        <v>5068</v>
      </c>
      <c r="B1591" t="s">
        <v>5069</v>
      </c>
      <c r="C1591" s="2">
        <v>46213.583333333336</v>
      </c>
      <c r="D1591" t="s">
        <v>418</v>
      </c>
      <c r="E1591" t="s">
        <v>20</v>
      </c>
      <c r="F1591" t="s">
        <v>216</v>
      </c>
      <c r="G1591" t="s">
        <v>97</v>
      </c>
      <c r="H1591">
        <v>1</v>
      </c>
      <c r="I1591" t="s">
        <v>5070</v>
      </c>
      <c r="J1591" t="s">
        <v>357</v>
      </c>
    </row>
    <row r="1592" spans="1:10" x14ac:dyDescent="0.25">
      <c r="A1592" t="s">
        <v>5071</v>
      </c>
      <c r="B1592" t="s">
        <v>5072</v>
      </c>
      <c r="C1592" s="2">
        <v>46213.583333333336</v>
      </c>
      <c r="D1592" t="s">
        <v>418</v>
      </c>
      <c r="E1592" t="s">
        <v>24</v>
      </c>
      <c r="F1592" t="s">
        <v>205</v>
      </c>
      <c r="G1592" t="s">
        <v>101</v>
      </c>
      <c r="H1592">
        <v>6</v>
      </c>
      <c r="I1592" t="s">
        <v>5073</v>
      </c>
      <c r="J1592" t="s">
        <v>357</v>
      </c>
    </row>
    <row r="1593" spans="1:10" x14ac:dyDescent="0.25">
      <c r="A1593" t="s">
        <v>5074</v>
      </c>
      <c r="B1593" t="s">
        <v>5075</v>
      </c>
      <c r="C1593" s="2">
        <v>46213.583333333336</v>
      </c>
      <c r="D1593" t="s">
        <v>418</v>
      </c>
      <c r="E1593" t="s">
        <v>32</v>
      </c>
      <c r="F1593" t="s">
        <v>160</v>
      </c>
      <c r="G1593" t="s">
        <v>109</v>
      </c>
      <c r="H1593">
        <v>7</v>
      </c>
      <c r="I1593" t="s">
        <v>5076</v>
      </c>
      <c r="J1593" t="s">
        <v>357</v>
      </c>
    </row>
    <row r="1594" spans="1:10" x14ac:dyDescent="0.25">
      <c r="A1594" t="s">
        <v>5077</v>
      </c>
      <c r="B1594" t="s">
        <v>5078</v>
      </c>
      <c r="C1594" s="2">
        <v>46213.583333333336</v>
      </c>
      <c r="D1594" t="s">
        <v>418</v>
      </c>
      <c r="E1594" t="s">
        <v>47</v>
      </c>
      <c r="F1594" t="s">
        <v>120</v>
      </c>
      <c r="G1594" t="s">
        <v>121</v>
      </c>
      <c r="H1594">
        <v>1</v>
      </c>
      <c r="I1594" t="s">
        <v>5079</v>
      </c>
      <c r="J1594" t="s">
        <v>357</v>
      </c>
    </row>
    <row r="1595" spans="1:10" x14ac:dyDescent="0.25">
      <c r="A1595" t="s">
        <v>5080</v>
      </c>
      <c r="B1595" t="s">
        <v>5081</v>
      </c>
      <c r="C1595" s="2">
        <v>46213.583333333336</v>
      </c>
      <c r="D1595" t="s">
        <v>418</v>
      </c>
      <c r="E1595" t="s">
        <v>57</v>
      </c>
      <c r="F1595" t="s">
        <v>211</v>
      </c>
      <c r="G1595" t="s">
        <v>131</v>
      </c>
      <c r="H1595">
        <v>1</v>
      </c>
      <c r="I1595" t="s">
        <v>5082</v>
      </c>
      <c r="J1595" t="s">
        <v>357</v>
      </c>
    </row>
    <row r="1596" spans="1:10" x14ac:dyDescent="0.25">
      <c r="A1596" t="s">
        <v>5083</v>
      </c>
      <c r="B1596" t="s">
        <v>5084</v>
      </c>
      <c r="C1596" s="2">
        <v>46213.583333333336</v>
      </c>
      <c r="D1596" t="s">
        <v>418</v>
      </c>
      <c r="E1596" t="s">
        <v>67</v>
      </c>
      <c r="F1596" t="s">
        <v>174</v>
      </c>
      <c r="G1596" t="s">
        <v>137</v>
      </c>
      <c r="H1596">
        <v>1</v>
      </c>
      <c r="I1596" t="s">
        <v>5085</v>
      </c>
      <c r="J1596" t="s">
        <v>357</v>
      </c>
    </row>
    <row r="1597" spans="1:10" x14ac:dyDescent="0.25">
      <c r="A1597" t="s">
        <v>5086</v>
      </c>
      <c r="B1597" t="s">
        <v>5087</v>
      </c>
      <c r="C1597" s="2">
        <v>46213.583333333336</v>
      </c>
      <c r="D1597" t="s">
        <v>418</v>
      </c>
      <c r="E1597" t="s">
        <v>69</v>
      </c>
      <c r="F1597" t="s">
        <v>175</v>
      </c>
      <c r="G1597" t="s">
        <v>139</v>
      </c>
      <c r="H1597">
        <v>4</v>
      </c>
      <c r="I1597" t="s">
        <v>5088</v>
      </c>
      <c r="J1597" t="s">
        <v>357</v>
      </c>
    </row>
    <row r="1598" spans="1:10" x14ac:dyDescent="0.25">
      <c r="A1598" t="s">
        <v>5089</v>
      </c>
      <c r="B1598" t="s">
        <v>5090</v>
      </c>
      <c r="C1598" s="2">
        <v>46213.583333333336</v>
      </c>
      <c r="D1598" t="s">
        <v>418</v>
      </c>
      <c r="E1598" t="s">
        <v>73</v>
      </c>
      <c r="F1598" t="s">
        <v>177</v>
      </c>
      <c r="G1598" t="s">
        <v>143</v>
      </c>
      <c r="H1598">
        <v>4</v>
      </c>
      <c r="I1598" t="s">
        <v>5091</v>
      </c>
      <c r="J1598" t="s">
        <v>357</v>
      </c>
    </row>
    <row r="1599" spans="1:10" x14ac:dyDescent="0.25">
      <c r="A1599" t="s">
        <v>5092</v>
      </c>
      <c r="B1599" t="s">
        <v>5093</v>
      </c>
      <c r="C1599" s="2">
        <v>46213.583333333336</v>
      </c>
      <c r="D1599" t="s">
        <v>418</v>
      </c>
      <c r="E1599" t="s">
        <v>77</v>
      </c>
      <c r="F1599" t="s">
        <v>179</v>
      </c>
      <c r="G1599" t="s">
        <v>147</v>
      </c>
      <c r="H1599">
        <v>6</v>
      </c>
      <c r="I1599" t="s">
        <v>5094</v>
      </c>
      <c r="J1599" t="s">
        <v>357</v>
      </c>
    </row>
    <row r="1600" spans="1:10" x14ac:dyDescent="0.25">
      <c r="A1600" t="s">
        <v>5095</v>
      </c>
      <c r="B1600" t="s">
        <v>5096</v>
      </c>
      <c r="C1600" s="2">
        <v>46213.583333333336</v>
      </c>
      <c r="D1600" t="s">
        <v>418</v>
      </c>
      <c r="E1600" t="s">
        <v>18</v>
      </c>
      <c r="F1600" t="s">
        <v>215</v>
      </c>
      <c r="G1600" t="s">
        <v>95</v>
      </c>
      <c r="H1600">
        <v>2</v>
      </c>
      <c r="I1600" t="s">
        <v>5097</v>
      </c>
      <c r="J1600" t="s">
        <v>357</v>
      </c>
    </row>
    <row r="1601" spans="1:10" x14ac:dyDescent="0.25">
      <c r="A1601" t="s">
        <v>5098</v>
      </c>
      <c r="B1601" t="s">
        <v>5099</v>
      </c>
      <c r="C1601" s="2">
        <v>46213.583333333336</v>
      </c>
      <c r="D1601" t="s">
        <v>418</v>
      </c>
      <c r="E1601" t="s">
        <v>20</v>
      </c>
      <c r="F1601" t="s">
        <v>216</v>
      </c>
      <c r="G1601" t="s">
        <v>97</v>
      </c>
      <c r="H1601">
        <v>4</v>
      </c>
      <c r="I1601" t="s">
        <v>5100</v>
      </c>
      <c r="J1601" t="s">
        <v>357</v>
      </c>
    </row>
    <row r="1602" spans="1:10" x14ac:dyDescent="0.25">
      <c r="A1602" t="s">
        <v>5101</v>
      </c>
      <c r="B1602" t="s">
        <v>5102</v>
      </c>
      <c r="C1602" s="2">
        <v>46213.583333333336</v>
      </c>
      <c r="D1602" t="s">
        <v>418</v>
      </c>
      <c r="E1602" t="s">
        <v>22</v>
      </c>
      <c r="F1602" t="s">
        <v>217</v>
      </c>
      <c r="G1602" t="s">
        <v>99</v>
      </c>
      <c r="H1602">
        <v>4</v>
      </c>
      <c r="I1602" t="s">
        <v>5103</v>
      </c>
      <c r="J1602" t="s">
        <v>357</v>
      </c>
    </row>
    <row r="1603" spans="1:10" x14ac:dyDescent="0.25">
      <c r="A1603" t="s">
        <v>5104</v>
      </c>
      <c r="B1603" t="s">
        <v>5105</v>
      </c>
      <c r="C1603" s="2">
        <v>46213.583333333336</v>
      </c>
      <c r="D1603" t="s">
        <v>418</v>
      </c>
      <c r="E1603" t="s">
        <v>41</v>
      </c>
      <c r="F1603" t="s">
        <v>188</v>
      </c>
      <c r="G1603" t="s">
        <v>115</v>
      </c>
      <c r="H1603">
        <v>3</v>
      </c>
      <c r="I1603" t="s">
        <v>5106</v>
      </c>
      <c r="J1603" t="s">
        <v>357</v>
      </c>
    </row>
    <row r="1604" spans="1:10" x14ac:dyDescent="0.25">
      <c r="A1604" t="s">
        <v>5107</v>
      </c>
      <c r="B1604" t="s">
        <v>5108</v>
      </c>
      <c r="C1604" s="2">
        <v>46213.583333333336</v>
      </c>
      <c r="D1604" t="s">
        <v>418</v>
      </c>
      <c r="E1604" t="s">
        <v>43</v>
      </c>
      <c r="F1604" t="s">
        <v>208</v>
      </c>
      <c r="G1604" t="s">
        <v>117</v>
      </c>
      <c r="H1604">
        <v>3</v>
      </c>
      <c r="I1604" t="s">
        <v>5109</v>
      </c>
      <c r="J1604" t="s">
        <v>357</v>
      </c>
    </row>
    <row r="1605" spans="1:10" x14ac:dyDescent="0.25">
      <c r="A1605" t="s">
        <v>5110</v>
      </c>
      <c r="B1605" t="s">
        <v>5111</v>
      </c>
      <c r="C1605" s="2">
        <v>46213.583333333336</v>
      </c>
      <c r="D1605" t="s">
        <v>418</v>
      </c>
      <c r="E1605" t="s">
        <v>45</v>
      </c>
      <c r="F1605" t="s">
        <v>165</v>
      </c>
      <c r="G1605" t="s">
        <v>119</v>
      </c>
      <c r="H1605">
        <v>4</v>
      </c>
      <c r="I1605" t="s">
        <v>5112</v>
      </c>
      <c r="J1605" t="s">
        <v>357</v>
      </c>
    </row>
    <row r="1606" spans="1:10" x14ac:dyDescent="0.25">
      <c r="A1606" t="s">
        <v>5113</v>
      </c>
      <c r="B1606" t="s">
        <v>5114</v>
      </c>
      <c r="C1606" s="2">
        <v>46213.583333333336</v>
      </c>
      <c r="D1606" t="s">
        <v>418</v>
      </c>
      <c r="E1606" t="s">
        <v>55</v>
      </c>
      <c r="F1606" t="s">
        <v>192</v>
      </c>
      <c r="G1606" t="s">
        <v>129</v>
      </c>
      <c r="H1606">
        <v>2</v>
      </c>
      <c r="I1606" t="s">
        <v>5115</v>
      </c>
      <c r="J1606" t="s">
        <v>357</v>
      </c>
    </row>
    <row r="1607" spans="1:10" x14ac:dyDescent="0.25">
      <c r="A1607" t="s">
        <v>5116</v>
      </c>
      <c r="B1607" t="s">
        <v>5117</v>
      </c>
      <c r="C1607" s="2">
        <v>46213.583333333336</v>
      </c>
      <c r="D1607" t="s">
        <v>418</v>
      </c>
      <c r="E1607" t="s">
        <v>65</v>
      </c>
      <c r="F1607" t="s">
        <v>195</v>
      </c>
      <c r="G1607" t="s">
        <v>135</v>
      </c>
      <c r="H1607">
        <v>1</v>
      </c>
      <c r="I1607" t="s">
        <v>5118</v>
      </c>
      <c r="J1607" t="s">
        <v>357</v>
      </c>
    </row>
    <row r="1608" spans="1:10" x14ac:dyDescent="0.25">
      <c r="A1608" t="s">
        <v>5119</v>
      </c>
      <c r="B1608" t="s">
        <v>5120</v>
      </c>
      <c r="C1608" s="2">
        <v>46213.583333333336</v>
      </c>
      <c r="D1608" t="s">
        <v>418</v>
      </c>
      <c r="E1608" t="s">
        <v>69</v>
      </c>
      <c r="F1608" t="s">
        <v>197</v>
      </c>
      <c r="G1608" t="s">
        <v>139</v>
      </c>
      <c r="H1608">
        <v>3</v>
      </c>
      <c r="I1608" t="s">
        <v>5121</v>
      </c>
      <c r="J1608" t="s">
        <v>357</v>
      </c>
    </row>
    <row r="1609" spans="1:10" x14ac:dyDescent="0.25">
      <c r="A1609" t="s">
        <v>5122</v>
      </c>
      <c r="B1609" t="s">
        <v>5123</v>
      </c>
      <c r="C1609" s="2">
        <v>46213.583333333336</v>
      </c>
      <c r="D1609" t="s">
        <v>418</v>
      </c>
      <c r="E1609" t="s">
        <v>77</v>
      </c>
      <c r="F1609" t="s">
        <v>179</v>
      </c>
      <c r="G1609" t="s">
        <v>147</v>
      </c>
      <c r="H1609">
        <v>4</v>
      </c>
      <c r="I1609" t="s">
        <v>5124</v>
      </c>
      <c r="J1609" t="s">
        <v>357</v>
      </c>
    </row>
    <row r="1610" spans="1:10" x14ac:dyDescent="0.25">
      <c r="A1610" t="s">
        <v>5125</v>
      </c>
      <c r="B1610" t="s">
        <v>5126</v>
      </c>
      <c r="C1610" s="2">
        <v>46214.583333333336</v>
      </c>
      <c r="D1610" t="s">
        <v>418</v>
      </c>
      <c r="E1610" t="s">
        <v>11</v>
      </c>
      <c r="F1610" t="s">
        <v>214</v>
      </c>
      <c r="G1610" t="s">
        <v>92</v>
      </c>
      <c r="H1610">
        <v>4</v>
      </c>
      <c r="I1610" t="s">
        <v>5127</v>
      </c>
      <c r="J1610" t="s">
        <v>357</v>
      </c>
    </row>
    <row r="1611" spans="1:10" x14ac:dyDescent="0.25">
      <c r="A1611" t="s">
        <v>5128</v>
      </c>
      <c r="B1611" t="s">
        <v>5129</v>
      </c>
      <c r="C1611" s="2">
        <v>46214.583333333336</v>
      </c>
      <c r="D1611" t="s">
        <v>418</v>
      </c>
      <c r="E1611" t="s">
        <v>18</v>
      </c>
      <c r="F1611" t="s">
        <v>215</v>
      </c>
      <c r="G1611" t="s">
        <v>95</v>
      </c>
      <c r="H1611">
        <v>5</v>
      </c>
      <c r="I1611" t="s">
        <v>5130</v>
      </c>
      <c r="J1611" t="s">
        <v>357</v>
      </c>
    </row>
    <row r="1612" spans="1:10" x14ac:dyDescent="0.25">
      <c r="A1612" t="s">
        <v>5131</v>
      </c>
      <c r="B1612" t="s">
        <v>5132</v>
      </c>
      <c r="C1612" s="2">
        <v>46214.583333333336</v>
      </c>
      <c r="D1612" t="s">
        <v>418</v>
      </c>
      <c r="E1612" t="s">
        <v>20</v>
      </c>
      <c r="F1612" t="s">
        <v>216</v>
      </c>
      <c r="G1612" t="s">
        <v>97</v>
      </c>
      <c r="H1612">
        <v>2</v>
      </c>
      <c r="I1612" t="s">
        <v>5133</v>
      </c>
      <c r="J1612" t="s">
        <v>357</v>
      </c>
    </row>
    <row r="1613" spans="1:10" x14ac:dyDescent="0.25">
      <c r="A1613" t="s">
        <v>5134</v>
      </c>
      <c r="B1613" t="s">
        <v>5135</v>
      </c>
      <c r="C1613" s="2">
        <v>46214.583333333336</v>
      </c>
      <c r="D1613" t="s">
        <v>418</v>
      </c>
      <c r="E1613" t="s">
        <v>22</v>
      </c>
      <c r="F1613" t="s">
        <v>217</v>
      </c>
      <c r="G1613" t="s">
        <v>99</v>
      </c>
      <c r="H1613">
        <v>3</v>
      </c>
      <c r="I1613" t="s">
        <v>5136</v>
      </c>
      <c r="J1613" t="s">
        <v>357</v>
      </c>
    </row>
    <row r="1614" spans="1:10" x14ac:dyDescent="0.25">
      <c r="A1614" t="s">
        <v>5137</v>
      </c>
      <c r="B1614" t="s">
        <v>5138</v>
      </c>
      <c r="C1614" s="2">
        <v>46214.583333333336</v>
      </c>
      <c r="D1614" t="s">
        <v>418</v>
      </c>
      <c r="E1614" t="s">
        <v>24</v>
      </c>
      <c r="F1614" t="s">
        <v>205</v>
      </c>
      <c r="G1614" t="s">
        <v>101</v>
      </c>
      <c r="H1614">
        <v>4</v>
      </c>
      <c r="I1614" t="s">
        <v>5139</v>
      </c>
      <c r="J1614" t="s">
        <v>357</v>
      </c>
    </row>
    <row r="1615" spans="1:10" x14ac:dyDescent="0.25">
      <c r="A1615" t="s">
        <v>5140</v>
      </c>
      <c r="B1615" t="s">
        <v>5141</v>
      </c>
      <c r="C1615" s="2">
        <v>46214.583333333336</v>
      </c>
      <c r="D1615" t="s">
        <v>418</v>
      </c>
      <c r="E1615" t="s">
        <v>45</v>
      </c>
      <c r="F1615" t="s">
        <v>165</v>
      </c>
      <c r="G1615" t="s">
        <v>119</v>
      </c>
      <c r="H1615">
        <v>2</v>
      </c>
      <c r="I1615" t="s">
        <v>5142</v>
      </c>
      <c r="J1615" t="s">
        <v>357</v>
      </c>
    </row>
    <row r="1616" spans="1:10" x14ac:dyDescent="0.25">
      <c r="A1616" t="s">
        <v>5143</v>
      </c>
      <c r="B1616" t="s">
        <v>5144</v>
      </c>
      <c r="C1616" s="2">
        <v>46214.583333333336</v>
      </c>
      <c r="D1616" t="s">
        <v>418</v>
      </c>
      <c r="E1616" t="s">
        <v>65</v>
      </c>
      <c r="F1616" t="s">
        <v>195</v>
      </c>
      <c r="G1616" t="s">
        <v>135</v>
      </c>
      <c r="H1616">
        <v>5</v>
      </c>
      <c r="I1616" t="s">
        <v>5145</v>
      </c>
      <c r="J1616" t="s">
        <v>357</v>
      </c>
    </row>
    <row r="1617" spans="1:10" x14ac:dyDescent="0.25">
      <c r="A1617" t="s">
        <v>5146</v>
      </c>
      <c r="B1617" t="s">
        <v>5147</v>
      </c>
      <c r="C1617" s="2">
        <v>46214.583333333336</v>
      </c>
      <c r="D1617" t="s">
        <v>418</v>
      </c>
      <c r="E1617" t="s">
        <v>67</v>
      </c>
      <c r="F1617" t="s">
        <v>174</v>
      </c>
      <c r="G1617" t="s">
        <v>137</v>
      </c>
      <c r="H1617">
        <v>2</v>
      </c>
      <c r="I1617" t="s">
        <v>5148</v>
      </c>
      <c r="J1617" t="s">
        <v>357</v>
      </c>
    </row>
    <row r="1618" spans="1:10" x14ac:dyDescent="0.25">
      <c r="A1618" t="s">
        <v>5149</v>
      </c>
      <c r="B1618" t="s">
        <v>5150</v>
      </c>
      <c r="C1618" s="2">
        <v>46214.583333333336</v>
      </c>
      <c r="D1618" t="s">
        <v>418</v>
      </c>
      <c r="E1618" t="s">
        <v>75</v>
      </c>
      <c r="F1618" t="s">
        <v>178</v>
      </c>
      <c r="G1618" t="s">
        <v>145</v>
      </c>
      <c r="H1618">
        <v>1</v>
      </c>
      <c r="I1618" t="s">
        <v>5151</v>
      </c>
      <c r="J1618" t="s">
        <v>357</v>
      </c>
    </row>
    <row r="1619" spans="1:10" x14ac:dyDescent="0.25">
      <c r="A1619" t="s">
        <v>5152</v>
      </c>
      <c r="B1619" t="s">
        <v>5153</v>
      </c>
      <c r="C1619" s="2">
        <v>46214.583333333336</v>
      </c>
      <c r="D1619" t="s">
        <v>418</v>
      </c>
      <c r="E1619" t="s">
        <v>77</v>
      </c>
      <c r="F1619" t="s">
        <v>179</v>
      </c>
      <c r="G1619" t="s">
        <v>147</v>
      </c>
      <c r="H1619">
        <v>5</v>
      </c>
      <c r="I1619" t="s">
        <v>5154</v>
      </c>
      <c r="J1619" t="s">
        <v>357</v>
      </c>
    </row>
    <row r="1620" spans="1:10" x14ac:dyDescent="0.25">
      <c r="A1620" t="s">
        <v>5155</v>
      </c>
      <c r="B1620" t="s">
        <v>5156</v>
      </c>
      <c r="C1620" s="2">
        <v>46214.583333333336</v>
      </c>
      <c r="D1620" t="s">
        <v>418</v>
      </c>
      <c r="E1620" t="s">
        <v>20</v>
      </c>
      <c r="F1620" t="s">
        <v>216</v>
      </c>
      <c r="G1620" t="s">
        <v>97</v>
      </c>
      <c r="H1620">
        <v>4</v>
      </c>
      <c r="I1620" t="s">
        <v>5157</v>
      </c>
      <c r="J1620" t="s">
        <v>357</v>
      </c>
    </row>
    <row r="1621" spans="1:10" x14ac:dyDescent="0.25">
      <c r="A1621" t="s">
        <v>5158</v>
      </c>
      <c r="B1621" t="s">
        <v>5159</v>
      </c>
      <c r="C1621" s="2">
        <v>46214.583333333336</v>
      </c>
      <c r="D1621" t="s">
        <v>418</v>
      </c>
      <c r="E1621" t="s">
        <v>24</v>
      </c>
      <c r="F1621" t="s">
        <v>205</v>
      </c>
      <c r="G1621" t="s">
        <v>101</v>
      </c>
      <c r="H1621">
        <v>6</v>
      </c>
      <c r="I1621" t="s">
        <v>5160</v>
      </c>
      <c r="J1621" t="s">
        <v>357</v>
      </c>
    </row>
    <row r="1622" spans="1:10" x14ac:dyDescent="0.25">
      <c r="A1622" t="s">
        <v>5161</v>
      </c>
      <c r="B1622" t="s">
        <v>5162</v>
      </c>
      <c r="C1622" s="2">
        <v>46214.583333333336</v>
      </c>
      <c r="D1622" t="s">
        <v>418</v>
      </c>
      <c r="E1622" t="s">
        <v>30</v>
      </c>
      <c r="F1622" t="s">
        <v>159</v>
      </c>
      <c r="G1622" t="s">
        <v>107</v>
      </c>
      <c r="H1622">
        <v>4</v>
      </c>
      <c r="I1622" t="s">
        <v>5163</v>
      </c>
      <c r="J1622" t="s">
        <v>357</v>
      </c>
    </row>
    <row r="1623" spans="1:10" x14ac:dyDescent="0.25">
      <c r="A1623" t="s">
        <v>5164</v>
      </c>
      <c r="B1623" t="s">
        <v>5165</v>
      </c>
      <c r="C1623" s="2">
        <v>46214.583333333336</v>
      </c>
      <c r="D1623" t="s">
        <v>418</v>
      </c>
      <c r="E1623" t="s">
        <v>43</v>
      </c>
      <c r="F1623" t="s">
        <v>208</v>
      </c>
      <c r="G1623" t="s">
        <v>117</v>
      </c>
      <c r="H1623">
        <v>5</v>
      </c>
      <c r="I1623" t="s">
        <v>5166</v>
      </c>
      <c r="J1623" t="s">
        <v>357</v>
      </c>
    </row>
    <row r="1624" spans="1:10" x14ac:dyDescent="0.25">
      <c r="A1624" t="s">
        <v>5167</v>
      </c>
      <c r="B1624" t="s">
        <v>5168</v>
      </c>
      <c r="C1624" s="2">
        <v>46214.583333333336</v>
      </c>
      <c r="D1624" t="s">
        <v>418</v>
      </c>
      <c r="E1624" t="s">
        <v>47</v>
      </c>
      <c r="F1624" t="s">
        <v>120</v>
      </c>
      <c r="G1624" t="s">
        <v>121</v>
      </c>
      <c r="H1624">
        <v>1</v>
      </c>
      <c r="I1624" t="s">
        <v>5169</v>
      </c>
      <c r="J1624" t="s">
        <v>357</v>
      </c>
    </row>
    <row r="1625" spans="1:10" x14ac:dyDescent="0.25">
      <c r="A1625" t="s">
        <v>5170</v>
      </c>
      <c r="B1625" t="s">
        <v>5171</v>
      </c>
      <c r="C1625" s="2">
        <v>46214.583333333336</v>
      </c>
      <c r="D1625" t="s">
        <v>418</v>
      </c>
      <c r="E1625" t="s">
        <v>49</v>
      </c>
      <c r="F1625" t="s">
        <v>226</v>
      </c>
      <c r="G1625" t="s">
        <v>123</v>
      </c>
      <c r="H1625">
        <v>5</v>
      </c>
      <c r="I1625" t="s">
        <v>5172</v>
      </c>
      <c r="J1625" t="s">
        <v>357</v>
      </c>
    </row>
    <row r="1626" spans="1:10" x14ac:dyDescent="0.25">
      <c r="A1626" t="s">
        <v>5173</v>
      </c>
      <c r="B1626" t="s">
        <v>5174</v>
      </c>
      <c r="C1626" s="2">
        <v>46214.583333333336</v>
      </c>
      <c r="D1626" t="s">
        <v>418</v>
      </c>
      <c r="E1626" t="s">
        <v>51</v>
      </c>
      <c r="F1626" t="s">
        <v>209</v>
      </c>
      <c r="G1626" t="s">
        <v>125</v>
      </c>
      <c r="H1626">
        <v>3</v>
      </c>
      <c r="I1626" t="s">
        <v>5175</v>
      </c>
      <c r="J1626" t="s">
        <v>357</v>
      </c>
    </row>
    <row r="1627" spans="1:10" x14ac:dyDescent="0.25">
      <c r="A1627" t="s">
        <v>5176</v>
      </c>
      <c r="B1627" t="s">
        <v>5177</v>
      </c>
      <c r="C1627" s="2">
        <v>46214.583333333336</v>
      </c>
      <c r="D1627" t="s">
        <v>418</v>
      </c>
      <c r="E1627" t="s">
        <v>65</v>
      </c>
      <c r="F1627" t="s">
        <v>195</v>
      </c>
      <c r="G1627" t="s">
        <v>135</v>
      </c>
      <c r="H1627">
        <v>3</v>
      </c>
      <c r="I1627" t="s">
        <v>5178</v>
      </c>
      <c r="J1627" t="s">
        <v>357</v>
      </c>
    </row>
    <row r="1628" spans="1:10" x14ac:dyDescent="0.25">
      <c r="A1628" t="s">
        <v>5179</v>
      </c>
      <c r="B1628" t="s">
        <v>5180</v>
      </c>
      <c r="C1628" s="2">
        <v>46214.583333333336</v>
      </c>
      <c r="D1628" t="s">
        <v>418</v>
      </c>
      <c r="E1628" t="s">
        <v>11</v>
      </c>
      <c r="F1628" t="s">
        <v>214</v>
      </c>
      <c r="G1628" t="s">
        <v>92</v>
      </c>
      <c r="H1628">
        <v>8</v>
      </c>
      <c r="I1628" t="s">
        <v>5181</v>
      </c>
      <c r="J1628" t="s">
        <v>357</v>
      </c>
    </row>
    <row r="1629" spans="1:10" x14ac:dyDescent="0.25">
      <c r="A1629" t="s">
        <v>5182</v>
      </c>
      <c r="B1629" t="s">
        <v>5183</v>
      </c>
      <c r="C1629" s="2">
        <v>46214.583333333336</v>
      </c>
      <c r="D1629" t="s">
        <v>418</v>
      </c>
      <c r="E1629" t="s">
        <v>18</v>
      </c>
      <c r="F1629" t="s">
        <v>215</v>
      </c>
      <c r="G1629" t="s">
        <v>95</v>
      </c>
      <c r="H1629">
        <v>2</v>
      </c>
      <c r="I1629" t="s">
        <v>5184</v>
      </c>
      <c r="J1629" t="s">
        <v>357</v>
      </c>
    </row>
    <row r="1630" spans="1:10" x14ac:dyDescent="0.25">
      <c r="A1630" t="s">
        <v>5185</v>
      </c>
      <c r="B1630" t="s">
        <v>5186</v>
      </c>
      <c r="C1630" s="2">
        <v>46214.583333333336</v>
      </c>
      <c r="D1630" t="s">
        <v>418</v>
      </c>
      <c r="E1630" t="s">
        <v>22</v>
      </c>
      <c r="F1630" t="s">
        <v>217</v>
      </c>
      <c r="G1630" t="s">
        <v>99</v>
      </c>
      <c r="H1630">
        <v>6</v>
      </c>
      <c r="I1630" t="s">
        <v>5187</v>
      </c>
      <c r="J1630" t="s">
        <v>357</v>
      </c>
    </row>
    <row r="1631" spans="1:10" x14ac:dyDescent="0.25">
      <c r="A1631" t="s">
        <v>5188</v>
      </c>
      <c r="B1631" t="s">
        <v>5189</v>
      </c>
      <c r="C1631" s="2">
        <v>46214.583333333336</v>
      </c>
      <c r="D1631" t="s">
        <v>418</v>
      </c>
      <c r="E1631" t="s">
        <v>24</v>
      </c>
      <c r="F1631" t="s">
        <v>205</v>
      </c>
      <c r="G1631" t="s">
        <v>101</v>
      </c>
      <c r="H1631">
        <v>6</v>
      </c>
      <c r="I1631" t="s">
        <v>5190</v>
      </c>
      <c r="J1631" t="s">
        <v>357</v>
      </c>
    </row>
    <row r="1632" spans="1:10" x14ac:dyDescent="0.25">
      <c r="A1632" t="s">
        <v>5191</v>
      </c>
      <c r="B1632" t="s">
        <v>5192</v>
      </c>
      <c r="C1632" s="2">
        <v>46214.583333333336</v>
      </c>
      <c r="D1632" t="s">
        <v>418</v>
      </c>
      <c r="E1632" t="s">
        <v>36</v>
      </c>
      <c r="F1632" t="s">
        <v>223</v>
      </c>
      <c r="G1632" t="s">
        <v>113</v>
      </c>
      <c r="H1632">
        <v>5</v>
      </c>
      <c r="I1632" t="s">
        <v>5193</v>
      </c>
      <c r="J1632" t="s">
        <v>357</v>
      </c>
    </row>
    <row r="1633" spans="1:10" x14ac:dyDescent="0.25">
      <c r="A1633" t="s">
        <v>5194</v>
      </c>
      <c r="B1633" t="s">
        <v>5195</v>
      </c>
      <c r="C1633" s="2">
        <v>46214.583333333336</v>
      </c>
      <c r="D1633" t="s">
        <v>418</v>
      </c>
      <c r="E1633" t="s">
        <v>45</v>
      </c>
      <c r="F1633" t="s">
        <v>165</v>
      </c>
      <c r="G1633" t="s">
        <v>119</v>
      </c>
      <c r="H1633">
        <v>5</v>
      </c>
      <c r="I1633" t="s">
        <v>5196</v>
      </c>
      <c r="J1633" t="s">
        <v>357</v>
      </c>
    </row>
    <row r="1634" spans="1:10" x14ac:dyDescent="0.25">
      <c r="A1634" t="s">
        <v>5197</v>
      </c>
      <c r="B1634" t="s">
        <v>5198</v>
      </c>
      <c r="C1634" s="2">
        <v>46214.583333333336</v>
      </c>
      <c r="D1634" t="s">
        <v>418</v>
      </c>
      <c r="E1634" t="s">
        <v>51</v>
      </c>
      <c r="F1634" t="s">
        <v>209</v>
      </c>
      <c r="G1634" t="s">
        <v>125</v>
      </c>
      <c r="H1634">
        <v>5</v>
      </c>
      <c r="I1634" t="s">
        <v>5199</v>
      </c>
      <c r="J1634" t="s">
        <v>357</v>
      </c>
    </row>
    <row r="1635" spans="1:10" x14ac:dyDescent="0.25">
      <c r="A1635" t="s">
        <v>5200</v>
      </c>
      <c r="B1635" t="s">
        <v>5201</v>
      </c>
      <c r="C1635" s="2">
        <v>46214.583333333336</v>
      </c>
      <c r="D1635" t="s">
        <v>418</v>
      </c>
      <c r="E1635" t="s">
        <v>55</v>
      </c>
      <c r="F1635" t="s">
        <v>192</v>
      </c>
      <c r="G1635" t="s">
        <v>129</v>
      </c>
      <c r="H1635">
        <v>2</v>
      </c>
      <c r="I1635" t="s">
        <v>5202</v>
      </c>
      <c r="J1635" t="s">
        <v>357</v>
      </c>
    </row>
    <row r="1636" spans="1:10" x14ac:dyDescent="0.25">
      <c r="A1636" t="s">
        <v>5203</v>
      </c>
      <c r="B1636" t="s">
        <v>5204</v>
      </c>
      <c r="C1636" s="2">
        <v>46214.583333333336</v>
      </c>
      <c r="D1636" t="s">
        <v>418</v>
      </c>
      <c r="E1636" t="s">
        <v>65</v>
      </c>
      <c r="F1636" t="s">
        <v>195</v>
      </c>
      <c r="G1636" t="s">
        <v>135</v>
      </c>
      <c r="H1636">
        <v>6</v>
      </c>
      <c r="I1636" t="s">
        <v>5205</v>
      </c>
      <c r="J1636" t="s">
        <v>357</v>
      </c>
    </row>
    <row r="1637" spans="1:10" x14ac:dyDescent="0.25">
      <c r="A1637" t="s">
        <v>5206</v>
      </c>
      <c r="B1637" t="s">
        <v>5207</v>
      </c>
      <c r="C1637" s="2">
        <v>46214.583333333336</v>
      </c>
      <c r="D1637" t="s">
        <v>418</v>
      </c>
      <c r="E1637" t="s">
        <v>71</v>
      </c>
      <c r="F1637" t="s">
        <v>198</v>
      </c>
      <c r="G1637" t="s">
        <v>141</v>
      </c>
      <c r="H1637">
        <v>2</v>
      </c>
      <c r="I1637" t="s">
        <v>5208</v>
      </c>
      <c r="J1637" t="s">
        <v>357</v>
      </c>
    </row>
    <row r="1638" spans="1:10" x14ac:dyDescent="0.25">
      <c r="A1638" t="s">
        <v>5209</v>
      </c>
      <c r="B1638" t="s">
        <v>5210</v>
      </c>
      <c r="C1638" s="2">
        <v>46214.583333333336</v>
      </c>
      <c r="D1638" t="s">
        <v>418</v>
      </c>
      <c r="E1638" t="s">
        <v>11</v>
      </c>
      <c r="F1638" t="s">
        <v>214</v>
      </c>
      <c r="G1638" t="s">
        <v>92</v>
      </c>
      <c r="H1638">
        <v>9</v>
      </c>
      <c r="I1638" t="s">
        <v>5211</v>
      </c>
      <c r="J1638" t="s">
        <v>357</v>
      </c>
    </row>
    <row r="1639" spans="1:10" x14ac:dyDescent="0.25">
      <c r="A1639" t="s">
        <v>5212</v>
      </c>
      <c r="B1639" t="s">
        <v>5213</v>
      </c>
      <c r="C1639" s="2">
        <v>46214.583333333336</v>
      </c>
      <c r="D1639" t="s">
        <v>418</v>
      </c>
      <c r="E1639" t="s">
        <v>22</v>
      </c>
      <c r="F1639" t="s">
        <v>217</v>
      </c>
      <c r="G1639" t="s">
        <v>99</v>
      </c>
      <c r="H1639">
        <v>2</v>
      </c>
      <c r="I1639" t="s">
        <v>5214</v>
      </c>
      <c r="J1639" t="s">
        <v>357</v>
      </c>
    </row>
    <row r="1640" spans="1:10" x14ac:dyDescent="0.25">
      <c r="A1640" t="s">
        <v>5215</v>
      </c>
      <c r="B1640" t="s">
        <v>5216</v>
      </c>
      <c r="C1640" s="2">
        <v>46214.583333333336</v>
      </c>
      <c r="D1640" t="s">
        <v>418</v>
      </c>
      <c r="E1640" t="s">
        <v>24</v>
      </c>
      <c r="F1640" t="s">
        <v>205</v>
      </c>
      <c r="G1640" t="s">
        <v>101</v>
      </c>
      <c r="H1640">
        <v>9</v>
      </c>
      <c r="I1640" t="s">
        <v>5217</v>
      </c>
      <c r="J1640" t="s">
        <v>357</v>
      </c>
    </row>
    <row r="1641" spans="1:10" x14ac:dyDescent="0.25">
      <c r="A1641" t="s">
        <v>5218</v>
      </c>
      <c r="B1641" t="s">
        <v>5219</v>
      </c>
      <c r="C1641" s="2">
        <v>46214.583333333336</v>
      </c>
      <c r="D1641" t="s">
        <v>418</v>
      </c>
      <c r="E1641" t="s">
        <v>30</v>
      </c>
      <c r="F1641" t="s">
        <v>159</v>
      </c>
      <c r="G1641" t="s">
        <v>107</v>
      </c>
      <c r="H1641">
        <v>5</v>
      </c>
      <c r="I1641" t="s">
        <v>5220</v>
      </c>
      <c r="J1641" t="s">
        <v>357</v>
      </c>
    </row>
    <row r="1642" spans="1:10" x14ac:dyDescent="0.25">
      <c r="A1642" t="s">
        <v>5221</v>
      </c>
      <c r="B1642" t="s">
        <v>5222</v>
      </c>
      <c r="C1642" s="2">
        <v>46214.583333333336</v>
      </c>
      <c r="D1642" t="s">
        <v>418</v>
      </c>
      <c r="E1642" t="s">
        <v>47</v>
      </c>
      <c r="F1642" t="s">
        <v>120</v>
      </c>
      <c r="G1642" t="s">
        <v>121</v>
      </c>
      <c r="H1642">
        <v>5</v>
      </c>
      <c r="I1642" t="s">
        <v>5223</v>
      </c>
      <c r="J1642" t="s">
        <v>357</v>
      </c>
    </row>
    <row r="1643" spans="1:10" x14ac:dyDescent="0.25">
      <c r="A1643" t="s">
        <v>5224</v>
      </c>
      <c r="B1643" t="s">
        <v>5225</v>
      </c>
      <c r="C1643" s="2">
        <v>46214.583333333336</v>
      </c>
      <c r="D1643" t="s">
        <v>418</v>
      </c>
      <c r="E1643" t="s">
        <v>51</v>
      </c>
      <c r="F1643" t="s">
        <v>209</v>
      </c>
      <c r="G1643" t="s">
        <v>125</v>
      </c>
      <c r="H1643">
        <v>2</v>
      </c>
      <c r="I1643" t="s">
        <v>5226</v>
      </c>
      <c r="J1643" t="s">
        <v>357</v>
      </c>
    </row>
    <row r="1644" spans="1:10" x14ac:dyDescent="0.25">
      <c r="A1644" t="s">
        <v>5227</v>
      </c>
      <c r="B1644" t="s">
        <v>5228</v>
      </c>
      <c r="C1644" s="2">
        <v>46214.583333333336</v>
      </c>
      <c r="D1644" t="s">
        <v>418</v>
      </c>
      <c r="E1644" t="s">
        <v>57</v>
      </c>
      <c r="F1644" t="s">
        <v>211</v>
      </c>
      <c r="G1644" t="s">
        <v>131</v>
      </c>
      <c r="H1644">
        <v>9</v>
      </c>
      <c r="I1644" t="s">
        <v>5229</v>
      </c>
      <c r="J1644" t="s">
        <v>357</v>
      </c>
    </row>
    <row r="1645" spans="1:10" x14ac:dyDescent="0.25">
      <c r="A1645" t="s">
        <v>5230</v>
      </c>
      <c r="B1645" t="s">
        <v>5231</v>
      </c>
      <c r="C1645" s="2">
        <v>46214.583333333336</v>
      </c>
      <c r="D1645" t="s">
        <v>418</v>
      </c>
      <c r="E1645" t="s">
        <v>75</v>
      </c>
      <c r="F1645" t="s">
        <v>178</v>
      </c>
      <c r="G1645" t="s">
        <v>145</v>
      </c>
      <c r="H1645">
        <v>1</v>
      </c>
      <c r="I1645" t="s">
        <v>5232</v>
      </c>
      <c r="J1645" t="s">
        <v>357</v>
      </c>
    </row>
    <row r="1646" spans="1:10" x14ac:dyDescent="0.25">
      <c r="A1646" t="s">
        <v>5233</v>
      </c>
      <c r="B1646" t="s">
        <v>5234</v>
      </c>
      <c r="C1646" s="2">
        <v>46214.583333333336</v>
      </c>
      <c r="D1646" t="s">
        <v>418</v>
      </c>
      <c r="E1646" t="s">
        <v>75</v>
      </c>
      <c r="F1646" t="s">
        <v>199</v>
      </c>
      <c r="G1646" t="s">
        <v>145</v>
      </c>
      <c r="H1646">
        <v>4</v>
      </c>
      <c r="I1646" t="s">
        <v>5232</v>
      </c>
      <c r="J1646" t="s">
        <v>357</v>
      </c>
    </row>
    <row r="1647" spans="1:10" x14ac:dyDescent="0.25">
      <c r="A1647" t="s">
        <v>5235</v>
      </c>
      <c r="B1647" t="s">
        <v>5236</v>
      </c>
      <c r="C1647" s="2">
        <v>46214.583333333336</v>
      </c>
      <c r="D1647" t="s">
        <v>418</v>
      </c>
      <c r="E1647" t="s">
        <v>11</v>
      </c>
      <c r="F1647" t="s">
        <v>214</v>
      </c>
      <c r="G1647" t="s">
        <v>92</v>
      </c>
      <c r="H1647">
        <v>2</v>
      </c>
      <c r="I1647" t="s">
        <v>5237</v>
      </c>
      <c r="J1647" t="s">
        <v>357</v>
      </c>
    </row>
    <row r="1648" spans="1:10" x14ac:dyDescent="0.25">
      <c r="A1648" t="s">
        <v>5238</v>
      </c>
      <c r="B1648" t="s">
        <v>5239</v>
      </c>
      <c r="C1648" s="2">
        <v>46214.583333333336</v>
      </c>
      <c r="D1648" t="s">
        <v>418</v>
      </c>
      <c r="E1648" t="s">
        <v>20</v>
      </c>
      <c r="F1648" t="s">
        <v>216</v>
      </c>
      <c r="G1648" t="s">
        <v>97</v>
      </c>
      <c r="H1648">
        <v>5</v>
      </c>
      <c r="I1648" t="s">
        <v>5240</v>
      </c>
      <c r="J1648" t="s">
        <v>357</v>
      </c>
    </row>
    <row r="1649" spans="1:10" x14ac:dyDescent="0.25">
      <c r="A1649" t="s">
        <v>5241</v>
      </c>
      <c r="B1649" t="s">
        <v>5242</v>
      </c>
      <c r="C1649" s="2">
        <v>46214.583333333336</v>
      </c>
      <c r="D1649" t="s">
        <v>418</v>
      </c>
      <c r="E1649" t="s">
        <v>24</v>
      </c>
      <c r="F1649" t="s">
        <v>205</v>
      </c>
      <c r="G1649" t="s">
        <v>101</v>
      </c>
      <c r="H1649">
        <v>5</v>
      </c>
      <c r="I1649" t="s">
        <v>5243</v>
      </c>
      <c r="J1649" t="s">
        <v>357</v>
      </c>
    </row>
    <row r="1650" spans="1:10" x14ac:dyDescent="0.25">
      <c r="A1650" t="s">
        <v>5244</v>
      </c>
      <c r="B1650" t="s">
        <v>5245</v>
      </c>
      <c r="C1650" s="2">
        <v>46214.583333333336</v>
      </c>
      <c r="D1650" t="s">
        <v>418</v>
      </c>
      <c r="E1650" t="s">
        <v>47</v>
      </c>
      <c r="F1650" t="s">
        <v>120</v>
      </c>
      <c r="G1650" t="s">
        <v>121</v>
      </c>
      <c r="H1650">
        <v>1</v>
      </c>
      <c r="I1650" t="s">
        <v>5246</v>
      </c>
      <c r="J1650" t="s">
        <v>357</v>
      </c>
    </row>
    <row r="1651" spans="1:10" x14ac:dyDescent="0.25">
      <c r="A1651" t="s">
        <v>5247</v>
      </c>
      <c r="B1651" t="s">
        <v>5248</v>
      </c>
      <c r="C1651" s="2">
        <v>46214.583333333336</v>
      </c>
      <c r="D1651" t="s">
        <v>418</v>
      </c>
      <c r="E1651" t="s">
        <v>55</v>
      </c>
      <c r="F1651" t="s">
        <v>192</v>
      </c>
      <c r="G1651" t="s">
        <v>129</v>
      </c>
      <c r="H1651">
        <v>2</v>
      </c>
      <c r="I1651" t="s">
        <v>5249</v>
      </c>
      <c r="J1651" t="s">
        <v>357</v>
      </c>
    </row>
    <row r="1652" spans="1:10" x14ac:dyDescent="0.25">
      <c r="A1652" t="s">
        <v>5250</v>
      </c>
      <c r="B1652" t="s">
        <v>5251</v>
      </c>
      <c r="C1652" s="2">
        <v>46214.583333333336</v>
      </c>
      <c r="D1652" t="s">
        <v>418</v>
      </c>
      <c r="E1652" t="s">
        <v>67</v>
      </c>
      <c r="F1652" t="s">
        <v>174</v>
      </c>
      <c r="G1652" t="s">
        <v>137</v>
      </c>
      <c r="H1652">
        <v>2</v>
      </c>
      <c r="I1652" t="s">
        <v>5252</v>
      </c>
      <c r="J1652" t="s">
        <v>357</v>
      </c>
    </row>
    <row r="1653" spans="1:10" x14ac:dyDescent="0.25">
      <c r="A1653" t="s">
        <v>5253</v>
      </c>
      <c r="B1653" t="s">
        <v>5254</v>
      </c>
      <c r="C1653" s="2">
        <v>46214.583333333336</v>
      </c>
      <c r="D1653" t="s">
        <v>418</v>
      </c>
      <c r="E1653" t="s">
        <v>73</v>
      </c>
      <c r="F1653" t="s">
        <v>177</v>
      </c>
      <c r="G1653" t="s">
        <v>143</v>
      </c>
      <c r="H1653">
        <v>1</v>
      </c>
      <c r="I1653" t="s">
        <v>5255</v>
      </c>
      <c r="J1653" t="s">
        <v>357</v>
      </c>
    </row>
    <row r="1654" spans="1:10" x14ac:dyDescent="0.25">
      <c r="A1654" t="s">
        <v>5256</v>
      </c>
      <c r="B1654" t="s">
        <v>5257</v>
      </c>
      <c r="C1654" s="2">
        <v>46215.583333333336</v>
      </c>
      <c r="D1654" t="s">
        <v>418</v>
      </c>
      <c r="E1654" t="s">
        <v>11</v>
      </c>
      <c r="F1654" t="s">
        <v>214</v>
      </c>
      <c r="G1654" t="s">
        <v>92</v>
      </c>
      <c r="H1654">
        <v>5</v>
      </c>
      <c r="I1654" t="s">
        <v>5258</v>
      </c>
      <c r="J1654" t="s">
        <v>357</v>
      </c>
    </row>
    <row r="1655" spans="1:10" x14ac:dyDescent="0.25">
      <c r="A1655" t="s">
        <v>5259</v>
      </c>
      <c r="B1655" t="s">
        <v>5260</v>
      </c>
      <c r="C1655" s="2">
        <v>46215.583333333336</v>
      </c>
      <c r="D1655" t="s">
        <v>418</v>
      </c>
      <c r="E1655" t="s">
        <v>18</v>
      </c>
      <c r="F1655" t="s">
        <v>215</v>
      </c>
      <c r="G1655" t="s">
        <v>95</v>
      </c>
      <c r="H1655">
        <v>2</v>
      </c>
      <c r="I1655" t="s">
        <v>5261</v>
      </c>
      <c r="J1655" t="s">
        <v>357</v>
      </c>
    </row>
    <row r="1656" spans="1:10" x14ac:dyDescent="0.25">
      <c r="A1656" t="s">
        <v>5262</v>
      </c>
      <c r="B1656" t="s">
        <v>5263</v>
      </c>
      <c r="C1656" s="2">
        <v>46215.583333333336</v>
      </c>
      <c r="D1656" t="s">
        <v>418</v>
      </c>
      <c r="E1656" t="s">
        <v>20</v>
      </c>
      <c r="F1656" t="s">
        <v>216</v>
      </c>
      <c r="G1656" t="s">
        <v>97</v>
      </c>
      <c r="H1656">
        <v>3</v>
      </c>
      <c r="I1656" t="s">
        <v>5264</v>
      </c>
      <c r="J1656" t="s">
        <v>357</v>
      </c>
    </row>
    <row r="1657" spans="1:10" x14ac:dyDescent="0.25">
      <c r="A1657" t="s">
        <v>5265</v>
      </c>
      <c r="B1657" t="s">
        <v>5266</v>
      </c>
      <c r="C1657" s="2">
        <v>46215.583333333336</v>
      </c>
      <c r="D1657" t="s">
        <v>418</v>
      </c>
      <c r="E1657" t="s">
        <v>22</v>
      </c>
      <c r="F1657" t="s">
        <v>217</v>
      </c>
      <c r="G1657" t="s">
        <v>99</v>
      </c>
      <c r="H1657">
        <v>3</v>
      </c>
      <c r="I1657" t="s">
        <v>5267</v>
      </c>
      <c r="J1657" t="s">
        <v>357</v>
      </c>
    </row>
    <row r="1658" spans="1:10" x14ac:dyDescent="0.25">
      <c r="A1658" t="s">
        <v>5268</v>
      </c>
      <c r="B1658" t="s">
        <v>5269</v>
      </c>
      <c r="C1658" s="2">
        <v>46215.583333333336</v>
      </c>
      <c r="D1658" t="s">
        <v>418</v>
      </c>
      <c r="E1658" t="s">
        <v>32</v>
      </c>
      <c r="F1658" t="s">
        <v>160</v>
      </c>
      <c r="G1658" t="s">
        <v>109</v>
      </c>
      <c r="H1658">
        <v>5</v>
      </c>
      <c r="I1658" t="s">
        <v>5270</v>
      </c>
      <c r="J1658" t="s">
        <v>357</v>
      </c>
    </row>
    <row r="1659" spans="1:10" x14ac:dyDescent="0.25">
      <c r="A1659" t="s">
        <v>5271</v>
      </c>
      <c r="B1659" t="s">
        <v>5272</v>
      </c>
      <c r="C1659" s="2">
        <v>46215.583333333336</v>
      </c>
      <c r="D1659" t="s">
        <v>418</v>
      </c>
      <c r="E1659" t="s">
        <v>41</v>
      </c>
      <c r="F1659" t="s">
        <v>188</v>
      </c>
      <c r="G1659" t="s">
        <v>115</v>
      </c>
      <c r="H1659">
        <v>4</v>
      </c>
      <c r="I1659" t="s">
        <v>5273</v>
      </c>
      <c r="J1659" t="s">
        <v>357</v>
      </c>
    </row>
    <row r="1660" spans="1:10" x14ac:dyDescent="0.25">
      <c r="A1660" t="s">
        <v>5274</v>
      </c>
      <c r="B1660" t="s">
        <v>5275</v>
      </c>
      <c r="C1660" s="2">
        <v>46215.583333333336</v>
      </c>
      <c r="D1660" t="s">
        <v>418</v>
      </c>
      <c r="E1660" t="s">
        <v>53</v>
      </c>
      <c r="F1660" t="s">
        <v>210</v>
      </c>
      <c r="G1660" t="s">
        <v>127</v>
      </c>
      <c r="H1660">
        <v>5</v>
      </c>
      <c r="I1660" t="s">
        <v>5276</v>
      </c>
      <c r="J1660" t="s">
        <v>357</v>
      </c>
    </row>
    <row r="1661" spans="1:10" x14ac:dyDescent="0.25">
      <c r="A1661" t="s">
        <v>5277</v>
      </c>
      <c r="B1661" t="s">
        <v>5278</v>
      </c>
      <c r="C1661" s="2">
        <v>46215.583333333336</v>
      </c>
      <c r="D1661" t="s">
        <v>418</v>
      </c>
      <c r="E1661" t="s">
        <v>65</v>
      </c>
      <c r="F1661" t="s">
        <v>195</v>
      </c>
      <c r="G1661" t="s">
        <v>135</v>
      </c>
      <c r="H1661">
        <v>2</v>
      </c>
      <c r="I1661" t="s">
        <v>5279</v>
      </c>
      <c r="J1661" t="s">
        <v>357</v>
      </c>
    </row>
    <row r="1662" spans="1:10" x14ac:dyDescent="0.25">
      <c r="A1662" t="s">
        <v>5280</v>
      </c>
      <c r="B1662" t="s">
        <v>5281</v>
      </c>
      <c r="C1662" s="2">
        <v>46215.583333333336</v>
      </c>
      <c r="D1662" t="s">
        <v>418</v>
      </c>
      <c r="E1662" t="s">
        <v>73</v>
      </c>
      <c r="F1662" t="s">
        <v>177</v>
      </c>
      <c r="G1662" t="s">
        <v>143</v>
      </c>
      <c r="H1662">
        <v>2</v>
      </c>
      <c r="I1662" t="s">
        <v>5282</v>
      </c>
      <c r="J1662" t="s">
        <v>357</v>
      </c>
    </row>
    <row r="1663" spans="1:10" x14ac:dyDescent="0.25">
      <c r="A1663" t="s">
        <v>5283</v>
      </c>
      <c r="B1663" t="s">
        <v>5284</v>
      </c>
      <c r="C1663" s="2">
        <v>46215.583333333336</v>
      </c>
      <c r="D1663" t="s">
        <v>418</v>
      </c>
      <c r="E1663" t="s">
        <v>75</v>
      </c>
      <c r="F1663" t="s">
        <v>199</v>
      </c>
      <c r="G1663" t="s">
        <v>145</v>
      </c>
      <c r="H1663">
        <v>3</v>
      </c>
      <c r="I1663" t="s">
        <v>5285</v>
      </c>
      <c r="J1663" t="s">
        <v>357</v>
      </c>
    </row>
    <row r="1664" spans="1:10" x14ac:dyDescent="0.25">
      <c r="A1664" t="s">
        <v>5286</v>
      </c>
      <c r="B1664" t="s">
        <v>5287</v>
      </c>
      <c r="C1664" s="2">
        <v>46215.583333333336</v>
      </c>
      <c r="D1664" t="s">
        <v>418</v>
      </c>
      <c r="E1664" t="s">
        <v>77</v>
      </c>
      <c r="F1664" t="s">
        <v>200</v>
      </c>
      <c r="G1664" t="s">
        <v>147</v>
      </c>
      <c r="H1664">
        <v>4</v>
      </c>
      <c r="I1664" t="s">
        <v>5288</v>
      </c>
      <c r="J1664" t="s">
        <v>357</v>
      </c>
    </row>
    <row r="1665" spans="1:10" x14ac:dyDescent="0.25">
      <c r="A1665" t="s">
        <v>5289</v>
      </c>
      <c r="B1665" t="s">
        <v>5290</v>
      </c>
      <c r="C1665" s="2">
        <v>46215.583333333336</v>
      </c>
      <c r="D1665" t="s">
        <v>418</v>
      </c>
      <c r="E1665" t="s">
        <v>11</v>
      </c>
      <c r="F1665" t="s">
        <v>214</v>
      </c>
      <c r="G1665" t="s">
        <v>92</v>
      </c>
      <c r="H1665">
        <v>3</v>
      </c>
      <c r="I1665" t="s">
        <v>5291</v>
      </c>
      <c r="J1665" t="s">
        <v>357</v>
      </c>
    </row>
    <row r="1666" spans="1:10" x14ac:dyDescent="0.25">
      <c r="A1666" t="s">
        <v>5292</v>
      </c>
      <c r="B1666" t="s">
        <v>5293</v>
      </c>
      <c r="C1666" s="2">
        <v>46215.583333333336</v>
      </c>
      <c r="D1666" t="s">
        <v>418</v>
      </c>
      <c r="E1666" t="s">
        <v>18</v>
      </c>
      <c r="F1666" t="s">
        <v>215</v>
      </c>
      <c r="G1666" t="s">
        <v>95</v>
      </c>
      <c r="H1666">
        <v>5</v>
      </c>
      <c r="I1666" t="s">
        <v>5294</v>
      </c>
      <c r="J1666" t="s">
        <v>357</v>
      </c>
    </row>
    <row r="1667" spans="1:10" x14ac:dyDescent="0.25">
      <c r="A1667" t="s">
        <v>5295</v>
      </c>
      <c r="B1667" t="s">
        <v>5296</v>
      </c>
      <c r="C1667" s="2">
        <v>46215.583333333336</v>
      </c>
      <c r="D1667" t="s">
        <v>418</v>
      </c>
      <c r="E1667" t="s">
        <v>22</v>
      </c>
      <c r="F1667" t="s">
        <v>217</v>
      </c>
      <c r="G1667" t="s">
        <v>99</v>
      </c>
      <c r="H1667">
        <v>1</v>
      </c>
      <c r="I1667" t="s">
        <v>5297</v>
      </c>
      <c r="J1667" t="s">
        <v>357</v>
      </c>
    </row>
    <row r="1668" spans="1:10" x14ac:dyDescent="0.25">
      <c r="A1668" t="s">
        <v>5298</v>
      </c>
      <c r="B1668" t="s">
        <v>5299</v>
      </c>
      <c r="C1668" s="2">
        <v>46215.583333333336</v>
      </c>
      <c r="D1668" t="s">
        <v>418</v>
      </c>
      <c r="E1668" t="s">
        <v>24</v>
      </c>
      <c r="F1668" t="s">
        <v>205</v>
      </c>
      <c r="G1668" t="s">
        <v>101</v>
      </c>
      <c r="H1668">
        <v>4</v>
      </c>
      <c r="I1668" t="s">
        <v>5300</v>
      </c>
      <c r="J1668" t="s">
        <v>357</v>
      </c>
    </row>
    <row r="1669" spans="1:10" x14ac:dyDescent="0.25">
      <c r="A1669" t="s">
        <v>5301</v>
      </c>
      <c r="B1669" t="s">
        <v>5302</v>
      </c>
      <c r="C1669" s="2">
        <v>46215.583333333336</v>
      </c>
      <c r="D1669" t="s">
        <v>418</v>
      </c>
      <c r="E1669" t="s">
        <v>32</v>
      </c>
      <c r="F1669" t="s">
        <v>160</v>
      </c>
      <c r="G1669" t="s">
        <v>109</v>
      </c>
      <c r="H1669">
        <v>1</v>
      </c>
      <c r="I1669" t="s">
        <v>5303</v>
      </c>
      <c r="J1669" t="s">
        <v>357</v>
      </c>
    </row>
    <row r="1670" spans="1:10" x14ac:dyDescent="0.25">
      <c r="A1670" t="s">
        <v>5304</v>
      </c>
      <c r="B1670" t="s">
        <v>5305</v>
      </c>
      <c r="C1670" s="2">
        <v>46215.583333333336</v>
      </c>
      <c r="D1670" t="s">
        <v>418</v>
      </c>
      <c r="E1670" t="s">
        <v>49</v>
      </c>
      <c r="F1670" t="s">
        <v>226</v>
      </c>
      <c r="G1670" t="s">
        <v>123</v>
      </c>
      <c r="H1670">
        <v>3</v>
      </c>
      <c r="I1670" t="s">
        <v>5306</v>
      </c>
      <c r="J1670" t="s">
        <v>357</v>
      </c>
    </row>
    <row r="1671" spans="1:10" x14ac:dyDescent="0.25">
      <c r="A1671" t="s">
        <v>5307</v>
      </c>
      <c r="B1671" t="s">
        <v>5308</v>
      </c>
      <c r="C1671" s="2">
        <v>46215.583333333336</v>
      </c>
      <c r="D1671" t="s">
        <v>418</v>
      </c>
      <c r="E1671" t="s">
        <v>51</v>
      </c>
      <c r="F1671" t="s">
        <v>209</v>
      </c>
      <c r="G1671" t="s">
        <v>125</v>
      </c>
      <c r="H1671">
        <v>4</v>
      </c>
      <c r="I1671" t="s">
        <v>5309</v>
      </c>
      <c r="J1671" t="s">
        <v>357</v>
      </c>
    </row>
    <row r="1672" spans="1:10" x14ac:dyDescent="0.25">
      <c r="A1672" t="s">
        <v>5310</v>
      </c>
      <c r="B1672" t="s">
        <v>5311</v>
      </c>
      <c r="C1672" s="2">
        <v>46215.583333333336</v>
      </c>
      <c r="D1672" t="s">
        <v>418</v>
      </c>
      <c r="E1672" t="s">
        <v>53</v>
      </c>
      <c r="F1672" t="s">
        <v>210</v>
      </c>
      <c r="G1672" t="s">
        <v>127</v>
      </c>
      <c r="H1672">
        <v>4</v>
      </c>
      <c r="I1672" t="s">
        <v>5312</v>
      </c>
      <c r="J1672" t="s">
        <v>357</v>
      </c>
    </row>
    <row r="1673" spans="1:10" x14ac:dyDescent="0.25">
      <c r="A1673" t="s">
        <v>5313</v>
      </c>
      <c r="B1673" t="s">
        <v>5314</v>
      </c>
      <c r="C1673" s="2">
        <v>46215.583333333336</v>
      </c>
      <c r="D1673" t="s">
        <v>418</v>
      </c>
      <c r="E1673" t="s">
        <v>59</v>
      </c>
      <c r="F1673" t="s">
        <v>172</v>
      </c>
      <c r="G1673" t="s">
        <v>133</v>
      </c>
      <c r="H1673">
        <v>5</v>
      </c>
      <c r="I1673" t="s">
        <v>5315</v>
      </c>
      <c r="J1673" t="s">
        <v>357</v>
      </c>
    </row>
    <row r="1674" spans="1:10" x14ac:dyDescent="0.25">
      <c r="A1674" t="s">
        <v>5316</v>
      </c>
      <c r="B1674" t="s">
        <v>5317</v>
      </c>
      <c r="C1674" s="2">
        <v>46215.583333333336</v>
      </c>
      <c r="D1674" t="s">
        <v>418</v>
      </c>
      <c r="E1674" t="s">
        <v>65</v>
      </c>
      <c r="F1674" t="s">
        <v>195</v>
      </c>
      <c r="G1674" t="s">
        <v>135</v>
      </c>
      <c r="H1674">
        <v>4</v>
      </c>
      <c r="I1674" t="s">
        <v>5318</v>
      </c>
      <c r="J1674" t="s">
        <v>357</v>
      </c>
    </row>
    <row r="1675" spans="1:10" x14ac:dyDescent="0.25">
      <c r="A1675" t="s">
        <v>5319</v>
      </c>
      <c r="B1675" t="s">
        <v>5320</v>
      </c>
      <c r="C1675" s="2">
        <v>46215.583333333336</v>
      </c>
      <c r="D1675" t="s">
        <v>418</v>
      </c>
      <c r="E1675" t="s">
        <v>69</v>
      </c>
      <c r="F1675" t="s">
        <v>197</v>
      </c>
      <c r="G1675" t="s">
        <v>139</v>
      </c>
      <c r="H1675">
        <v>4</v>
      </c>
      <c r="I1675" t="s">
        <v>5321</v>
      </c>
      <c r="J1675" t="s">
        <v>357</v>
      </c>
    </row>
    <row r="1676" spans="1:10" x14ac:dyDescent="0.25">
      <c r="A1676" t="s">
        <v>5322</v>
      </c>
      <c r="B1676" t="s">
        <v>5323</v>
      </c>
      <c r="C1676" s="2">
        <v>46215.583333333336</v>
      </c>
      <c r="D1676" t="s">
        <v>418</v>
      </c>
      <c r="E1676" t="s">
        <v>20</v>
      </c>
      <c r="F1676" t="s">
        <v>216</v>
      </c>
      <c r="G1676" t="s">
        <v>97</v>
      </c>
      <c r="H1676">
        <v>3</v>
      </c>
      <c r="I1676" t="s">
        <v>5324</v>
      </c>
      <c r="J1676" t="s">
        <v>357</v>
      </c>
    </row>
    <row r="1677" spans="1:10" x14ac:dyDescent="0.25">
      <c r="A1677" t="s">
        <v>5325</v>
      </c>
      <c r="B1677" t="s">
        <v>5326</v>
      </c>
      <c r="C1677" s="2">
        <v>46215.583333333336</v>
      </c>
      <c r="D1677" t="s">
        <v>418</v>
      </c>
      <c r="E1677" t="s">
        <v>22</v>
      </c>
      <c r="F1677" t="s">
        <v>217</v>
      </c>
      <c r="G1677" t="s">
        <v>99</v>
      </c>
      <c r="H1677">
        <v>5</v>
      </c>
      <c r="I1677" t="s">
        <v>5327</v>
      </c>
      <c r="J1677" t="s">
        <v>357</v>
      </c>
    </row>
    <row r="1678" spans="1:10" x14ac:dyDescent="0.25">
      <c r="A1678" t="s">
        <v>5328</v>
      </c>
      <c r="B1678" t="s">
        <v>5329</v>
      </c>
      <c r="C1678" s="2">
        <v>46215.583333333336</v>
      </c>
      <c r="D1678" t="s">
        <v>418</v>
      </c>
      <c r="E1678" t="s">
        <v>24</v>
      </c>
      <c r="F1678" t="s">
        <v>205</v>
      </c>
      <c r="G1678" t="s">
        <v>101</v>
      </c>
      <c r="H1678">
        <v>6</v>
      </c>
      <c r="I1678" t="s">
        <v>5330</v>
      </c>
      <c r="J1678" t="s">
        <v>357</v>
      </c>
    </row>
    <row r="1679" spans="1:10" x14ac:dyDescent="0.25">
      <c r="A1679" t="s">
        <v>5331</v>
      </c>
      <c r="B1679" t="s">
        <v>5332</v>
      </c>
      <c r="C1679" s="2">
        <v>46215.583333333336</v>
      </c>
      <c r="D1679" t="s">
        <v>418</v>
      </c>
      <c r="E1679" t="s">
        <v>28</v>
      </c>
      <c r="F1679" t="s">
        <v>221</v>
      </c>
      <c r="G1679" t="s">
        <v>105</v>
      </c>
      <c r="H1679">
        <v>6</v>
      </c>
      <c r="I1679" t="s">
        <v>5333</v>
      </c>
      <c r="J1679" t="s">
        <v>357</v>
      </c>
    </row>
    <row r="1680" spans="1:10" x14ac:dyDescent="0.25">
      <c r="A1680" t="s">
        <v>5334</v>
      </c>
      <c r="B1680" t="s">
        <v>5335</v>
      </c>
      <c r="C1680" s="2">
        <v>46215.583333333336</v>
      </c>
      <c r="D1680" t="s">
        <v>418</v>
      </c>
      <c r="E1680" t="s">
        <v>47</v>
      </c>
      <c r="F1680" t="s">
        <v>120</v>
      </c>
      <c r="G1680" t="s">
        <v>121</v>
      </c>
      <c r="H1680">
        <v>5</v>
      </c>
      <c r="I1680" t="s">
        <v>5336</v>
      </c>
      <c r="J1680" t="s">
        <v>357</v>
      </c>
    </row>
    <row r="1681" spans="1:10" x14ac:dyDescent="0.25">
      <c r="A1681" t="s">
        <v>5337</v>
      </c>
      <c r="B1681" t="s">
        <v>5338</v>
      </c>
      <c r="C1681" s="2">
        <v>46215.583333333336</v>
      </c>
      <c r="D1681" t="s">
        <v>418</v>
      </c>
      <c r="E1681" t="s">
        <v>65</v>
      </c>
      <c r="F1681" t="s">
        <v>195</v>
      </c>
      <c r="G1681" t="s">
        <v>135</v>
      </c>
      <c r="H1681">
        <v>2</v>
      </c>
      <c r="I1681" t="s">
        <v>5339</v>
      </c>
      <c r="J1681" t="s">
        <v>357</v>
      </c>
    </row>
    <row r="1682" spans="1:10" x14ac:dyDescent="0.25">
      <c r="A1682" t="s">
        <v>5340</v>
      </c>
      <c r="B1682" t="s">
        <v>5341</v>
      </c>
      <c r="C1682" s="2">
        <v>46215.583333333336</v>
      </c>
      <c r="D1682" t="s">
        <v>418</v>
      </c>
      <c r="E1682" t="s">
        <v>67</v>
      </c>
      <c r="F1682" t="s">
        <v>174</v>
      </c>
      <c r="G1682" t="s">
        <v>137</v>
      </c>
      <c r="H1682">
        <v>5</v>
      </c>
      <c r="I1682" t="s">
        <v>5342</v>
      </c>
      <c r="J1682" t="s">
        <v>357</v>
      </c>
    </row>
    <row r="1683" spans="1:10" x14ac:dyDescent="0.25">
      <c r="A1683" t="s">
        <v>5343</v>
      </c>
      <c r="B1683" t="s">
        <v>5344</v>
      </c>
      <c r="C1683" s="2">
        <v>46215.583333333336</v>
      </c>
      <c r="D1683" t="s">
        <v>418</v>
      </c>
      <c r="E1683" t="s">
        <v>69</v>
      </c>
      <c r="F1683" t="s">
        <v>197</v>
      </c>
      <c r="G1683" t="s">
        <v>139</v>
      </c>
      <c r="H1683">
        <v>6</v>
      </c>
      <c r="I1683" t="s">
        <v>5345</v>
      </c>
      <c r="J1683" t="s">
        <v>357</v>
      </c>
    </row>
    <row r="1684" spans="1:10" x14ac:dyDescent="0.25">
      <c r="A1684" t="s">
        <v>5346</v>
      </c>
      <c r="B1684" t="s">
        <v>5347</v>
      </c>
      <c r="C1684" s="2">
        <v>46215.583333333336</v>
      </c>
      <c r="D1684" t="s">
        <v>418</v>
      </c>
      <c r="E1684" t="s">
        <v>73</v>
      </c>
      <c r="F1684" t="s">
        <v>177</v>
      </c>
      <c r="G1684" t="s">
        <v>143</v>
      </c>
      <c r="H1684">
        <v>5</v>
      </c>
      <c r="I1684" t="s">
        <v>5348</v>
      </c>
      <c r="J1684" t="s">
        <v>357</v>
      </c>
    </row>
    <row r="1685" spans="1:10" x14ac:dyDescent="0.25">
      <c r="A1685" t="s">
        <v>5349</v>
      </c>
      <c r="B1685" t="s">
        <v>5350</v>
      </c>
      <c r="C1685" s="2">
        <v>46215.583333333336</v>
      </c>
      <c r="D1685" t="s">
        <v>418</v>
      </c>
      <c r="E1685" t="s">
        <v>77</v>
      </c>
      <c r="F1685" t="s">
        <v>200</v>
      </c>
      <c r="G1685" t="s">
        <v>147</v>
      </c>
      <c r="H1685">
        <v>6</v>
      </c>
      <c r="I1685" t="s">
        <v>5351</v>
      </c>
      <c r="J1685" t="s">
        <v>357</v>
      </c>
    </row>
    <row r="1686" spans="1:10" x14ac:dyDescent="0.25">
      <c r="A1686" t="s">
        <v>5352</v>
      </c>
      <c r="B1686" t="s">
        <v>5353</v>
      </c>
      <c r="C1686" s="2">
        <v>46215.583333333336</v>
      </c>
      <c r="D1686" t="s">
        <v>418</v>
      </c>
      <c r="E1686" t="s">
        <v>11</v>
      </c>
      <c r="F1686" t="s">
        <v>214</v>
      </c>
      <c r="G1686" t="s">
        <v>92</v>
      </c>
      <c r="H1686">
        <v>5</v>
      </c>
      <c r="I1686" t="s">
        <v>5354</v>
      </c>
      <c r="J1686" t="s">
        <v>357</v>
      </c>
    </row>
    <row r="1687" spans="1:10" x14ac:dyDescent="0.25">
      <c r="A1687" t="s">
        <v>5355</v>
      </c>
      <c r="B1687" t="s">
        <v>5356</v>
      </c>
      <c r="C1687" s="2">
        <v>46215.583333333336</v>
      </c>
      <c r="D1687" t="s">
        <v>418</v>
      </c>
      <c r="E1687" t="s">
        <v>24</v>
      </c>
      <c r="F1687" t="s">
        <v>205</v>
      </c>
      <c r="G1687" t="s">
        <v>101</v>
      </c>
      <c r="H1687">
        <v>1</v>
      </c>
      <c r="I1687" t="s">
        <v>5357</v>
      </c>
      <c r="J1687" t="s">
        <v>357</v>
      </c>
    </row>
    <row r="1688" spans="1:10" x14ac:dyDescent="0.25">
      <c r="A1688" t="s">
        <v>5358</v>
      </c>
      <c r="B1688" t="s">
        <v>5359</v>
      </c>
      <c r="C1688" s="2">
        <v>46215.583333333336</v>
      </c>
      <c r="D1688" t="s">
        <v>418</v>
      </c>
      <c r="E1688" t="s">
        <v>24</v>
      </c>
      <c r="F1688" t="s">
        <v>218</v>
      </c>
      <c r="G1688" t="s">
        <v>101</v>
      </c>
      <c r="H1688">
        <v>4</v>
      </c>
      <c r="I1688" t="s">
        <v>5357</v>
      </c>
      <c r="J1688" t="s">
        <v>357</v>
      </c>
    </row>
    <row r="1689" spans="1:10" x14ac:dyDescent="0.25">
      <c r="A1689" t="s">
        <v>5360</v>
      </c>
      <c r="B1689" t="s">
        <v>5361</v>
      </c>
      <c r="C1689" s="2">
        <v>46215.583333333336</v>
      </c>
      <c r="D1689" t="s">
        <v>418</v>
      </c>
      <c r="E1689" t="s">
        <v>45</v>
      </c>
      <c r="F1689" t="s">
        <v>165</v>
      </c>
      <c r="G1689" t="s">
        <v>119</v>
      </c>
      <c r="H1689">
        <v>7</v>
      </c>
      <c r="I1689" t="s">
        <v>5362</v>
      </c>
      <c r="J1689" t="s">
        <v>357</v>
      </c>
    </row>
    <row r="1690" spans="1:10" x14ac:dyDescent="0.25">
      <c r="A1690" t="s">
        <v>5363</v>
      </c>
      <c r="B1690" t="s">
        <v>5364</v>
      </c>
      <c r="C1690" s="2">
        <v>46215.583333333336</v>
      </c>
      <c r="D1690" t="s">
        <v>418</v>
      </c>
      <c r="E1690" t="s">
        <v>55</v>
      </c>
      <c r="F1690" t="s">
        <v>192</v>
      </c>
      <c r="G1690" t="s">
        <v>129</v>
      </c>
      <c r="H1690">
        <v>9</v>
      </c>
      <c r="I1690" t="s">
        <v>5365</v>
      </c>
      <c r="J1690" t="s">
        <v>357</v>
      </c>
    </row>
    <row r="1691" spans="1:10" x14ac:dyDescent="0.25">
      <c r="A1691" t="s">
        <v>5366</v>
      </c>
      <c r="B1691" t="s">
        <v>5367</v>
      </c>
      <c r="C1691" s="2">
        <v>46215.583333333336</v>
      </c>
      <c r="D1691" t="s">
        <v>418</v>
      </c>
      <c r="E1691" t="s">
        <v>59</v>
      </c>
      <c r="F1691" t="s">
        <v>172</v>
      </c>
      <c r="G1691" t="s">
        <v>133</v>
      </c>
      <c r="H1691">
        <v>1</v>
      </c>
      <c r="I1691" t="s">
        <v>5368</v>
      </c>
      <c r="J1691" t="s">
        <v>357</v>
      </c>
    </row>
    <row r="1692" spans="1:10" x14ac:dyDescent="0.25">
      <c r="A1692" t="s">
        <v>5369</v>
      </c>
      <c r="B1692" t="s">
        <v>5370</v>
      </c>
      <c r="C1692" s="2">
        <v>46215.583333333336</v>
      </c>
      <c r="D1692" t="s">
        <v>418</v>
      </c>
      <c r="E1692" t="s">
        <v>59</v>
      </c>
      <c r="F1692" t="s">
        <v>194</v>
      </c>
      <c r="G1692" t="s">
        <v>133</v>
      </c>
      <c r="H1692">
        <v>4</v>
      </c>
      <c r="I1692" t="s">
        <v>5368</v>
      </c>
      <c r="J1692" t="s">
        <v>357</v>
      </c>
    </row>
    <row r="1693" spans="1:10" x14ac:dyDescent="0.25">
      <c r="A1693" t="s">
        <v>5371</v>
      </c>
      <c r="B1693" t="s">
        <v>5372</v>
      </c>
      <c r="C1693" s="2">
        <v>46215.583333333336</v>
      </c>
      <c r="D1693" t="s">
        <v>418</v>
      </c>
      <c r="E1693" t="s">
        <v>65</v>
      </c>
      <c r="F1693" t="s">
        <v>195</v>
      </c>
      <c r="G1693" t="s">
        <v>135</v>
      </c>
      <c r="H1693">
        <v>9</v>
      </c>
      <c r="I1693" t="s">
        <v>5373</v>
      </c>
      <c r="J1693" t="s">
        <v>357</v>
      </c>
    </row>
    <row r="1694" spans="1:10" x14ac:dyDescent="0.25">
      <c r="A1694" t="s">
        <v>5374</v>
      </c>
      <c r="B1694" t="s">
        <v>5375</v>
      </c>
      <c r="C1694" s="2">
        <v>46215.583333333336</v>
      </c>
      <c r="D1694" t="s">
        <v>418</v>
      </c>
      <c r="E1694" t="s">
        <v>11</v>
      </c>
      <c r="F1694" t="s">
        <v>214</v>
      </c>
      <c r="G1694" t="s">
        <v>92</v>
      </c>
      <c r="H1694">
        <v>1</v>
      </c>
      <c r="I1694" t="s">
        <v>5376</v>
      </c>
      <c r="J1694" t="s">
        <v>357</v>
      </c>
    </row>
    <row r="1695" spans="1:10" x14ac:dyDescent="0.25">
      <c r="A1695" t="s">
        <v>5377</v>
      </c>
      <c r="B1695" t="s">
        <v>5378</v>
      </c>
      <c r="C1695" s="2">
        <v>46215.583333333336</v>
      </c>
      <c r="D1695" t="s">
        <v>418</v>
      </c>
      <c r="E1695" t="s">
        <v>20</v>
      </c>
      <c r="F1695" t="s">
        <v>216</v>
      </c>
      <c r="G1695" t="s">
        <v>97</v>
      </c>
      <c r="H1695">
        <v>1</v>
      </c>
      <c r="I1695" t="s">
        <v>5379</v>
      </c>
      <c r="J1695" t="s">
        <v>357</v>
      </c>
    </row>
    <row r="1696" spans="1:10" x14ac:dyDescent="0.25">
      <c r="A1696" t="s">
        <v>5380</v>
      </c>
      <c r="B1696" t="s">
        <v>5381</v>
      </c>
      <c r="C1696" s="2">
        <v>46215.583333333336</v>
      </c>
      <c r="D1696" t="s">
        <v>418</v>
      </c>
      <c r="E1696" t="s">
        <v>22</v>
      </c>
      <c r="F1696" t="s">
        <v>217</v>
      </c>
      <c r="G1696" t="s">
        <v>99</v>
      </c>
      <c r="H1696">
        <v>4</v>
      </c>
      <c r="I1696" t="s">
        <v>5382</v>
      </c>
      <c r="J1696" t="s">
        <v>357</v>
      </c>
    </row>
    <row r="1697" spans="1:10" x14ac:dyDescent="0.25">
      <c r="A1697" t="s">
        <v>5383</v>
      </c>
      <c r="B1697" t="s">
        <v>5384</v>
      </c>
      <c r="C1697" s="2">
        <v>46215.583333333336</v>
      </c>
      <c r="D1697" t="s">
        <v>418</v>
      </c>
      <c r="E1697" t="s">
        <v>24</v>
      </c>
      <c r="F1697" t="s">
        <v>218</v>
      </c>
      <c r="G1697" t="s">
        <v>101</v>
      </c>
      <c r="H1697">
        <v>6</v>
      </c>
      <c r="I1697" t="s">
        <v>5385</v>
      </c>
      <c r="J1697" t="s">
        <v>357</v>
      </c>
    </row>
    <row r="1698" spans="1:10" x14ac:dyDescent="0.25">
      <c r="A1698" t="s">
        <v>5386</v>
      </c>
      <c r="B1698" t="s">
        <v>5387</v>
      </c>
      <c r="C1698" s="2">
        <v>46215.583333333336</v>
      </c>
      <c r="D1698" t="s">
        <v>418</v>
      </c>
      <c r="E1698" t="s">
        <v>41</v>
      </c>
      <c r="F1698" t="s">
        <v>188</v>
      </c>
      <c r="G1698" t="s">
        <v>115</v>
      </c>
      <c r="H1698">
        <v>4</v>
      </c>
      <c r="I1698" t="s">
        <v>5388</v>
      </c>
      <c r="J1698" t="s">
        <v>357</v>
      </c>
    </row>
    <row r="1699" spans="1:10" x14ac:dyDescent="0.25">
      <c r="A1699" t="s">
        <v>5389</v>
      </c>
      <c r="B1699" t="s">
        <v>5390</v>
      </c>
      <c r="C1699" s="2">
        <v>46215.583333333336</v>
      </c>
      <c r="D1699" t="s">
        <v>418</v>
      </c>
      <c r="E1699" t="s">
        <v>43</v>
      </c>
      <c r="F1699" t="s">
        <v>208</v>
      </c>
      <c r="G1699" t="s">
        <v>117</v>
      </c>
      <c r="H1699">
        <v>6</v>
      </c>
      <c r="I1699" t="s">
        <v>5391</v>
      </c>
      <c r="J1699" t="s">
        <v>357</v>
      </c>
    </row>
    <row r="1700" spans="1:10" x14ac:dyDescent="0.25">
      <c r="A1700" t="s">
        <v>5392</v>
      </c>
      <c r="B1700" t="s">
        <v>5393</v>
      </c>
      <c r="C1700" s="2">
        <v>46215.583333333336</v>
      </c>
      <c r="D1700" t="s">
        <v>418</v>
      </c>
      <c r="E1700" t="s">
        <v>47</v>
      </c>
      <c r="F1700" t="s">
        <v>120</v>
      </c>
      <c r="G1700" t="s">
        <v>121</v>
      </c>
      <c r="H1700">
        <v>5</v>
      </c>
      <c r="I1700" t="s">
        <v>5394</v>
      </c>
      <c r="J1700" t="s">
        <v>357</v>
      </c>
    </row>
    <row r="1701" spans="1:10" x14ac:dyDescent="0.25">
      <c r="A1701" t="s">
        <v>5395</v>
      </c>
      <c r="B1701" t="s">
        <v>5396</v>
      </c>
      <c r="C1701" s="2">
        <v>46215.583333333336</v>
      </c>
      <c r="D1701" t="s">
        <v>418</v>
      </c>
      <c r="E1701" t="s">
        <v>53</v>
      </c>
      <c r="F1701" t="s">
        <v>210</v>
      </c>
      <c r="G1701" t="s">
        <v>127</v>
      </c>
      <c r="H1701">
        <v>1</v>
      </c>
      <c r="I1701" t="s">
        <v>5397</v>
      </c>
      <c r="J1701" t="s">
        <v>357</v>
      </c>
    </row>
    <row r="1702" spans="1:10" x14ac:dyDescent="0.25">
      <c r="A1702" t="s">
        <v>5398</v>
      </c>
      <c r="B1702" t="s">
        <v>5399</v>
      </c>
      <c r="C1702" s="2">
        <v>46215.583333333336</v>
      </c>
      <c r="D1702" t="s">
        <v>418</v>
      </c>
      <c r="E1702" t="s">
        <v>55</v>
      </c>
      <c r="F1702" t="s">
        <v>170</v>
      </c>
      <c r="G1702" t="s">
        <v>129</v>
      </c>
      <c r="H1702">
        <v>1</v>
      </c>
      <c r="I1702" t="s">
        <v>5400</v>
      </c>
      <c r="J1702" t="s">
        <v>357</v>
      </c>
    </row>
    <row r="1703" spans="1:10" x14ac:dyDescent="0.25">
      <c r="A1703" t="s">
        <v>5401</v>
      </c>
      <c r="B1703" t="s">
        <v>5402</v>
      </c>
      <c r="C1703" s="2">
        <v>46215.583333333336</v>
      </c>
      <c r="D1703" t="s">
        <v>418</v>
      </c>
      <c r="E1703" t="s">
        <v>65</v>
      </c>
      <c r="F1703" t="s">
        <v>195</v>
      </c>
      <c r="G1703" t="s">
        <v>135</v>
      </c>
      <c r="H1703">
        <v>2</v>
      </c>
      <c r="I1703" t="s">
        <v>5403</v>
      </c>
      <c r="J1703" t="s">
        <v>357</v>
      </c>
    </row>
    <row r="1704" spans="1:10" x14ac:dyDescent="0.25">
      <c r="A1704" t="s">
        <v>5404</v>
      </c>
      <c r="B1704" t="s">
        <v>5405</v>
      </c>
      <c r="C1704" s="2">
        <v>46216.583333333336</v>
      </c>
      <c r="D1704" t="s">
        <v>418</v>
      </c>
      <c r="E1704" t="s">
        <v>20</v>
      </c>
      <c r="F1704" t="s">
        <v>216</v>
      </c>
      <c r="G1704" t="s">
        <v>97</v>
      </c>
      <c r="H1704">
        <v>3</v>
      </c>
      <c r="I1704" t="s">
        <v>5406</v>
      </c>
      <c r="J1704" t="s">
        <v>357</v>
      </c>
    </row>
    <row r="1705" spans="1:10" x14ac:dyDescent="0.25">
      <c r="A1705" t="s">
        <v>5407</v>
      </c>
      <c r="B1705" t="s">
        <v>5408</v>
      </c>
      <c r="C1705" s="2">
        <v>46216.583333333336</v>
      </c>
      <c r="D1705" t="s">
        <v>418</v>
      </c>
      <c r="E1705" t="s">
        <v>22</v>
      </c>
      <c r="F1705" t="s">
        <v>217</v>
      </c>
      <c r="G1705" t="s">
        <v>99</v>
      </c>
      <c r="H1705">
        <v>3</v>
      </c>
      <c r="I1705" t="s">
        <v>5409</v>
      </c>
      <c r="J1705" t="s">
        <v>357</v>
      </c>
    </row>
    <row r="1706" spans="1:10" x14ac:dyDescent="0.25">
      <c r="A1706" t="s">
        <v>5410</v>
      </c>
      <c r="B1706" t="s">
        <v>5411</v>
      </c>
      <c r="C1706" s="2">
        <v>46216.583333333336</v>
      </c>
      <c r="D1706" t="s">
        <v>418</v>
      </c>
      <c r="E1706" t="s">
        <v>30</v>
      </c>
      <c r="F1706" t="s">
        <v>159</v>
      </c>
      <c r="G1706" t="s">
        <v>107</v>
      </c>
      <c r="H1706">
        <v>3</v>
      </c>
      <c r="I1706" t="s">
        <v>5412</v>
      </c>
      <c r="J1706" t="s">
        <v>357</v>
      </c>
    </row>
    <row r="1707" spans="1:10" x14ac:dyDescent="0.25">
      <c r="A1707" t="s">
        <v>5413</v>
      </c>
      <c r="B1707" t="s">
        <v>5414</v>
      </c>
      <c r="C1707" s="2">
        <v>46216.583333333336</v>
      </c>
      <c r="D1707" t="s">
        <v>418</v>
      </c>
      <c r="E1707" t="s">
        <v>36</v>
      </c>
      <c r="F1707" t="s">
        <v>223</v>
      </c>
      <c r="G1707" t="s">
        <v>113</v>
      </c>
      <c r="H1707">
        <v>1</v>
      </c>
      <c r="I1707" t="s">
        <v>5415</v>
      </c>
      <c r="J1707" t="s">
        <v>357</v>
      </c>
    </row>
    <row r="1708" spans="1:10" x14ac:dyDescent="0.25">
      <c r="A1708" t="s">
        <v>5416</v>
      </c>
      <c r="B1708" t="s">
        <v>5417</v>
      </c>
      <c r="C1708" s="2">
        <v>46216.583333333336</v>
      </c>
      <c r="D1708" t="s">
        <v>418</v>
      </c>
      <c r="E1708" t="s">
        <v>69</v>
      </c>
      <c r="F1708" t="s">
        <v>197</v>
      </c>
      <c r="G1708" t="s">
        <v>139</v>
      </c>
      <c r="H1708">
        <v>4</v>
      </c>
      <c r="I1708" t="s">
        <v>5418</v>
      </c>
      <c r="J1708" t="s">
        <v>357</v>
      </c>
    </row>
    <row r="1709" spans="1:10" x14ac:dyDescent="0.25">
      <c r="A1709" t="s">
        <v>5419</v>
      </c>
      <c r="B1709" t="s">
        <v>5420</v>
      </c>
      <c r="C1709" s="2">
        <v>46216.583333333336</v>
      </c>
      <c r="D1709" t="s">
        <v>418</v>
      </c>
      <c r="E1709" t="s">
        <v>75</v>
      </c>
      <c r="F1709" t="s">
        <v>199</v>
      </c>
      <c r="G1709" t="s">
        <v>145</v>
      </c>
      <c r="H1709">
        <v>2</v>
      </c>
      <c r="I1709" t="s">
        <v>5421</v>
      </c>
      <c r="J1709" t="s">
        <v>357</v>
      </c>
    </row>
    <row r="1710" spans="1:10" x14ac:dyDescent="0.25">
      <c r="A1710" t="s">
        <v>5422</v>
      </c>
      <c r="B1710" t="s">
        <v>5423</v>
      </c>
      <c r="C1710" s="2">
        <v>46216.583333333336</v>
      </c>
      <c r="D1710" t="s">
        <v>418</v>
      </c>
      <c r="E1710" t="s">
        <v>11</v>
      </c>
      <c r="F1710" t="s">
        <v>214</v>
      </c>
      <c r="G1710" t="s">
        <v>92</v>
      </c>
      <c r="H1710">
        <v>1</v>
      </c>
      <c r="I1710" t="s">
        <v>5424</v>
      </c>
      <c r="J1710" t="s">
        <v>357</v>
      </c>
    </row>
    <row r="1711" spans="1:10" x14ac:dyDescent="0.25">
      <c r="A1711" t="s">
        <v>5425</v>
      </c>
      <c r="B1711" t="s">
        <v>5426</v>
      </c>
      <c r="C1711" s="2">
        <v>46216.583333333336</v>
      </c>
      <c r="D1711" t="s">
        <v>418</v>
      </c>
      <c r="E1711" t="s">
        <v>11</v>
      </c>
      <c r="F1711" t="s">
        <v>201</v>
      </c>
      <c r="G1711" t="s">
        <v>92</v>
      </c>
      <c r="H1711">
        <v>3</v>
      </c>
      <c r="I1711" t="s">
        <v>5424</v>
      </c>
      <c r="J1711" t="s">
        <v>357</v>
      </c>
    </row>
    <row r="1712" spans="1:10" x14ac:dyDescent="0.25">
      <c r="A1712" t="s">
        <v>5427</v>
      </c>
      <c r="B1712" t="s">
        <v>5428</v>
      </c>
      <c r="C1712" s="2">
        <v>46216.583333333336</v>
      </c>
      <c r="D1712" t="s">
        <v>418</v>
      </c>
      <c r="E1712" t="s">
        <v>22</v>
      </c>
      <c r="F1712" t="s">
        <v>217</v>
      </c>
      <c r="G1712" t="s">
        <v>99</v>
      </c>
      <c r="H1712">
        <v>4</v>
      </c>
      <c r="I1712" t="s">
        <v>5429</v>
      </c>
      <c r="J1712" t="s">
        <v>357</v>
      </c>
    </row>
    <row r="1713" spans="1:10" x14ac:dyDescent="0.25">
      <c r="A1713" t="s">
        <v>5430</v>
      </c>
      <c r="B1713" t="s">
        <v>5431</v>
      </c>
      <c r="C1713" s="2">
        <v>46216.583333333336</v>
      </c>
      <c r="D1713" t="s">
        <v>418</v>
      </c>
      <c r="E1713" t="s">
        <v>28</v>
      </c>
      <c r="F1713" t="s">
        <v>221</v>
      </c>
      <c r="G1713" t="s">
        <v>105</v>
      </c>
      <c r="H1713">
        <v>5</v>
      </c>
      <c r="I1713" t="s">
        <v>5432</v>
      </c>
      <c r="J1713" t="s">
        <v>357</v>
      </c>
    </row>
    <row r="1714" spans="1:10" x14ac:dyDescent="0.25">
      <c r="A1714" t="s">
        <v>5433</v>
      </c>
      <c r="B1714" t="s">
        <v>5434</v>
      </c>
      <c r="C1714" s="2">
        <v>46216.583333333336</v>
      </c>
      <c r="D1714" t="s">
        <v>418</v>
      </c>
      <c r="E1714" t="s">
        <v>32</v>
      </c>
      <c r="F1714" t="s">
        <v>160</v>
      </c>
      <c r="G1714" t="s">
        <v>109</v>
      </c>
      <c r="H1714">
        <v>4</v>
      </c>
      <c r="I1714" t="s">
        <v>5435</v>
      </c>
      <c r="J1714" t="s">
        <v>357</v>
      </c>
    </row>
    <row r="1715" spans="1:10" x14ac:dyDescent="0.25">
      <c r="A1715" t="s">
        <v>5436</v>
      </c>
      <c r="B1715" t="s">
        <v>5437</v>
      </c>
      <c r="C1715" s="2">
        <v>46216.583333333336</v>
      </c>
      <c r="D1715" t="s">
        <v>418</v>
      </c>
      <c r="E1715" t="s">
        <v>36</v>
      </c>
      <c r="F1715" t="s">
        <v>223</v>
      </c>
      <c r="G1715" t="s">
        <v>113</v>
      </c>
      <c r="H1715">
        <v>3</v>
      </c>
      <c r="I1715" t="s">
        <v>5438</v>
      </c>
      <c r="J1715" t="s">
        <v>357</v>
      </c>
    </row>
    <row r="1716" spans="1:10" x14ac:dyDescent="0.25">
      <c r="A1716" t="s">
        <v>5439</v>
      </c>
      <c r="B1716" t="s">
        <v>5440</v>
      </c>
      <c r="C1716" s="2">
        <v>46216.583333333336</v>
      </c>
      <c r="D1716" t="s">
        <v>418</v>
      </c>
      <c r="E1716" t="s">
        <v>45</v>
      </c>
      <c r="F1716" t="s">
        <v>165</v>
      </c>
      <c r="G1716" t="s">
        <v>119</v>
      </c>
      <c r="H1716">
        <v>3</v>
      </c>
      <c r="I1716" t="s">
        <v>5441</v>
      </c>
      <c r="J1716" t="s">
        <v>357</v>
      </c>
    </row>
    <row r="1717" spans="1:10" x14ac:dyDescent="0.25">
      <c r="A1717" t="s">
        <v>5442</v>
      </c>
      <c r="B1717" t="s">
        <v>5443</v>
      </c>
      <c r="C1717" s="2">
        <v>46216.583333333336</v>
      </c>
      <c r="D1717" t="s">
        <v>418</v>
      </c>
      <c r="E1717" t="s">
        <v>47</v>
      </c>
      <c r="F1717" t="s">
        <v>120</v>
      </c>
      <c r="G1717" t="s">
        <v>121</v>
      </c>
      <c r="H1717">
        <v>1</v>
      </c>
      <c r="I1717" t="s">
        <v>5444</v>
      </c>
      <c r="J1717" t="s">
        <v>357</v>
      </c>
    </row>
    <row r="1718" spans="1:10" x14ac:dyDescent="0.25">
      <c r="A1718" t="s">
        <v>5445</v>
      </c>
      <c r="B1718" t="s">
        <v>5446</v>
      </c>
      <c r="C1718" s="2">
        <v>46216.583333333336</v>
      </c>
      <c r="D1718" t="s">
        <v>418</v>
      </c>
      <c r="E1718" t="s">
        <v>53</v>
      </c>
      <c r="F1718" t="s">
        <v>210</v>
      </c>
      <c r="G1718" t="s">
        <v>127</v>
      </c>
      <c r="H1718">
        <v>2</v>
      </c>
      <c r="I1718" t="s">
        <v>5447</v>
      </c>
      <c r="J1718" t="s">
        <v>357</v>
      </c>
    </row>
    <row r="1719" spans="1:10" x14ac:dyDescent="0.25">
      <c r="A1719" t="s">
        <v>5448</v>
      </c>
      <c r="B1719" t="s">
        <v>5449</v>
      </c>
      <c r="C1719" s="2">
        <v>46216.583333333336</v>
      </c>
      <c r="D1719" t="s">
        <v>418</v>
      </c>
      <c r="E1719" t="s">
        <v>57</v>
      </c>
      <c r="F1719" t="s">
        <v>211</v>
      </c>
      <c r="G1719" t="s">
        <v>131</v>
      </c>
      <c r="H1719">
        <v>2</v>
      </c>
      <c r="I1719" t="s">
        <v>5450</v>
      </c>
      <c r="J1719" t="s">
        <v>357</v>
      </c>
    </row>
    <row r="1720" spans="1:10" x14ac:dyDescent="0.25">
      <c r="A1720" t="s">
        <v>5451</v>
      </c>
      <c r="B1720" t="s">
        <v>5452</v>
      </c>
      <c r="C1720" s="2">
        <v>46216.583333333336</v>
      </c>
      <c r="D1720" t="s">
        <v>418</v>
      </c>
      <c r="E1720" t="s">
        <v>71</v>
      </c>
      <c r="F1720" t="s">
        <v>198</v>
      </c>
      <c r="G1720" t="s">
        <v>141</v>
      </c>
      <c r="H1720">
        <v>3</v>
      </c>
      <c r="I1720" t="s">
        <v>5453</v>
      </c>
      <c r="J1720" t="s">
        <v>357</v>
      </c>
    </row>
    <row r="1721" spans="1:10" x14ac:dyDescent="0.25">
      <c r="A1721" t="s">
        <v>5454</v>
      </c>
      <c r="B1721" t="s">
        <v>5455</v>
      </c>
      <c r="C1721" s="2">
        <v>46216.583333333336</v>
      </c>
      <c r="D1721" t="s">
        <v>418</v>
      </c>
      <c r="E1721" t="s">
        <v>20</v>
      </c>
      <c r="F1721" t="s">
        <v>216</v>
      </c>
      <c r="G1721" t="s">
        <v>97</v>
      </c>
      <c r="H1721">
        <v>1</v>
      </c>
      <c r="I1721" t="s">
        <v>5456</v>
      </c>
      <c r="J1721" t="s">
        <v>357</v>
      </c>
    </row>
    <row r="1722" spans="1:10" x14ac:dyDescent="0.25">
      <c r="A1722" t="s">
        <v>5457</v>
      </c>
      <c r="B1722" t="s">
        <v>5458</v>
      </c>
      <c r="C1722" s="2">
        <v>46216.583333333336</v>
      </c>
      <c r="D1722" t="s">
        <v>418</v>
      </c>
      <c r="E1722" t="s">
        <v>24</v>
      </c>
      <c r="F1722" t="s">
        <v>218</v>
      </c>
      <c r="G1722" t="s">
        <v>101</v>
      </c>
      <c r="H1722">
        <v>5</v>
      </c>
      <c r="I1722" t="s">
        <v>5459</v>
      </c>
      <c r="J1722" t="s">
        <v>357</v>
      </c>
    </row>
    <row r="1723" spans="1:10" x14ac:dyDescent="0.25">
      <c r="A1723" t="s">
        <v>5460</v>
      </c>
      <c r="B1723" t="s">
        <v>5461</v>
      </c>
      <c r="C1723" s="2">
        <v>46216.583333333336</v>
      </c>
      <c r="D1723" t="s">
        <v>418</v>
      </c>
      <c r="E1723" t="s">
        <v>30</v>
      </c>
      <c r="F1723" t="s">
        <v>159</v>
      </c>
      <c r="G1723" t="s">
        <v>107</v>
      </c>
      <c r="H1723">
        <v>2</v>
      </c>
      <c r="I1723" t="s">
        <v>5462</v>
      </c>
      <c r="J1723" t="s">
        <v>357</v>
      </c>
    </row>
    <row r="1724" spans="1:10" x14ac:dyDescent="0.25">
      <c r="A1724" t="s">
        <v>5463</v>
      </c>
      <c r="B1724" t="s">
        <v>5464</v>
      </c>
      <c r="C1724" s="2">
        <v>46216.583333333336</v>
      </c>
      <c r="D1724" t="s">
        <v>418</v>
      </c>
      <c r="E1724" t="s">
        <v>43</v>
      </c>
      <c r="F1724" t="s">
        <v>208</v>
      </c>
      <c r="G1724" t="s">
        <v>117</v>
      </c>
      <c r="H1724">
        <v>1</v>
      </c>
      <c r="I1724" t="s">
        <v>5465</v>
      </c>
      <c r="J1724" t="s">
        <v>357</v>
      </c>
    </row>
    <row r="1725" spans="1:10" x14ac:dyDescent="0.25">
      <c r="A1725" t="s">
        <v>5466</v>
      </c>
      <c r="B1725" t="s">
        <v>5467</v>
      </c>
      <c r="C1725" s="2">
        <v>46216.583333333336</v>
      </c>
      <c r="D1725" t="s">
        <v>418</v>
      </c>
      <c r="E1725" t="s">
        <v>53</v>
      </c>
      <c r="F1725" t="s">
        <v>210</v>
      </c>
      <c r="G1725" t="s">
        <v>127</v>
      </c>
      <c r="H1725">
        <v>2</v>
      </c>
      <c r="I1725" t="s">
        <v>5468</v>
      </c>
      <c r="J1725" t="s">
        <v>357</v>
      </c>
    </row>
    <row r="1726" spans="1:10" x14ac:dyDescent="0.25">
      <c r="A1726" t="s">
        <v>5469</v>
      </c>
      <c r="B1726" t="s">
        <v>5470</v>
      </c>
      <c r="C1726" s="2">
        <v>46216.583333333336</v>
      </c>
      <c r="D1726" t="s">
        <v>418</v>
      </c>
      <c r="E1726" t="s">
        <v>67</v>
      </c>
      <c r="F1726" t="s">
        <v>174</v>
      </c>
      <c r="G1726" t="s">
        <v>137</v>
      </c>
      <c r="H1726">
        <v>4</v>
      </c>
      <c r="I1726" t="s">
        <v>5471</v>
      </c>
      <c r="J1726" t="s">
        <v>357</v>
      </c>
    </row>
    <row r="1727" spans="1:10" x14ac:dyDescent="0.25">
      <c r="A1727" t="s">
        <v>5472</v>
      </c>
      <c r="B1727" t="s">
        <v>5473</v>
      </c>
      <c r="C1727" s="2">
        <v>46216.583333333336</v>
      </c>
      <c r="D1727" t="s">
        <v>418</v>
      </c>
      <c r="E1727" t="s">
        <v>11</v>
      </c>
      <c r="F1727" t="s">
        <v>201</v>
      </c>
      <c r="G1727" t="s">
        <v>92</v>
      </c>
      <c r="H1727">
        <v>6</v>
      </c>
      <c r="I1727" t="s">
        <v>5474</v>
      </c>
      <c r="J1727" t="s">
        <v>357</v>
      </c>
    </row>
    <row r="1728" spans="1:10" x14ac:dyDescent="0.25">
      <c r="A1728" t="s">
        <v>5475</v>
      </c>
      <c r="B1728" t="s">
        <v>5476</v>
      </c>
      <c r="C1728" s="2">
        <v>46216.583333333336</v>
      </c>
      <c r="D1728" t="s">
        <v>418</v>
      </c>
      <c r="E1728" t="s">
        <v>18</v>
      </c>
      <c r="F1728" t="s">
        <v>215</v>
      </c>
      <c r="G1728" t="s">
        <v>95</v>
      </c>
      <c r="H1728">
        <v>7</v>
      </c>
      <c r="I1728" t="s">
        <v>5477</v>
      </c>
      <c r="J1728" t="s">
        <v>357</v>
      </c>
    </row>
    <row r="1729" spans="1:10" x14ac:dyDescent="0.25">
      <c r="A1729" t="s">
        <v>5478</v>
      </c>
      <c r="B1729" t="s">
        <v>5479</v>
      </c>
      <c r="C1729" s="2">
        <v>46216.583333333336</v>
      </c>
      <c r="D1729" t="s">
        <v>418</v>
      </c>
      <c r="E1729" t="s">
        <v>20</v>
      </c>
      <c r="F1729" t="s">
        <v>216</v>
      </c>
      <c r="G1729" t="s">
        <v>97</v>
      </c>
      <c r="H1729">
        <v>4</v>
      </c>
      <c r="I1729" t="s">
        <v>5480</v>
      </c>
      <c r="J1729" t="s">
        <v>357</v>
      </c>
    </row>
    <row r="1730" spans="1:10" x14ac:dyDescent="0.25">
      <c r="A1730" t="s">
        <v>5481</v>
      </c>
      <c r="B1730" t="s">
        <v>5482</v>
      </c>
      <c r="C1730" s="2">
        <v>46216.583333333336</v>
      </c>
      <c r="D1730" t="s">
        <v>418</v>
      </c>
      <c r="E1730" t="s">
        <v>22</v>
      </c>
      <c r="F1730" t="s">
        <v>217</v>
      </c>
      <c r="G1730" t="s">
        <v>99</v>
      </c>
      <c r="H1730">
        <v>6</v>
      </c>
      <c r="I1730" t="s">
        <v>5483</v>
      </c>
      <c r="J1730" t="s">
        <v>357</v>
      </c>
    </row>
    <row r="1731" spans="1:10" x14ac:dyDescent="0.25">
      <c r="A1731" t="s">
        <v>5484</v>
      </c>
      <c r="B1731" t="s">
        <v>5485</v>
      </c>
      <c r="C1731" s="2">
        <v>46216.583333333336</v>
      </c>
      <c r="D1731" t="s">
        <v>418</v>
      </c>
      <c r="E1731" t="s">
        <v>36</v>
      </c>
      <c r="F1731" t="s">
        <v>223</v>
      </c>
      <c r="G1731" t="s">
        <v>113</v>
      </c>
      <c r="H1731">
        <v>6</v>
      </c>
      <c r="I1731" t="s">
        <v>5486</v>
      </c>
      <c r="J1731" t="s">
        <v>357</v>
      </c>
    </row>
    <row r="1732" spans="1:10" x14ac:dyDescent="0.25">
      <c r="A1732" t="s">
        <v>5487</v>
      </c>
      <c r="B1732" t="s">
        <v>5488</v>
      </c>
      <c r="C1732" s="2">
        <v>46216.583333333336</v>
      </c>
      <c r="D1732" t="s">
        <v>418</v>
      </c>
      <c r="E1732" t="s">
        <v>41</v>
      </c>
      <c r="F1732" t="s">
        <v>188</v>
      </c>
      <c r="G1732" t="s">
        <v>115</v>
      </c>
      <c r="H1732">
        <v>4</v>
      </c>
      <c r="I1732" t="s">
        <v>5489</v>
      </c>
      <c r="J1732" t="s">
        <v>357</v>
      </c>
    </row>
    <row r="1733" spans="1:10" x14ac:dyDescent="0.25">
      <c r="A1733" t="s">
        <v>5490</v>
      </c>
      <c r="B1733" t="s">
        <v>5491</v>
      </c>
      <c r="C1733" s="2">
        <v>46216.583333333336</v>
      </c>
      <c r="D1733" t="s">
        <v>418</v>
      </c>
      <c r="E1733" t="s">
        <v>43</v>
      </c>
      <c r="F1733" t="s">
        <v>208</v>
      </c>
      <c r="G1733" t="s">
        <v>117</v>
      </c>
      <c r="H1733">
        <v>3</v>
      </c>
      <c r="I1733" t="s">
        <v>5492</v>
      </c>
      <c r="J1733" t="s">
        <v>357</v>
      </c>
    </row>
    <row r="1734" spans="1:10" x14ac:dyDescent="0.25">
      <c r="A1734" t="s">
        <v>5493</v>
      </c>
      <c r="B1734" t="s">
        <v>5494</v>
      </c>
      <c r="C1734" s="2">
        <v>46216.583333333336</v>
      </c>
      <c r="D1734" t="s">
        <v>418</v>
      </c>
      <c r="E1734" t="s">
        <v>55</v>
      </c>
      <c r="F1734" t="s">
        <v>170</v>
      </c>
      <c r="G1734" t="s">
        <v>129</v>
      </c>
      <c r="H1734">
        <v>3</v>
      </c>
      <c r="I1734" t="s">
        <v>5495</v>
      </c>
      <c r="J1734" t="s">
        <v>357</v>
      </c>
    </row>
    <row r="1735" spans="1:10" x14ac:dyDescent="0.25">
      <c r="A1735" t="s">
        <v>5496</v>
      </c>
      <c r="B1735" t="s">
        <v>5497</v>
      </c>
      <c r="C1735" s="2">
        <v>46216.583333333336</v>
      </c>
      <c r="D1735" t="s">
        <v>418</v>
      </c>
      <c r="E1735" t="s">
        <v>77</v>
      </c>
      <c r="F1735" t="s">
        <v>200</v>
      </c>
      <c r="G1735" t="s">
        <v>147</v>
      </c>
      <c r="H1735">
        <v>7</v>
      </c>
      <c r="I1735" t="s">
        <v>5498</v>
      </c>
      <c r="J1735" t="s">
        <v>357</v>
      </c>
    </row>
    <row r="1736" spans="1:10" x14ac:dyDescent="0.25">
      <c r="A1736" t="s">
        <v>5499</v>
      </c>
      <c r="B1736" t="s">
        <v>5500</v>
      </c>
      <c r="C1736" s="2">
        <v>46216.583333333336</v>
      </c>
      <c r="D1736" t="s">
        <v>418</v>
      </c>
      <c r="E1736" t="s">
        <v>11</v>
      </c>
      <c r="F1736" t="s">
        <v>201</v>
      </c>
      <c r="G1736" t="s">
        <v>92</v>
      </c>
      <c r="H1736">
        <v>2</v>
      </c>
      <c r="I1736" t="s">
        <v>5501</v>
      </c>
      <c r="J1736" t="s">
        <v>357</v>
      </c>
    </row>
    <row r="1737" spans="1:10" x14ac:dyDescent="0.25">
      <c r="A1737" t="s">
        <v>5502</v>
      </c>
      <c r="B1737" t="s">
        <v>5503</v>
      </c>
      <c r="C1737" s="2">
        <v>46216.583333333336</v>
      </c>
      <c r="D1737" t="s">
        <v>418</v>
      </c>
      <c r="E1737" t="s">
        <v>20</v>
      </c>
      <c r="F1737" t="s">
        <v>216</v>
      </c>
      <c r="G1737" t="s">
        <v>97</v>
      </c>
      <c r="H1737">
        <v>4</v>
      </c>
      <c r="I1737" t="s">
        <v>5504</v>
      </c>
      <c r="J1737" t="s">
        <v>357</v>
      </c>
    </row>
    <row r="1738" spans="1:10" x14ac:dyDescent="0.25">
      <c r="A1738" t="s">
        <v>5505</v>
      </c>
      <c r="B1738" t="s">
        <v>5506</v>
      </c>
      <c r="C1738" s="2">
        <v>46216.583333333336</v>
      </c>
      <c r="D1738" t="s">
        <v>418</v>
      </c>
      <c r="E1738" t="s">
        <v>22</v>
      </c>
      <c r="F1738" t="s">
        <v>217</v>
      </c>
      <c r="G1738" t="s">
        <v>99</v>
      </c>
      <c r="H1738">
        <v>3</v>
      </c>
      <c r="I1738" t="s">
        <v>5507</v>
      </c>
      <c r="J1738" t="s">
        <v>357</v>
      </c>
    </row>
    <row r="1739" spans="1:10" x14ac:dyDescent="0.25">
      <c r="A1739" t="s">
        <v>5508</v>
      </c>
      <c r="B1739" t="s">
        <v>5509</v>
      </c>
      <c r="C1739" s="2">
        <v>46216.583333333336</v>
      </c>
      <c r="D1739" t="s">
        <v>418</v>
      </c>
      <c r="E1739" t="s">
        <v>45</v>
      </c>
      <c r="F1739" t="s">
        <v>165</v>
      </c>
      <c r="G1739" t="s">
        <v>119</v>
      </c>
      <c r="H1739">
        <v>2</v>
      </c>
      <c r="I1739" t="s">
        <v>5510</v>
      </c>
      <c r="J1739" t="s">
        <v>357</v>
      </c>
    </row>
    <row r="1740" spans="1:10" x14ac:dyDescent="0.25">
      <c r="A1740" t="s">
        <v>5511</v>
      </c>
      <c r="B1740" t="s">
        <v>5512</v>
      </c>
      <c r="C1740" s="2">
        <v>46216.583333333336</v>
      </c>
      <c r="D1740" t="s">
        <v>418</v>
      </c>
      <c r="E1740" t="s">
        <v>59</v>
      </c>
      <c r="F1740" t="s">
        <v>194</v>
      </c>
      <c r="G1740" t="s">
        <v>133</v>
      </c>
      <c r="H1740">
        <v>3</v>
      </c>
      <c r="I1740" t="s">
        <v>5513</v>
      </c>
      <c r="J1740" t="s">
        <v>357</v>
      </c>
    </row>
    <row r="1741" spans="1:10" x14ac:dyDescent="0.25">
      <c r="A1741" t="s">
        <v>5514</v>
      </c>
      <c r="B1741" t="s">
        <v>5515</v>
      </c>
      <c r="C1741" s="2">
        <v>46216.583333333336</v>
      </c>
      <c r="D1741" t="s">
        <v>418</v>
      </c>
      <c r="E1741" t="s">
        <v>69</v>
      </c>
      <c r="F1741" t="s">
        <v>197</v>
      </c>
      <c r="G1741" t="s">
        <v>139</v>
      </c>
      <c r="H1741">
        <v>4</v>
      </c>
      <c r="I1741" t="s">
        <v>5516</v>
      </c>
      <c r="J1741" t="s">
        <v>357</v>
      </c>
    </row>
    <row r="1742" spans="1:10" x14ac:dyDescent="0.25">
      <c r="A1742" t="s">
        <v>5517</v>
      </c>
      <c r="B1742" t="s">
        <v>5518</v>
      </c>
      <c r="C1742" s="2">
        <v>46217.333333333336</v>
      </c>
      <c r="D1742" t="s">
        <v>1412</v>
      </c>
      <c r="E1742" t="s">
        <v>18</v>
      </c>
      <c r="F1742" t="s">
        <v>231</v>
      </c>
      <c r="G1742" t="s">
        <v>95</v>
      </c>
      <c r="H1742">
        <v>98</v>
      </c>
      <c r="I1742" t="s">
        <v>357</v>
      </c>
      <c r="J1742" t="s">
        <v>5519</v>
      </c>
    </row>
    <row r="1743" spans="1:10" x14ac:dyDescent="0.25">
      <c r="A1743" t="s">
        <v>5520</v>
      </c>
      <c r="B1743" t="s">
        <v>5521</v>
      </c>
      <c r="C1743" s="2">
        <v>46217.333333333336</v>
      </c>
      <c r="D1743" t="s">
        <v>1412</v>
      </c>
      <c r="E1743" t="s">
        <v>20</v>
      </c>
      <c r="F1743" t="s">
        <v>232</v>
      </c>
      <c r="G1743" t="s">
        <v>97</v>
      </c>
      <c r="H1743">
        <v>67</v>
      </c>
      <c r="I1743" t="s">
        <v>357</v>
      </c>
      <c r="J1743" t="s">
        <v>5522</v>
      </c>
    </row>
    <row r="1744" spans="1:10" x14ac:dyDescent="0.25">
      <c r="A1744" t="s">
        <v>5523</v>
      </c>
      <c r="B1744" t="s">
        <v>5524</v>
      </c>
      <c r="C1744" s="2">
        <v>46217.333333333336</v>
      </c>
      <c r="D1744" t="s">
        <v>1412</v>
      </c>
      <c r="E1744" t="s">
        <v>22</v>
      </c>
      <c r="F1744" t="s">
        <v>233</v>
      </c>
      <c r="G1744" t="s">
        <v>99</v>
      </c>
      <c r="H1744">
        <v>87</v>
      </c>
      <c r="I1744" t="s">
        <v>357</v>
      </c>
      <c r="J1744" t="s">
        <v>5525</v>
      </c>
    </row>
    <row r="1745" spans="1:10" x14ac:dyDescent="0.25">
      <c r="A1745" t="s">
        <v>5526</v>
      </c>
      <c r="B1745" t="s">
        <v>5527</v>
      </c>
      <c r="C1745" s="2">
        <v>46217.333333333336</v>
      </c>
      <c r="D1745" t="s">
        <v>1412</v>
      </c>
      <c r="E1745" t="s">
        <v>24</v>
      </c>
      <c r="F1745" t="s">
        <v>234</v>
      </c>
      <c r="G1745" t="s">
        <v>101</v>
      </c>
      <c r="H1745">
        <v>93</v>
      </c>
      <c r="I1745" t="s">
        <v>357</v>
      </c>
      <c r="J1745" t="s">
        <v>5528</v>
      </c>
    </row>
    <row r="1746" spans="1:10" x14ac:dyDescent="0.25">
      <c r="A1746" t="s">
        <v>5529</v>
      </c>
      <c r="B1746" t="s">
        <v>5530</v>
      </c>
      <c r="C1746" s="2">
        <v>46217.333333333336</v>
      </c>
      <c r="D1746" t="s">
        <v>1412</v>
      </c>
      <c r="E1746" t="s">
        <v>26</v>
      </c>
      <c r="F1746" t="s">
        <v>235</v>
      </c>
      <c r="G1746" t="s">
        <v>103</v>
      </c>
      <c r="H1746">
        <v>78</v>
      </c>
      <c r="I1746" t="s">
        <v>357</v>
      </c>
      <c r="J1746" t="s">
        <v>5531</v>
      </c>
    </row>
    <row r="1747" spans="1:10" x14ac:dyDescent="0.25">
      <c r="A1747" t="s">
        <v>5532</v>
      </c>
      <c r="B1747" t="s">
        <v>5533</v>
      </c>
      <c r="C1747" s="2">
        <v>46217.333333333336</v>
      </c>
      <c r="D1747" t="s">
        <v>1412</v>
      </c>
      <c r="E1747" t="s">
        <v>28</v>
      </c>
      <c r="F1747" t="s">
        <v>236</v>
      </c>
      <c r="G1747" t="s">
        <v>105</v>
      </c>
      <c r="H1747">
        <v>64</v>
      </c>
      <c r="I1747" t="s">
        <v>357</v>
      </c>
      <c r="J1747" t="s">
        <v>5534</v>
      </c>
    </row>
    <row r="1748" spans="1:10" x14ac:dyDescent="0.25">
      <c r="A1748" t="s">
        <v>5535</v>
      </c>
      <c r="B1748" t="s">
        <v>5536</v>
      </c>
      <c r="C1748" s="2">
        <v>46217.333333333336</v>
      </c>
      <c r="D1748" t="s">
        <v>1412</v>
      </c>
      <c r="E1748" t="s">
        <v>43</v>
      </c>
      <c r="F1748" t="s">
        <v>237</v>
      </c>
      <c r="G1748" t="s">
        <v>117</v>
      </c>
      <c r="H1748">
        <v>74</v>
      </c>
      <c r="I1748" t="s">
        <v>357</v>
      </c>
      <c r="J1748" t="s">
        <v>5537</v>
      </c>
    </row>
    <row r="1749" spans="1:10" x14ac:dyDescent="0.25">
      <c r="A1749" t="s">
        <v>5538</v>
      </c>
      <c r="B1749" t="s">
        <v>5539</v>
      </c>
      <c r="C1749" s="2">
        <v>46217.333333333336</v>
      </c>
      <c r="D1749" t="s">
        <v>1412</v>
      </c>
      <c r="E1749" t="s">
        <v>47</v>
      </c>
      <c r="F1749" t="s">
        <v>238</v>
      </c>
      <c r="G1749" t="s">
        <v>121</v>
      </c>
      <c r="H1749">
        <v>77</v>
      </c>
      <c r="I1749" t="s">
        <v>357</v>
      </c>
      <c r="J1749" t="s">
        <v>5540</v>
      </c>
    </row>
    <row r="1750" spans="1:10" x14ac:dyDescent="0.25">
      <c r="A1750" t="s">
        <v>5541</v>
      </c>
      <c r="B1750" t="s">
        <v>5542</v>
      </c>
      <c r="C1750" s="2">
        <v>46217.333333333336</v>
      </c>
      <c r="D1750" t="s">
        <v>1412</v>
      </c>
      <c r="E1750" t="s">
        <v>53</v>
      </c>
      <c r="F1750" t="s">
        <v>239</v>
      </c>
      <c r="G1750" t="s">
        <v>127</v>
      </c>
      <c r="H1750">
        <v>76</v>
      </c>
      <c r="I1750" t="s">
        <v>357</v>
      </c>
      <c r="J1750" t="s">
        <v>5543</v>
      </c>
    </row>
    <row r="1751" spans="1:10" x14ac:dyDescent="0.25">
      <c r="A1751" t="s">
        <v>5544</v>
      </c>
      <c r="B1751" t="s">
        <v>5545</v>
      </c>
      <c r="C1751" s="2">
        <v>46217.333333333336</v>
      </c>
      <c r="D1751" t="s">
        <v>1412</v>
      </c>
      <c r="E1751" t="s">
        <v>55</v>
      </c>
      <c r="F1751" t="s">
        <v>240</v>
      </c>
      <c r="G1751" t="s">
        <v>129</v>
      </c>
      <c r="H1751">
        <v>69</v>
      </c>
      <c r="I1751" t="s">
        <v>357</v>
      </c>
      <c r="J1751" t="s">
        <v>5546</v>
      </c>
    </row>
    <row r="1752" spans="1:10" x14ac:dyDescent="0.25">
      <c r="A1752" t="s">
        <v>5547</v>
      </c>
      <c r="B1752" t="s">
        <v>5548</v>
      </c>
      <c r="C1752" s="2">
        <v>46217.333333333336</v>
      </c>
      <c r="D1752" t="s">
        <v>1412</v>
      </c>
      <c r="E1752" t="s">
        <v>65</v>
      </c>
      <c r="F1752" t="s">
        <v>241</v>
      </c>
      <c r="G1752" t="s">
        <v>135</v>
      </c>
      <c r="H1752">
        <v>92</v>
      </c>
      <c r="I1752" t="s">
        <v>357</v>
      </c>
      <c r="J1752" t="s">
        <v>5549</v>
      </c>
    </row>
    <row r="1753" spans="1:10" x14ac:dyDescent="0.25">
      <c r="A1753" t="s">
        <v>5550</v>
      </c>
      <c r="B1753" t="s">
        <v>5551</v>
      </c>
      <c r="C1753" s="2">
        <v>46217.333333333336</v>
      </c>
      <c r="D1753" t="s">
        <v>1412</v>
      </c>
      <c r="E1753" t="s">
        <v>67</v>
      </c>
      <c r="F1753" t="s">
        <v>242</v>
      </c>
      <c r="G1753" t="s">
        <v>137</v>
      </c>
      <c r="H1753">
        <v>83</v>
      </c>
      <c r="I1753" t="s">
        <v>357</v>
      </c>
      <c r="J1753" t="s">
        <v>5552</v>
      </c>
    </row>
    <row r="1754" spans="1:10" x14ac:dyDescent="0.25">
      <c r="A1754" t="s">
        <v>5553</v>
      </c>
      <c r="B1754" t="s">
        <v>5554</v>
      </c>
      <c r="C1754" s="2">
        <v>46217.333333333336</v>
      </c>
      <c r="D1754" t="s">
        <v>1412</v>
      </c>
      <c r="E1754" t="s">
        <v>77</v>
      </c>
      <c r="F1754" t="s">
        <v>243</v>
      </c>
      <c r="G1754" t="s">
        <v>147</v>
      </c>
      <c r="H1754">
        <v>70</v>
      </c>
      <c r="I1754" t="s">
        <v>357</v>
      </c>
      <c r="J1754" t="s">
        <v>5555</v>
      </c>
    </row>
    <row r="1755" spans="1:10" x14ac:dyDescent="0.25">
      <c r="A1755" t="s">
        <v>5556</v>
      </c>
      <c r="B1755" t="s">
        <v>5557</v>
      </c>
      <c r="C1755" s="2">
        <v>46217.583333333336</v>
      </c>
      <c r="D1755" t="s">
        <v>418</v>
      </c>
      <c r="E1755" t="s">
        <v>11</v>
      </c>
      <c r="F1755" t="s">
        <v>201</v>
      </c>
      <c r="G1755" t="s">
        <v>92</v>
      </c>
      <c r="H1755">
        <v>2</v>
      </c>
      <c r="I1755" t="s">
        <v>5558</v>
      </c>
      <c r="J1755" t="s">
        <v>357</v>
      </c>
    </row>
    <row r="1756" spans="1:10" x14ac:dyDescent="0.25">
      <c r="A1756" t="s">
        <v>5559</v>
      </c>
      <c r="B1756" t="s">
        <v>5560</v>
      </c>
      <c r="C1756" s="2">
        <v>46217.583333333336</v>
      </c>
      <c r="D1756" t="s">
        <v>418</v>
      </c>
      <c r="E1756" t="s">
        <v>18</v>
      </c>
      <c r="F1756" t="s">
        <v>215</v>
      </c>
      <c r="G1756" t="s">
        <v>95</v>
      </c>
      <c r="H1756">
        <v>4</v>
      </c>
      <c r="I1756" t="s">
        <v>5561</v>
      </c>
      <c r="J1756" t="s">
        <v>357</v>
      </c>
    </row>
    <row r="1757" spans="1:10" x14ac:dyDescent="0.25">
      <c r="A1757" t="s">
        <v>5562</v>
      </c>
      <c r="B1757" t="s">
        <v>5563</v>
      </c>
      <c r="C1757" s="2">
        <v>46217.583333333336</v>
      </c>
      <c r="D1757" t="s">
        <v>418</v>
      </c>
      <c r="E1757" t="s">
        <v>20</v>
      </c>
      <c r="F1757" t="s">
        <v>216</v>
      </c>
      <c r="G1757" t="s">
        <v>97</v>
      </c>
      <c r="H1757">
        <v>2</v>
      </c>
      <c r="I1757" t="s">
        <v>5564</v>
      </c>
      <c r="J1757" t="s">
        <v>357</v>
      </c>
    </row>
    <row r="1758" spans="1:10" x14ac:dyDescent="0.25">
      <c r="A1758" t="s">
        <v>5565</v>
      </c>
      <c r="B1758" t="s">
        <v>5566</v>
      </c>
      <c r="C1758" s="2">
        <v>46217.583333333336</v>
      </c>
      <c r="D1758" t="s">
        <v>418</v>
      </c>
      <c r="E1758" t="s">
        <v>20</v>
      </c>
      <c r="F1758" t="s">
        <v>203</v>
      </c>
      <c r="G1758" t="s">
        <v>97</v>
      </c>
      <c r="H1758">
        <v>2</v>
      </c>
      <c r="I1758" t="s">
        <v>5564</v>
      </c>
      <c r="J1758" t="s">
        <v>357</v>
      </c>
    </row>
    <row r="1759" spans="1:10" x14ac:dyDescent="0.25">
      <c r="A1759" t="s">
        <v>5567</v>
      </c>
      <c r="B1759" t="s">
        <v>5568</v>
      </c>
      <c r="C1759" s="2">
        <v>46217.583333333336</v>
      </c>
      <c r="D1759" t="s">
        <v>418</v>
      </c>
      <c r="E1759" t="s">
        <v>22</v>
      </c>
      <c r="F1759" t="s">
        <v>217</v>
      </c>
      <c r="G1759" t="s">
        <v>99</v>
      </c>
      <c r="H1759">
        <v>2</v>
      </c>
      <c r="I1759" t="s">
        <v>5569</v>
      </c>
      <c r="J1759" t="s">
        <v>357</v>
      </c>
    </row>
    <row r="1760" spans="1:10" x14ac:dyDescent="0.25">
      <c r="A1760" t="s">
        <v>5570</v>
      </c>
      <c r="B1760" t="s">
        <v>5571</v>
      </c>
      <c r="C1760" s="2">
        <v>46217.583333333336</v>
      </c>
      <c r="D1760" t="s">
        <v>418</v>
      </c>
      <c r="E1760" t="s">
        <v>24</v>
      </c>
      <c r="F1760" t="s">
        <v>234</v>
      </c>
      <c r="G1760" t="s">
        <v>101</v>
      </c>
      <c r="H1760">
        <v>1</v>
      </c>
      <c r="I1760" t="s">
        <v>5572</v>
      </c>
      <c r="J1760" t="s">
        <v>357</v>
      </c>
    </row>
    <row r="1761" spans="1:10" x14ac:dyDescent="0.25">
      <c r="A1761" t="s">
        <v>5573</v>
      </c>
      <c r="B1761" t="s">
        <v>5574</v>
      </c>
      <c r="C1761" s="2">
        <v>46217.583333333336</v>
      </c>
      <c r="D1761" t="s">
        <v>418</v>
      </c>
      <c r="E1761" t="s">
        <v>26</v>
      </c>
      <c r="F1761" t="s">
        <v>235</v>
      </c>
      <c r="G1761" t="s">
        <v>103</v>
      </c>
      <c r="H1761">
        <v>2</v>
      </c>
      <c r="I1761" t="s">
        <v>5575</v>
      </c>
      <c r="J1761" t="s">
        <v>357</v>
      </c>
    </row>
    <row r="1762" spans="1:10" x14ac:dyDescent="0.25">
      <c r="A1762" t="s">
        <v>5576</v>
      </c>
      <c r="B1762" t="s">
        <v>5577</v>
      </c>
      <c r="C1762" s="2">
        <v>46217.583333333336</v>
      </c>
      <c r="D1762" t="s">
        <v>418</v>
      </c>
      <c r="E1762" t="s">
        <v>28</v>
      </c>
      <c r="F1762" t="s">
        <v>221</v>
      </c>
      <c r="G1762" t="s">
        <v>105</v>
      </c>
      <c r="H1762">
        <v>2</v>
      </c>
      <c r="I1762" t="s">
        <v>5578</v>
      </c>
      <c r="J1762" t="s">
        <v>357</v>
      </c>
    </row>
    <row r="1763" spans="1:10" x14ac:dyDescent="0.25">
      <c r="A1763" t="s">
        <v>5579</v>
      </c>
      <c r="B1763" t="s">
        <v>5580</v>
      </c>
      <c r="C1763" s="2">
        <v>46217.583333333336</v>
      </c>
      <c r="D1763" t="s">
        <v>418</v>
      </c>
      <c r="E1763" t="s">
        <v>43</v>
      </c>
      <c r="F1763" t="s">
        <v>208</v>
      </c>
      <c r="G1763" t="s">
        <v>117</v>
      </c>
      <c r="H1763">
        <v>2</v>
      </c>
      <c r="I1763" t="s">
        <v>5581</v>
      </c>
      <c r="J1763" t="s">
        <v>357</v>
      </c>
    </row>
    <row r="1764" spans="1:10" x14ac:dyDescent="0.25">
      <c r="A1764" t="s">
        <v>5582</v>
      </c>
      <c r="B1764" t="s">
        <v>5583</v>
      </c>
      <c r="C1764" s="2">
        <v>46217.583333333336</v>
      </c>
      <c r="D1764" t="s">
        <v>418</v>
      </c>
      <c r="E1764" t="s">
        <v>47</v>
      </c>
      <c r="F1764" t="s">
        <v>120</v>
      </c>
      <c r="G1764" t="s">
        <v>121</v>
      </c>
      <c r="H1764">
        <v>3</v>
      </c>
      <c r="I1764" t="s">
        <v>5584</v>
      </c>
      <c r="J1764" t="s">
        <v>357</v>
      </c>
    </row>
    <row r="1765" spans="1:10" x14ac:dyDescent="0.25">
      <c r="A1765" t="s">
        <v>5585</v>
      </c>
      <c r="B1765" t="s">
        <v>5586</v>
      </c>
      <c r="C1765" s="2">
        <v>46217.583333333336</v>
      </c>
      <c r="D1765" t="s">
        <v>418</v>
      </c>
      <c r="E1765" t="s">
        <v>65</v>
      </c>
      <c r="F1765" t="s">
        <v>195</v>
      </c>
      <c r="G1765" t="s">
        <v>135</v>
      </c>
      <c r="H1765">
        <v>2</v>
      </c>
      <c r="I1765" t="s">
        <v>5587</v>
      </c>
      <c r="J1765" t="s">
        <v>357</v>
      </c>
    </row>
    <row r="1766" spans="1:10" x14ac:dyDescent="0.25">
      <c r="A1766" t="s">
        <v>5588</v>
      </c>
      <c r="B1766" t="s">
        <v>5589</v>
      </c>
      <c r="C1766" s="2">
        <v>46217.583333333336</v>
      </c>
      <c r="D1766" t="s">
        <v>418</v>
      </c>
      <c r="E1766" t="s">
        <v>67</v>
      </c>
      <c r="F1766" t="s">
        <v>174</v>
      </c>
      <c r="G1766" t="s">
        <v>137</v>
      </c>
      <c r="H1766">
        <v>4</v>
      </c>
      <c r="I1766" t="s">
        <v>5590</v>
      </c>
      <c r="J1766" t="s">
        <v>357</v>
      </c>
    </row>
    <row r="1767" spans="1:10" x14ac:dyDescent="0.25">
      <c r="A1767" t="s">
        <v>5591</v>
      </c>
      <c r="B1767" t="s">
        <v>5592</v>
      </c>
      <c r="C1767" s="2">
        <v>46217.583333333336</v>
      </c>
      <c r="D1767" t="s">
        <v>418</v>
      </c>
      <c r="E1767" t="s">
        <v>75</v>
      </c>
      <c r="F1767" t="s">
        <v>199</v>
      </c>
      <c r="G1767" t="s">
        <v>145</v>
      </c>
      <c r="H1767">
        <v>1</v>
      </c>
      <c r="I1767" t="s">
        <v>5593</v>
      </c>
      <c r="J1767" t="s">
        <v>357</v>
      </c>
    </row>
    <row r="1768" spans="1:10" x14ac:dyDescent="0.25">
      <c r="A1768" t="s">
        <v>5594</v>
      </c>
      <c r="B1768" t="s">
        <v>5595</v>
      </c>
      <c r="C1768" s="2">
        <v>46217.583333333336</v>
      </c>
      <c r="D1768" t="s">
        <v>418</v>
      </c>
      <c r="E1768" t="s">
        <v>22</v>
      </c>
      <c r="F1768" t="s">
        <v>217</v>
      </c>
      <c r="G1768" t="s">
        <v>99</v>
      </c>
      <c r="H1768">
        <v>3</v>
      </c>
      <c r="I1768" t="s">
        <v>5596</v>
      </c>
      <c r="J1768" t="s">
        <v>357</v>
      </c>
    </row>
    <row r="1769" spans="1:10" x14ac:dyDescent="0.25">
      <c r="A1769" t="s">
        <v>5597</v>
      </c>
      <c r="B1769" t="s">
        <v>5598</v>
      </c>
      <c r="C1769" s="2">
        <v>46217.583333333336</v>
      </c>
      <c r="D1769" t="s">
        <v>418</v>
      </c>
      <c r="E1769" t="s">
        <v>24</v>
      </c>
      <c r="F1769" t="s">
        <v>234</v>
      </c>
      <c r="G1769" t="s">
        <v>101</v>
      </c>
      <c r="H1769">
        <v>2</v>
      </c>
      <c r="I1769" t="s">
        <v>5599</v>
      </c>
      <c r="J1769" t="s">
        <v>357</v>
      </c>
    </row>
    <row r="1770" spans="1:10" x14ac:dyDescent="0.25">
      <c r="A1770" t="s">
        <v>5600</v>
      </c>
      <c r="B1770" t="s">
        <v>5601</v>
      </c>
      <c r="C1770" s="2">
        <v>46217.583333333336</v>
      </c>
      <c r="D1770" t="s">
        <v>418</v>
      </c>
      <c r="E1770" t="s">
        <v>26</v>
      </c>
      <c r="F1770" t="s">
        <v>235</v>
      </c>
      <c r="G1770" t="s">
        <v>103</v>
      </c>
      <c r="H1770">
        <v>1</v>
      </c>
      <c r="I1770" t="s">
        <v>5602</v>
      </c>
      <c r="J1770" t="s">
        <v>357</v>
      </c>
    </row>
    <row r="1771" spans="1:10" x14ac:dyDescent="0.25">
      <c r="A1771" t="s">
        <v>5603</v>
      </c>
      <c r="B1771" t="s">
        <v>5604</v>
      </c>
      <c r="C1771" s="2">
        <v>46217.583333333336</v>
      </c>
      <c r="D1771" t="s">
        <v>418</v>
      </c>
      <c r="E1771" t="s">
        <v>43</v>
      </c>
      <c r="F1771" t="s">
        <v>208</v>
      </c>
      <c r="G1771" t="s">
        <v>117</v>
      </c>
      <c r="H1771">
        <v>2</v>
      </c>
      <c r="I1771" t="s">
        <v>5605</v>
      </c>
      <c r="J1771" t="s">
        <v>357</v>
      </c>
    </row>
    <row r="1772" spans="1:10" x14ac:dyDescent="0.25">
      <c r="A1772" t="s">
        <v>5606</v>
      </c>
      <c r="B1772" t="s">
        <v>5607</v>
      </c>
      <c r="C1772" s="2">
        <v>46217.583333333336</v>
      </c>
      <c r="D1772" t="s">
        <v>418</v>
      </c>
      <c r="E1772" t="s">
        <v>65</v>
      </c>
      <c r="F1772" t="s">
        <v>195</v>
      </c>
      <c r="G1772" t="s">
        <v>135</v>
      </c>
      <c r="H1772">
        <v>2</v>
      </c>
      <c r="I1772" t="s">
        <v>5608</v>
      </c>
      <c r="J1772" t="s">
        <v>357</v>
      </c>
    </row>
    <row r="1773" spans="1:10" x14ac:dyDescent="0.25">
      <c r="A1773" t="s">
        <v>5609</v>
      </c>
      <c r="B1773" t="s">
        <v>5610</v>
      </c>
      <c r="C1773" s="2">
        <v>46217.583333333336</v>
      </c>
      <c r="D1773" t="s">
        <v>418</v>
      </c>
      <c r="E1773" t="s">
        <v>67</v>
      </c>
      <c r="F1773" t="s">
        <v>174</v>
      </c>
      <c r="G1773" t="s">
        <v>137</v>
      </c>
      <c r="H1773">
        <v>5</v>
      </c>
      <c r="I1773" t="s">
        <v>5611</v>
      </c>
      <c r="J1773" t="s">
        <v>357</v>
      </c>
    </row>
    <row r="1774" spans="1:10" x14ac:dyDescent="0.25">
      <c r="A1774" t="s">
        <v>5612</v>
      </c>
      <c r="B1774" t="s">
        <v>5613</v>
      </c>
      <c r="C1774" s="2">
        <v>46217.583333333336</v>
      </c>
      <c r="D1774" t="s">
        <v>418</v>
      </c>
      <c r="E1774" t="s">
        <v>71</v>
      </c>
      <c r="F1774" t="s">
        <v>198</v>
      </c>
      <c r="G1774" t="s">
        <v>141</v>
      </c>
      <c r="H1774">
        <v>4</v>
      </c>
      <c r="I1774" t="s">
        <v>5614</v>
      </c>
      <c r="J1774" t="s">
        <v>357</v>
      </c>
    </row>
    <row r="1775" spans="1:10" x14ac:dyDescent="0.25">
      <c r="A1775" t="s">
        <v>5615</v>
      </c>
      <c r="B1775" t="s">
        <v>5616</v>
      </c>
      <c r="C1775" s="2">
        <v>46217.583333333336</v>
      </c>
      <c r="D1775" t="s">
        <v>418</v>
      </c>
      <c r="E1775" t="s">
        <v>75</v>
      </c>
      <c r="F1775" t="s">
        <v>199</v>
      </c>
      <c r="G1775" t="s">
        <v>145</v>
      </c>
      <c r="H1775">
        <v>1</v>
      </c>
      <c r="I1775" t="s">
        <v>5617</v>
      </c>
      <c r="J1775" t="s">
        <v>357</v>
      </c>
    </row>
    <row r="1776" spans="1:10" x14ac:dyDescent="0.25">
      <c r="A1776" t="s">
        <v>5618</v>
      </c>
      <c r="B1776" t="s">
        <v>5619</v>
      </c>
      <c r="C1776" s="2">
        <v>46217.583333333336</v>
      </c>
      <c r="D1776" t="s">
        <v>418</v>
      </c>
      <c r="E1776" t="s">
        <v>18</v>
      </c>
      <c r="F1776" t="s">
        <v>215</v>
      </c>
      <c r="G1776" t="s">
        <v>95</v>
      </c>
      <c r="H1776">
        <v>6</v>
      </c>
      <c r="I1776" t="s">
        <v>5620</v>
      </c>
      <c r="J1776" t="s">
        <v>357</v>
      </c>
    </row>
    <row r="1777" spans="1:10" x14ac:dyDescent="0.25">
      <c r="A1777" t="s">
        <v>5621</v>
      </c>
      <c r="B1777" t="s">
        <v>5622</v>
      </c>
      <c r="C1777" s="2">
        <v>46217.583333333336</v>
      </c>
      <c r="D1777" t="s">
        <v>418</v>
      </c>
      <c r="E1777" t="s">
        <v>22</v>
      </c>
      <c r="F1777" t="s">
        <v>217</v>
      </c>
      <c r="G1777" t="s">
        <v>99</v>
      </c>
      <c r="H1777">
        <v>4</v>
      </c>
      <c r="I1777" t="s">
        <v>5623</v>
      </c>
      <c r="J1777" t="s">
        <v>357</v>
      </c>
    </row>
    <row r="1778" spans="1:10" x14ac:dyDescent="0.25">
      <c r="A1778" t="s">
        <v>5624</v>
      </c>
      <c r="B1778" t="s">
        <v>5625</v>
      </c>
      <c r="C1778" s="2">
        <v>46217.583333333336</v>
      </c>
      <c r="D1778" t="s">
        <v>418</v>
      </c>
      <c r="E1778" t="s">
        <v>26</v>
      </c>
      <c r="F1778" t="s">
        <v>235</v>
      </c>
      <c r="G1778" t="s">
        <v>103</v>
      </c>
      <c r="H1778">
        <v>1</v>
      </c>
      <c r="I1778" t="s">
        <v>5626</v>
      </c>
      <c r="J1778" t="s">
        <v>357</v>
      </c>
    </row>
    <row r="1779" spans="1:10" x14ac:dyDescent="0.25">
      <c r="A1779" t="s">
        <v>5627</v>
      </c>
      <c r="B1779" t="s">
        <v>5628</v>
      </c>
      <c r="C1779" s="2">
        <v>46217.583333333336</v>
      </c>
      <c r="D1779" t="s">
        <v>418</v>
      </c>
      <c r="E1779" t="s">
        <v>28</v>
      </c>
      <c r="F1779" t="s">
        <v>221</v>
      </c>
      <c r="G1779" t="s">
        <v>105</v>
      </c>
      <c r="H1779">
        <v>4</v>
      </c>
      <c r="I1779" t="s">
        <v>5629</v>
      </c>
      <c r="J1779" t="s">
        <v>357</v>
      </c>
    </row>
    <row r="1780" spans="1:10" x14ac:dyDescent="0.25">
      <c r="A1780" t="s">
        <v>5630</v>
      </c>
      <c r="B1780" t="s">
        <v>5631</v>
      </c>
      <c r="C1780" s="2">
        <v>46217.583333333336</v>
      </c>
      <c r="D1780" t="s">
        <v>418</v>
      </c>
      <c r="E1780" t="s">
        <v>55</v>
      </c>
      <c r="F1780" t="s">
        <v>170</v>
      </c>
      <c r="G1780" t="s">
        <v>129</v>
      </c>
      <c r="H1780">
        <v>6</v>
      </c>
      <c r="I1780" t="s">
        <v>5632</v>
      </c>
      <c r="J1780" t="s">
        <v>357</v>
      </c>
    </row>
    <row r="1781" spans="1:10" x14ac:dyDescent="0.25">
      <c r="A1781" t="s">
        <v>5633</v>
      </c>
      <c r="B1781" t="s">
        <v>5634</v>
      </c>
      <c r="C1781" s="2">
        <v>46217.583333333336</v>
      </c>
      <c r="D1781" t="s">
        <v>418</v>
      </c>
      <c r="E1781" t="s">
        <v>57</v>
      </c>
      <c r="F1781" t="s">
        <v>211</v>
      </c>
      <c r="G1781" t="s">
        <v>131</v>
      </c>
      <c r="H1781">
        <v>1</v>
      </c>
      <c r="I1781" t="s">
        <v>5635</v>
      </c>
      <c r="J1781" t="s">
        <v>357</v>
      </c>
    </row>
    <row r="1782" spans="1:10" x14ac:dyDescent="0.25">
      <c r="A1782" t="s">
        <v>5636</v>
      </c>
      <c r="B1782" t="s">
        <v>5637</v>
      </c>
      <c r="C1782" s="2">
        <v>46217.583333333336</v>
      </c>
      <c r="D1782" t="s">
        <v>418</v>
      </c>
      <c r="E1782" t="s">
        <v>59</v>
      </c>
      <c r="F1782" t="s">
        <v>194</v>
      </c>
      <c r="G1782" t="s">
        <v>133</v>
      </c>
      <c r="H1782">
        <v>6</v>
      </c>
      <c r="I1782" t="s">
        <v>5638</v>
      </c>
      <c r="J1782" t="s">
        <v>357</v>
      </c>
    </row>
    <row r="1783" spans="1:10" x14ac:dyDescent="0.25">
      <c r="A1783" t="s">
        <v>5639</v>
      </c>
      <c r="B1783" t="s">
        <v>5640</v>
      </c>
      <c r="C1783" s="2">
        <v>46217.583333333336</v>
      </c>
      <c r="D1783" t="s">
        <v>418</v>
      </c>
      <c r="E1783" t="s">
        <v>69</v>
      </c>
      <c r="F1783" t="s">
        <v>197</v>
      </c>
      <c r="G1783" t="s">
        <v>139</v>
      </c>
      <c r="H1783">
        <v>5</v>
      </c>
      <c r="I1783" t="s">
        <v>5641</v>
      </c>
      <c r="J1783" t="s">
        <v>357</v>
      </c>
    </row>
    <row r="1784" spans="1:10" x14ac:dyDescent="0.25">
      <c r="A1784" t="s">
        <v>5642</v>
      </c>
      <c r="B1784" t="s">
        <v>5643</v>
      </c>
      <c r="C1784" s="2">
        <v>46217.583333333336</v>
      </c>
      <c r="D1784" t="s">
        <v>418</v>
      </c>
      <c r="E1784" t="s">
        <v>77</v>
      </c>
      <c r="F1784" t="s">
        <v>200</v>
      </c>
      <c r="G1784" t="s">
        <v>147</v>
      </c>
      <c r="H1784">
        <v>6</v>
      </c>
      <c r="I1784" t="s">
        <v>5644</v>
      </c>
      <c r="J1784" t="s">
        <v>357</v>
      </c>
    </row>
    <row r="1785" spans="1:10" x14ac:dyDescent="0.25">
      <c r="A1785" t="s">
        <v>5645</v>
      </c>
      <c r="B1785" t="s">
        <v>5646</v>
      </c>
      <c r="C1785" s="2">
        <v>46217.583333333336</v>
      </c>
      <c r="D1785" t="s">
        <v>418</v>
      </c>
      <c r="E1785" t="s">
        <v>11</v>
      </c>
      <c r="F1785" t="s">
        <v>201</v>
      </c>
      <c r="G1785" t="s">
        <v>92</v>
      </c>
      <c r="H1785">
        <v>6</v>
      </c>
      <c r="I1785" t="s">
        <v>5647</v>
      </c>
      <c r="J1785" t="s">
        <v>357</v>
      </c>
    </row>
    <row r="1786" spans="1:10" x14ac:dyDescent="0.25">
      <c r="A1786" t="s">
        <v>5648</v>
      </c>
      <c r="B1786" t="s">
        <v>5649</v>
      </c>
      <c r="C1786" s="2">
        <v>46217.583333333336</v>
      </c>
      <c r="D1786" t="s">
        <v>418</v>
      </c>
      <c r="E1786" t="s">
        <v>20</v>
      </c>
      <c r="F1786" t="s">
        <v>203</v>
      </c>
      <c r="G1786" t="s">
        <v>97</v>
      </c>
      <c r="H1786">
        <v>1</v>
      </c>
      <c r="I1786" t="s">
        <v>5650</v>
      </c>
      <c r="J1786" t="s">
        <v>357</v>
      </c>
    </row>
    <row r="1787" spans="1:10" x14ac:dyDescent="0.25">
      <c r="A1787" t="s">
        <v>5651</v>
      </c>
      <c r="B1787" t="s">
        <v>5652</v>
      </c>
      <c r="C1787" s="2">
        <v>46217.583333333336</v>
      </c>
      <c r="D1787" t="s">
        <v>418</v>
      </c>
      <c r="E1787" t="s">
        <v>20</v>
      </c>
      <c r="F1787" t="s">
        <v>232</v>
      </c>
      <c r="G1787" t="s">
        <v>97</v>
      </c>
      <c r="H1787">
        <v>5</v>
      </c>
      <c r="I1787" t="s">
        <v>5650</v>
      </c>
      <c r="J1787" t="s">
        <v>357</v>
      </c>
    </row>
    <row r="1788" spans="1:10" x14ac:dyDescent="0.25">
      <c r="A1788" t="s">
        <v>5653</v>
      </c>
      <c r="B1788" t="s">
        <v>5654</v>
      </c>
      <c r="C1788" s="2">
        <v>46217.583333333336</v>
      </c>
      <c r="D1788" t="s">
        <v>418</v>
      </c>
      <c r="E1788" t="s">
        <v>22</v>
      </c>
      <c r="F1788" t="s">
        <v>217</v>
      </c>
      <c r="G1788" t="s">
        <v>99</v>
      </c>
      <c r="H1788">
        <v>3</v>
      </c>
      <c r="I1788" t="s">
        <v>5655</v>
      </c>
      <c r="J1788" t="s">
        <v>357</v>
      </c>
    </row>
    <row r="1789" spans="1:10" x14ac:dyDescent="0.25">
      <c r="A1789" t="s">
        <v>5656</v>
      </c>
      <c r="B1789" t="s">
        <v>5657</v>
      </c>
      <c r="C1789" s="2">
        <v>46217.583333333336</v>
      </c>
      <c r="D1789" t="s">
        <v>418</v>
      </c>
      <c r="E1789" t="s">
        <v>26</v>
      </c>
      <c r="F1789" t="s">
        <v>235</v>
      </c>
      <c r="G1789" t="s">
        <v>103</v>
      </c>
      <c r="H1789">
        <v>3</v>
      </c>
      <c r="I1789" t="s">
        <v>5658</v>
      </c>
      <c r="J1789" t="s">
        <v>357</v>
      </c>
    </row>
    <row r="1790" spans="1:10" x14ac:dyDescent="0.25">
      <c r="A1790" t="s">
        <v>5659</v>
      </c>
      <c r="B1790" t="s">
        <v>5660</v>
      </c>
      <c r="C1790" s="2">
        <v>46217.583333333336</v>
      </c>
      <c r="D1790" t="s">
        <v>418</v>
      </c>
      <c r="E1790" t="s">
        <v>41</v>
      </c>
      <c r="F1790" t="s">
        <v>188</v>
      </c>
      <c r="G1790" t="s">
        <v>115</v>
      </c>
      <c r="H1790">
        <v>3</v>
      </c>
      <c r="I1790" t="s">
        <v>5661</v>
      </c>
      <c r="J1790" t="s">
        <v>357</v>
      </c>
    </row>
    <row r="1791" spans="1:10" x14ac:dyDescent="0.25">
      <c r="A1791" t="s">
        <v>5662</v>
      </c>
      <c r="B1791" t="s">
        <v>5663</v>
      </c>
      <c r="C1791" s="2">
        <v>46217.583333333336</v>
      </c>
      <c r="D1791" t="s">
        <v>418</v>
      </c>
      <c r="E1791" t="s">
        <v>55</v>
      </c>
      <c r="F1791" t="s">
        <v>170</v>
      </c>
      <c r="G1791" t="s">
        <v>129</v>
      </c>
      <c r="H1791">
        <v>1</v>
      </c>
      <c r="I1791" t="s">
        <v>5664</v>
      </c>
      <c r="J1791" t="s">
        <v>357</v>
      </c>
    </row>
    <row r="1792" spans="1:10" x14ac:dyDescent="0.25">
      <c r="A1792" t="s">
        <v>5665</v>
      </c>
      <c r="B1792" t="s">
        <v>5666</v>
      </c>
      <c r="C1792" s="2">
        <v>46217.583333333336</v>
      </c>
      <c r="D1792" t="s">
        <v>418</v>
      </c>
      <c r="E1792" t="s">
        <v>59</v>
      </c>
      <c r="F1792" t="s">
        <v>194</v>
      </c>
      <c r="G1792" t="s">
        <v>133</v>
      </c>
      <c r="H1792">
        <v>6</v>
      </c>
      <c r="I1792" t="s">
        <v>5667</v>
      </c>
      <c r="J1792" t="s">
        <v>357</v>
      </c>
    </row>
    <row r="1793" spans="1:10" x14ac:dyDescent="0.25">
      <c r="A1793" t="s">
        <v>5668</v>
      </c>
      <c r="B1793" t="s">
        <v>5669</v>
      </c>
      <c r="C1793" s="2">
        <v>46217.583333333336</v>
      </c>
      <c r="D1793" t="s">
        <v>418</v>
      </c>
      <c r="E1793" t="s">
        <v>69</v>
      </c>
      <c r="F1793" t="s">
        <v>197</v>
      </c>
      <c r="G1793" t="s">
        <v>139</v>
      </c>
      <c r="H1793">
        <v>3</v>
      </c>
      <c r="I1793" t="s">
        <v>5670</v>
      </c>
      <c r="J1793" t="s">
        <v>357</v>
      </c>
    </row>
    <row r="1794" spans="1:10" x14ac:dyDescent="0.25">
      <c r="A1794" t="s">
        <v>5671</v>
      </c>
      <c r="B1794" t="s">
        <v>5672</v>
      </c>
      <c r="C1794" s="2">
        <v>46217.583333333336</v>
      </c>
      <c r="D1794" t="s">
        <v>418</v>
      </c>
      <c r="E1794" t="s">
        <v>71</v>
      </c>
      <c r="F1794" t="s">
        <v>198</v>
      </c>
      <c r="G1794" t="s">
        <v>141</v>
      </c>
      <c r="H1794">
        <v>3</v>
      </c>
      <c r="I1794" t="s">
        <v>5673</v>
      </c>
      <c r="J1794" t="s">
        <v>357</v>
      </c>
    </row>
    <row r="1795" spans="1:10" x14ac:dyDescent="0.25">
      <c r="A1795" t="s">
        <v>5674</v>
      </c>
      <c r="B1795" t="s">
        <v>5675</v>
      </c>
      <c r="C1795" s="2">
        <v>46217.583333333336</v>
      </c>
      <c r="D1795" t="s">
        <v>418</v>
      </c>
      <c r="E1795" t="s">
        <v>18</v>
      </c>
      <c r="F1795" t="s">
        <v>215</v>
      </c>
      <c r="G1795" t="s">
        <v>95</v>
      </c>
      <c r="H1795">
        <v>1</v>
      </c>
      <c r="I1795" t="s">
        <v>5676</v>
      </c>
      <c r="J1795" t="s">
        <v>357</v>
      </c>
    </row>
    <row r="1796" spans="1:10" x14ac:dyDescent="0.25">
      <c r="A1796" t="s">
        <v>5677</v>
      </c>
      <c r="B1796" t="s">
        <v>5678</v>
      </c>
      <c r="C1796" s="2">
        <v>46217.583333333336</v>
      </c>
      <c r="D1796" t="s">
        <v>418</v>
      </c>
      <c r="E1796" t="s">
        <v>20</v>
      </c>
      <c r="F1796" t="s">
        <v>232</v>
      </c>
      <c r="G1796" t="s">
        <v>97</v>
      </c>
      <c r="H1796">
        <v>1</v>
      </c>
      <c r="I1796" t="s">
        <v>5679</v>
      </c>
      <c r="J1796" t="s">
        <v>357</v>
      </c>
    </row>
    <row r="1797" spans="1:10" x14ac:dyDescent="0.25">
      <c r="A1797" t="s">
        <v>5680</v>
      </c>
      <c r="B1797" t="s">
        <v>5681</v>
      </c>
      <c r="C1797" s="2">
        <v>46217.583333333336</v>
      </c>
      <c r="D1797" t="s">
        <v>418</v>
      </c>
      <c r="E1797" t="s">
        <v>26</v>
      </c>
      <c r="F1797" t="s">
        <v>235</v>
      </c>
      <c r="G1797" t="s">
        <v>103</v>
      </c>
      <c r="H1797">
        <v>2</v>
      </c>
      <c r="I1797" t="s">
        <v>5682</v>
      </c>
      <c r="J1797" t="s">
        <v>357</v>
      </c>
    </row>
    <row r="1798" spans="1:10" x14ac:dyDescent="0.25">
      <c r="A1798" t="s">
        <v>5683</v>
      </c>
      <c r="B1798" t="s">
        <v>5684</v>
      </c>
      <c r="C1798" s="2">
        <v>46217.583333333336</v>
      </c>
      <c r="D1798" t="s">
        <v>418</v>
      </c>
      <c r="E1798" t="s">
        <v>30</v>
      </c>
      <c r="F1798" t="s">
        <v>159</v>
      </c>
      <c r="G1798" t="s">
        <v>107</v>
      </c>
      <c r="H1798">
        <v>4</v>
      </c>
      <c r="I1798" t="s">
        <v>5685</v>
      </c>
      <c r="J1798" t="s">
        <v>357</v>
      </c>
    </row>
    <row r="1799" spans="1:10" x14ac:dyDescent="0.25">
      <c r="A1799" t="s">
        <v>5686</v>
      </c>
      <c r="B1799" t="s">
        <v>5687</v>
      </c>
      <c r="C1799" s="2">
        <v>46217.583333333336</v>
      </c>
      <c r="D1799" t="s">
        <v>418</v>
      </c>
      <c r="E1799" t="s">
        <v>41</v>
      </c>
      <c r="F1799" t="s">
        <v>114</v>
      </c>
      <c r="G1799" t="s">
        <v>115</v>
      </c>
      <c r="H1799">
        <v>4</v>
      </c>
      <c r="I1799" t="s">
        <v>5688</v>
      </c>
      <c r="J1799" t="s">
        <v>357</v>
      </c>
    </row>
    <row r="1800" spans="1:10" x14ac:dyDescent="0.25">
      <c r="A1800" t="s">
        <v>5689</v>
      </c>
      <c r="B1800" t="s">
        <v>5690</v>
      </c>
      <c r="C1800" s="2">
        <v>46217.583333333336</v>
      </c>
      <c r="D1800" t="s">
        <v>418</v>
      </c>
      <c r="E1800" t="s">
        <v>51</v>
      </c>
      <c r="F1800" t="s">
        <v>209</v>
      </c>
      <c r="G1800" t="s">
        <v>125</v>
      </c>
      <c r="H1800">
        <v>2</v>
      </c>
      <c r="I1800" t="s">
        <v>5691</v>
      </c>
      <c r="J1800" t="s">
        <v>357</v>
      </c>
    </row>
    <row r="1801" spans="1:10" x14ac:dyDescent="0.25">
      <c r="A1801" t="s">
        <v>5692</v>
      </c>
      <c r="B1801" t="s">
        <v>5693</v>
      </c>
      <c r="C1801" s="2">
        <v>46217.583333333336</v>
      </c>
      <c r="D1801" t="s">
        <v>418</v>
      </c>
      <c r="E1801" t="s">
        <v>67</v>
      </c>
      <c r="F1801" t="s">
        <v>174</v>
      </c>
      <c r="G1801" t="s">
        <v>137</v>
      </c>
      <c r="H1801">
        <v>4</v>
      </c>
      <c r="I1801" t="s">
        <v>5694</v>
      </c>
      <c r="J1801" t="s">
        <v>357</v>
      </c>
    </row>
    <row r="1802" spans="1:10" x14ac:dyDescent="0.25">
      <c r="A1802" t="s">
        <v>5695</v>
      </c>
      <c r="B1802" t="s">
        <v>5696</v>
      </c>
      <c r="C1802" s="2">
        <v>46217.583333333336</v>
      </c>
      <c r="D1802" t="s">
        <v>418</v>
      </c>
      <c r="E1802" t="s">
        <v>75</v>
      </c>
      <c r="F1802" t="s">
        <v>199</v>
      </c>
      <c r="G1802" t="s">
        <v>145</v>
      </c>
      <c r="H1802">
        <v>3</v>
      </c>
      <c r="I1802" t="s">
        <v>5697</v>
      </c>
      <c r="J1802" t="s">
        <v>357</v>
      </c>
    </row>
    <row r="1803" spans="1:10" x14ac:dyDescent="0.25">
      <c r="A1803" t="s">
        <v>5698</v>
      </c>
      <c r="B1803" t="s">
        <v>5699</v>
      </c>
      <c r="C1803" s="2">
        <v>46218.583333333336</v>
      </c>
      <c r="D1803" t="s">
        <v>418</v>
      </c>
      <c r="E1803" t="s">
        <v>11</v>
      </c>
      <c r="F1803" t="s">
        <v>201</v>
      </c>
      <c r="G1803" t="s">
        <v>92</v>
      </c>
      <c r="H1803">
        <v>3</v>
      </c>
      <c r="I1803" t="s">
        <v>5700</v>
      </c>
      <c r="J1803" t="s">
        <v>357</v>
      </c>
    </row>
    <row r="1804" spans="1:10" x14ac:dyDescent="0.25">
      <c r="A1804" t="s">
        <v>5701</v>
      </c>
      <c r="B1804" t="s">
        <v>5702</v>
      </c>
      <c r="C1804" s="2">
        <v>46218.583333333336</v>
      </c>
      <c r="D1804" t="s">
        <v>418</v>
      </c>
      <c r="E1804" t="s">
        <v>18</v>
      </c>
      <c r="F1804" t="s">
        <v>215</v>
      </c>
      <c r="G1804" t="s">
        <v>95</v>
      </c>
      <c r="H1804">
        <v>3</v>
      </c>
      <c r="I1804" t="s">
        <v>5703</v>
      </c>
      <c r="J1804" t="s">
        <v>357</v>
      </c>
    </row>
    <row r="1805" spans="1:10" x14ac:dyDescent="0.25">
      <c r="A1805" t="s">
        <v>5704</v>
      </c>
      <c r="B1805" t="s">
        <v>5705</v>
      </c>
      <c r="C1805" s="2">
        <v>46218.583333333336</v>
      </c>
      <c r="D1805" t="s">
        <v>418</v>
      </c>
      <c r="E1805" t="s">
        <v>20</v>
      </c>
      <c r="F1805" t="s">
        <v>232</v>
      </c>
      <c r="G1805" t="s">
        <v>97</v>
      </c>
      <c r="H1805">
        <v>2</v>
      </c>
      <c r="I1805" t="s">
        <v>5706</v>
      </c>
      <c r="J1805" t="s">
        <v>357</v>
      </c>
    </row>
    <row r="1806" spans="1:10" x14ac:dyDescent="0.25">
      <c r="A1806" t="s">
        <v>5707</v>
      </c>
      <c r="B1806" t="s">
        <v>5708</v>
      </c>
      <c r="C1806" s="2">
        <v>46218.583333333336</v>
      </c>
      <c r="D1806" t="s">
        <v>418</v>
      </c>
      <c r="E1806" t="s">
        <v>24</v>
      </c>
      <c r="F1806" t="s">
        <v>234</v>
      </c>
      <c r="G1806" t="s">
        <v>101</v>
      </c>
      <c r="H1806">
        <v>2</v>
      </c>
      <c r="I1806" t="s">
        <v>5709</v>
      </c>
      <c r="J1806" t="s">
        <v>357</v>
      </c>
    </row>
    <row r="1807" spans="1:10" x14ac:dyDescent="0.25">
      <c r="A1807" t="s">
        <v>5710</v>
      </c>
      <c r="B1807" t="s">
        <v>5711</v>
      </c>
      <c r="C1807" s="2">
        <v>46218.583333333336</v>
      </c>
      <c r="D1807" t="s">
        <v>418</v>
      </c>
      <c r="E1807" t="s">
        <v>26</v>
      </c>
      <c r="F1807" t="s">
        <v>235</v>
      </c>
      <c r="G1807" t="s">
        <v>103</v>
      </c>
      <c r="H1807">
        <v>4</v>
      </c>
      <c r="I1807" t="s">
        <v>5712</v>
      </c>
      <c r="J1807" t="s">
        <v>357</v>
      </c>
    </row>
    <row r="1808" spans="1:10" x14ac:dyDescent="0.25">
      <c r="A1808" t="s">
        <v>5713</v>
      </c>
      <c r="B1808" t="s">
        <v>5714</v>
      </c>
      <c r="C1808" s="2">
        <v>46218.583333333336</v>
      </c>
      <c r="D1808" t="s">
        <v>418</v>
      </c>
      <c r="E1808" t="s">
        <v>28</v>
      </c>
      <c r="F1808" t="s">
        <v>221</v>
      </c>
      <c r="G1808" t="s">
        <v>105</v>
      </c>
      <c r="H1808">
        <v>3</v>
      </c>
      <c r="I1808" t="s">
        <v>5715</v>
      </c>
      <c r="J1808" t="s">
        <v>357</v>
      </c>
    </row>
    <row r="1809" spans="1:10" x14ac:dyDescent="0.25">
      <c r="A1809" t="s">
        <v>5716</v>
      </c>
      <c r="B1809" t="s">
        <v>5717</v>
      </c>
      <c r="C1809" s="2">
        <v>46218.583333333336</v>
      </c>
      <c r="D1809" t="s">
        <v>418</v>
      </c>
      <c r="E1809" t="s">
        <v>41</v>
      </c>
      <c r="F1809" t="s">
        <v>114</v>
      </c>
      <c r="G1809" t="s">
        <v>115</v>
      </c>
      <c r="H1809">
        <v>2</v>
      </c>
      <c r="I1809" t="s">
        <v>5718</v>
      </c>
      <c r="J1809" t="s">
        <v>357</v>
      </c>
    </row>
    <row r="1810" spans="1:10" x14ac:dyDescent="0.25">
      <c r="A1810" t="s">
        <v>5719</v>
      </c>
      <c r="B1810" t="s">
        <v>5720</v>
      </c>
      <c r="C1810" s="2">
        <v>46218.583333333336</v>
      </c>
      <c r="D1810" t="s">
        <v>418</v>
      </c>
      <c r="E1810" t="s">
        <v>43</v>
      </c>
      <c r="F1810" t="s">
        <v>208</v>
      </c>
      <c r="G1810" t="s">
        <v>117</v>
      </c>
      <c r="H1810">
        <v>2</v>
      </c>
      <c r="I1810" t="s">
        <v>5721</v>
      </c>
      <c r="J1810" t="s">
        <v>357</v>
      </c>
    </row>
    <row r="1811" spans="1:10" x14ac:dyDescent="0.25">
      <c r="A1811" t="s">
        <v>5722</v>
      </c>
      <c r="B1811" t="s">
        <v>5723</v>
      </c>
      <c r="C1811" s="2">
        <v>46218.583333333336</v>
      </c>
      <c r="D1811" t="s">
        <v>418</v>
      </c>
      <c r="E1811" t="s">
        <v>55</v>
      </c>
      <c r="F1811" t="s">
        <v>170</v>
      </c>
      <c r="G1811" t="s">
        <v>129</v>
      </c>
      <c r="H1811">
        <v>2</v>
      </c>
      <c r="I1811" t="s">
        <v>5724</v>
      </c>
      <c r="J1811" t="s">
        <v>357</v>
      </c>
    </row>
    <row r="1812" spans="1:10" x14ac:dyDescent="0.25">
      <c r="A1812" t="s">
        <v>5725</v>
      </c>
      <c r="B1812" t="s">
        <v>5726</v>
      </c>
      <c r="C1812" s="2">
        <v>46218.583333333336</v>
      </c>
      <c r="D1812" t="s">
        <v>418</v>
      </c>
      <c r="E1812" t="s">
        <v>69</v>
      </c>
      <c r="F1812" t="s">
        <v>197</v>
      </c>
      <c r="G1812" t="s">
        <v>139</v>
      </c>
      <c r="H1812">
        <v>3</v>
      </c>
      <c r="I1812" t="s">
        <v>5727</v>
      </c>
      <c r="J1812" t="s">
        <v>357</v>
      </c>
    </row>
    <row r="1813" spans="1:10" x14ac:dyDescent="0.25">
      <c r="A1813" t="s">
        <v>5728</v>
      </c>
      <c r="B1813" t="s">
        <v>5729</v>
      </c>
      <c r="C1813" s="2">
        <v>46218.583333333336</v>
      </c>
      <c r="D1813" t="s">
        <v>418</v>
      </c>
      <c r="E1813" t="s">
        <v>73</v>
      </c>
      <c r="F1813" t="s">
        <v>177</v>
      </c>
      <c r="G1813" t="s">
        <v>143</v>
      </c>
      <c r="H1813">
        <v>2</v>
      </c>
      <c r="I1813" t="s">
        <v>5730</v>
      </c>
      <c r="J1813" t="s">
        <v>357</v>
      </c>
    </row>
    <row r="1814" spans="1:10" x14ac:dyDescent="0.25">
      <c r="A1814" t="s">
        <v>5731</v>
      </c>
      <c r="B1814" t="s">
        <v>5732</v>
      </c>
      <c r="C1814" s="2">
        <v>46218.583333333336</v>
      </c>
      <c r="D1814" t="s">
        <v>418</v>
      </c>
      <c r="E1814" t="s">
        <v>18</v>
      </c>
      <c r="F1814" t="s">
        <v>215</v>
      </c>
      <c r="G1814" t="s">
        <v>95</v>
      </c>
      <c r="H1814">
        <v>5</v>
      </c>
      <c r="I1814" t="s">
        <v>5733</v>
      </c>
      <c r="J1814" t="s">
        <v>357</v>
      </c>
    </row>
    <row r="1815" spans="1:10" x14ac:dyDescent="0.25">
      <c r="A1815" t="s">
        <v>5734</v>
      </c>
      <c r="B1815" t="s">
        <v>5735</v>
      </c>
      <c r="C1815" s="2">
        <v>46218.583333333336</v>
      </c>
      <c r="D1815" t="s">
        <v>418</v>
      </c>
      <c r="E1815" t="s">
        <v>20</v>
      </c>
      <c r="F1815" t="s">
        <v>232</v>
      </c>
      <c r="G1815" t="s">
        <v>97</v>
      </c>
      <c r="H1815">
        <v>4</v>
      </c>
      <c r="I1815" t="s">
        <v>5736</v>
      </c>
      <c r="J1815" t="s">
        <v>357</v>
      </c>
    </row>
    <row r="1816" spans="1:10" x14ac:dyDescent="0.25">
      <c r="A1816" t="s">
        <v>5737</v>
      </c>
      <c r="B1816" t="s">
        <v>5738</v>
      </c>
      <c r="C1816" s="2">
        <v>46218.583333333336</v>
      </c>
      <c r="D1816" t="s">
        <v>418</v>
      </c>
      <c r="E1816" t="s">
        <v>24</v>
      </c>
      <c r="F1816" t="s">
        <v>234</v>
      </c>
      <c r="G1816" t="s">
        <v>101</v>
      </c>
      <c r="H1816">
        <v>3</v>
      </c>
      <c r="I1816" t="s">
        <v>5739</v>
      </c>
      <c r="J1816" t="s">
        <v>357</v>
      </c>
    </row>
    <row r="1817" spans="1:10" x14ac:dyDescent="0.25">
      <c r="A1817" t="s">
        <v>5740</v>
      </c>
      <c r="B1817" t="s">
        <v>5741</v>
      </c>
      <c r="C1817" s="2">
        <v>46218.583333333336</v>
      </c>
      <c r="D1817" t="s">
        <v>418</v>
      </c>
      <c r="E1817" t="s">
        <v>26</v>
      </c>
      <c r="F1817" t="s">
        <v>235</v>
      </c>
      <c r="G1817" t="s">
        <v>103</v>
      </c>
      <c r="H1817">
        <v>5</v>
      </c>
      <c r="I1817" t="s">
        <v>5742</v>
      </c>
      <c r="J1817" t="s">
        <v>357</v>
      </c>
    </row>
    <row r="1818" spans="1:10" x14ac:dyDescent="0.25">
      <c r="A1818" t="s">
        <v>5743</v>
      </c>
      <c r="B1818" t="s">
        <v>5744</v>
      </c>
      <c r="C1818" s="2">
        <v>46218.583333333336</v>
      </c>
      <c r="D1818" t="s">
        <v>418</v>
      </c>
      <c r="E1818" t="s">
        <v>43</v>
      </c>
      <c r="F1818" t="s">
        <v>208</v>
      </c>
      <c r="G1818" t="s">
        <v>117</v>
      </c>
      <c r="H1818">
        <v>1</v>
      </c>
      <c r="I1818" t="s">
        <v>5745</v>
      </c>
      <c r="J1818" t="s">
        <v>357</v>
      </c>
    </row>
    <row r="1819" spans="1:10" x14ac:dyDescent="0.25">
      <c r="A1819" t="s">
        <v>5746</v>
      </c>
      <c r="B1819" t="s">
        <v>5747</v>
      </c>
      <c r="C1819" s="2">
        <v>46218.583333333336</v>
      </c>
      <c r="D1819" t="s">
        <v>418</v>
      </c>
      <c r="E1819" t="s">
        <v>49</v>
      </c>
      <c r="F1819" t="s">
        <v>226</v>
      </c>
      <c r="G1819" t="s">
        <v>123</v>
      </c>
      <c r="H1819">
        <v>1</v>
      </c>
      <c r="I1819" t="s">
        <v>5748</v>
      </c>
      <c r="J1819" t="s">
        <v>357</v>
      </c>
    </row>
    <row r="1820" spans="1:10" x14ac:dyDescent="0.25">
      <c r="A1820" t="s">
        <v>5749</v>
      </c>
      <c r="B1820" t="s">
        <v>5750</v>
      </c>
      <c r="C1820" s="2">
        <v>46218.583333333336</v>
      </c>
      <c r="D1820" t="s">
        <v>418</v>
      </c>
      <c r="E1820" t="s">
        <v>53</v>
      </c>
      <c r="F1820" t="s">
        <v>210</v>
      </c>
      <c r="G1820" t="s">
        <v>127</v>
      </c>
      <c r="H1820">
        <v>4</v>
      </c>
      <c r="I1820" t="s">
        <v>5751</v>
      </c>
      <c r="J1820" t="s">
        <v>357</v>
      </c>
    </row>
    <row r="1821" spans="1:10" x14ac:dyDescent="0.25">
      <c r="A1821" t="s">
        <v>5752</v>
      </c>
      <c r="B1821" t="s">
        <v>5753</v>
      </c>
      <c r="C1821" s="2">
        <v>46218.583333333336</v>
      </c>
      <c r="D1821" t="s">
        <v>418</v>
      </c>
      <c r="E1821" t="s">
        <v>55</v>
      </c>
      <c r="F1821" t="s">
        <v>170</v>
      </c>
      <c r="G1821" t="s">
        <v>129</v>
      </c>
      <c r="H1821">
        <v>4</v>
      </c>
      <c r="I1821" t="s">
        <v>5754</v>
      </c>
      <c r="J1821" t="s">
        <v>357</v>
      </c>
    </row>
    <row r="1822" spans="1:10" x14ac:dyDescent="0.25">
      <c r="A1822" t="s">
        <v>5755</v>
      </c>
      <c r="B1822" t="s">
        <v>5756</v>
      </c>
      <c r="C1822" s="2">
        <v>46218.583333333336</v>
      </c>
      <c r="D1822" t="s">
        <v>418</v>
      </c>
      <c r="E1822" t="s">
        <v>59</v>
      </c>
      <c r="F1822" t="s">
        <v>194</v>
      </c>
      <c r="G1822" t="s">
        <v>133</v>
      </c>
      <c r="H1822">
        <v>2</v>
      </c>
      <c r="I1822" t="s">
        <v>5757</v>
      </c>
      <c r="J1822" t="s">
        <v>357</v>
      </c>
    </row>
    <row r="1823" spans="1:10" x14ac:dyDescent="0.25">
      <c r="A1823" t="s">
        <v>5758</v>
      </c>
      <c r="B1823" t="s">
        <v>5759</v>
      </c>
      <c r="C1823" s="2">
        <v>46218.583333333336</v>
      </c>
      <c r="D1823" t="s">
        <v>418</v>
      </c>
      <c r="E1823" t="s">
        <v>73</v>
      </c>
      <c r="F1823" t="s">
        <v>177</v>
      </c>
      <c r="G1823" t="s">
        <v>143</v>
      </c>
      <c r="H1823">
        <v>3</v>
      </c>
      <c r="I1823" t="s">
        <v>5760</v>
      </c>
      <c r="J1823" t="s">
        <v>357</v>
      </c>
    </row>
    <row r="1824" spans="1:10" x14ac:dyDescent="0.25">
      <c r="A1824" t="s">
        <v>5761</v>
      </c>
      <c r="B1824" t="s">
        <v>5762</v>
      </c>
      <c r="C1824" s="2">
        <v>46218.583333333336</v>
      </c>
      <c r="D1824" t="s">
        <v>418</v>
      </c>
      <c r="E1824" t="s">
        <v>75</v>
      </c>
      <c r="F1824" t="s">
        <v>199</v>
      </c>
      <c r="G1824" t="s">
        <v>145</v>
      </c>
      <c r="H1824">
        <v>3</v>
      </c>
      <c r="I1824" t="s">
        <v>5763</v>
      </c>
      <c r="J1824" t="s">
        <v>357</v>
      </c>
    </row>
    <row r="1825" spans="1:10" x14ac:dyDescent="0.25">
      <c r="A1825" t="s">
        <v>5764</v>
      </c>
      <c r="B1825" t="s">
        <v>5765</v>
      </c>
      <c r="C1825" s="2">
        <v>46218.583333333336</v>
      </c>
      <c r="D1825" t="s">
        <v>418</v>
      </c>
      <c r="E1825" t="s">
        <v>11</v>
      </c>
      <c r="F1825" t="s">
        <v>201</v>
      </c>
      <c r="G1825" t="s">
        <v>92</v>
      </c>
      <c r="H1825">
        <v>2</v>
      </c>
      <c r="I1825" t="s">
        <v>5766</v>
      </c>
      <c r="J1825" t="s">
        <v>357</v>
      </c>
    </row>
    <row r="1826" spans="1:10" x14ac:dyDescent="0.25">
      <c r="A1826" t="s">
        <v>5767</v>
      </c>
      <c r="B1826" t="s">
        <v>5768</v>
      </c>
      <c r="C1826" s="2">
        <v>46218.583333333336</v>
      </c>
      <c r="D1826" t="s">
        <v>418</v>
      </c>
      <c r="E1826" t="s">
        <v>18</v>
      </c>
      <c r="F1826" t="s">
        <v>215</v>
      </c>
      <c r="G1826" t="s">
        <v>95</v>
      </c>
      <c r="H1826">
        <v>4</v>
      </c>
      <c r="I1826" t="s">
        <v>5769</v>
      </c>
      <c r="J1826" t="s">
        <v>357</v>
      </c>
    </row>
    <row r="1827" spans="1:10" x14ac:dyDescent="0.25">
      <c r="A1827" t="s">
        <v>5770</v>
      </c>
      <c r="B1827" t="s">
        <v>5771</v>
      </c>
      <c r="C1827" s="2">
        <v>46218.583333333336</v>
      </c>
      <c r="D1827" t="s">
        <v>418</v>
      </c>
      <c r="E1827" t="s">
        <v>20</v>
      </c>
      <c r="F1827" t="s">
        <v>232</v>
      </c>
      <c r="G1827" t="s">
        <v>97</v>
      </c>
      <c r="H1827">
        <v>2</v>
      </c>
      <c r="I1827" t="s">
        <v>5772</v>
      </c>
      <c r="J1827" t="s">
        <v>357</v>
      </c>
    </row>
    <row r="1828" spans="1:10" x14ac:dyDescent="0.25">
      <c r="A1828" t="s">
        <v>5773</v>
      </c>
      <c r="B1828" t="s">
        <v>5774</v>
      </c>
      <c r="C1828" s="2">
        <v>46218.583333333336</v>
      </c>
      <c r="D1828" t="s">
        <v>418</v>
      </c>
      <c r="E1828" t="s">
        <v>24</v>
      </c>
      <c r="F1828" t="s">
        <v>234</v>
      </c>
      <c r="G1828" t="s">
        <v>101</v>
      </c>
      <c r="H1828">
        <v>4</v>
      </c>
      <c r="I1828" t="s">
        <v>5775</v>
      </c>
      <c r="J1828" t="s">
        <v>357</v>
      </c>
    </row>
    <row r="1829" spans="1:10" x14ac:dyDescent="0.25">
      <c r="A1829" t="s">
        <v>5776</v>
      </c>
      <c r="B1829" t="s">
        <v>5777</v>
      </c>
      <c r="C1829" s="2">
        <v>46218.583333333336</v>
      </c>
      <c r="D1829" t="s">
        <v>418</v>
      </c>
      <c r="E1829" t="s">
        <v>26</v>
      </c>
      <c r="F1829" t="s">
        <v>235</v>
      </c>
      <c r="G1829" t="s">
        <v>103</v>
      </c>
      <c r="H1829">
        <v>6</v>
      </c>
      <c r="I1829" t="s">
        <v>5778</v>
      </c>
      <c r="J1829" t="s">
        <v>357</v>
      </c>
    </row>
    <row r="1830" spans="1:10" x14ac:dyDescent="0.25">
      <c r="A1830" t="s">
        <v>5779</v>
      </c>
      <c r="B1830" t="s">
        <v>5780</v>
      </c>
      <c r="C1830" s="2">
        <v>46218.583333333336</v>
      </c>
      <c r="D1830" t="s">
        <v>418</v>
      </c>
      <c r="E1830" t="s">
        <v>47</v>
      </c>
      <c r="F1830" t="s">
        <v>120</v>
      </c>
      <c r="G1830" t="s">
        <v>121</v>
      </c>
      <c r="H1830">
        <v>6</v>
      </c>
      <c r="I1830" t="s">
        <v>5781</v>
      </c>
      <c r="J1830" t="s">
        <v>357</v>
      </c>
    </row>
    <row r="1831" spans="1:10" x14ac:dyDescent="0.25">
      <c r="A1831" t="s">
        <v>5782</v>
      </c>
      <c r="B1831" t="s">
        <v>5783</v>
      </c>
      <c r="C1831" s="2">
        <v>46218.583333333336</v>
      </c>
      <c r="D1831" t="s">
        <v>418</v>
      </c>
      <c r="E1831" t="s">
        <v>55</v>
      </c>
      <c r="F1831" t="s">
        <v>170</v>
      </c>
      <c r="G1831" t="s">
        <v>129</v>
      </c>
      <c r="H1831">
        <v>4</v>
      </c>
      <c r="I1831" t="s">
        <v>5784</v>
      </c>
      <c r="J1831" t="s">
        <v>357</v>
      </c>
    </row>
    <row r="1832" spans="1:10" x14ac:dyDescent="0.25">
      <c r="A1832" t="s">
        <v>5785</v>
      </c>
      <c r="B1832" t="s">
        <v>5786</v>
      </c>
      <c r="C1832" s="2">
        <v>46218.583333333336</v>
      </c>
      <c r="D1832" t="s">
        <v>418</v>
      </c>
      <c r="E1832" t="s">
        <v>59</v>
      </c>
      <c r="F1832" t="s">
        <v>194</v>
      </c>
      <c r="G1832" t="s">
        <v>133</v>
      </c>
      <c r="H1832">
        <v>6</v>
      </c>
      <c r="I1832" t="s">
        <v>5787</v>
      </c>
      <c r="J1832" t="s">
        <v>357</v>
      </c>
    </row>
    <row r="1833" spans="1:10" x14ac:dyDescent="0.25">
      <c r="A1833" t="s">
        <v>5788</v>
      </c>
      <c r="B1833" t="s">
        <v>5789</v>
      </c>
      <c r="C1833" s="2">
        <v>46218.583333333336</v>
      </c>
      <c r="D1833" t="s">
        <v>418</v>
      </c>
      <c r="E1833" t="s">
        <v>71</v>
      </c>
      <c r="F1833" t="s">
        <v>198</v>
      </c>
      <c r="G1833" t="s">
        <v>141</v>
      </c>
      <c r="H1833">
        <v>4</v>
      </c>
      <c r="I1833" t="s">
        <v>5790</v>
      </c>
      <c r="J1833" t="s">
        <v>357</v>
      </c>
    </row>
    <row r="1834" spans="1:10" x14ac:dyDescent="0.25">
      <c r="A1834" t="s">
        <v>5791</v>
      </c>
      <c r="B1834" t="s">
        <v>5792</v>
      </c>
      <c r="C1834" s="2">
        <v>46218.583333333336</v>
      </c>
      <c r="D1834" t="s">
        <v>418</v>
      </c>
      <c r="E1834" t="s">
        <v>11</v>
      </c>
      <c r="F1834" t="s">
        <v>201</v>
      </c>
      <c r="G1834" t="s">
        <v>92</v>
      </c>
      <c r="H1834">
        <v>4</v>
      </c>
      <c r="I1834" t="s">
        <v>5793</v>
      </c>
      <c r="J1834" t="s">
        <v>357</v>
      </c>
    </row>
    <row r="1835" spans="1:10" x14ac:dyDescent="0.25">
      <c r="A1835" t="s">
        <v>5794</v>
      </c>
      <c r="B1835" t="s">
        <v>5795</v>
      </c>
      <c r="C1835" s="2">
        <v>46218.583333333336</v>
      </c>
      <c r="D1835" t="s">
        <v>418</v>
      </c>
      <c r="E1835" t="s">
        <v>20</v>
      </c>
      <c r="F1835" t="s">
        <v>232</v>
      </c>
      <c r="G1835" t="s">
        <v>97</v>
      </c>
      <c r="H1835">
        <v>4</v>
      </c>
      <c r="I1835" t="s">
        <v>5796</v>
      </c>
      <c r="J1835" t="s">
        <v>357</v>
      </c>
    </row>
    <row r="1836" spans="1:10" x14ac:dyDescent="0.25">
      <c r="A1836" t="s">
        <v>5797</v>
      </c>
      <c r="B1836" t="s">
        <v>5798</v>
      </c>
      <c r="C1836" s="2">
        <v>46218.583333333336</v>
      </c>
      <c r="D1836" t="s">
        <v>418</v>
      </c>
      <c r="E1836" t="s">
        <v>24</v>
      </c>
      <c r="F1836" t="s">
        <v>234</v>
      </c>
      <c r="G1836" t="s">
        <v>101</v>
      </c>
      <c r="H1836">
        <v>3</v>
      </c>
      <c r="I1836" t="s">
        <v>5799</v>
      </c>
      <c r="J1836" t="s">
        <v>357</v>
      </c>
    </row>
    <row r="1837" spans="1:10" x14ac:dyDescent="0.25">
      <c r="A1837" t="s">
        <v>5800</v>
      </c>
      <c r="B1837" t="s">
        <v>5801</v>
      </c>
      <c r="C1837" s="2">
        <v>46218.583333333336</v>
      </c>
      <c r="D1837" t="s">
        <v>418</v>
      </c>
      <c r="E1837" t="s">
        <v>26</v>
      </c>
      <c r="F1837" t="s">
        <v>235</v>
      </c>
      <c r="G1837" t="s">
        <v>103</v>
      </c>
      <c r="H1837">
        <v>3</v>
      </c>
      <c r="I1837" t="s">
        <v>5802</v>
      </c>
      <c r="J1837" t="s">
        <v>357</v>
      </c>
    </row>
    <row r="1838" spans="1:10" x14ac:dyDescent="0.25">
      <c r="A1838" t="s">
        <v>5803</v>
      </c>
      <c r="B1838" t="s">
        <v>5804</v>
      </c>
      <c r="C1838" s="2">
        <v>46218.583333333336</v>
      </c>
      <c r="D1838" t="s">
        <v>418</v>
      </c>
      <c r="E1838" t="s">
        <v>32</v>
      </c>
      <c r="F1838" t="s">
        <v>222</v>
      </c>
      <c r="G1838" t="s">
        <v>109</v>
      </c>
      <c r="H1838">
        <v>1</v>
      </c>
      <c r="I1838" t="s">
        <v>5805</v>
      </c>
      <c r="J1838" t="s">
        <v>357</v>
      </c>
    </row>
    <row r="1839" spans="1:10" x14ac:dyDescent="0.25">
      <c r="A1839" t="s">
        <v>5806</v>
      </c>
      <c r="B1839" t="s">
        <v>5807</v>
      </c>
      <c r="C1839" s="2">
        <v>46218.583333333336</v>
      </c>
      <c r="D1839" t="s">
        <v>418</v>
      </c>
      <c r="E1839" t="s">
        <v>36</v>
      </c>
      <c r="F1839" t="s">
        <v>223</v>
      </c>
      <c r="G1839" t="s">
        <v>113</v>
      </c>
      <c r="H1839">
        <v>4</v>
      </c>
      <c r="I1839" t="s">
        <v>5808</v>
      </c>
      <c r="J1839" t="s">
        <v>357</v>
      </c>
    </row>
    <row r="1840" spans="1:10" x14ac:dyDescent="0.25">
      <c r="A1840" t="s">
        <v>5809</v>
      </c>
      <c r="B1840" t="s">
        <v>5810</v>
      </c>
      <c r="C1840" s="2">
        <v>46218.583333333336</v>
      </c>
      <c r="D1840" t="s">
        <v>418</v>
      </c>
      <c r="E1840" t="s">
        <v>43</v>
      </c>
      <c r="F1840" t="s">
        <v>208</v>
      </c>
      <c r="G1840" t="s">
        <v>117</v>
      </c>
      <c r="H1840">
        <v>1</v>
      </c>
      <c r="I1840" t="s">
        <v>5811</v>
      </c>
      <c r="J1840" t="s">
        <v>357</v>
      </c>
    </row>
    <row r="1841" spans="1:10" x14ac:dyDescent="0.25">
      <c r="A1841" t="s">
        <v>5812</v>
      </c>
      <c r="B1841" t="s">
        <v>5813</v>
      </c>
      <c r="C1841" s="2">
        <v>46218.583333333336</v>
      </c>
      <c r="D1841" t="s">
        <v>418</v>
      </c>
      <c r="E1841" t="s">
        <v>49</v>
      </c>
      <c r="F1841" t="s">
        <v>226</v>
      </c>
      <c r="G1841" t="s">
        <v>123</v>
      </c>
      <c r="H1841">
        <v>6</v>
      </c>
      <c r="I1841" t="s">
        <v>5814</v>
      </c>
      <c r="J1841" t="s">
        <v>357</v>
      </c>
    </row>
    <row r="1842" spans="1:10" x14ac:dyDescent="0.25">
      <c r="A1842" t="s">
        <v>5815</v>
      </c>
      <c r="B1842" t="s">
        <v>5816</v>
      </c>
      <c r="C1842" s="2">
        <v>46218.583333333336</v>
      </c>
      <c r="D1842" t="s">
        <v>418</v>
      </c>
      <c r="E1842" t="s">
        <v>55</v>
      </c>
      <c r="F1842" t="s">
        <v>170</v>
      </c>
      <c r="G1842" t="s">
        <v>129</v>
      </c>
      <c r="H1842">
        <v>1</v>
      </c>
      <c r="I1842" t="s">
        <v>5817</v>
      </c>
      <c r="J1842" t="s">
        <v>357</v>
      </c>
    </row>
    <row r="1843" spans="1:10" x14ac:dyDescent="0.25">
      <c r="A1843" t="s">
        <v>5818</v>
      </c>
      <c r="B1843" t="s">
        <v>5819</v>
      </c>
      <c r="C1843" s="2">
        <v>46218.583333333336</v>
      </c>
      <c r="D1843" t="s">
        <v>418</v>
      </c>
      <c r="E1843" t="s">
        <v>59</v>
      </c>
      <c r="F1843" t="s">
        <v>194</v>
      </c>
      <c r="G1843" t="s">
        <v>133</v>
      </c>
      <c r="H1843">
        <v>1</v>
      </c>
      <c r="I1843" t="s">
        <v>5820</v>
      </c>
      <c r="J1843" t="s">
        <v>357</v>
      </c>
    </row>
    <row r="1844" spans="1:10" x14ac:dyDescent="0.25">
      <c r="A1844" t="s">
        <v>5821</v>
      </c>
      <c r="B1844" t="s">
        <v>5822</v>
      </c>
      <c r="C1844" s="2">
        <v>46218.583333333336</v>
      </c>
      <c r="D1844" t="s">
        <v>418</v>
      </c>
      <c r="E1844" t="s">
        <v>11</v>
      </c>
      <c r="F1844" t="s">
        <v>201</v>
      </c>
      <c r="G1844" t="s">
        <v>92</v>
      </c>
      <c r="H1844">
        <v>3</v>
      </c>
      <c r="I1844" t="s">
        <v>5823</v>
      </c>
      <c r="J1844" t="s">
        <v>357</v>
      </c>
    </row>
    <row r="1845" spans="1:10" x14ac:dyDescent="0.25">
      <c r="A1845" t="s">
        <v>5824</v>
      </c>
      <c r="B1845" t="s">
        <v>5825</v>
      </c>
      <c r="C1845" s="2">
        <v>46218.583333333336</v>
      </c>
      <c r="D1845" t="s">
        <v>418</v>
      </c>
      <c r="E1845" t="s">
        <v>20</v>
      </c>
      <c r="F1845" t="s">
        <v>232</v>
      </c>
      <c r="G1845" t="s">
        <v>97</v>
      </c>
      <c r="H1845">
        <v>4</v>
      </c>
      <c r="I1845" t="s">
        <v>5826</v>
      </c>
      <c r="J1845" t="s">
        <v>357</v>
      </c>
    </row>
    <row r="1846" spans="1:10" x14ac:dyDescent="0.25">
      <c r="A1846" t="s">
        <v>5827</v>
      </c>
      <c r="B1846" t="s">
        <v>5828</v>
      </c>
      <c r="C1846" s="2">
        <v>46218.583333333336</v>
      </c>
      <c r="D1846" t="s">
        <v>418</v>
      </c>
      <c r="E1846" t="s">
        <v>24</v>
      </c>
      <c r="F1846" t="s">
        <v>234</v>
      </c>
      <c r="G1846" t="s">
        <v>101</v>
      </c>
      <c r="H1846">
        <v>3</v>
      </c>
      <c r="I1846" t="s">
        <v>5829</v>
      </c>
      <c r="J1846" t="s">
        <v>357</v>
      </c>
    </row>
    <row r="1847" spans="1:10" x14ac:dyDescent="0.25">
      <c r="A1847" t="s">
        <v>5830</v>
      </c>
      <c r="B1847" t="s">
        <v>5831</v>
      </c>
      <c r="C1847" s="2">
        <v>46218.583333333336</v>
      </c>
      <c r="D1847" t="s">
        <v>418</v>
      </c>
      <c r="E1847" t="s">
        <v>26</v>
      </c>
      <c r="F1847" t="s">
        <v>235</v>
      </c>
      <c r="G1847" t="s">
        <v>103</v>
      </c>
      <c r="H1847">
        <v>2</v>
      </c>
      <c r="I1847" t="s">
        <v>5832</v>
      </c>
      <c r="J1847" t="s">
        <v>357</v>
      </c>
    </row>
    <row r="1848" spans="1:10" x14ac:dyDescent="0.25">
      <c r="A1848" t="s">
        <v>5833</v>
      </c>
      <c r="B1848" t="s">
        <v>5834</v>
      </c>
      <c r="C1848" s="2">
        <v>46218.583333333336</v>
      </c>
      <c r="D1848" t="s">
        <v>418</v>
      </c>
      <c r="E1848" t="s">
        <v>45</v>
      </c>
      <c r="F1848" t="s">
        <v>165</v>
      </c>
      <c r="G1848" t="s">
        <v>119</v>
      </c>
      <c r="H1848">
        <v>2</v>
      </c>
      <c r="I1848" t="s">
        <v>5835</v>
      </c>
      <c r="J1848" t="s">
        <v>357</v>
      </c>
    </row>
    <row r="1849" spans="1:10" x14ac:dyDescent="0.25">
      <c r="A1849" t="s">
        <v>5836</v>
      </c>
      <c r="B1849" t="s">
        <v>5837</v>
      </c>
      <c r="C1849" s="2">
        <v>46218.583333333336</v>
      </c>
      <c r="D1849" t="s">
        <v>418</v>
      </c>
      <c r="E1849" t="s">
        <v>49</v>
      </c>
      <c r="F1849" t="s">
        <v>226</v>
      </c>
      <c r="G1849" t="s">
        <v>123</v>
      </c>
      <c r="H1849">
        <v>4</v>
      </c>
      <c r="I1849" t="s">
        <v>5838</v>
      </c>
      <c r="J1849" t="s">
        <v>357</v>
      </c>
    </row>
    <row r="1850" spans="1:10" x14ac:dyDescent="0.25">
      <c r="A1850" t="s">
        <v>5839</v>
      </c>
      <c r="B1850" t="s">
        <v>5840</v>
      </c>
      <c r="C1850" s="2">
        <v>46218.583333333336</v>
      </c>
      <c r="D1850" t="s">
        <v>418</v>
      </c>
      <c r="E1850" t="s">
        <v>69</v>
      </c>
      <c r="F1850" t="s">
        <v>197</v>
      </c>
      <c r="G1850" t="s">
        <v>139</v>
      </c>
      <c r="H1850">
        <v>4</v>
      </c>
      <c r="I1850" t="s">
        <v>5841</v>
      </c>
      <c r="J1850" t="s">
        <v>357</v>
      </c>
    </row>
    <row r="1851" spans="1:10" x14ac:dyDescent="0.25">
      <c r="A1851" t="s">
        <v>5842</v>
      </c>
      <c r="B1851" t="s">
        <v>5843</v>
      </c>
      <c r="C1851" s="2">
        <v>46218.583333333336</v>
      </c>
      <c r="D1851" t="s">
        <v>418</v>
      </c>
      <c r="E1851" t="s">
        <v>75</v>
      </c>
      <c r="F1851" t="s">
        <v>199</v>
      </c>
      <c r="G1851" t="s">
        <v>145</v>
      </c>
      <c r="H1851">
        <v>4</v>
      </c>
      <c r="I1851" t="s">
        <v>5844</v>
      </c>
      <c r="J1851" t="s">
        <v>357</v>
      </c>
    </row>
    <row r="1852" spans="1:10" x14ac:dyDescent="0.25">
      <c r="A1852" t="s">
        <v>5845</v>
      </c>
      <c r="B1852" t="s">
        <v>5846</v>
      </c>
      <c r="C1852" s="2">
        <v>46218.583333333336</v>
      </c>
      <c r="D1852" t="s">
        <v>418</v>
      </c>
      <c r="E1852" t="s">
        <v>77</v>
      </c>
      <c r="F1852" t="s">
        <v>200</v>
      </c>
      <c r="G1852" t="s">
        <v>147</v>
      </c>
      <c r="H1852">
        <v>1</v>
      </c>
      <c r="I1852" t="s">
        <v>5847</v>
      </c>
      <c r="J1852" t="s">
        <v>357</v>
      </c>
    </row>
    <row r="1853" spans="1:10" x14ac:dyDescent="0.25">
      <c r="A1853" t="s">
        <v>5848</v>
      </c>
      <c r="B1853" t="s">
        <v>5849</v>
      </c>
      <c r="C1853" s="2">
        <v>46219.583333333336</v>
      </c>
      <c r="D1853" t="s">
        <v>418</v>
      </c>
      <c r="E1853" t="s">
        <v>18</v>
      </c>
      <c r="F1853" t="s">
        <v>215</v>
      </c>
      <c r="G1853" t="s">
        <v>95</v>
      </c>
      <c r="H1853">
        <v>2</v>
      </c>
      <c r="I1853" t="s">
        <v>5850</v>
      </c>
      <c r="J1853" t="s">
        <v>357</v>
      </c>
    </row>
    <row r="1854" spans="1:10" x14ac:dyDescent="0.25">
      <c r="A1854" t="s">
        <v>5851</v>
      </c>
      <c r="B1854" t="s">
        <v>5852</v>
      </c>
      <c r="C1854" s="2">
        <v>46219.583333333336</v>
      </c>
      <c r="D1854" t="s">
        <v>418</v>
      </c>
      <c r="E1854" t="s">
        <v>22</v>
      </c>
      <c r="F1854" t="s">
        <v>217</v>
      </c>
      <c r="G1854" t="s">
        <v>99</v>
      </c>
      <c r="H1854">
        <v>4</v>
      </c>
      <c r="I1854" t="s">
        <v>5853</v>
      </c>
      <c r="J1854" t="s">
        <v>357</v>
      </c>
    </row>
    <row r="1855" spans="1:10" x14ac:dyDescent="0.25">
      <c r="A1855" t="s">
        <v>5854</v>
      </c>
      <c r="B1855" t="s">
        <v>5855</v>
      </c>
      <c r="C1855" s="2">
        <v>46219.583333333336</v>
      </c>
      <c r="D1855" t="s">
        <v>418</v>
      </c>
      <c r="E1855" t="s">
        <v>26</v>
      </c>
      <c r="F1855" t="s">
        <v>235</v>
      </c>
      <c r="G1855" t="s">
        <v>103</v>
      </c>
      <c r="H1855">
        <v>2</v>
      </c>
      <c r="I1855" t="s">
        <v>5856</v>
      </c>
      <c r="J1855" t="s">
        <v>357</v>
      </c>
    </row>
    <row r="1856" spans="1:10" x14ac:dyDescent="0.25">
      <c r="A1856" t="s">
        <v>5857</v>
      </c>
      <c r="B1856" t="s">
        <v>5858</v>
      </c>
      <c r="C1856" s="2">
        <v>46219.583333333336</v>
      </c>
      <c r="D1856" t="s">
        <v>418</v>
      </c>
      <c r="E1856" t="s">
        <v>28</v>
      </c>
      <c r="F1856" t="s">
        <v>221</v>
      </c>
      <c r="G1856" t="s">
        <v>105</v>
      </c>
      <c r="H1856">
        <v>4</v>
      </c>
      <c r="I1856" t="s">
        <v>5859</v>
      </c>
      <c r="J1856" t="s">
        <v>357</v>
      </c>
    </row>
    <row r="1857" spans="1:10" x14ac:dyDescent="0.25">
      <c r="A1857" t="s">
        <v>5860</v>
      </c>
      <c r="B1857" t="s">
        <v>5861</v>
      </c>
      <c r="C1857" s="2">
        <v>46219.583333333336</v>
      </c>
      <c r="D1857" t="s">
        <v>418</v>
      </c>
      <c r="E1857" t="s">
        <v>30</v>
      </c>
      <c r="F1857" t="s">
        <v>159</v>
      </c>
      <c r="G1857" t="s">
        <v>107</v>
      </c>
      <c r="H1857">
        <v>3</v>
      </c>
      <c r="I1857" t="s">
        <v>5862</v>
      </c>
      <c r="J1857" t="s">
        <v>357</v>
      </c>
    </row>
    <row r="1858" spans="1:10" x14ac:dyDescent="0.25">
      <c r="A1858" t="s">
        <v>5863</v>
      </c>
      <c r="B1858" t="s">
        <v>5864</v>
      </c>
      <c r="C1858" s="2">
        <v>46219.583333333336</v>
      </c>
      <c r="D1858" t="s">
        <v>418</v>
      </c>
      <c r="E1858" t="s">
        <v>36</v>
      </c>
      <c r="F1858" t="s">
        <v>223</v>
      </c>
      <c r="G1858" t="s">
        <v>113</v>
      </c>
      <c r="H1858">
        <v>4</v>
      </c>
      <c r="I1858" t="s">
        <v>5865</v>
      </c>
      <c r="J1858" t="s">
        <v>357</v>
      </c>
    </row>
    <row r="1859" spans="1:10" x14ac:dyDescent="0.25">
      <c r="A1859" t="s">
        <v>5866</v>
      </c>
      <c r="B1859" t="s">
        <v>5867</v>
      </c>
      <c r="C1859" s="2">
        <v>46219.583333333336</v>
      </c>
      <c r="D1859" t="s">
        <v>418</v>
      </c>
      <c r="E1859" t="s">
        <v>43</v>
      </c>
      <c r="F1859" t="s">
        <v>208</v>
      </c>
      <c r="G1859" t="s">
        <v>117</v>
      </c>
      <c r="H1859">
        <v>2</v>
      </c>
      <c r="I1859" t="s">
        <v>5868</v>
      </c>
      <c r="J1859" t="s">
        <v>357</v>
      </c>
    </row>
    <row r="1860" spans="1:10" x14ac:dyDescent="0.25">
      <c r="A1860" t="s">
        <v>5869</v>
      </c>
      <c r="B1860" t="s">
        <v>5870</v>
      </c>
      <c r="C1860" s="2">
        <v>46219.583333333336</v>
      </c>
      <c r="D1860" t="s">
        <v>418</v>
      </c>
      <c r="E1860" t="s">
        <v>45</v>
      </c>
      <c r="F1860" t="s">
        <v>165</v>
      </c>
      <c r="G1860" t="s">
        <v>119</v>
      </c>
      <c r="H1860">
        <v>1</v>
      </c>
      <c r="I1860" t="s">
        <v>5871</v>
      </c>
      <c r="J1860" t="s">
        <v>357</v>
      </c>
    </row>
    <row r="1861" spans="1:10" x14ac:dyDescent="0.25">
      <c r="A1861" t="s">
        <v>5872</v>
      </c>
      <c r="B1861" t="s">
        <v>5873</v>
      </c>
      <c r="C1861" s="2">
        <v>46219.583333333336</v>
      </c>
      <c r="D1861" t="s">
        <v>418</v>
      </c>
      <c r="E1861" t="s">
        <v>45</v>
      </c>
      <c r="F1861" t="s">
        <v>225</v>
      </c>
      <c r="G1861" t="s">
        <v>119</v>
      </c>
      <c r="H1861">
        <v>1</v>
      </c>
      <c r="I1861" t="s">
        <v>5871</v>
      </c>
      <c r="J1861" t="s">
        <v>357</v>
      </c>
    </row>
    <row r="1862" spans="1:10" x14ac:dyDescent="0.25">
      <c r="A1862" t="s">
        <v>5874</v>
      </c>
      <c r="B1862" t="s">
        <v>5875</v>
      </c>
      <c r="C1862" s="2">
        <v>46219.583333333336</v>
      </c>
      <c r="D1862" t="s">
        <v>418</v>
      </c>
      <c r="E1862" t="s">
        <v>49</v>
      </c>
      <c r="F1862" t="s">
        <v>226</v>
      </c>
      <c r="G1862" t="s">
        <v>123</v>
      </c>
      <c r="H1862">
        <v>3</v>
      </c>
      <c r="I1862" t="s">
        <v>5876</v>
      </c>
      <c r="J1862" t="s">
        <v>357</v>
      </c>
    </row>
    <row r="1863" spans="1:10" x14ac:dyDescent="0.25">
      <c r="A1863" t="s">
        <v>5877</v>
      </c>
      <c r="B1863" t="s">
        <v>5878</v>
      </c>
      <c r="C1863" s="2">
        <v>46219.583333333336</v>
      </c>
      <c r="D1863" t="s">
        <v>418</v>
      </c>
      <c r="E1863" t="s">
        <v>71</v>
      </c>
      <c r="F1863" t="s">
        <v>198</v>
      </c>
      <c r="G1863" t="s">
        <v>141</v>
      </c>
      <c r="H1863">
        <v>1</v>
      </c>
      <c r="I1863" t="s">
        <v>5879</v>
      </c>
      <c r="J1863" t="s">
        <v>357</v>
      </c>
    </row>
    <row r="1864" spans="1:10" x14ac:dyDescent="0.25">
      <c r="A1864" t="s">
        <v>5880</v>
      </c>
      <c r="B1864" t="s">
        <v>5881</v>
      </c>
      <c r="C1864" s="2">
        <v>46219.583333333336</v>
      </c>
      <c r="D1864" t="s">
        <v>418</v>
      </c>
      <c r="E1864" t="s">
        <v>77</v>
      </c>
      <c r="F1864" t="s">
        <v>200</v>
      </c>
      <c r="G1864" t="s">
        <v>147</v>
      </c>
      <c r="H1864">
        <v>1</v>
      </c>
      <c r="I1864" t="s">
        <v>5882</v>
      </c>
      <c r="J1864" t="s">
        <v>357</v>
      </c>
    </row>
    <row r="1865" spans="1:10" x14ac:dyDescent="0.25">
      <c r="A1865" t="s">
        <v>5883</v>
      </c>
      <c r="B1865" t="s">
        <v>5884</v>
      </c>
      <c r="C1865" s="2">
        <v>46219.583333333336</v>
      </c>
      <c r="D1865" t="s">
        <v>418</v>
      </c>
      <c r="E1865" t="s">
        <v>20</v>
      </c>
      <c r="F1865" t="s">
        <v>232</v>
      </c>
      <c r="G1865" t="s">
        <v>97</v>
      </c>
      <c r="H1865">
        <v>3</v>
      </c>
      <c r="I1865" t="s">
        <v>5885</v>
      </c>
      <c r="J1865" t="s">
        <v>357</v>
      </c>
    </row>
    <row r="1866" spans="1:10" x14ac:dyDescent="0.25">
      <c r="A1866" t="s">
        <v>5886</v>
      </c>
      <c r="B1866" t="s">
        <v>5887</v>
      </c>
      <c r="C1866" s="2">
        <v>46219.583333333336</v>
      </c>
      <c r="D1866" t="s">
        <v>418</v>
      </c>
      <c r="E1866" t="s">
        <v>26</v>
      </c>
      <c r="F1866" t="s">
        <v>235</v>
      </c>
      <c r="G1866" t="s">
        <v>103</v>
      </c>
      <c r="H1866">
        <v>5</v>
      </c>
      <c r="I1866" t="s">
        <v>5888</v>
      </c>
      <c r="J1866" t="s">
        <v>357</v>
      </c>
    </row>
    <row r="1867" spans="1:10" x14ac:dyDescent="0.25">
      <c r="A1867" t="s">
        <v>5889</v>
      </c>
      <c r="B1867" t="s">
        <v>5890</v>
      </c>
      <c r="C1867" s="2">
        <v>46219.583333333336</v>
      </c>
      <c r="D1867" t="s">
        <v>418</v>
      </c>
      <c r="E1867" t="s">
        <v>30</v>
      </c>
      <c r="F1867" t="s">
        <v>159</v>
      </c>
      <c r="G1867" t="s">
        <v>107</v>
      </c>
      <c r="H1867">
        <v>3</v>
      </c>
      <c r="I1867" t="s">
        <v>5891</v>
      </c>
      <c r="J1867" t="s">
        <v>357</v>
      </c>
    </row>
    <row r="1868" spans="1:10" x14ac:dyDescent="0.25">
      <c r="A1868" t="s">
        <v>5892</v>
      </c>
      <c r="B1868" t="s">
        <v>5893</v>
      </c>
      <c r="C1868" s="2">
        <v>46219.583333333336</v>
      </c>
      <c r="D1868" t="s">
        <v>418</v>
      </c>
      <c r="E1868" t="s">
        <v>32</v>
      </c>
      <c r="F1868" t="s">
        <v>222</v>
      </c>
      <c r="G1868" t="s">
        <v>109</v>
      </c>
      <c r="H1868">
        <v>3</v>
      </c>
      <c r="I1868" t="s">
        <v>5894</v>
      </c>
      <c r="J1868" t="s">
        <v>357</v>
      </c>
    </row>
    <row r="1869" spans="1:10" x14ac:dyDescent="0.25">
      <c r="A1869" t="s">
        <v>5895</v>
      </c>
      <c r="B1869" t="s">
        <v>5896</v>
      </c>
      <c r="C1869" s="2">
        <v>46219.583333333336</v>
      </c>
      <c r="D1869" t="s">
        <v>418</v>
      </c>
      <c r="E1869" t="s">
        <v>49</v>
      </c>
      <c r="F1869" t="s">
        <v>226</v>
      </c>
      <c r="G1869" t="s">
        <v>123</v>
      </c>
      <c r="H1869">
        <v>2</v>
      </c>
      <c r="I1869" t="s">
        <v>5897</v>
      </c>
      <c r="J1869" t="s">
        <v>357</v>
      </c>
    </row>
    <row r="1870" spans="1:10" x14ac:dyDescent="0.25">
      <c r="A1870" t="s">
        <v>5898</v>
      </c>
      <c r="B1870" t="s">
        <v>5899</v>
      </c>
      <c r="C1870" s="2">
        <v>46219.583333333336</v>
      </c>
      <c r="D1870" t="s">
        <v>418</v>
      </c>
      <c r="E1870" t="s">
        <v>51</v>
      </c>
      <c r="F1870" t="s">
        <v>209</v>
      </c>
      <c r="G1870" t="s">
        <v>125</v>
      </c>
      <c r="H1870">
        <v>2</v>
      </c>
      <c r="I1870" t="s">
        <v>5900</v>
      </c>
      <c r="J1870" t="s">
        <v>357</v>
      </c>
    </row>
    <row r="1871" spans="1:10" x14ac:dyDescent="0.25">
      <c r="A1871" t="s">
        <v>5901</v>
      </c>
      <c r="B1871" t="s">
        <v>5902</v>
      </c>
      <c r="C1871" s="2">
        <v>46219.583333333336</v>
      </c>
      <c r="D1871" t="s">
        <v>418</v>
      </c>
      <c r="E1871" t="s">
        <v>65</v>
      </c>
      <c r="F1871" t="s">
        <v>195</v>
      </c>
      <c r="G1871" t="s">
        <v>135</v>
      </c>
      <c r="H1871">
        <v>2</v>
      </c>
      <c r="I1871" t="s">
        <v>5903</v>
      </c>
      <c r="J1871" t="s">
        <v>357</v>
      </c>
    </row>
    <row r="1872" spans="1:10" x14ac:dyDescent="0.25">
      <c r="A1872" t="s">
        <v>5904</v>
      </c>
      <c r="B1872" t="s">
        <v>5905</v>
      </c>
      <c r="C1872" s="2">
        <v>46219.583333333336</v>
      </c>
      <c r="D1872" t="s">
        <v>418</v>
      </c>
      <c r="E1872" t="s">
        <v>67</v>
      </c>
      <c r="F1872" t="s">
        <v>174</v>
      </c>
      <c r="G1872" t="s">
        <v>137</v>
      </c>
      <c r="H1872">
        <v>5</v>
      </c>
      <c r="I1872" t="s">
        <v>5906</v>
      </c>
      <c r="J1872" t="s">
        <v>357</v>
      </c>
    </row>
    <row r="1873" spans="1:10" x14ac:dyDescent="0.25">
      <c r="A1873" t="s">
        <v>5907</v>
      </c>
      <c r="B1873" t="s">
        <v>5908</v>
      </c>
      <c r="C1873" s="2">
        <v>46219.583333333336</v>
      </c>
      <c r="D1873" t="s">
        <v>418</v>
      </c>
      <c r="E1873" t="s">
        <v>69</v>
      </c>
      <c r="F1873" t="s">
        <v>197</v>
      </c>
      <c r="G1873" t="s">
        <v>139</v>
      </c>
      <c r="H1873">
        <v>4</v>
      </c>
      <c r="I1873" t="s">
        <v>5909</v>
      </c>
      <c r="J1873" t="s">
        <v>357</v>
      </c>
    </row>
    <row r="1874" spans="1:10" x14ac:dyDescent="0.25">
      <c r="A1874" t="s">
        <v>5910</v>
      </c>
      <c r="B1874" t="s">
        <v>5911</v>
      </c>
      <c r="C1874" s="2">
        <v>46219.583333333336</v>
      </c>
      <c r="D1874" t="s">
        <v>418</v>
      </c>
      <c r="E1874" t="s">
        <v>75</v>
      </c>
      <c r="F1874" t="s">
        <v>199</v>
      </c>
      <c r="G1874" t="s">
        <v>145</v>
      </c>
      <c r="H1874">
        <v>5</v>
      </c>
      <c r="I1874" t="s">
        <v>5912</v>
      </c>
      <c r="J1874" t="s">
        <v>357</v>
      </c>
    </row>
    <row r="1875" spans="1:10" x14ac:dyDescent="0.25">
      <c r="A1875" t="s">
        <v>5913</v>
      </c>
      <c r="B1875" t="s">
        <v>5914</v>
      </c>
      <c r="C1875" s="2">
        <v>46219.583333333336</v>
      </c>
      <c r="D1875" t="s">
        <v>418</v>
      </c>
      <c r="E1875" t="s">
        <v>18</v>
      </c>
      <c r="F1875" t="s">
        <v>215</v>
      </c>
      <c r="G1875" t="s">
        <v>95</v>
      </c>
      <c r="H1875">
        <v>4</v>
      </c>
      <c r="I1875" t="s">
        <v>5915</v>
      </c>
      <c r="J1875" t="s">
        <v>357</v>
      </c>
    </row>
    <row r="1876" spans="1:10" x14ac:dyDescent="0.25">
      <c r="A1876" t="s">
        <v>5916</v>
      </c>
      <c r="B1876" t="s">
        <v>5917</v>
      </c>
      <c r="C1876" s="2">
        <v>46219.583333333336</v>
      </c>
      <c r="D1876" t="s">
        <v>418</v>
      </c>
      <c r="E1876" t="s">
        <v>20</v>
      </c>
      <c r="F1876" t="s">
        <v>232</v>
      </c>
      <c r="G1876" t="s">
        <v>97</v>
      </c>
      <c r="H1876">
        <v>2</v>
      </c>
      <c r="I1876" t="s">
        <v>5918</v>
      </c>
      <c r="J1876" t="s">
        <v>357</v>
      </c>
    </row>
    <row r="1877" spans="1:10" x14ac:dyDescent="0.25">
      <c r="A1877" t="s">
        <v>5919</v>
      </c>
      <c r="B1877" t="s">
        <v>5920</v>
      </c>
      <c r="C1877" s="2">
        <v>46219.583333333336</v>
      </c>
      <c r="D1877" t="s">
        <v>418</v>
      </c>
      <c r="E1877" t="s">
        <v>22</v>
      </c>
      <c r="F1877" t="s">
        <v>217</v>
      </c>
      <c r="G1877" t="s">
        <v>99</v>
      </c>
      <c r="H1877">
        <v>1</v>
      </c>
      <c r="I1877" t="s">
        <v>5921</v>
      </c>
      <c r="J1877" t="s">
        <v>357</v>
      </c>
    </row>
    <row r="1878" spans="1:10" x14ac:dyDescent="0.25">
      <c r="A1878" t="s">
        <v>5922</v>
      </c>
      <c r="B1878" t="s">
        <v>5923</v>
      </c>
      <c r="C1878" s="2">
        <v>46219.583333333336</v>
      </c>
      <c r="D1878" t="s">
        <v>418</v>
      </c>
      <c r="E1878" t="s">
        <v>24</v>
      </c>
      <c r="F1878" t="s">
        <v>234</v>
      </c>
      <c r="G1878" t="s">
        <v>101</v>
      </c>
      <c r="H1878">
        <v>1</v>
      </c>
      <c r="I1878" t="s">
        <v>5924</v>
      </c>
      <c r="J1878" t="s">
        <v>357</v>
      </c>
    </row>
    <row r="1879" spans="1:10" x14ac:dyDescent="0.25">
      <c r="A1879" t="s">
        <v>5925</v>
      </c>
      <c r="B1879" t="s">
        <v>5926</v>
      </c>
      <c r="C1879" s="2">
        <v>46219.583333333336</v>
      </c>
      <c r="D1879" t="s">
        <v>418</v>
      </c>
      <c r="E1879" t="s">
        <v>26</v>
      </c>
      <c r="F1879" t="s">
        <v>235</v>
      </c>
      <c r="G1879" t="s">
        <v>103</v>
      </c>
      <c r="H1879">
        <v>1</v>
      </c>
      <c r="I1879" t="s">
        <v>5927</v>
      </c>
      <c r="J1879" t="s">
        <v>357</v>
      </c>
    </row>
    <row r="1880" spans="1:10" x14ac:dyDescent="0.25">
      <c r="A1880" t="s">
        <v>5928</v>
      </c>
      <c r="B1880" t="s">
        <v>5929</v>
      </c>
      <c r="C1880" s="2">
        <v>46219.583333333336</v>
      </c>
      <c r="D1880" t="s">
        <v>418</v>
      </c>
      <c r="E1880" t="s">
        <v>32</v>
      </c>
      <c r="F1880" t="s">
        <v>222</v>
      </c>
      <c r="G1880" t="s">
        <v>109</v>
      </c>
      <c r="H1880">
        <v>5</v>
      </c>
      <c r="I1880" t="s">
        <v>5930</v>
      </c>
      <c r="J1880" t="s">
        <v>357</v>
      </c>
    </row>
    <row r="1881" spans="1:10" x14ac:dyDescent="0.25">
      <c r="A1881" t="s">
        <v>5931</v>
      </c>
      <c r="B1881" t="s">
        <v>5932</v>
      </c>
      <c r="C1881" s="2">
        <v>46219.583333333336</v>
      </c>
      <c r="D1881" t="s">
        <v>418</v>
      </c>
      <c r="E1881" t="s">
        <v>43</v>
      </c>
      <c r="F1881" t="s">
        <v>208</v>
      </c>
      <c r="G1881" t="s">
        <v>117</v>
      </c>
      <c r="H1881">
        <v>5</v>
      </c>
      <c r="I1881" t="s">
        <v>5933</v>
      </c>
      <c r="J1881" t="s">
        <v>357</v>
      </c>
    </row>
    <row r="1882" spans="1:10" x14ac:dyDescent="0.25">
      <c r="A1882" t="s">
        <v>5934</v>
      </c>
      <c r="B1882" t="s">
        <v>5935</v>
      </c>
      <c r="C1882" s="2">
        <v>46219.583333333336</v>
      </c>
      <c r="D1882" t="s">
        <v>418</v>
      </c>
      <c r="E1882" t="s">
        <v>65</v>
      </c>
      <c r="F1882" t="s">
        <v>195</v>
      </c>
      <c r="G1882" t="s">
        <v>135</v>
      </c>
      <c r="H1882">
        <v>5</v>
      </c>
      <c r="I1882" t="s">
        <v>5936</v>
      </c>
      <c r="J1882" t="s">
        <v>357</v>
      </c>
    </row>
    <row r="1883" spans="1:10" x14ac:dyDescent="0.25">
      <c r="A1883" t="s">
        <v>5937</v>
      </c>
      <c r="B1883" t="s">
        <v>5938</v>
      </c>
      <c r="C1883" s="2">
        <v>46219.583333333336</v>
      </c>
      <c r="D1883" t="s">
        <v>418</v>
      </c>
      <c r="E1883" t="s">
        <v>75</v>
      </c>
      <c r="F1883" t="s">
        <v>199</v>
      </c>
      <c r="G1883" t="s">
        <v>145</v>
      </c>
      <c r="H1883">
        <v>2</v>
      </c>
      <c r="I1883" t="s">
        <v>5939</v>
      </c>
      <c r="J1883" t="s">
        <v>357</v>
      </c>
    </row>
    <row r="1884" spans="1:10" x14ac:dyDescent="0.25">
      <c r="A1884" t="s">
        <v>5940</v>
      </c>
      <c r="B1884" t="s">
        <v>5941</v>
      </c>
      <c r="C1884" s="2">
        <v>46219.583333333336</v>
      </c>
      <c r="D1884" t="s">
        <v>418</v>
      </c>
      <c r="E1884" t="s">
        <v>18</v>
      </c>
      <c r="F1884" t="s">
        <v>215</v>
      </c>
      <c r="G1884" t="s">
        <v>95</v>
      </c>
      <c r="H1884">
        <v>1</v>
      </c>
      <c r="I1884" t="s">
        <v>5942</v>
      </c>
      <c r="J1884" t="s">
        <v>357</v>
      </c>
    </row>
    <row r="1885" spans="1:10" x14ac:dyDescent="0.25">
      <c r="A1885" t="s">
        <v>5943</v>
      </c>
      <c r="B1885" t="s">
        <v>5944</v>
      </c>
      <c r="C1885" s="2">
        <v>46219.583333333336</v>
      </c>
      <c r="D1885" t="s">
        <v>418</v>
      </c>
      <c r="E1885" t="s">
        <v>26</v>
      </c>
      <c r="F1885" t="s">
        <v>235</v>
      </c>
      <c r="G1885" t="s">
        <v>103</v>
      </c>
      <c r="H1885">
        <v>4</v>
      </c>
      <c r="I1885" t="s">
        <v>5945</v>
      </c>
      <c r="J1885" t="s">
        <v>357</v>
      </c>
    </row>
    <row r="1886" spans="1:10" x14ac:dyDescent="0.25">
      <c r="A1886" t="s">
        <v>5946</v>
      </c>
      <c r="B1886" t="s">
        <v>5947</v>
      </c>
      <c r="C1886" s="2">
        <v>46219.583333333336</v>
      </c>
      <c r="D1886" t="s">
        <v>418</v>
      </c>
      <c r="E1886" t="s">
        <v>28</v>
      </c>
      <c r="F1886" t="s">
        <v>221</v>
      </c>
      <c r="G1886" t="s">
        <v>105</v>
      </c>
      <c r="H1886">
        <v>2</v>
      </c>
      <c r="I1886" t="s">
        <v>5948</v>
      </c>
      <c r="J1886" t="s">
        <v>357</v>
      </c>
    </row>
    <row r="1887" spans="1:10" x14ac:dyDescent="0.25">
      <c r="A1887" t="s">
        <v>5949</v>
      </c>
      <c r="B1887" t="s">
        <v>5950</v>
      </c>
      <c r="C1887" s="2">
        <v>46219.583333333336</v>
      </c>
      <c r="D1887" t="s">
        <v>418</v>
      </c>
      <c r="E1887" t="s">
        <v>28</v>
      </c>
      <c r="F1887" t="s">
        <v>104</v>
      </c>
      <c r="G1887" t="s">
        <v>105</v>
      </c>
      <c r="H1887">
        <v>1</v>
      </c>
      <c r="I1887" t="s">
        <v>5948</v>
      </c>
      <c r="J1887" t="s">
        <v>357</v>
      </c>
    </row>
    <row r="1888" spans="1:10" x14ac:dyDescent="0.25">
      <c r="A1888" t="s">
        <v>5951</v>
      </c>
      <c r="B1888" t="s">
        <v>5952</v>
      </c>
      <c r="C1888" s="2">
        <v>46219.583333333336</v>
      </c>
      <c r="D1888" t="s">
        <v>418</v>
      </c>
      <c r="E1888" t="s">
        <v>32</v>
      </c>
      <c r="F1888" t="s">
        <v>222</v>
      </c>
      <c r="G1888" t="s">
        <v>109</v>
      </c>
      <c r="H1888">
        <v>3</v>
      </c>
      <c r="I1888" t="s">
        <v>5953</v>
      </c>
      <c r="J1888" t="s">
        <v>357</v>
      </c>
    </row>
    <row r="1889" spans="1:10" x14ac:dyDescent="0.25">
      <c r="A1889" t="s">
        <v>5954</v>
      </c>
      <c r="B1889" t="s">
        <v>5955</v>
      </c>
      <c r="C1889" s="2">
        <v>46219.583333333336</v>
      </c>
      <c r="D1889" t="s">
        <v>418</v>
      </c>
      <c r="E1889" t="s">
        <v>41</v>
      </c>
      <c r="F1889" t="s">
        <v>114</v>
      </c>
      <c r="G1889" t="s">
        <v>115</v>
      </c>
      <c r="H1889">
        <v>2</v>
      </c>
      <c r="I1889" t="s">
        <v>5956</v>
      </c>
      <c r="J1889" t="s">
        <v>357</v>
      </c>
    </row>
    <row r="1890" spans="1:10" x14ac:dyDescent="0.25">
      <c r="A1890" t="s">
        <v>5957</v>
      </c>
      <c r="B1890" t="s">
        <v>5958</v>
      </c>
      <c r="C1890" s="2">
        <v>46219.583333333336</v>
      </c>
      <c r="D1890" t="s">
        <v>418</v>
      </c>
      <c r="E1890" t="s">
        <v>41</v>
      </c>
      <c r="F1890" t="s">
        <v>224</v>
      </c>
      <c r="G1890" t="s">
        <v>115</v>
      </c>
      <c r="H1890">
        <v>4</v>
      </c>
      <c r="I1890" t="s">
        <v>5956</v>
      </c>
      <c r="J1890" t="s">
        <v>357</v>
      </c>
    </row>
    <row r="1891" spans="1:10" x14ac:dyDescent="0.25">
      <c r="A1891" t="s">
        <v>5959</v>
      </c>
      <c r="B1891" t="s">
        <v>5960</v>
      </c>
      <c r="C1891" s="2">
        <v>46219.583333333336</v>
      </c>
      <c r="D1891" t="s">
        <v>418</v>
      </c>
      <c r="E1891" t="s">
        <v>49</v>
      </c>
      <c r="F1891" t="s">
        <v>226</v>
      </c>
      <c r="G1891" t="s">
        <v>123</v>
      </c>
      <c r="H1891">
        <v>7</v>
      </c>
      <c r="I1891" t="s">
        <v>5961</v>
      </c>
      <c r="J1891" t="s">
        <v>357</v>
      </c>
    </row>
    <row r="1892" spans="1:10" x14ac:dyDescent="0.25">
      <c r="A1892" t="s">
        <v>5962</v>
      </c>
      <c r="B1892" t="s">
        <v>5963</v>
      </c>
      <c r="C1892" s="2">
        <v>46219.583333333336</v>
      </c>
      <c r="D1892" t="s">
        <v>418</v>
      </c>
      <c r="E1892" t="s">
        <v>69</v>
      </c>
      <c r="F1892" t="s">
        <v>197</v>
      </c>
      <c r="G1892" t="s">
        <v>139</v>
      </c>
      <c r="H1892">
        <v>3</v>
      </c>
      <c r="I1892" t="s">
        <v>5964</v>
      </c>
      <c r="J1892" t="s">
        <v>357</v>
      </c>
    </row>
    <row r="1893" spans="1:10" x14ac:dyDescent="0.25">
      <c r="A1893" t="s">
        <v>5965</v>
      </c>
      <c r="B1893" t="s">
        <v>5966</v>
      </c>
      <c r="C1893" s="2">
        <v>46219.583333333336</v>
      </c>
      <c r="D1893" t="s">
        <v>418</v>
      </c>
      <c r="E1893" t="s">
        <v>75</v>
      </c>
      <c r="F1893" t="s">
        <v>199</v>
      </c>
      <c r="G1893" t="s">
        <v>145</v>
      </c>
      <c r="H1893">
        <v>6</v>
      </c>
      <c r="I1893" t="s">
        <v>5967</v>
      </c>
      <c r="J1893" t="s">
        <v>357</v>
      </c>
    </row>
    <row r="1894" spans="1:10" x14ac:dyDescent="0.25">
      <c r="A1894" t="s">
        <v>5968</v>
      </c>
      <c r="B1894" t="s">
        <v>5969</v>
      </c>
      <c r="C1894" s="2">
        <v>46219.583333333336</v>
      </c>
      <c r="D1894" t="s">
        <v>418</v>
      </c>
      <c r="E1894" t="s">
        <v>18</v>
      </c>
      <c r="F1894" t="s">
        <v>215</v>
      </c>
      <c r="G1894" t="s">
        <v>95</v>
      </c>
      <c r="H1894">
        <v>2</v>
      </c>
      <c r="I1894" t="s">
        <v>5970</v>
      </c>
      <c r="J1894" t="s">
        <v>357</v>
      </c>
    </row>
    <row r="1895" spans="1:10" x14ac:dyDescent="0.25">
      <c r="A1895" t="s">
        <v>5971</v>
      </c>
      <c r="B1895" t="s">
        <v>5972</v>
      </c>
      <c r="C1895" s="2">
        <v>46219.583333333336</v>
      </c>
      <c r="D1895" t="s">
        <v>418</v>
      </c>
      <c r="E1895" t="s">
        <v>18</v>
      </c>
      <c r="F1895" t="s">
        <v>231</v>
      </c>
      <c r="G1895" t="s">
        <v>95</v>
      </c>
      <c r="H1895">
        <v>1</v>
      </c>
      <c r="I1895" t="s">
        <v>5970</v>
      </c>
      <c r="J1895" t="s">
        <v>357</v>
      </c>
    </row>
    <row r="1896" spans="1:10" x14ac:dyDescent="0.25">
      <c r="A1896" t="s">
        <v>5973</v>
      </c>
      <c r="B1896" t="s">
        <v>5974</v>
      </c>
      <c r="C1896" s="2">
        <v>46219.583333333336</v>
      </c>
      <c r="D1896" t="s">
        <v>418</v>
      </c>
      <c r="E1896" t="s">
        <v>20</v>
      </c>
      <c r="F1896" t="s">
        <v>232</v>
      </c>
      <c r="G1896" t="s">
        <v>97</v>
      </c>
      <c r="H1896">
        <v>3</v>
      </c>
      <c r="I1896" t="s">
        <v>5975</v>
      </c>
      <c r="J1896" t="s">
        <v>357</v>
      </c>
    </row>
    <row r="1897" spans="1:10" x14ac:dyDescent="0.25">
      <c r="A1897" t="s">
        <v>5976</v>
      </c>
      <c r="B1897" t="s">
        <v>5977</v>
      </c>
      <c r="C1897" s="2">
        <v>46219.583333333336</v>
      </c>
      <c r="D1897" t="s">
        <v>418</v>
      </c>
      <c r="E1897" t="s">
        <v>26</v>
      </c>
      <c r="F1897" t="s">
        <v>235</v>
      </c>
      <c r="G1897" t="s">
        <v>103</v>
      </c>
      <c r="H1897">
        <v>4</v>
      </c>
      <c r="I1897" t="s">
        <v>5978</v>
      </c>
      <c r="J1897" t="s">
        <v>357</v>
      </c>
    </row>
    <row r="1898" spans="1:10" x14ac:dyDescent="0.25">
      <c r="A1898" t="s">
        <v>5979</v>
      </c>
      <c r="B1898" t="s">
        <v>5980</v>
      </c>
      <c r="C1898" s="2">
        <v>46219.583333333336</v>
      </c>
      <c r="D1898" t="s">
        <v>418</v>
      </c>
      <c r="E1898" t="s">
        <v>32</v>
      </c>
      <c r="F1898" t="s">
        <v>222</v>
      </c>
      <c r="G1898" t="s">
        <v>109</v>
      </c>
      <c r="H1898">
        <v>4</v>
      </c>
      <c r="I1898" t="s">
        <v>5981</v>
      </c>
      <c r="J1898" t="s">
        <v>357</v>
      </c>
    </row>
    <row r="1899" spans="1:10" x14ac:dyDescent="0.25">
      <c r="A1899" t="s">
        <v>5982</v>
      </c>
      <c r="B1899" t="s">
        <v>5983</v>
      </c>
      <c r="C1899" s="2">
        <v>46219.583333333336</v>
      </c>
      <c r="D1899" t="s">
        <v>418</v>
      </c>
      <c r="E1899" t="s">
        <v>45</v>
      </c>
      <c r="F1899" t="s">
        <v>225</v>
      </c>
      <c r="G1899" t="s">
        <v>119</v>
      </c>
      <c r="H1899">
        <v>1</v>
      </c>
      <c r="I1899" t="s">
        <v>5984</v>
      </c>
      <c r="J1899" t="s">
        <v>357</v>
      </c>
    </row>
    <row r="1900" spans="1:10" x14ac:dyDescent="0.25">
      <c r="A1900" t="s">
        <v>5985</v>
      </c>
      <c r="B1900" t="s">
        <v>5986</v>
      </c>
      <c r="C1900" s="2">
        <v>46219.583333333336</v>
      </c>
      <c r="D1900" t="s">
        <v>418</v>
      </c>
      <c r="E1900" t="s">
        <v>65</v>
      </c>
      <c r="F1900" t="s">
        <v>195</v>
      </c>
      <c r="G1900" t="s">
        <v>135</v>
      </c>
      <c r="H1900">
        <v>2</v>
      </c>
      <c r="I1900" t="s">
        <v>5987</v>
      </c>
      <c r="J1900" t="s">
        <v>357</v>
      </c>
    </row>
    <row r="1901" spans="1:10" x14ac:dyDescent="0.25">
      <c r="A1901" t="s">
        <v>5988</v>
      </c>
      <c r="B1901" t="s">
        <v>5989</v>
      </c>
      <c r="C1901" s="2">
        <v>46219.583333333336</v>
      </c>
      <c r="D1901" t="s">
        <v>418</v>
      </c>
      <c r="E1901" t="s">
        <v>69</v>
      </c>
      <c r="F1901" t="s">
        <v>197</v>
      </c>
      <c r="G1901" t="s">
        <v>139</v>
      </c>
      <c r="H1901">
        <v>3</v>
      </c>
      <c r="I1901" t="s">
        <v>5990</v>
      </c>
      <c r="J1901" t="s">
        <v>357</v>
      </c>
    </row>
    <row r="1902" spans="1:10" x14ac:dyDescent="0.25">
      <c r="A1902" t="s">
        <v>5991</v>
      </c>
      <c r="B1902" t="s">
        <v>5992</v>
      </c>
      <c r="C1902" s="2">
        <v>46219.583333333336</v>
      </c>
      <c r="D1902" t="s">
        <v>418</v>
      </c>
      <c r="E1902" t="s">
        <v>73</v>
      </c>
      <c r="F1902" t="s">
        <v>177</v>
      </c>
      <c r="G1902" t="s">
        <v>143</v>
      </c>
      <c r="H1902">
        <v>4</v>
      </c>
      <c r="I1902" t="s">
        <v>5993</v>
      </c>
      <c r="J1902" t="s">
        <v>357</v>
      </c>
    </row>
    <row r="1903" spans="1:10" x14ac:dyDescent="0.25">
      <c r="A1903" t="s">
        <v>5994</v>
      </c>
      <c r="B1903" t="s">
        <v>5995</v>
      </c>
      <c r="C1903" s="2">
        <v>46220.583333333336</v>
      </c>
      <c r="D1903" t="s">
        <v>418</v>
      </c>
      <c r="E1903" t="s">
        <v>18</v>
      </c>
      <c r="F1903" t="s">
        <v>231</v>
      </c>
      <c r="G1903" t="s">
        <v>95</v>
      </c>
      <c r="H1903">
        <v>2</v>
      </c>
      <c r="I1903" t="s">
        <v>5996</v>
      </c>
      <c r="J1903" t="s">
        <v>357</v>
      </c>
    </row>
    <row r="1904" spans="1:10" x14ac:dyDescent="0.25">
      <c r="A1904" t="s">
        <v>5997</v>
      </c>
      <c r="B1904" t="s">
        <v>5998</v>
      </c>
      <c r="C1904" s="2">
        <v>46220.583333333336</v>
      </c>
      <c r="D1904" t="s">
        <v>418</v>
      </c>
      <c r="E1904" t="s">
        <v>20</v>
      </c>
      <c r="F1904" t="s">
        <v>232</v>
      </c>
      <c r="G1904" t="s">
        <v>97</v>
      </c>
      <c r="H1904">
        <v>3</v>
      </c>
      <c r="I1904" t="s">
        <v>5999</v>
      </c>
      <c r="J1904" t="s">
        <v>357</v>
      </c>
    </row>
    <row r="1905" spans="1:10" x14ac:dyDescent="0.25">
      <c r="A1905" t="s">
        <v>6000</v>
      </c>
      <c r="B1905" t="s">
        <v>6001</v>
      </c>
      <c r="C1905" s="2">
        <v>46220.583333333336</v>
      </c>
      <c r="D1905" t="s">
        <v>418</v>
      </c>
      <c r="E1905" t="s">
        <v>22</v>
      </c>
      <c r="F1905" t="s">
        <v>217</v>
      </c>
      <c r="G1905" t="s">
        <v>99</v>
      </c>
      <c r="H1905">
        <v>2</v>
      </c>
      <c r="I1905" t="s">
        <v>6002</v>
      </c>
      <c r="J1905" t="s">
        <v>357</v>
      </c>
    </row>
    <row r="1906" spans="1:10" x14ac:dyDescent="0.25">
      <c r="A1906" t="s">
        <v>6003</v>
      </c>
      <c r="B1906" t="s">
        <v>6004</v>
      </c>
      <c r="C1906" s="2">
        <v>46220.583333333336</v>
      </c>
      <c r="D1906" t="s">
        <v>418</v>
      </c>
      <c r="E1906" t="s">
        <v>24</v>
      </c>
      <c r="F1906" t="s">
        <v>234</v>
      </c>
      <c r="G1906" t="s">
        <v>101</v>
      </c>
      <c r="H1906">
        <v>1</v>
      </c>
      <c r="I1906" t="s">
        <v>6005</v>
      </c>
      <c r="J1906" t="s">
        <v>357</v>
      </c>
    </row>
    <row r="1907" spans="1:10" x14ac:dyDescent="0.25">
      <c r="A1907" t="s">
        <v>6006</v>
      </c>
      <c r="B1907" t="s">
        <v>6007</v>
      </c>
      <c r="C1907" s="2">
        <v>46220.583333333336</v>
      </c>
      <c r="D1907" t="s">
        <v>418</v>
      </c>
      <c r="E1907" t="s">
        <v>26</v>
      </c>
      <c r="F1907" t="s">
        <v>235</v>
      </c>
      <c r="G1907" t="s">
        <v>103</v>
      </c>
      <c r="H1907">
        <v>2</v>
      </c>
      <c r="I1907" t="s">
        <v>6008</v>
      </c>
      <c r="J1907" t="s">
        <v>357</v>
      </c>
    </row>
    <row r="1908" spans="1:10" x14ac:dyDescent="0.25">
      <c r="A1908" t="s">
        <v>6009</v>
      </c>
      <c r="B1908" t="s">
        <v>6010</v>
      </c>
      <c r="C1908" s="2">
        <v>46220.583333333336</v>
      </c>
      <c r="D1908" t="s">
        <v>418</v>
      </c>
      <c r="E1908" t="s">
        <v>28</v>
      </c>
      <c r="F1908" t="s">
        <v>104</v>
      </c>
      <c r="G1908" t="s">
        <v>105</v>
      </c>
      <c r="H1908">
        <v>2</v>
      </c>
      <c r="I1908" t="s">
        <v>6011</v>
      </c>
      <c r="J1908" t="s">
        <v>357</v>
      </c>
    </row>
    <row r="1909" spans="1:10" x14ac:dyDescent="0.25">
      <c r="A1909" t="s">
        <v>6012</v>
      </c>
      <c r="B1909" t="s">
        <v>6013</v>
      </c>
      <c r="C1909" s="2">
        <v>46220.583333333336</v>
      </c>
      <c r="D1909" t="s">
        <v>418</v>
      </c>
      <c r="E1909" t="s">
        <v>41</v>
      </c>
      <c r="F1909" t="s">
        <v>224</v>
      </c>
      <c r="G1909" t="s">
        <v>115</v>
      </c>
      <c r="H1909">
        <v>4</v>
      </c>
      <c r="I1909" t="s">
        <v>6014</v>
      </c>
      <c r="J1909" t="s">
        <v>357</v>
      </c>
    </row>
    <row r="1910" spans="1:10" x14ac:dyDescent="0.25">
      <c r="A1910" t="s">
        <v>6015</v>
      </c>
      <c r="B1910" t="s">
        <v>6016</v>
      </c>
      <c r="C1910" s="2">
        <v>46220.583333333336</v>
      </c>
      <c r="D1910" t="s">
        <v>418</v>
      </c>
      <c r="E1910" t="s">
        <v>43</v>
      </c>
      <c r="F1910" t="s">
        <v>208</v>
      </c>
      <c r="G1910" t="s">
        <v>117</v>
      </c>
      <c r="H1910">
        <v>2</v>
      </c>
      <c r="I1910" t="s">
        <v>6017</v>
      </c>
      <c r="J1910" t="s">
        <v>357</v>
      </c>
    </row>
    <row r="1911" spans="1:10" x14ac:dyDescent="0.25">
      <c r="A1911" t="s">
        <v>6018</v>
      </c>
      <c r="B1911" t="s">
        <v>6019</v>
      </c>
      <c r="C1911" s="2">
        <v>46220.583333333336</v>
      </c>
      <c r="D1911" t="s">
        <v>418</v>
      </c>
      <c r="E1911" t="s">
        <v>53</v>
      </c>
      <c r="F1911" t="s">
        <v>210</v>
      </c>
      <c r="G1911" t="s">
        <v>127</v>
      </c>
      <c r="H1911">
        <v>2</v>
      </c>
      <c r="I1911" t="s">
        <v>6020</v>
      </c>
      <c r="J1911" t="s">
        <v>357</v>
      </c>
    </row>
    <row r="1912" spans="1:10" x14ac:dyDescent="0.25">
      <c r="A1912" t="s">
        <v>6021</v>
      </c>
      <c r="B1912" t="s">
        <v>6022</v>
      </c>
      <c r="C1912" s="2">
        <v>46220.583333333336</v>
      </c>
      <c r="D1912" t="s">
        <v>418</v>
      </c>
      <c r="E1912" t="s">
        <v>55</v>
      </c>
      <c r="F1912" t="s">
        <v>170</v>
      </c>
      <c r="G1912" t="s">
        <v>129</v>
      </c>
      <c r="H1912">
        <v>1</v>
      </c>
      <c r="I1912" t="s">
        <v>6023</v>
      </c>
      <c r="J1912" t="s">
        <v>357</v>
      </c>
    </row>
    <row r="1913" spans="1:10" x14ac:dyDescent="0.25">
      <c r="A1913" t="s">
        <v>6024</v>
      </c>
      <c r="B1913" t="s">
        <v>6025</v>
      </c>
      <c r="C1913" s="2">
        <v>46220.583333333336</v>
      </c>
      <c r="D1913" t="s">
        <v>418</v>
      </c>
      <c r="E1913" t="s">
        <v>59</v>
      </c>
      <c r="F1913" t="s">
        <v>194</v>
      </c>
      <c r="G1913" t="s">
        <v>133</v>
      </c>
      <c r="H1913">
        <v>4</v>
      </c>
      <c r="I1913" t="s">
        <v>6026</v>
      </c>
      <c r="J1913" t="s">
        <v>357</v>
      </c>
    </row>
    <row r="1914" spans="1:10" x14ac:dyDescent="0.25">
      <c r="A1914" t="s">
        <v>6027</v>
      </c>
      <c r="B1914" t="s">
        <v>6028</v>
      </c>
      <c r="C1914" s="2">
        <v>46220.583333333336</v>
      </c>
      <c r="D1914" t="s">
        <v>418</v>
      </c>
      <c r="E1914" t="s">
        <v>77</v>
      </c>
      <c r="F1914" t="s">
        <v>200</v>
      </c>
      <c r="G1914" t="s">
        <v>147</v>
      </c>
      <c r="H1914">
        <v>2</v>
      </c>
      <c r="I1914" t="s">
        <v>6029</v>
      </c>
      <c r="J1914" t="s">
        <v>357</v>
      </c>
    </row>
    <row r="1915" spans="1:10" x14ac:dyDescent="0.25">
      <c r="A1915" t="s">
        <v>6030</v>
      </c>
      <c r="B1915" t="s">
        <v>6031</v>
      </c>
      <c r="C1915" s="2">
        <v>46220.583333333336</v>
      </c>
      <c r="D1915" t="s">
        <v>418</v>
      </c>
      <c r="E1915" t="s">
        <v>18</v>
      </c>
      <c r="F1915" t="s">
        <v>231</v>
      </c>
      <c r="G1915" t="s">
        <v>95</v>
      </c>
      <c r="H1915">
        <v>5</v>
      </c>
      <c r="I1915" t="s">
        <v>6032</v>
      </c>
      <c r="J1915" t="s">
        <v>357</v>
      </c>
    </row>
    <row r="1916" spans="1:10" x14ac:dyDescent="0.25">
      <c r="A1916" t="s">
        <v>6033</v>
      </c>
      <c r="B1916" t="s">
        <v>6034</v>
      </c>
      <c r="C1916" s="2">
        <v>46220.583333333336</v>
      </c>
      <c r="D1916" t="s">
        <v>418</v>
      </c>
      <c r="E1916" t="s">
        <v>20</v>
      </c>
      <c r="F1916" t="s">
        <v>232</v>
      </c>
      <c r="G1916" t="s">
        <v>97</v>
      </c>
      <c r="H1916">
        <v>3</v>
      </c>
      <c r="I1916" t="s">
        <v>6035</v>
      </c>
      <c r="J1916" t="s">
        <v>357</v>
      </c>
    </row>
    <row r="1917" spans="1:10" x14ac:dyDescent="0.25">
      <c r="A1917" t="s">
        <v>6036</v>
      </c>
      <c r="B1917" t="s">
        <v>6037</v>
      </c>
      <c r="C1917" s="2">
        <v>46220.583333333336</v>
      </c>
      <c r="D1917" t="s">
        <v>418</v>
      </c>
      <c r="E1917" t="s">
        <v>22</v>
      </c>
      <c r="F1917" t="s">
        <v>217</v>
      </c>
      <c r="G1917" t="s">
        <v>99</v>
      </c>
      <c r="H1917">
        <v>3</v>
      </c>
      <c r="I1917" t="s">
        <v>6038</v>
      </c>
      <c r="J1917" t="s">
        <v>357</v>
      </c>
    </row>
    <row r="1918" spans="1:10" x14ac:dyDescent="0.25">
      <c r="A1918" t="s">
        <v>6039</v>
      </c>
      <c r="B1918" t="s">
        <v>6040</v>
      </c>
      <c r="C1918" s="2">
        <v>46220.583333333336</v>
      </c>
      <c r="D1918" t="s">
        <v>418</v>
      </c>
      <c r="E1918" t="s">
        <v>22</v>
      </c>
      <c r="F1918" t="s">
        <v>183</v>
      </c>
      <c r="G1918" t="s">
        <v>99</v>
      </c>
      <c r="H1918">
        <v>2</v>
      </c>
      <c r="I1918" t="s">
        <v>6038</v>
      </c>
      <c r="J1918" t="s">
        <v>357</v>
      </c>
    </row>
    <row r="1919" spans="1:10" x14ac:dyDescent="0.25">
      <c r="A1919" t="s">
        <v>6041</v>
      </c>
      <c r="B1919" t="s">
        <v>6042</v>
      </c>
      <c r="C1919" s="2">
        <v>46220.583333333336</v>
      </c>
      <c r="D1919" t="s">
        <v>418</v>
      </c>
      <c r="E1919" t="s">
        <v>24</v>
      </c>
      <c r="F1919" t="s">
        <v>234</v>
      </c>
      <c r="G1919" t="s">
        <v>101</v>
      </c>
      <c r="H1919">
        <v>4</v>
      </c>
      <c r="I1919" t="s">
        <v>6043</v>
      </c>
      <c r="J1919" t="s">
        <v>357</v>
      </c>
    </row>
    <row r="1920" spans="1:10" x14ac:dyDescent="0.25">
      <c r="A1920" t="s">
        <v>6044</v>
      </c>
      <c r="B1920" t="s">
        <v>6045</v>
      </c>
      <c r="C1920" s="2">
        <v>46220.583333333336</v>
      </c>
      <c r="D1920" t="s">
        <v>418</v>
      </c>
      <c r="E1920" t="s">
        <v>26</v>
      </c>
      <c r="F1920" t="s">
        <v>235</v>
      </c>
      <c r="G1920" t="s">
        <v>103</v>
      </c>
      <c r="H1920">
        <v>1</v>
      </c>
      <c r="I1920" t="s">
        <v>6046</v>
      </c>
      <c r="J1920" t="s">
        <v>357</v>
      </c>
    </row>
    <row r="1921" spans="1:10" x14ac:dyDescent="0.25">
      <c r="A1921" t="s">
        <v>6047</v>
      </c>
      <c r="B1921" t="s">
        <v>6048</v>
      </c>
      <c r="C1921" s="2">
        <v>46220.583333333336</v>
      </c>
      <c r="D1921" t="s">
        <v>418</v>
      </c>
      <c r="E1921" t="s">
        <v>43</v>
      </c>
      <c r="F1921" t="s">
        <v>116</v>
      </c>
      <c r="G1921" t="s">
        <v>117</v>
      </c>
      <c r="H1921">
        <v>1</v>
      </c>
      <c r="I1921" t="s">
        <v>6049</v>
      </c>
      <c r="J1921" t="s">
        <v>357</v>
      </c>
    </row>
    <row r="1922" spans="1:10" x14ac:dyDescent="0.25">
      <c r="A1922" t="s">
        <v>6050</v>
      </c>
      <c r="B1922" t="s">
        <v>6051</v>
      </c>
      <c r="C1922" s="2">
        <v>46220.583333333336</v>
      </c>
      <c r="D1922" t="s">
        <v>418</v>
      </c>
      <c r="E1922" t="s">
        <v>49</v>
      </c>
      <c r="F1922" t="s">
        <v>226</v>
      </c>
      <c r="G1922" t="s">
        <v>123</v>
      </c>
      <c r="H1922">
        <v>2</v>
      </c>
      <c r="I1922" t="s">
        <v>6052</v>
      </c>
      <c r="J1922" t="s">
        <v>357</v>
      </c>
    </row>
    <row r="1923" spans="1:10" x14ac:dyDescent="0.25">
      <c r="A1923" t="s">
        <v>6053</v>
      </c>
      <c r="B1923" t="s">
        <v>6054</v>
      </c>
      <c r="C1923" s="2">
        <v>46220.583333333336</v>
      </c>
      <c r="D1923" t="s">
        <v>418</v>
      </c>
      <c r="E1923" t="s">
        <v>55</v>
      </c>
      <c r="F1923" t="s">
        <v>170</v>
      </c>
      <c r="G1923" t="s">
        <v>129</v>
      </c>
      <c r="H1923">
        <v>1</v>
      </c>
      <c r="I1923" t="s">
        <v>6055</v>
      </c>
      <c r="J1923" t="s">
        <v>357</v>
      </c>
    </row>
    <row r="1924" spans="1:10" x14ac:dyDescent="0.25">
      <c r="A1924" t="s">
        <v>6056</v>
      </c>
      <c r="B1924" t="s">
        <v>6057</v>
      </c>
      <c r="C1924" s="2">
        <v>46220.583333333336</v>
      </c>
      <c r="D1924" t="s">
        <v>418</v>
      </c>
      <c r="E1924" t="s">
        <v>18</v>
      </c>
      <c r="F1924" t="s">
        <v>231</v>
      </c>
      <c r="G1924" t="s">
        <v>95</v>
      </c>
      <c r="H1924">
        <v>6</v>
      </c>
      <c r="I1924" t="s">
        <v>6058</v>
      </c>
      <c r="J1924" t="s">
        <v>357</v>
      </c>
    </row>
    <row r="1925" spans="1:10" x14ac:dyDescent="0.25">
      <c r="A1925" t="s">
        <v>6059</v>
      </c>
      <c r="B1925" t="s">
        <v>6060</v>
      </c>
      <c r="C1925" s="2">
        <v>46220.583333333336</v>
      </c>
      <c r="D1925" t="s">
        <v>418</v>
      </c>
      <c r="E1925" t="s">
        <v>20</v>
      </c>
      <c r="F1925" t="s">
        <v>232</v>
      </c>
      <c r="G1925" t="s">
        <v>97</v>
      </c>
      <c r="H1925">
        <v>4</v>
      </c>
      <c r="I1925" t="s">
        <v>6061</v>
      </c>
      <c r="J1925" t="s">
        <v>357</v>
      </c>
    </row>
    <row r="1926" spans="1:10" x14ac:dyDescent="0.25">
      <c r="A1926" t="s">
        <v>6062</v>
      </c>
      <c r="B1926" t="s">
        <v>6063</v>
      </c>
      <c r="C1926" s="2">
        <v>46220.583333333336</v>
      </c>
      <c r="D1926" t="s">
        <v>418</v>
      </c>
      <c r="E1926" t="s">
        <v>22</v>
      </c>
      <c r="F1926" t="s">
        <v>183</v>
      </c>
      <c r="G1926" t="s">
        <v>99</v>
      </c>
      <c r="H1926">
        <v>1</v>
      </c>
      <c r="I1926" t="s">
        <v>6064</v>
      </c>
      <c r="J1926" t="s">
        <v>357</v>
      </c>
    </row>
    <row r="1927" spans="1:10" x14ac:dyDescent="0.25">
      <c r="A1927" t="s">
        <v>6065</v>
      </c>
      <c r="B1927" t="s">
        <v>6066</v>
      </c>
      <c r="C1927" s="2">
        <v>46220.583333333336</v>
      </c>
      <c r="D1927" t="s">
        <v>418</v>
      </c>
      <c r="E1927" t="s">
        <v>24</v>
      </c>
      <c r="F1927" t="s">
        <v>234</v>
      </c>
      <c r="G1927" t="s">
        <v>101</v>
      </c>
      <c r="H1927">
        <v>1</v>
      </c>
      <c r="I1927" t="s">
        <v>6067</v>
      </c>
      <c r="J1927" t="s">
        <v>357</v>
      </c>
    </row>
    <row r="1928" spans="1:10" x14ac:dyDescent="0.25">
      <c r="A1928" t="s">
        <v>6068</v>
      </c>
      <c r="B1928" t="s">
        <v>6069</v>
      </c>
      <c r="C1928" s="2">
        <v>46220.583333333336</v>
      </c>
      <c r="D1928" t="s">
        <v>418</v>
      </c>
      <c r="E1928" t="s">
        <v>36</v>
      </c>
      <c r="F1928" t="s">
        <v>223</v>
      </c>
      <c r="G1928" t="s">
        <v>113</v>
      </c>
      <c r="H1928">
        <v>2</v>
      </c>
      <c r="I1928" t="s">
        <v>6070</v>
      </c>
      <c r="J1928" t="s">
        <v>357</v>
      </c>
    </row>
    <row r="1929" spans="1:10" x14ac:dyDescent="0.25">
      <c r="A1929" t="s">
        <v>6071</v>
      </c>
      <c r="B1929" t="s">
        <v>6072</v>
      </c>
      <c r="C1929" s="2">
        <v>46220.583333333336</v>
      </c>
      <c r="D1929" t="s">
        <v>418</v>
      </c>
      <c r="E1929" t="s">
        <v>51</v>
      </c>
      <c r="F1929" t="s">
        <v>209</v>
      </c>
      <c r="G1929" t="s">
        <v>125</v>
      </c>
      <c r="H1929">
        <v>6</v>
      </c>
      <c r="I1929" t="s">
        <v>6073</v>
      </c>
      <c r="J1929" t="s">
        <v>357</v>
      </c>
    </row>
    <row r="1930" spans="1:10" x14ac:dyDescent="0.25">
      <c r="A1930" t="s">
        <v>6074</v>
      </c>
      <c r="B1930" t="s">
        <v>6075</v>
      </c>
      <c r="C1930" s="2">
        <v>46220.583333333336</v>
      </c>
      <c r="D1930" t="s">
        <v>418</v>
      </c>
      <c r="E1930" t="s">
        <v>55</v>
      </c>
      <c r="F1930" t="s">
        <v>170</v>
      </c>
      <c r="G1930" t="s">
        <v>129</v>
      </c>
      <c r="H1930">
        <v>2</v>
      </c>
      <c r="I1930" t="s">
        <v>6076</v>
      </c>
      <c r="J1930" t="s">
        <v>357</v>
      </c>
    </row>
    <row r="1931" spans="1:10" x14ac:dyDescent="0.25">
      <c r="A1931" t="s">
        <v>6077</v>
      </c>
      <c r="B1931" t="s">
        <v>6078</v>
      </c>
      <c r="C1931" s="2">
        <v>46220.583333333336</v>
      </c>
      <c r="D1931" t="s">
        <v>418</v>
      </c>
      <c r="E1931" t="s">
        <v>57</v>
      </c>
      <c r="F1931" t="s">
        <v>211</v>
      </c>
      <c r="G1931" t="s">
        <v>131</v>
      </c>
      <c r="H1931">
        <v>6</v>
      </c>
      <c r="I1931" t="s">
        <v>6079</v>
      </c>
      <c r="J1931" t="s">
        <v>357</v>
      </c>
    </row>
    <row r="1932" spans="1:10" x14ac:dyDescent="0.25">
      <c r="A1932" t="s">
        <v>6080</v>
      </c>
      <c r="B1932" t="s">
        <v>6081</v>
      </c>
      <c r="C1932" s="2">
        <v>46220.583333333336</v>
      </c>
      <c r="D1932" t="s">
        <v>418</v>
      </c>
      <c r="E1932" t="s">
        <v>65</v>
      </c>
      <c r="F1932" t="s">
        <v>195</v>
      </c>
      <c r="G1932" t="s">
        <v>135</v>
      </c>
      <c r="H1932">
        <v>1</v>
      </c>
      <c r="I1932" t="s">
        <v>6082</v>
      </c>
      <c r="J1932" t="s">
        <v>357</v>
      </c>
    </row>
    <row r="1933" spans="1:10" x14ac:dyDescent="0.25">
      <c r="A1933" t="s">
        <v>6083</v>
      </c>
      <c r="B1933" t="s">
        <v>6084</v>
      </c>
      <c r="C1933" s="2">
        <v>46220.583333333336</v>
      </c>
      <c r="D1933" t="s">
        <v>418</v>
      </c>
      <c r="E1933" t="s">
        <v>71</v>
      </c>
      <c r="F1933" t="s">
        <v>198</v>
      </c>
      <c r="G1933" t="s">
        <v>141</v>
      </c>
      <c r="H1933">
        <v>2</v>
      </c>
      <c r="I1933" t="s">
        <v>6085</v>
      </c>
      <c r="J1933" t="s">
        <v>357</v>
      </c>
    </row>
    <row r="1934" spans="1:10" x14ac:dyDescent="0.25">
      <c r="A1934" t="s">
        <v>6086</v>
      </c>
      <c r="B1934" t="s">
        <v>6087</v>
      </c>
      <c r="C1934" s="2">
        <v>46220.583333333336</v>
      </c>
      <c r="D1934" t="s">
        <v>418</v>
      </c>
      <c r="E1934" t="s">
        <v>73</v>
      </c>
      <c r="F1934" t="s">
        <v>177</v>
      </c>
      <c r="G1934" t="s">
        <v>143</v>
      </c>
      <c r="H1934">
        <v>2</v>
      </c>
      <c r="I1934" t="s">
        <v>6088</v>
      </c>
      <c r="J1934" t="s">
        <v>357</v>
      </c>
    </row>
    <row r="1935" spans="1:10" x14ac:dyDescent="0.25">
      <c r="A1935" t="s">
        <v>6089</v>
      </c>
      <c r="B1935" t="s">
        <v>6090</v>
      </c>
      <c r="C1935" s="2">
        <v>46220.583333333336</v>
      </c>
      <c r="D1935" t="s">
        <v>418</v>
      </c>
      <c r="E1935" t="s">
        <v>18</v>
      </c>
      <c r="F1935" t="s">
        <v>231</v>
      </c>
      <c r="G1935" t="s">
        <v>95</v>
      </c>
      <c r="H1935">
        <v>6</v>
      </c>
      <c r="I1935" t="s">
        <v>6091</v>
      </c>
      <c r="J1935" t="s">
        <v>357</v>
      </c>
    </row>
    <row r="1936" spans="1:10" x14ac:dyDescent="0.25">
      <c r="A1936" t="s">
        <v>6092</v>
      </c>
      <c r="B1936" t="s">
        <v>6093</v>
      </c>
      <c r="C1936" s="2">
        <v>46220.583333333336</v>
      </c>
      <c r="D1936" t="s">
        <v>418</v>
      </c>
      <c r="E1936" t="s">
        <v>20</v>
      </c>
      <c r="F1936" t="s">
        <v>232</v>
      </c>
      <c r="G1936" t="s">
        <v>97</v>
      </c>
      <c r="H1936">
        <v>7</v>
      </c>
      <c r="I1936" t="s">
        <v>6094</v>
      </c>
      <c r="J1936" t="s">
        <v>357</v>
      </c>
    </row>
    <row r="1937" spans="1:10" x14ac:dyDescent="0.25">
      <c r="A1937" t="s">
        <v>6095</v>
      </c>
      <c r="B1937" t="s">
        <v>6096</v>
      </c>
      <c r="C1937" s="2">
        <v>46220.583333333336</v>
      </c>
      <c r="D1937" t="s">
        <v>418</v>
      </c>
      <c r="E1937" t="s">
        <v>24</v>
      </c>
      <c r="F1937" t="s">
        <v>234</v>
      </c>
      <c r="G1937" t="s">
        <v>101</v>
      </c>
      <c r="H1937">
        <v>1</v>
      </c>
      <c r="I1937" t="s">
        <v>6097</v>
      </c>
      <c r="J1937" t="s">
        <v>357</v>
      </c>
    </row>
    <row r="1938" spans="1:10" x14ac:dyDescent="0.25">
      <c r="A1938" t="s">
        <v>6098</v>
      </c>
      <c r="B1938" t="s">
        <v>6099</v>
      </c>
      <c r="C1938" s="2">
        <v>46220.583333333336</v>
      </c>
      <c r="D1938" t="s">
        <v>418</v>
      </c>
      <c r="E1938" t="s">
        <v>26</v>
      </c>
      <c r="F1938" t="s">
        <v>235</v>
      </c>
      <c r="G1938" t="s">
        <v>103</v>
      </c>
      <c r="H1938">
        <v>1</v>
      </c>
      <c r="I1938" t="s">
        <v>6100</v>
      </c>
      <c r="J1938" t="s">
        <v>357</v>
      </c>
    </row>
    <row r="1939" spans="1:10" x14ac:dyDescent="0.25">
      <c r="A1939" t="s">
        <v>6101</v>
      </c>
      <c r="B1939" t="s">
        <v>6102</v>
      </c>
      <c r="C1939" s="2">
        <v>46220.583333333336</v>
      </c>
      <c r="D1939" t="s">
        <v>418</v>
      </c>
      <c r="E1939" t="s">
        <v>32</v>
      </c>
      <c r="F1939" t="s">
        <v>222</v>
      </c>
      <c r="G1939" t="s">
        <v>109</v>
      </c>
      <c r="H1939">
        <v>3</v>
      </c>
      <c r="I1939" t="s">
        <v>6103</v>
      </c>
      <c r="J1939" t="s">
        <v>357</v>
      </c>
    </row>
    <row r="1940" spans="1:10" x14ac:dyDescent="0.25">
      <c r="A1940" t="s">
        <v>6104</v>
      </c>
      <c r="B1940" t="s">
        <v>6105</v>
      </c>
      <c r="C1940" s="2">
        <v>46220.583333333336</v>
      </c>
      <c r="D1940" t="s">
        <v>418</v>
      </c>
      <c r="E1940" t="s">
        <v>45</v>
      </c>
      <c r="F1940" t="s">
        <v>225</v>
      </c>
      <c r="G1940" t="s">
        <v>119</v>
      </c>
      <c r="H1940">
        <v>1</v>
      </c>
      <c r="I1940" t="s">
        <v>6106</v>
      </c>
      <c r="J1940" t="s">
        <v>357</v>
      </c>
    </row>
    <row r="1941" spans="1:10" x14ac:dyDescent="0.25">
      <c r="A1941" t="s">
        <v>6107</v>
      </c>
      <c r="B1941" t="s">
        <v>6108</v>
      </c>
      <c r="C1941" s="2">
        <v>46220.583333333336</v>
      </c>
      <c r="D1941" t="s">
        <v>418</v>
      </c>
      <c r="E1941" t="s">
        <v>47</v>
      </c>
      <c r="F1941" t="s">
        <v>120</v>
      </c>
      <c r="G1941" t="s">
        <v>121</v>
      </c>
      <c r="H1941">
        <v>3</v>
      </c>
      <c r="I1941" t="s">
        <v>6109</v>
      </c>
      <c r="J1941" t="s">
        <v>357</v>
      </c>
    </row>
    <row r="1942" spans="1:10" x14ac:dyDescent="0.25">
      <c r="A1942" t="s">
        <v>6110</v>
      </c>
      <c r="B1942" t="s">
        <v>6111</v>
      </c>
      <c r="C1942" s="2">
        <v>46220.583333333336</v>
      </c>
      <c r="D1942" t="s">
        <v>418</v>
      </c>
      <c r="E1942" t="s">
        <v>47</v>
      </c>
      <c r="F1942" t="s">
        <v>238</v>
      </c>
      <c r="G1942" t="s">
        <v>121</v>
      </c>
      <c r="H1942">
        <v>1</v>
      </c>
      <c r="I1942" t="s">
        <v>6109</v>
      </c>
      <c r="J1942" t="s">
        <v>357</v>
      </c>
    </row>
    <row r="1943" spans="1:10" x14ac:dyDescent="0.25">
      <c r="A1943" t="s">
        <v>6112</v>
      </c>
      <c r="B1943" t="s">
        <v>6113</v>
      </c>
      <c r="C1943" s="2">
        <v>46220.583333333336</v>
      </c>
      <c r="D1943" t="s">
        <v>418</v>
      </c>
      <c r="E1943" t="s">
        <v>55</v>
      </c>
      <c r="F1943" t="s">
        <v>170</v>
      </c>
      <c r="G1943" t="s">
        <v>129</v>
      </c>
      <c r="H1943">
        <v>1</v>
      </c>
      <c r="I1943" t="s">
        <v>6114</v>
      </c>
      <c r="J1943" t="s">
        <v>357</v>
      </c>
    </row>
    <row r="1944" spans="1:10" x14ac:dyDescent="0.25">
      <c r="A1944" t="s">
        <v>6115</v>
      </c>
      <c r="B1944" t="s">
        <v>6116</v>
      </c>
      <c r="C1944" s="2">
        <v>46220.583333333336</v>
      </c>
      <c r="D1944" t="s">
        <v>418</v>
      </c>
      <c r="E1944" t="s">
        <v>67</v>
      </c>
      <c r="F1944" t="s">
        <v>174</v>
      </c>
      <c r="G1944" t="s">
        <v>137</v>
      </c>
      <c r="H1944">
        <v>3</v>
      </c>
      <c r="I1944" t="s">
        <v>6117</v>
      </c>
      <c r="J1944" t="s">
        <v>357</v>
      </c>
    </row>
    <row r="1945" spans="1:10" x14ac:dyDescent="0.25">
      <c r="A1945" t="s">
        <v>6118</v>
      </c>
      <c r="B1945" t="s">
        <v>6119</v>
      </c>
      <c r="C1945" s="2">
        <v>46220.583333333336</v>
      </c>
      <c r="D1945" t="s">
        <v>418</v>
      </c>
      <c r="E1945" t="s">
        <v>71</v>
      </c>
      <c r="F1945" t="s">
        <v>198</v>
      </c>
      <c r="G1945" t="s">
        <v>141</v>
      </c>
      <c r="H1945">
        <v>1</v>
      </c>
      <c r="I1945" t="s">
        <v>6120</v>
      </c>
      <c r="J1945" t="s">
        <v>357</v>
      </c>
    </row>
    <row r="1946" spans="1:10" x14ac:dyDescent="0.25">
      <c r="A1946" t="s">
        <v>6121</v>
      </c>
      <c r="B1946" t="s">
        <v>6122</v>
      </c>
      <c r="C1946" s="2">
        <v>46220.583333333336</v>
      </c>
      <c r="D1946" t="s">
        <v>418</v>
      </c>
      <c r="E1946" t="s">
        <v>77</v>
      </c>
      <c r="F1946" t="s">
        <v>200</v>
      </c>
      <c r="G1946" t="s">
        <v>147</v>
      </c>
      <c r="H1946">
        <v>7</v>
      </c>
      <c r="I1946" t="s">
        <v>6123</v>
      </c>
      <c r="J1946" t="s">
        <v>357</v>
      </c>
    </row>
    <row r="1947" spans="1:10" x14ac:dyDescent="0.25">
      <c r="A1947" t="s">
        <v>6124</v>
      </c>
      <c r="B1947" t="s">
        <v>6125</v>
      </c>
      <c r="C1947" s="2">
        <v>46220.583333333336</v>
      </c>
      <c r="D1947" t="s">
        <v>418</v>
      </c>
      <c r="E1947" t="s">
        <v>18</v>
      </c>
      <c r="F1947" t="s">
        <v>231</v>
      </c>
      <c r="G1947" t="s">
        <v>95</v>
      </c>
      <c r="H1947">
        <v>1</v>
      </c>
      <c r="I1947" t="s">
        <v>6126</v>
      </c>
      <c r="J1947" t="s">
        <v>357</v>
      </c>
    </row>
    <row r="1948" spans="1:10" x14ac:dyDescent="0.25">
      <c r="A1948" t="s">
        <v>6127</v>
      </c>
      <c r="B1948" t="s">
        <v>6128</v>
      </c>
      <c r="C1948" s="2">
        <v>46220.583333333336</v>
      </c>
      <c r="D1948" t="s">
        <v>418</v>
      </c>
      <c r="E1948" t="s">
        <v>20</v>
      </c>
      <c r="F1948" t="s">
        <v>232</v>
      </c>
      <c r="G1948" t="s">
        <v>97</v>
      </c>
      <c r="H1948">
        <v>4</v>
      </c>
      <c r="I1948" t="s">
        <v>6129</v>
      </c>
      <c r="J1948" t="s">
        <v>357</v>
      </c>
    </row>
    <row r="1949" spans="1:10" x14ac:dyDescent="0.25">
      <c r="A1949" t="s">
        <v>6130</v>
      </c>
      <c r="B1949" t="s">
        <v>6131</v>
      </c>
      <c r="C1949" s="2">
        <v>46220.583333333336</v>
      </c>
      <c r="D1949" t="s">
        <v>418</v>
      </c>
      <c r="E1949" t="s">
        <v>22</v>
      </c>
      <c r="F1949" t="s">
        <v>183</v>
      </c>
      <c r="G1949" t="s">
        <v>99</v>
      </c>
      <c r="H1949">
        <v>4</v>
      </c>
      <c r="I1949" t="s">
        <v>6132</v>
      </c>
      <c r="J1949" t="s">
        <v>357</v>
      </c>
    </row>
    <row r="1950" spans="1:10" x14ac:dyDescent="0.25">
      <c r="A1950" t="s">
        <v>6133</v>
      </c>
      <c r="B1950" t="s">
        <v>6134</v>
      </c>
      <c r="C1950" s="2">
        <v>46220.583333333336</v>
      </c>
      <c r="D1950" t="s">
        <v>418</v>
      </c>
      <c r="E1950" t="s">
        <v>24</v>
      </c>
      <c r="F1950" t="s">
        <v>234</v>
      </c>
      <c r="G1950" t="s">
        <v>101</v>
      </c>
      <c r="H1950">
        <v>2</v>
      </c>
      <c r="I1950" t="s">
        <v>6135</v>
      </c>
      <c r="J1950" t="s">
        <v>357</v>
      </c>
    </row>
    <row r="1951" spans="1:10" x14ac:dyDescent="0.25">
      <c r="A1951" t="s">
        <v>6136</v>
      </c>
      <c r="B1951" t="s">
        <v>6137</v>
      </c>
      <c r="C1951" s="2">
        <v>46220.583333333336</v>
      </c>
      <c r="D1951" t="s">
        <v>418</v>
      </c>
      <c r="E1951" t="s">
        <v>26</v>
      </c>
      <c r="F1951" t="s">
        <v>235</v>
      </c>
      <c r="G1951" t="s">
        <v>103</v>
      </c>
      <c r="H1951">
        <v>1</v>
      </c>
      <c r="I1951" t="s">
        <v>6138</v>
      </c>
      <c r="J1951" t="s">
        <v>357</v>
      </c>
    </row>
    <row r="1952" spans="1:10" x14ac:dyDescent="0.25">
      <c r="A1952" t="s">
        <v>6139</v>
      </c>
      <c r="B1952" t="s">
        <v>6140</v>
      </c>
      <c r="C1952" s="2">
        <v>46220.583333333336</v>
      </c>
      <c r="D1952" t="s">
        <v>418</v>
      </c>
      <c r="E1952" t="s">
        <v>30</v>
      </c>
      <c r="F1952" t="s">
        <v>159</v>
      </c>
      <c r="G1952" t="s">
        <v>107</v>
      </c>
      <c r="H1952">
        <v>2</v>
      </c>
      <c r="I1952" t="s">
        <v>6141</v>
      </c>
      <c r="J1952" t="s">
        <v>357</v>
      </c>
    </row>
    <row r="1953" spans="1:10" x14ac:dyDescent="0.25">
      <c r="A1953" t="s">
        <v>6142</v>
      </c>
      <c r="B1953" t="s">
        <v>6143</v>
      </c>
      <c r="C1953" s="2">
        <v>46220.583333333336</v>
      </c>
      <c r="D1953" t="s">
        <v>418</v>
      </c>
      <c r="E1953" t="s">
        <v>47</v>
      </c>
      <c r="F1953" t="s">
        <v>238</v>
      </c>
      <c r="G1953" t="s">
        <v>121</v>
      </c>
      <c r="H1953">
        <v>4</v>
      </c>
      <c r="I1953" t="s">
        <v>6144</v>
      </c>
      <c r="J1953" t="s">
        <v>357</v>
      </c>
    </row>
    <row r="1954" spans="1:10" x14ac:dyDescent="0.25">
      <c r="A1954" t="s">
        <v>6145</v>
      </c>
      <c r="B1954" t="s">
        <v>6146</v>
      </c>
      <c r="C1954" s="2">
        <v>46220.583333333336</v>
      </c>
      <c r="D1954" t="s">
        <v>418</v>
      </c>
      <c r="E1954" t="s">
        <v>49</v>
      </c>
      <c r="F1954" t="s">
        <v>226</v>
      </c>
      <c r="G1954" t="s">
        <v>123</v>
      </c>
      <c r="H1954">
        <v>1</v>
      </c>
      <c r="I1954" t="s">
        <v>6147</v>
      </c>
      <c r="J1954" t="s">
        <v>357</v>
      </c>
    </row>
    <row r="1955" spans="1:10" x14ac:dyDescent="0.25">
      <c r="A1955" t="s">
        <v>6148</v>
      </c>
      <c r="B1955" t="s">
        <v>6149</v>
      </c>
      <c r="C1955" s="2">
        <v>46220.583333333336</v>
      </c>
      <c r="D1955" t="s">
        <v>418</v>
      </c>
      <c r="E1955" t="s">
        <v>57</v>
      </c>
      <c r="F1955" t="s">
        <v>211</v>
      </c>
      <c r="G1955" t="s">
        <v>131</v>
      </c>
      <c r="H1955">
        <v>3</v>
      </c>
      <c r="I1955" t="s">
        <v>6150</v>
      </c>
      <c r="J1955" t="s">
        <v>357</v>
      </c>
    </row>
    <row r="1956" spans="1:10" x14ac:dyDescent="0.25">
      <c r="A1956" t="s">
        <v>6151</v>
      </c>
      <c r="B1956" t="s">
        <v>6152</v>
      </c>
      <c r="C1956" s="2">
        <v>46221.583333333336</v>
      </c>
      <c r="D1956" t="s">
        <v>418</v>
      </c>
      <c r="E1956" t="s">
        <v>18</v>
      </c>
      <c r="F1956" t="s">
        <v>231</v>
      </c>
      <c r="G1956" t="s">
        <v>95</v>
      </c>
      <c r="H1956">
        <v>5</v>
      </c>
      <c r="I1956" t="s">
        <v>6153</v>
      </c>
      <c r="J1956" t="s">
        <v>357</v>
      </c>
    </row>
    <row r="1957" spans="1:10" x14ac:dyDescent="0.25">
      <c r="A1957" t="s">
        <v>6154</v>
      </c>
      <c r="B1957" t="s">
        <v>6155</v>
      </c>
      <c r="C1957" s="2">
        <v>46221.583333333336</v>
      </c>
      <c r="D1957" t="s">
        <v>418</v>
      </c>
      <c r="E1957" t="s">
        <v>26</v>
      </c>
      <c r="F1957" t="s">
        <v>235</v>
      </c>
      <c r="G1957" t="s">
        <v>103</v>
      </c>
      <c r="H1957">
        <v>1</v>
      </c>
      <c r="I1957" t="s">
        <v>6156</v>
      </c>
      <c r="J1957" t="s">
        <v>357</v>
      </c>
    </row>
    <row r="1958" spans="1:10" x14ac:dyDescent="0.25">
      <c r="A1958" t="s">
        <v>6157</v>
      </c>
      <c r="B1958" t="s">
        <v>6158</v>
      </c>
      <c r="C1958" s="2">
        <v>46221.583333333336</v>
      </c>
      <c r="D1958" t="s">
        <v>418</v>
      </c>
      <c r="E1958" t="s">
        <v>36</v>
      </c>
      <c r="F1958" t="s">
        <v>223</v>
      </c>
      <c r="G1958" t="s">
        <v>113</v>
      </c>
      <c r="H1958">
        <v>5</v>
      </c>
      <c r="I1958" t="s">
        <v>6159</v>
      </c>
      <c r="J1958" t="s">
        <v>357</v>
      </c>
    </row>
    <row r="1959" spans="1:10" x14ac:dyDescent="0.25">
      <c r="A1959" t="s">
        <v>6160</v>
      </c>
      <c r="B1959" t="s">
        <v>6161</v>
      </c>
      <c r="C1959" s="2">
        <v>46221.583333333336</v>
      </c>
      <c r="D1959" t="s">
        <v>418</v>
      </c>
      <c r="E1959" t="s">
        <v>43</v>
      </c>
      <c r="F1959" t="s">
        <v>116</v>
      </c>
      <c r="G1959" t="s">
        <v>117</v>
      </c>
      <c r="H1959">
        <v>2</v>
      </c>
      <c r="I1959" t="s">
        <v>6162</v>
      </c>
      <c r="J1959" t="s">
        <v>357</v>
      </c>
    </row>
    <row r="1960" spans="1:10" x14ac:dyDescent="0.25">
      <c r="A1960" t="s">
        <v>6163</v>
      </c>
      <c r="B1960" t="s">
        <v>6164</v>
      </c>
      <c r="C1960" s="2">
        <v>46221.583333333336</v>
      </c>
      <c r="D1960" t="s">
        <v>418</v>
      </c>
      <c r="E1960" t="s">
        <v>49</v>
      </c>
      <c r="F1960" t="s">
        <v>226</v>
      </c>
      <c r="G1960" t="s">
        <v>123</v>
      </c>
      <c r="H1960">
        <v>2</v>
      </c>
      <c r="I1960" t="s">
        <v>6165</v>
      </c>
      <c r="J1960" t="s">
        <v>357</v>
      </c>
    </row>
    <row r="1961" spans="1:10" x14ac:dyDescent="0.25">
      <c r="A1961" t="s">
        <v>6166</v>
      </c>
      <c r="B1961" t="s">
        <v>6167</v>
      </c>
      <c r="C1961" s="2">
        <v>46221.583333333336</v>
      </c>
      <c r="D1961" t="s">
        <v>418</v>
      </c>
      <c r="E1961" t="s">
        <v>49</v>
      </c>
      <c r="F1961" t="s">
        <v>167</v>
      </c>
      <c r="G1961" t="s">
        <v>123</v>
      </c>
      <c r="H1961">
        <v>3</v>
      </c>
      <c r="I1961" t="s">
        <v>6165</v>
      </c>
      <c r="J1961" t="s">
        <v>357</v>
      </c>
    </row>
    <row r="1962" spans="1:10" x14ac:dyDescent="0.25">
      <c r="A1962" t="s">
        <v>6168</v>
      </c>
      <c r="B1962" t="s">
        <v>6169</v>
      </c>
      <c r="C1962" s="2">
        <v>46221.583333333336</v>
      </c>
      <c r="D1962" t="s">
        <v>418</v>
      </c>
      <c r="E1962" t="s">
        <v>53</v>
      </c>
      <c r="F1962" t="s">
        <v>210</v>
      </c>
      <c r="G1962" t="s">
        <v>127</v>
      </c>
      <c r="H1962">
        <v>3</v>
      </c>
      <c r="I1962" t="s">
        <v>6170</v>
      </c>
      <c r="J1962" t="s">
        <v>357</v>
      </c>
    </row>
    <row r="1963" spans="1:10" x14ac:dyDescent="0.25">
      <c r="A1963" t="s">
        <v>6171</v>
      </c>
      <c r="B1963" t="s">
        <v>6172</v>
      </c>
      <c r="C1963" s="2">
        <v>46221.583333333336</v>
      </c>
      <c r="D1963" t="s">
        <v>418</v>
      </c>
      <c r="E1963" t="s">
        <v>57</v>
      </c>
      <c r="F1963" t="s">
        <v>211</v>
      </c>
      <c r="G1963" t="s">
        <v>131</v>
      </c>
      <c r="H1963">
        <v>2</v>
      </c>
      <c r="I1963" t="s">
        <v>6173</v>
      </c>
      <c r="J1963" t="s">
        <v>357</v>
      </c>
    </row>
    <row r="1964" spans="1:10" x14ac:dyDescent="0.25">
      <c r="A1964" t="s">
        <v>6174</v>
      </c>
      <c r="B1964" t="s">
        <v>6175</v>
      </c>
      <c r="C1964" s="2">
        <v>46221.583333333336</v>
      </c>
      <c r="D1964" t="s">
        <v>418</v>
      </c>
      <c r="E1964" t="s">
        <v>73</v>
      </c>
      <c r="F1964" t="s">
        <v>177</v>
      </c>
      <c r="G1964" t="s">
        <v>143</v>
      </c>
      <c r="H1964">
        <v>4</v>
      </c>
      <c r="I1964" t="s">
        <v>6176</v>
      </c>
      <c r="J1964" t="s">
        <v>357</v>
      </c>
    </row>
    <row r="1965" spans="1:10" x14ac:dyDescent="0.25">
      <c r="A1965" t="s">
        <v>6177</v>
      </c>
      <c r="B1965" t="s">
        <v>6178</v>
      </c>
      <c r="C1965" s="2">
        <v>46221.583333333336</v>
      </c>
      <c r="D1965" t="s">
        <v>418</v>
      </c>
      <c r="E1965" t="s">
        <v>18</v>
      </c>
      <c r="F1965" t="s">
        <v>231</v>
      </c>
      <c r="G1965" t="s">
        <v>95</v>
      </c>
      <c r="H1965">
        <v>3</v>
      </c>
      <c r="I1965" t="s">
        <v>6179</v>
      </c>
      <c r="J1965" t="s">
        <v>357</v>
      </c>
    </row>
    <row r="1966" spans="1:10" x14ac:dyDescent="0.25">
      <c r="A1966" t="s">
        <v>6180</v>
      </c>
      <c r="B1966" t="s">
        <v>6181</v>
      </c>
      <c r="C1966" s="2">
        <v>46221.583333333336</v>
      </c>
      <c r="D1966" t="s">
        <v>418</v>
      </c>
      <c r="E1966" t="s">
        <v>22</v>
      </c>
      <c r="F1966" t="s">
        <v>183</v>
      </c>
      <c r="G1966" t="s">
        <v>99</v>
      </c>
      <c r="H1966">
        <v>1</v>
      </c>
      <c r="I1966" t="s">
        <v>6182</v>
      </c>
      <c r="J1966" t="s">
        <v>357</v>
      </c>
    </row>
    <row r="1967" spans="1:10" x14ac:dyDescent="0.25">
      <c r="A1967" t="s">
        <v>6183</v>
      </c>
      <c r="B1967" t="s">
        <v>6184</v>
      </c>
      <c r="C1967" s="2">
        <v>46221.583333333336</v>
      </c>
      <c r="D1967" t="s">
        <v>418</v>
      </c>
      <c r="E1967" t="s">
        <v>26</v>
      </c>
      <c r="F1967" t="s">
        <v>235</v>
      </c>
      <c r="G1967" t="s">
        <v>103</v>
      </c>
      <c r="H1967">
        <v>6</v>
      </c>
      <c r="I1967" t="s">
        <v>6185</v>
      </c>
      <c r="J1967" t="s">
        <v>357</v>
      </c>
    </row>
    <row r="1968" spans="1:10" x14ac:dyDescent="0.25">
      <c r="A1968" t="s">
        <v>6186</v>
      </c>
      <c r="B1968" t="s">
        <v>6187</v>
      </c>
      <c r="C1968" s="2">
        <v>46221.583333333336</v>
      </c>
      <c r="D1968" t="s">
        <v>418</v>
      </c>
      <c r="E1968" t="s">
        <v>32</v>
      </c>
      <c r="F1968" t="s">
        <v>222</v>
      </c>
      <c r="G1968" t="s">
        <v>109</v>
      </c>
      <c r="H1968">
        <v>4</v>
      </c>
      <c r="I1968" t="s">
        <v>6188</v>
      </c>
      <c r="J1968" t="s">
        <v>357</v>
      </c>
    </row>
    <row r="1969" spans="1:10" x14ac:dyDescent="0.25">
      <c r="A1969" t="s">
        <v>6189</v>
      </c>
      <c r="B1969" t="s">
        <v>6190</v>
      </c>
      <c r="C1969" s="2">
        <v>46221.583333333336</v>
      </c>
      <c r="D1969" t="s">
        <v>418</v>
      </c>
      <c r="E1969" t="s">
        <v>43</v>
      </c>
      <c r="F1969" t="s">
        <v>116</v>
      </c>
      <c r="G1969" t="s">
        <v>117</v>
      </c>
      <c r="H1969">
        <v>3</v>
      </c>
      <c r="I1969" t="s">
        <v>6191</v>
      </c>
      <c r="J1969" t="s">
        <v>357</v>
      </c>
    </row>
    <row r="1970" spans="1:10" x14ac:dyDescent="0.25">
      <c r="A1970" t="s">
        <v>6192</v>
      </c>
      <c r="B1970" t="s">
        <v>6193</v>
      </c>
      <c r="C1970" s="2">
        <v>46221.583333333336</v>
      </c>
      <c r="D1970" t="s">
        <v>418</v>
      </c>
      <c r="E1970" t="s">
        <v>55</v>
      </c>
      <c r="F1970" t="s">
        <v>170</v>
      </c>
      <c r="G1970" t="s">
        <v>129</v>
      </c>
      <c r="H1970">
        <v>4</v>
      </c>
      <c r="I1970" t="s">
        <v>6194</v>
      </c>
      <c r="J1970" t="s">
        <v>357</v>
      </c>
    </row>
    <row r="1971" spans="1:10" x14ac:dyDescent="0.25">
      <c r="A1971" t="s">
        <v>6195</v>
      </c>
      <c r="B1971" t="s">
        <v>6196</v>
      </c>
      <c r="C1971" s="2">
        <v>46221.583333333336</v>
      </c>
      <c r="D1971" t="s">
        <v>418</v>
      </c>
      <c r="E1971" t="s">
        <v>69</v>
      </c>
      <c r="F1971" t="s">
        <v>197</v>
      </c>
      <c r="G1971" t="s">
        <v>139</v>
      </c>
      <c r="H1971">
        <v>6</v>
      </c>
      <c r="I1971" t="s">
        <v>6197</v>
      </c>
      <c r="J1971" t="s">
        <v>357</v>
      </c>
    </row>
    <row r="1972" spans="1:10" x14ac:dyDescent="0.25">
      <c r="A1972" t="s">
        <v>6198</v>
      </c>
      <c r="B1972" t="s">
        <v>6199</v>
      </c>
      <c r="C1972" s="2">
        <v>46221.583333333336</v>
      </c>
      <c r="D1972" t="s">
        <v>418</v>
      </c>
      <c r="E1972" t="s">
        <v>75</v>
      </c>
      <c r="F1972" t="s">
        <v>199</v>
      </c>
      <c r="G1972" t="s">
        <v>145</v>
      </c>
      <c r="H1972">
        <v>6</v>
      </c>
      <c r="I1972" t="s">
        <v>6200</v>
      </c>
      <c r="J1972" t="s">
        <v>357</v>
      </c>
    </row>
    <row r="1973" spans="1:10" x14ac:dyDescent="0.25">
      <c r="A1973" t="s">
        <v>6201</v>
      </c>
      <c r="B1973" t="s">
        <v>6202</v>
      </c>
      <c r="C1973" s="2">
        <v>46221.583333333336</v>
      </c>
      <c r="D1973" t="s">
        <v>418</v>
      </c>
      <c r="E1973" t="s">
        <v>77</v>
      </c>
      <c r="F1973" t="s">
        <v>200</v>
      </c>
      <c r="G1973" t="s">
        <v>147</v>
      </c>
      <c r="H1973">
        <v>3</v>
      </c>
      <c r="I1973" t="s">
        <v>6203</v>
      </c>
      <c r="J1973" t="s">
        <v>357</v>
      </c>
    </row>
    <row r="1974" spans="1:10" x14ac:dyDescent="0.25">
      <c r="A1974" t="s">
        <v>6204</v>
      </c>
      <c r="B1974" t="s">
        <v>6205</v>
      </c>
      <c r="C1974" s="2">
        <v>46221.583333333336</v>
      </c>
      <c r="D1974" t="s">
        <v>418</v>
      </c>
      <c r="E1974" t="s">
        <v>18</v>
      </c>
      <c r="F1974" t="s">
        <v>231</v>
      </c>
      <c r="G1974" t="s">
        <v>95</v>
      </c>
      <c r="H1974">
        <v>8</v>
      </c>
      <c r="I1974" t="s">
        <v>6206</v>
      </c>
      <c r="J1974" t="s">
        <v>357</v>
      </c>
    </row>
    <row r="1975" spans="1:10" x14ac:dyDescent="0.25">
      <c r="A1975" t="s">
        <v>6207</v>
      </c>
      <c r="B1975" t="s">
        <v>6208</v>
      </c>
      <c r="C1975" s="2">
        <v>46221.583333333336</v>
      </c>
      <c r="D1975" t="s">
        <v>418</v>
      </c>
      <c r="E1975" t="s">
        <v>20</v>
      </c>
      <c r="F1975" t="s">
        <v>232</v>
      </c>
      <c r="G1975" t="s">
        <v>97</v>
      </c>
      <c r="H1975">
        <v>2</v>
      </c>
      <c r="I1975" t="s">
        <v>6209</v>
      </c>
      <c r="J1975" t="s">
        <v>357</v>
      </c>
    </row>
    <row r="1976" spans="1:10" x14ac:dyDescent="0.25">
      <c r="A1976" t="s">
        <v>6210</v>
      </c>
      <c r="B1976" t="s">
        <v>6211</v>
      </c>
      <c r="C1976" s="2">
        <v>46221.583333333336</v>
      </c>
      <c r="D1976" t="s">
        <v>418</v>
      </c>
      <c r="E1976" t="s">
        <v>22</v>
      </c>
      <c r="F1976" t="s">
        <v>183</v>
      </c>
      <c r="G1976" t="s">
        <v>99</v>
      </c>
      <c r="H1976">
        <v>6</v>
      </c>
      <c r="I1976" t="s">
        <v>6212</v>
      </c>
      <c r="J1976" t="s">
        <v>357</v>
      </c>
    </row>
    <row r="1977" spans="1:10" x14ac:dyDescent="0.25">
      <c r="A1977" t="s">
        <v>6213</v>
      </c>
      <c r="B1977" t="s">
        <v>6214</v>
      </c>
      <c r="C1977" s="2">
        <v>46221.583333333336</v>
      </c>
      <c r="D1977" t="s">
        <v>418</v>
      </c>
      <c r="E1977" t="s">
        <v>24</v>
      </c>
      <c r="F1977" t="s">
        <v>234</v>
      </c>
      <c r="G1977" t="s">
        <v>101</v>
      </c>
      <c r="H1977">
        <v>8</v>
      </c>
      <c r="I1977" t="s">
        <v>6215</v>
      </c>
      <c r="J1977" t="s">
        <v>357</v>
      </c>
    </row>
    <row r="1978" spans="1:10" x14ac:dyDescent="0.25">
      <c r="A1978" t="s">
        <v>6216</v>
      </c>
      <c r="B1978" t="s">
        <v>6217</v>
      </c>
      <c r="C1978" s="2">
        <v>46221.583333333336</v>
      </c>
      <c r="D1978" t="s">
        <v>418</v>
      </c>
      <c r="E1978" t="s">
        <v>32</v>
      </c>
      <c r="F1978" t="s">
        <v>222</v>
      </c>
      <c r="G1978" t="s">
        <v>109</v>
      </c>
      <c r="H1978">
        <v>3</v>
      </c>
      <c r="I1978" t="s">
        <v>6218</v>
      </c>
      <c r="J1978" t="s">
        <v>357</v>
      </c>
    </row>
    <row r="1979" spans="1:10" x14ac:dyDescent="0.25">
      <c r="A1979" t="s">
        <v>6219</v>
      </c>
      <c r="B1979" t="s">
        <v>6220</v>
      </c>
      <c r="C1979" s="2">
        <v>46221.583333333336</v>
      </c>
      <c r="D1979" t="s">
        <v>418</v>
      </c>
      <c r="E1979" t="s">
        <v>47</v>
      </c>
      <c r="F1979" t="s">
        <v>238</v>
      </c>
      <c r="G1979" t="s">
        <v>121</v>
      </c>
      <c r="H1979">
        <v>5</v>
      </c>
      <c r="I1979" t="s">
        <v>6221</v>
      </c>
      <c r="J1979" t="s">
        <v>357</v>
      </c>
    </row>
    <row r="1980" spans="1:10" x14ac:dyDescent="0.25">
      <c r="A1980" t="s">
        <v>6222</v>
      </c>
      <c r="B1980" t="s">
        <v>6223</v>
      </c>
      <c r="C1980" s="2">
        <v>46221.583333333336</v>
      </c>
      <c r="D1980" t="s">
        <v>418</v>
      </c>
      <c r="E1980" t="s">
        <v>51</v>
      </c>
      <c r="F1980" t="s">
        <v>209</v>
      </c>
      <c r="G1980" t="s">
        <v>125</v>
      </c>
      <c r="H1980">
        <v>2</v>
      </c>
      <c r="I1980" t="s">
        <v>6224</v>
      </c>
      <c r="J1980" t="s">
        <v>357</v>
      </c>
    </row>
    <row r="1981" spans="1:10" x14ac:dyDescent="0.25">
      <c r="A1981" t="s">
        <v>6225</v>
      </c>
      <c r="B1981" t="s">
        <v>6226</v>
      </c>
      <c r="C1981" s="2">
        <v>46221.583333333336</v>
      </c>
      <c r="D1981" t="s">
        <v>418</v>
      </c>
      <c r="E1981" t="s">
        <v>69</v>
      </c>
      <c r="F1981" t="s">
        <v>197</v>
      </c>
      <c r="G1981" t="s">
        <v>139</v>
      </c>
      <c r="H1981">
        <v>3</v>
      </c>
      <c r="I1981" t="s">
        <v>6227</v>
      </c>
      <c r="J1981" t="s">
        <v>357</v>
      </c>
    </row>
    <row r="1982" spans="1:10" x14ac:dyDescent="0.25">
      <c r="A1982" t="s">
        <v>6228</v>
      </c>
      <c r="B1982" t="s">
        <v>6229</v>
      </c>
      <c r="C1982" s="2">
        <v>46221.583333333336</v>
      </c>
      <c r="D1982" t="s">
        <v>418</v>
      </c>
      <c r="E1982" t="s">
        <v>18</v>
      </c>
      <c r="F1982" t="s">
        <v>231</v>
      </c>
      <c r="G1982" t="s">
        <v>95</v>
      </c>
      <c r="H1982">
        <v>5</v>
      </c>
      <c r="I1982" t="s">
        <v>6230</v>
      </c>
      <c r="J1982" t="s">
        <v>357</v>
      </c>
    </row>
    <row r="1983" spans="1:10" x14ac:dyDescent="0.25">
      <c r="A1983" t="s">
        <v>6231</v>
      </c>
      <c r="B1983" t="s">
        <v>6232</v>
      </c>
      <c r="C1983" s="2">
        <v>46221.583333333336</v>
      </c>
      <c r="D1983" t="s">
        <v>418</v>
      </c>
      <c r="E1983" t="s">
        <v>24</v>
      </c>
      <c r="F1983" t="s">
        <v>234</v>
      </c>
      <c r="G1983" t="s">
        <v>101</v>
      </c>
      <c r="H1983">
        <v>7</v>
      </c>
      <c r="I1983" t="s">
        <v>6233</v>
      </c>
      <c r="J1983" t="s">
        <v>357</v>
      </c>
    </row>
    <row r="1984" spans="1:10" x14ac:dyDescent="0.25">
      <c r="A1984" t="s">
        <v>6234</v>
      </c>
      <c r="B1984" t="s">
        <v>6235</v>
      </c>
      <c r="C1984" s="2">
        <v>46221.583333333336</v>
      </c>
      <c r="D1984" t="s">
        <v>418</v>
      </c>
      <c r="E1984" t="s">
        <v>26</v>
      </c>
      <c r="F1984" t="s">
        <v>235</v>
      </c>
      <c r="G1984" t="s">
        <v>103</v>
      </c>
      <c r="H1984">
        <v>9</v>
      </c>
      <c r="I1984" t="s">
        <v>6236</v>
      </c>
      <c r="J1984" t="s">
        <v>357</v>
      </c>
    </row>
    <row r="1985" spans="1:10" x14ac:dyDescent="0.25">
      <c r="A1985" t="s">
        <v>6237</v>
      </c>
      <c r="B1985" t="s">
        <v>6238</v>
      </c>
      <c r="C1985" s="2">
        <v>46221.583333333336</v>
      </c>
      <c r="D1985" t="s">
        <v>418</v>
      </c>
      <c r="E1985" t="s">
        <v>41</v>
      </c>
      <c r="F1985" t="s">
        <v>224</v>
      </c>
      <c r="G1985" t="s">
        <v>115</v>
      </c>
      <c r="H1985">
        <v>2</v>
      </c>
      <c r="I1985" t="s">
        <v>6239</v>
      </c>
      <c r="J1985" t="s">
        <v>357</v>
      </c>
    </row>
    <row r="1986" spans="1:10" x14ac:dyDescent="0.25">
      <c r="A1986" t="s">
        <v>6240</v>
      </c>
      <c r="B1986" t="s">
        <v>6241</v>
      </c>
      <c r="C1986" s="2">
        <v>46221.583333333336</v>
      </c>
      <c r="D1986" t="s">
        <v>418</v>
      </c>
      <c r="E1986" t="s">
        <v>45</v>
      </c>
      <c r="F1986" t="s">
        <v>225</v>
      </c>
      <c r="G1986" t="s">
        <v>119</v>
      </c>
      <c r="H1986">
        <v>5</v>
      </c>
      <c r="I1986" t="s">
        <v>6242</v>
      </c>
      <c r="J1986" t="s">
        <v>357</v>
      </c>
    </row>
    <row r="1987" spans="1:10" x14ac:dyDescent="0.25">
      <c r="A1987" t="s">
        <v>6243</v>
      </c>
      <c r="B1987" t="s">
        <v>6244</v>
      </c>
      <c r="C1987" s="2">
        <v>46221.583333333336</v>
      </c>
      <c r="D1987" t="s">
        <v>418</v>
      </c>
      <c r="E1987" t="s">
        <v>51</v>
      </c>
      <c r="F1987" t="s">
        <v>209</v>
      </c>
      <c r="G1987" t="s">
        <v>125</v>
      </c>
      <c r="H1987">
        <v>5</v>
      </c>
      <c r="I1987" t="s">
        <v>6245</v>
      </c>
      <c r="J1987" t="s">
        <v>357</v>
      </c>
    </row>
    <row r="1988" spans="1:10" x14ac:dyDescent="0.25">
      <c r="A1988" t="s">
        <v>6246</v>
      </c>
      <c r="B1988" t="s">
        <v>6247</v>
      </c>
      <c r="C1988" s="2">
        <v>46221.583333333336</v>
      </c>
      <c r="D1988" t="s">
        <v>418</v>
      </c>
      <c r="E1988" t="s">
        <v>59</v>
      </c>
      <c r="F1988" t="s">
        <v>194</v>
      </c>
      <c r="G1988" t="s">
        <v>133</v>
      </c>
      <c r="H1988">
        <v>5</v>
      </c>
      <c r="I1988" t="s">
        <v>6248</v>
      </c>
      <c r="J1988" t="s">
        <v>357</v>
      </c>
    </row>
    <row r="1989" spans="1:10" x14ac:dyDescent="0.25">
      <c r="A1989" t="s">
        <v>6249</v>
      </c>
      <c r="B1989" t="s">
        <v>6250</v>
      </c>
      <c r="C1989" s="2">
        <v>46221.583333333336</v>
      </c>
      <c r="D1989" t="s">
        <v>418</v>
      </c>
      <c r="E1989" t="s">
        <v>67</v>
      </c>
      <c r="F1989" t="s">
        <v>196</v>
      </c>
      <c r="G1989" t="s">
        <v>137</v>
      </c>
      <c r="H1989">
        <v>7</v>
      </c>
      <c r="I1989" t="s">
        <v>6251</v>
      </c>
      <c r="J1989" t="s">
        <v>357</v>
      </c>
    </row>
    <row r="1990" spans="1:10" x14ac:dyDescent="0.25">
      <c r="A1990" t="s">
        <v>6252</v>
      </c>
      <c r="B1990" t="s">
        <v>6253</v>
      </c>
      <c r="C1990" s="2">
        <v>46221.583333333336</v>
      </c>
      <c r="D1990" t="s">
        <v>418</v>
      </c>
      <c r="E1990" t="s">
        <v>18</v>
      </c>
      <c r="F1990" t="s">
        <v>231</v>
      </c>
      <c r="G1990" t="s">
        <v>95</v>
      </c>
      <c r="H1990">
        <v>4</v>
      </c>
      <c r="I1990" t="s">
        <v>6254</v>
      </c>
      <c r="J1990" t="s">
        <v>357</v>
      </c>
    </row>
    <row r="1991" spans="1:10" x14ac:dyDescent="0.25">
      <c r="A1991" t="s">
        <v>6255</v>
      </c>
      <c r="B1991" t="s">
        <v>6256</v>
      </c>
      <c r="C1991" s="2">
        <v>46221.583333333336</v>
      </c>
      <c r="D1991" t="s">
        <v>418</v>
      </c>
      <c r="E1991" t="s">
        <v>20</v>
      </c>
      <c r="F1991" t="s">
        <v>232</v>
      </c>
      <c r="G1991" t="s">
        <v>97</v>
      </c>
      <c r="H1991">
        <v>4</v>
      </c>
      <c r="I1991" t="s">
        <v>6257</v>
      </c>
      <c r="J1991" t="s">
        <v>357</v>
      </c>
    </row>
    <row r="1992" spans="1:10" x14ac:dyDescent="0.25">
      <c r="A1992" t="s">
        <v>6258</v>
      </c>
      <c r="B1992" t="s">
        <v>6259</v>
      </c>
      <c r="C1992" s="2">
        <v>46221.583333333336</v>
      </c>
      <c r="D1992" t="s">
        <v>418</v>
      </c>
      <c r="E1992" t="s">
        <v>26</v>
      </c>
      <c r="F1992" t="s">
        <v>235</v>
      </c>
      <c r="G1992" t="s">
        <v>103</v>
      </c>
      <c r="H1992">
        <v>6</v>
      </c>
      <c r="I1992" t="s">
        <v>6260</v>
      </c>
      <c r="J1992" t="s">
        <v>357</v>
      </c>
    </row>
    <row r="1993" spans="1:10" x14ac:dyDescent="0.25">
      <c r="A1993" t="s">
        <v>6261</v>
      </c>
      <c r="B1993" t="s">
        <v>6262</v>
      </c>
      <c r="C1993" s="2">
        <v>46221.583333333336</v>
      </c>
      <c r="D1993" t="s">
        <v>418</v>
      </c>
      <c r="E1993" t="s">
        <v>32</v>
      </c>
      <c r="F1993" t="s">
        <v>222</v>
      </c>
      <c r="G1993" t="s">
        <v>109</v>
      </c>
      <c r="H1993">
        <v>6</v>
      </c>
      <c r="I1993" t="s">
        <v>6263</v>
      </c>
      <c r="J1993" t="s">
        <v>357</v>
      </c>
    </row>
    <row r="1994" spans="1:10" x14ac:dyDescent="0.25">
      <c r="A1994" t="s">
        <v>6264</v>
      </c>
      <c r="B1994" t="s">
        <v>6265</v>
      </c>
      <c r="C1994" s="2">
        <v>46221.583333333336</v>
      </c>
      <c r="D1994" t="s">
        <v>418</v>
      </c>
      <c r="E1994" t="s">
        <v>36</v>
      </c>
      <c r="F1994" t="s">
        <v>223</v>
      </c>
      <c r="G1994" t="s">
        <v>113</v>
      </c>
      <c r="H1994">
        <v>1</v>
      </c>
      <c r="I1994" t="s">
        <v>6266</v>
      </c>
      <c r="J1994" t="s">
        <v>357</v>
      </c>
    </row>
    <row r="1995" spans="1:10" x14ac:dyDescent="0.25">
      <c r="A1995" t="s">
        <v>6267</v>
      </c>
      <c r="B1995" t="s">
        <v>6268</v>
      </c>
      <c r="C1995" s="2">
        <v>46221.583333333336</v>
      </c>
      <c r="D1995" t="s">
        <v>418</v>
      </c>
      <c r="E1995" t="s">
        <v>51</v>
      </c>
      <c r="F1995" t="s">
        <v>209</v>
      </c>
      <c r="G1995" t="s">
        <v>125</v>
      </c>
      <c r="H1995">
        <v>4</v>
      </c>
      <c r="I1995" t="s">
        <v>6269</v>
      </c>
      <c r="J1995" t="s">
        <v>357</v>
      </c>
    </row>
    <row r="1996" spans="1:10" x14ac:dyDescent="0.25">
      <c r="A1996" t="s">
        <v>6270</v>
      </c>
      <c r="B1996" t="s">
        <v>6271</v>
      </c>
      <c r="C1996" s="2">
        <v>46221.583333333336</v>
      </c>
      <c r="D1996" t="s">
        <v>418</v>
      </c>
      <c r="E1996" t="s">
        <v>71</v>
      </c>
      <c r="F1996" t="s">
        <v>198</v>
      </c>
      <c r="G1996" t="s">
        <v>141</v>
      </c>
      <c r="H1996">
        <v>6</v>
      </c>
      <c r="I1996" t="s">
        <v>6272</v>
      </c>
      <c r="J1996" t="s">
        <v>357</v>
      </c>
    </row>
    <row r="1997" spans="1:10" x14ac:dyDescent="0.25">
      <c r="A1997" t="s">
        <v>6273</v>
      </c>
      <c r="B1997" t="s">
        <v>6274</v>
      </c>
      <c r="C1997" s="2">
        <v>46222.583333333336</v>
      </c>
      <c r="D1997" t="s">
        <v>418</v>
      </c>
      <c r="E1997" t="s">
        <v>20</v>
      </c>
      <c r="F1997" t="s">
        <v>232</v>
      </c>
      <c r="G1997" t="s">
        <v>97</v>
      </c>
      <c r="H1997">
        <v>1</v>
      </c>
      <c r="I1997" t="s">
        <v>6275</v>
      </c>
      <c r="J1997" t="s">
        <v>357</v>
      </c>
    </row>
    <row r="1998" spans="1:10" x14ac:dyDescent="0.25">
      <c r="A1998" t="s">
        <v>6276</v>
      </c>
      <c r="B1998" t="s">
        <v>6277</v>
      </c>
      <c r="C1998" s="2">
        <v>46222.583333333336</v>
      </c>
      <c r="D1998" t="s">
        <v>418</v>
      </c>
      <c r="E1998" t="s">
        <v>22</v>
      </c>
      <c r="F1998" t="s">
        <v>183</v>
      </c>
      <c r="G1998" t="s">
        <v>99</v>
      </c>
      <c r="H1998">
        <v>2</v>
      </c>
      <c r="I1998" t="s">
        <v>6278</v>
      </c>
      <c r="J1998" t="s">
        <v>357</v>
      </c>
    </row>
    <row r="1999" spans="1:10" x14ac:dyDescent="0.25">
      <c r="A1999" t="s">
        <v>6279</v>
      </c>
      <c r="B1999" t="s">
        <v>6280</v>
      </c>
      <c r="C1999" s="2">
        <v>46222.583333333336</v>
      </c>
      <c r="D1999" t="s">
        <v>418</v>
      </c>
      <c r="E1999" t="s">
        <v>24</v>
      </c>
      <c r="F1999" t="s">
        <v>234</v>
      </c>
      <c r="G1999" t="s">
        <v>101</v>
      </c>
      <c r="H1999">
        <v>3</v>
      </c>
      <c r="I1999" t="s">
        <v>6281</v>
      </c>
      <c r="J1999" t="s">
        <v>357</v>
      </c>
    </row>
    <row r="2000" spans="1:10" x14ac:dyDescent="0.25">
      <c r="A2000" t="s">
        <v>6282</v>
      </c>
      <c r="B2000" t="s">
        <v>6283</v>
      </c>
      <c r="C2000" s="2">
        <v>46222.583333333336</v>
      </c>
      <c r="D2000" t="s">
        <v>418</v>
      </c>
      <c r="E2000" t="s">
        <v>26</v>
      </c>
      <c r="F2000" t="s">
        <v>235</v>
      </c>
      <c r="G2000" t="s">
        <v>103</v>
      </c>
      <c r="H2000">
        <v>5</v>
      </c>
      <c r="I2000" t="s">
        <v>6284</v>
      </c>
      <c r="J2000" t="s">
        <v>357</v>
      </c>
    </row>
    <row r="2001" spans="1:10" x14ac:dyDescent="0.25">
      <c r="A2001" t="s">
        <v>6285</v>
      </c>
      <c r="B2001" t="s">
        <v>6286</v>
      </c>
      <c r="C2001" s="2">
        <v>46222.583333333336</v>
      </c>
      <c r="D2001" t="s">
        <v>418</v>
      </c>
      <c r="E2001" t="s">
        <v>30</v>
      </c>
      <c r="F2001" t="s">
        <v>159</v>
      </c>
      <c r="G2001" t="s">
        <v>107</v>
      </c>
      <c r="H2001">
        <v>2</v>
      </c>
      <c r="I2001" t="s">
        <v>6287</v>
      </c>
      <c r="J2001" t="s">
        <v>357</v>
      </c>
    </row>
    <row r="2002" spans="1:10" x14ac:dyDescent="0.25">
      <c r="A2002" t="s">
        <v>6288</v>
      </c>
      <c r="B2002" t="s">
        <v>6289</v>
      </c>
      <c r="C2002" s="2">
        <v>46222.583333333336</v>
      </c>
      <c r="D2002" t="s">
        <v>418</v>
      </c>
      <c r="E2002" t="s">
        <v>45</v>
      </c>
      <c r="F2002" t="s">
        <v>225</v>
      </c>
      <c r="G2002" t="s">
        <v>119</v>
      </c>
      <c r="H2002">
        <v>3</v>
      </c>
      <c r="I2002" t="s">
        <v>6290</v>
      </c>
      <c r="J2002" t="s">
        <v>357</v>
      </c>
    </row>
    <row r="2003" spans="1:10" x14ac:dyDescent="0.25">
      <c r="A2003" t="s">
        <v>6291</v>
      </c>
      <c r="B2003" t="s">
        <v>6292</v>
      </c>
      <c r="C2003" s="2">
        <v>46222.583333333336</v>
      </c>
      <c r="D2003" t="s">
        <v>418</v>
      </c>
      <c r="E2003" t="s">
        <v>18</v>
      </c>
      <c r="F2003" t="s">
        <v>231</v>
      </c>
      <c r="G2003" t="s">
        <v>95</v>
      </c>
      <c r="H2003">
        <v>3</v>
      </c>
      <c r="I2003" t="s">
        <v>6293</v>
      </c>
      <c r="J2003" t="s">
        <v>357</v>
      </c>
    </row>
    <row r="2004" spans="1:10" x14ac:dyDescent="0.25">
      <c r="A2004" t="s">
        <v>6294</v>
      </c>
      <c r="B2004" t="s">
        <v>6295</v>
      </c>
      <c r="C2004" s="2">
        <v>46222.583333333336</v>
      </c>
      <c r="D2004" t="s">
        <v>418</v>
      </c>
      <c r="E2004" t="s">
        <v>24</v>
      </c>
      <c r="F2004" t="s">
        <v>234</v>
      </c>
      <c r="G2004" t="s">
        <v>101</v>
      </c>
      <c r="H2004">
        <v>4</v>
      </c>
      <c r="I2004" t="s">
        <v>6296</v>
      </c>
      <c r="J2004" t="s">
        <v>357</v>
      </c>
    </row>
    <row r="2005" spans="1:10" x14ac:dyDescent="0.25">
      <c r="A2005" t="s">
        <v>6297</v>
      </c>
      <c r="B2005" t="s">
        <v>6298</v>
      </c>
      <c r="C2005" s="2">
        <v>46222.583333333336</v>
      </c>
      <c r="D2005" t="s">
        <v>418</v>
      </c>
      <c r="E2005" t="s">
        <v>26</v>
      </c>
      <c r="F2005" t="s">
        <v>235</v>
      </c>
      <c r="G2005" t="s">
        <v>103</v>
      </c>
      <c r="H2005">
        <v>1</v>
      </c>
      <c r="I2005" t="s">
        <v>6299</v>
      </c>
      <c r="J2005" t="s">
        <v>357</v>
      </c>
    </row>
    <row r="2006" spans="1:10" x14ac:dyDescent="0.25">
      <c r="A2006" t="s">
        <v>6300</v>
      </c>
      <c r="B2006" t="s">
        <v>6301</v>
      </c>
      <c r="C2006" s="2">
        <v>46222.583333333336</v>
      </c>
      <c r="D2006" t="s">
        <v>418</v>
      </c>
      <c r="E2006" t="s">
        <v>47</v>
      </c>
      <c r="F2006" t="s">
        <v>238</v>
      </c>
      <c r="G2006" t="s">
        <v>121</v>
      </c>
      <c r="H2006">
        <v>5</v>
      </c>
      <c r="I2006" t="s">
        <v>6302</v>
      </c>
      <c r="J2006" t="s">
        <v>357</v>
      </c>
    </row>
    <row r="2007" spans="1:10" x14ac:dyDescent="0.25">
      <c r="A2007" t="s">
        <v>6303</v>
      </c>
      <c r="B2007" t="s">
        <v>6304</v>
      </c>
      <c r="C2007" s="2">
        <v>46222.583333333336</v>
      </c>
      <c r="D2007" t="s">
        <v>418</v>
      </c>
      <c r="E2007" t="s">
        <v>59</v>
      </c>
      <c r="F2007" t="s">
        <v>194</v>
      </c>
      <c r="G2007" t="s">
        <v>133</v>
      </c>
      <c r="H2007">
        <v>5</v>
      </c>
      <c r="I2007" t="s">
        <v>6305</v>
      </c>
      <c r="J2007" t="s">
        <v>357</v>
      </c>
    </row>
    <row r="2008" spans="1:10" x14ac:dyDescent="0.25">
      <c r="A2008" t="s">
        <v>6306</v>
      </c>
      <c r="B2008" t="s">
        <v>6307</v>
      </c>
      <c r="C2008" s="2">
        <v>46222.583333333336</v>
      </c>
      <c r="D2008" t="s">
        <v>418</v>
      </c>
      <c r="E2008" t="s">
        <v>75</v>
      </c>
      <c r="F2008" t="s">
        <v>199</v>
      </c>
      <c r="G2008" t="s">
        <v>145</v>
      </c>
      <c r="H2008">
        <v>4</v>
      </c>
      <c r="I2008" t="s">
        <v>6308</v>
      </c>
      <c r="J2008" t="s">
        <v>357</v>
      </c>
    </row>
    <row r="2009" spans="1:10" x14ac:dyDescent="0.25">
      <c r="A2009" t="s">
        <v>6309</v>
      </c>
      <c r="B2009" t="s">
        <v>6310</v>
      </c>
      <c r="C2009" s="2">
        <v>46222.583333333336</v>
      </c>
      <c r="D2009" t="s">
        <v>418</v>
      </c>
      <c r="E2009" t="s">
        <v>20</v>
      </c>
      <c r="F2009" t="s">
        <v>232</v>
      </c>
      <c r="G2009" t="s">
        <v>97</v>
      </c>
      <c r="H2009">
        <v>8</v>
      </c>
      <c r="I2009" t="s">
        <v>6311</v>
      </c>
      <c r="J2009" t="s">
        <v>357</v>
      </c>
    </row>
    <row r="2010" spans="1:10" x14ac:dyDescent="0.25">
      <c r="A2010" t="s">
        <v>6312</v>
      </c>
      <c r="B2010" t="s">
        <v>6313</v>
      </c>
      <c r="C2010" s="2">
        <v>46222.583333333336</v>
      </c>
      <c r="D2010" t="s">
        <v>418</v>
      </c>
      <c r="E2010" t="s">
        <v>22</v>
      </c>
      <c r="F2010" t="s">
        <v>183</v>
      </c>
      <c r="G2010" t="s">
        <v>99</v>
      </c>
      <c r="H2010">
        <v>5</v>
      </c>
      <c r="I2010" t="s">
        <v>6314</v>
      </c>
      <c r="J2010" t="s">
        <v>357</v>
      </c>
    </row>
    <row r="2011" spans="1:10" x14ac:dyDescent="0.25">
      <c r="A2011" t="s">
        <v>6315</v>
      </c>
      <c r="B2011" t="s">
        <v>6316</v>
      </c>
      <c r="C2011" s="2">
        <v>46222.583333333336</v>
      </c>
      <c r="D2011" t="s">
        <v>418</v>
      </c>
      <c r="E2011" t="s">
        <v>24</v>
      </c>
      <c r="F2011" t="s">
        <v>234</v>
      </c>
      <c r="G2011" t="s">
        <v>101</v>
      </c>
      <c r="H2011">
        <v>5</v>
      </c>
      <c r="I2011" t="s">
        <v>6317</v>
      </c>
      <c r="J2011" t="s">
        <v>357</v>
      </c>
    </row>
    <row r="2012" spans="1:10" x14ac:dyDescent="0.25">
      <c r="A2012" t="s">
        <v>6318</v>
      </c>
      <c r="B2012" t="s">
        <v>6319</v>
      </c>
      <c r="C2012" s="2">
        <v>46222.583333333336</v>
      </c>
      <c r="D2012" t="s">
        <v>418</v>
      </c>
      <c r="E2012" t="s">
        <v>28</v>
      </c>
      <c r="F2012" t="s">
        <v>104</v>
      </c>
      <c r="G2012" t="s">
        <v>105</v>
      </c>
      <c r="H2012">
        <v>2</v>
      </c>
      <c r="I2012" t="s">
        <v>6320</v>
      </c>
      <c r="J2012" t="s">
        <v>357</v>
      </c>
    </row>
    <row r="2013" spans="1:10" x14ac:dyDescent="0.25">
      <c r="A2013" t="s">
        <v>6321</v>
      </c>
      <c r="B2013" t="s">
        <v>6322</v>
      </c>
      <c r="C2013" s="2">
        <v>46222.583333333336</v>
      </c>
      <c r="D2013" t="s">
        <v>418</v>
      </c>
      <c r="E2013" t="s">
        <v>43</v>
      </c>
      <c r="F2013" t="s">
        <v>116</v>
      </c>
      <c r="G2013" t="s">
        <v>117</v>
      </c>
      <c r="H2013">
        <v>3</v>
      </c>
      <c r="I2013" t="s">
        <v>6323</v>
      </c>
      <c r="J2013" t="s">
        <v>357</v>
      </c>
    </row>
    <row r="2014" spans="1:10" x14ac:dyDescent="0.25">
      <c r="A2014" t="s">
        <v>6324</v>
      </c>
      <c r="B2014" t="s">
        <v>6325</v>
      </c>
      <c r="C2014" s="2">
        <v>46222.583333333336</v>
      </c>
      <c r="D2014" t="s">
        <v>418</v>
      </c>
      <c r="E2014" t="s">
        <v>65</v>
      </c>
      <c r="F2014" t="s">
        <v>195</v>
      </c>
      <c r="G2014" t="s">
        <v>135</v>
      </c>
      <c r="H2014">
        <v>2</v>
      </c>
      <c r="I2014" t="s">
        <v>6326</v>
      </c>
      <c r="J2014" t="s">
        <v>357</v>
      </c>
    </row>
    <row r="2015" spans="1:10" x14ac:dyDescent="0.25">
      <c r="A2015" t="s">
        <v>6327</v>
      </c>
      <c r="B2015" t="s">
        <v>6328</v>
      </c>
      <c r="C2015" s="2">
        <v>46222.583333333336</v>
      </c>
      <c r="D2015" t="s">
        <v>418</v>
      </c>
      <c r="E2015" t="s">
        <v>69</v>
      </c>
      <c r="F2015" t="s">
        <v>197</v>
      </c>
      <c r="G2015" t="s">
        <v>139</v>
      </c>
      <c r="H2015">
        <v>2</v>
      </c>
      <c r="I2015" t="s">
        <v>6329</v>
      </c>
      <c r="J2015" t="s">
        <v>357</v>
      </c>
    </row>
    <row r="2016" spans="1:10" x14ac:dyDescent="0.25">
      <c r="A2016" t="s">
        <v>6330</v>
      </c>
      <c r="B2016" t="s">
        <v>6331</v>
      </c>
      <c r="C2016" s="2">
        <v>46222.583333333336</v>
      </c>
      <c r="D2016" t="s">
        <v>418</v>
      </c>
      <c r="E2016" t="s">
        <v>71</v>
      </c>
      <c r="F2016" t="s">
        <v>198</v>
      </c>
      <c r="G2016" t="s">
        <v>141</v>
      </c>
      <c r="H2016">
        <v>8</v>
      </c>
      <c r="I2016" t="s">
        <v>6332</v>
      </c>
      <c r="J2016" t="s">
        <v>357</v>
      </c>
    </row>
    <row r="2017" spans="1:10" x14ac:dyDescent="0.25">
      <c r="A2017" t="s">
        <v>6333</v>
      </c>
      <c r="B2017" t="s">
        <v>6334</v>
      </c>
      <c r="C2017" s="2">
        <v>46222.583333333336</v>
      </c>
      <c r="D2017" t="s">
        <v>418</v>
      </c>
      <c r="E2017" t="s">
        <v>18</v>
      </c>
      <c r="F2017" t="s">
        <v>231</v>
      </c>
      <c r="G2017" t="s">
        <v>95</v>
      </c>
      <c r="H2017">
        <v>9</v>
      </c>
      <c r="I2017" t="s">
        <v>6335</v>
      </c>
      <c r="J2017" t="s">
        <v>357</v>
      </c>
    </row>
    <row r="2018" spans="1:10" x14ac:dyDescent="0.25">
      <c r="A2018" t="s">
        <v>6336</v>
      </c>
      <c r="B2018" t="s">
        <v>6337</v>
      </c>
      <c r="C2018" s="2">
        <v>46222.583333333336</v>
      </c>
      <c r="D2018" t="s">
        <v>418</v>
      </c>
      <c r="E2018" t="s">
        <v>22</v>
      </c>
      <c r="F2018" t="s">
        <v>183</v>
      </c>
      <c r="G2018" t="s">
        <v>99</v>
      </c>
      <c r="H2018">
        <v>4</v>
      </c>
      <c r="I2018" t="s">
        <v>6338</v>
      </c>
      <c r="J2018" t="s">
        <v>357</v>
      </c>
    </row>
    <row r="2019" spans="1:10" x14ac:dyDescent="0.25">
      <c r="A2019" t="s">
        <v>6339</v>
      </c>
      <c r="B2019" t="s">
        <v>6340</v>
      </c>
      <c r="C2019" s="2">
        <v>46222.583333333336</v>
      </c>
      <c r="D2019" t="s">
        <v>418</v>
      </c>
      <c r="E2019" t="s">
        <v>22</v>
      </c>
      <c r="F2019" t="s">
        <v>233</v>
      </c>
      <c r="G2019" t="s">
        <v>99</v>
      </c>
      <c r="H2019">
        <v>3</v>
      </c>
      <c r="I2019" t="s">
        <v>6338</v>
      </c>
      <c r="J2019" t="s">
        <v>357</v>
      </c>
    </row>
    <row r="2020" spans="1:10" x14ac:dyDescent="0.25">
      <c r="A2020" t="s">
        <v>6341</v>
      </c>
      <c r="B2020" t="s">
        <v>6342</v>
      </c>
      <c r="C2020" s="2">
        <v>46222.583333333336</v>
      </c>
      <c r="D2020" t="s">
        <v>418</v>
      </c>
      <c r="E2020" t="s">
        <v>24</v>
      </c>
      <c r="F2020" t="s">
        <v>234</v>
      </c>
      <c r="G2020" t="s">
        <v>101</v>
      </c>
      <c r="H2020">
        <v>9</v>
      </c>
      <c r="I2020" t="s">
        <v>6343</v>
      </c>
      <c r="J2020" t="s">
        <v>357</v>
      </c>
    </row>
    <row r="2021" spans="1:10" x14ac:dyDescent="0.25">
      <c r="A2021" t="s">
        <v>6344</v>
      </c>
      <c r="B2021" t="s">
        <v>6345</v>
      </c>
      <c r="C2021" s="2">
        <v>46222.583333333336</v>
      </c>
      <c r="D2021" t="s">
        <v>418</v>
      </c>
      <c r="E2021" t="s">
        <v>30</v>
      </c>
      <c r="F2021" t="s">
        <v>159</v>
      </c>
      <c r="G2021" t="s">
        <v>107</v>
      </c>
      <c r="H2021">
        <v>4</v>
      </c>
      <c r="I2021" t="s">
        <v>6346</v>
      </c>
      <c r="J2021" t="s">
        <v>357</v>
      </c>
    </row>
    <row r="2022" spans="1:10" x14ac:dyDescent="0.25">
      <c r="A2022" t="s">
        <v>6347</v>
      </c>
      <c r="B2022" t="s">
        <v>6348</v>
      </c>
      <c r="C2022" s="2">
        <v>46222.583333333336</v>
      </c>
      <c r="D2022" t="s">
        <v>418</v>
      </c>
      <c r="E2022" t="s">
        <v>45</v>
      </c>
      <c r="F2022" t="s">
        <v>225</v>
      </c>
      <c r="G2022" t="s">
        <v>119</v>
      </c>
      <c r="H2022">
        <v>7</v>
      </c>
      <c r="I2022" t="s">
        <v>6349</v>
      </c>
      <c r="J2022" t="s">
        <v>357</v>
      </c>
    </row>
    <row r="2023" spans="1:10" x14ac:dyDescent="0.25">
      <c r="A2023" t="s">
        <v>6350</v>
      </c>
      <c r="B2023" t="s">
        <v>6351</v>
      </c>
      <c r="C2023" s="2">
        <v>46222.583333333336</v>
      </c>
      <c r="D2023" t="s">
        <v>418</v>
      </c>
      <c r="E2023" t="s">
        <v>51</v>
      </c>
      <c r="F2023" t="s">
        <v>209</v>
      </c>
      <c r="G2023" t="s">
        <v>125</v>
      </c>
      <c r="H2023">
        <v>4</v>
      </c>
      <c r="I2023" t="s">
        <v>6352</v>
      </c>
      <c r="J2023" t="s">
        <v>357</v>
      </c>
    </row>
    <row r="2024" spans="1:10" x14ac:dyDescent="0.25">
      <c r="A2024" t="s">
        <v>6353</v>
      </c>
      <c r="B2024" t="s">
        <v>6354</v>
      </c>
      <c r="C2024" s="2">
        <v>46222.583333333336</v>
      </c>
      <c r="D2024" t="s">
        <v>418</v>
      </c>
      <c r="E2024" t="s">
        <v>55</v>
      </c>
      <c r="F2024" t="s">
        <v>170</v>
      </c>
      <c r="G2024" t="s">
        <v>129</v>
      </c>
      <c r="H2024">
        <v>9</v>
      </c>
      <c r="I2024" t="s">
        <v>6355</v>
      </c>
      <c r="J2024" t="s">
        <v>357</v>
      </c>
    </row>
    <row r="2025" spans="1:10" x14ac:dyDescent="0.25">
      <c r="A2025" t="s">
        <v>6356</v>
      </c>
      <c r="B2025" t="s">
        <v>6357</v>
      </c>
      <c r="C2025" s="2">
        <v>46222.583333333336</v>
      </c>
      <c r="D2025" t="s">
        <v>418</v>
      </c>
      <c r="E2025" t="s">
        <v>57</v>
      </c>
      <c r="F2025" t="s">
        <v>211</v>
      </c>
      <c r="G2025" t="s">
        <v>131</v>
      </c>
      <c r="H2025">
        <v>9</v>
      </c>
      <c r="I2025" t="s">
        <v>6358</v>
      </c>
      <c r="J2025" t="s">
        <v>357</v>
      </c>
    </row>
    <row r="2026" spans="1:10" x14ac:dyDescent="0.25">
      <c r="A2026" t="s">
        <v>6359</v>
      </c>
      <c r="B2026" t="s">
        <v>6360</v>
      </c>
      <c r="C2026" s="2">
        <v>46222.583333333336</v>
      </c>
      <c r="D2026" t="s">
        <v>418</v>
      </c>
      <c r="E2026" t="s">
        <v>67</v>
      </c>
      <c r="F2026" t="s">
        <v>196</v>
      </c>
      <c r="G2026" t="s">
        <v>137</v>
      </c>
      <c r="H2026">
        <v>2</v>
      </c>
      <c r="I2026" t="s">
        <v>6361</v>
      </c>
      <c r="J2026" t="s">
        <v>357</v>
      </c>
    </row>
    <row r="2027" spans="1:10" x14ac:dyDescent="0.25">
      <c r="A2027" t="s">
        <v>6362</v>
      </c>
      <c r="B2027" t="s">
        <v>6363</v>
      </c>
      <c r="C2027" s="2">
        <v>46222.583333333336</v>
      </c>
      <c r="D2027" t="s">
        <v>418</v>
      </c>
      <c r="E2027" t="s">
        <v>69</v>
      </c>
      <c r="F2027" t="s">
        <v>197</v>
      </c>
      <c r="G2027" t="s">
        <v>139</v>
      </c>
      <c r="H2027">
        <v>9</v>
      </c>
      <c r="I2027" t="s">
        <v>6364</v>
      </c>
      <c r="J2027" t="s">
        <v>357</v>
      </c>
    </row>
    <row r="2028" spans="1:10" x14ac:dyDescent="0.25">
      <c r="A2028" t="s">
        <v>6365</v>
      </c>
      <c r="B2028" t="s">
        <v>6366</v>
      </c>
      <c r="C2028" s="2">
        <v>46222.583333333336</v>
      </c>
      <c r="D2028" t="s">
        <v>418</v>
      </c>
      <c r="E2028" t="s">
        <v>20</v>
      </c>
      <c r="F2028" t="s">
        <v>232</v>
      </c>
      <c r="G2028" t="s">
        <v>97</v>
      </c>
      <c r="H2028">
        <v>1</v>
      </c>
      <c r="I2028" t="s">
        <v>6367</v>
      </c>
      <c r="J2028" t="s">
        <v>357</v>
      </c>
    </row>
    <row r="2029" spans="1:10" x14ac:dyDescent="0.25">
      <c r="A2029" t="s">
        <v>6368</v>
      </c>
      <c r="B2029" t="s">
        <v>6369</v>
      </c>
      <c r="C2029" s="2">
        <v>46222.583333333336</v>
      </c>
      <c r="D2029" t="s">
        <v>418</v>
      </c>
      <c r="E2029" t="s">
        <v>22</v>
      </c>
      <c r="F2029" t="s">
        <v>233</v>
      </c>
      <c r="G2029" t="s">
        <v>99</v>
      </c>
      <c r="H2029">
        <v>6</v>
      </c>
      <c r="I2029" t="s">
        <v>6370</v>
      </c>
      <c r="J2029" t="s">
        <v>357</v>
      </c>
    </row>
    <row r="2030" spans="1:10" x14ac:dyDescent="0.25">
      <c r="A2030" t="s">
        <v>6371</v>
      </c>
      <c r="B2030" t="s">
        <v>6372</v>
      </c>
      <c r="C2030" s="2">
        <v>46222.583333333336</v>
      </c>
      <c r="D2030" t="s">
        <v>418</v>
      </c>
      <c r="E2030" t="s">
        <v>24</v>
      </c>
      <c r="F2030" t="s">
        <v>234</v>
      </c>
      <c r="G2030" t="s">
        <v>101</v>
      </c>
      <c r="H2030">
        <v>1</v>
      </c>
      <c r="I2030" t="s">
        <v>6373</v>
      </c>
      <c r="J2030" t="s">
        <v>357</v>
      </c>
    </row>
    <row r="2031" spans="1:10" x14ac:dyDescent="0.25">
      <c r="A2031" t="s">
        <v>6374</v>
      </c>
      <c r="B2031" t="s">
        <v>6375</v>
      </c>
      <c r="C2031" s="2">
        <v>46222.583333333336</v>
      </c>
      <c r="D2031" t="s">
        <v>418</v>
      </c>
      <c r="E2031" t="s">
        <v>43</v>
      </c>
      <c r="F2031" t="s">
        <v>116</v>
      </c>
      <c r="G2031" t="s">
        <v>117</v>
      </c>
      <c r="H2031">
        <v>4</v>
      </c>
      <c r="I2031" t="s">
        <v>6376</v>
      </c>
      <c r="J2031" t="s">
        <v>357</v>
      </c>
    </row>
    <row r="2032" spans="1:10" x14ac:dyDescent="0.25">
      <c r="A2032" t="s">
        <v>6377</v>
      </c>
      <c r="B2032" t="s">
        <v>6378</v>
      </c>
      <c r="C2032" s="2">
        <v>46222.583333333336</v>
      </c>
      <c r="D2032" t="s">
        <v>418</v>
      </c>
      <c r="E2032" t="s">
        <v>57</v>
      </c>
      <c r="F2032" t="s">
        <v>211</v>
      </c>
      <c r="G2032" t="s">
        <v>131</v>
      </c>
      <c r="H2032">
        <v>1</v>
      </c>
      <c r="I2032" t="s">
        <v>6379</v>
      </c>
      <c r="J2032" t="s">
        <v>357</v>
      </c>
    </row>
    <row r="2033" spans="1:10" x14ac:dyDescent="0.25">
      <c r="A2033" t="s">
        <v>6380</v>
      </c>
      <c r="B2033" t="s">
        <v>6381</v>
      </c>
      <c r="C2033" s="2">
        <v>46222.583333333336</v>
      </c>
      <c r="D2033" t="s">
        <v>418</v>
      </c>
      <c r="E2033" t="s">
        <v>65</v>
      </c>
      <c r="F2033" t="s">
        <v>195</v>
      </c>
      <c r="G2033" t="s">
        <v>135</v>
      </c>
      <c r="H2033">
        <v>6</v>
      </c>
      <c r="I2033" t="s">
        <v>6382</v>
      </c>
      <c r="J2033" t="s">
        <v>357</v>
      </c>
    </row>
    <row r="2034" spans="1:10" x14ac:dyDescent="0.25">
      <c r="A2034" t="s">
        <v>6383</v>
      </c>
      <c r="B2034" t="s">
        <v>6384</v>
      </c>
      <c r="C2034" s="2">
        <v>46222.583333333336</v>
      </c>
      <c r="D2034" t="s">
        <v>418</v>
      </c>
      <c r="E2034" t="s">
        <v>67</v>
      </c>
      <c r="F2034" t="s">
        <v>196</v>
      </c>
      <c r="G2034" t="s">
        <v>137</v>
      </c>
      <c r="H2034">
        <v>4</v>
      </c>
      <c r="I2034" t="s">
        <v>6385</v>
      </c>
      <c r="J2034" t="s">
        <v>357</v>
      </c>
    </row>
    <row r="2035" spans="1:10" x14ac:dyDescent="0.25">
      <c r="A2035" t="s">
        <v>6386</v>
      </c>
      <c r="B2035" t="s">
        <v>6387</v>
      </c>
      <c r="C2035" s="2">
        <v>46223.583333333336</v>
      </c>
      <c r="D2035" t="s">
        <v>418</v>
      </c>
      <c r="E2035" t="s">
        <v>18</v>
      </c>
      <c r="F2035" t="s">
        <v>231</v>
      </c>
      <c r="G2035" t="s">
        <v>95</v>
      </c>
      <c r="H2035">
        <v>2</v>
      </c>
      <c r="I2035" t="s">
        <v>6388</v>
      </c>
      <c r="J2035" t="s">
        <v>357</v>
      </c>
    </row>
    <row r="2036" spans="1:10" x14ac:dyDescent="0.25">
      <c r="A2036" t="s">
        <v>6389</v>
      </c>
      <c r="B2036" t="s">
        <v>6390</v>
      </c>
      <c r="C2036" s="2">
        <v>46223.583333333336</v>
      </c>
      <c r="D2036" t="s">
        <v>418</v>
      </c>
      <c r="E2036" t="s">
        <v>22</v>
      </c>
      <c r="F2036" t="s">
        <v>233</v>
      </c>
      <c r="G2036" t="s">
        <v>99</v>
      </c>
      <c r="H2036">
        <v>1</v>
      </c>
      <c r="I2036" t="s">
        <v>6391</v>
      </c>
      <c r="J2036" t="s">
        <v>357</v>
      </c>
    </row>
    <row r="2037" spans="1:10" x14ac:dyDescent="0.25">
      <c r="A2037" t="s">
        <v>6392</v>
      </c>
      <c r="B2037" t="s">
        <v>6393</v>
      </c>
      <c r="C2037" s="2">
        <v>46223.583333333336</v>
      </c>
      <c r="D2037" t="s">
        <v>418</v>
      </c>
      <c r="E2037" t="s">
        <v>75</v>
      </c>
      <c r="F2037" t="s">
        <v>199</v>
      </c>
      <c r="G2037" t="s">
        <v>145</v>
      </c>
      <c r="H2037">
        <v>4</v>
      </c>
      <c r="I2037" t="s">
        <v>6394</v>
      </c>
      <c r="J2037" t="s">
        <v>357</v>
      </c>
    </row>
    <row r="2038" spans="1:10" x14ac:dyDescent="0.25">
      <c r="A2038" t="s">
        <v>6395</v>
      </c>
      <c r="B2038" t="s">
        <v>6396</v>
      </c>
      <c r="C2038" s="2">
        <v>46223.583333333336</v>
      </c>
      <c r="D2038" t="s">
        <v>418</v>
      </c>
      <c r="E2038" t="s">
        <v>22</v>
      </c>
      <c r="F2038" t="s">
        <v>233</v>
      </c>
      <c r="G2038" t="s">
        <v>99</v>
      </c>
      <c r="H2038">
        <v>2</v>
      </c>
      <c r="I2038" t="s">
        <v>6397</v>
      </c>
      <c r="J2038" t="s">
        <v>357</v>
      </c>
    </row>
    <row r="2039" spans="1:10" x14ac:dyDescent="0.25">
      <c r="A2039" t="s">
        <v>6398</v>
      </c>
      <c r="B2039" t="s">
        <v>6399</v>
      </c>
      <c r="C2039" s="2">
        <v>46223.583333333336</v>
      </c>
      <c r="D2039" t="s">
        <v>418</v>
      </c>
      <c r="E2039" t="s">
        <v>24</v>
      </c>
      <c r="F2039" t="s">
        <v>234</v>
      </c>
      <c r="G2039" t="s">
        <v>101</v>
      </c>
      <c r="H2039">
        <v>1</v>
      </c>
      <c r="I2039" t="s">
        <v>6400</v>
      </c>
      <c r="J2039" t="s">
        <v>357</v>
      </c>
    </row>
    <row r="2040" spans="1:10" x14ac:dyDescent="0.25">
      <c r="A2040" t="s">
        <v>6401</v>
      </c>
      <c r="B2040" t="s">
        <v>6402</v>
      </c>
      <c r="C2040" s="2">
        <v>46223.583333333336</v>
      </c>
      <c r="D2040" t="s">
        <v>418</v>
      </c>
      <c r="E2040" t="s">
        <v>36</v>
      </c>
      <c r="F2040" t="s">
        <v>223</v>
      </c>
      <c r="G2040" t="s">
        <v>113</v>
      </c>
      <c r="H2040">
        <v>2</v>
      </c>
      <c r="I2040" t="s">
        <v>6403</v>
      </c>
      <c r="J2040" t="s">
        <v>357</v>
      </c>
    </row>
    <row r="2041" spans="1:10" x14ac:dyDescent="0.25">
      <c r="A2041" t="s">
        <v>6404</v>
      </c>
      <c r="B2041" t="s">
        <v>6405</v>
      </c>
      <c r="C2041" s="2">
        <v>46223.583333333336</v>
      </c>
      <c r="D2041" t="s">
        <v>418</v>
      </c>
      <c r="E2041" t="s">
        <v>45</v>
      </c>
      <c r="F2041" t="s">
        <v>225</v>
      </c>
      <c r="G2041" t="s">
        <v>119</v>
      </c>
      <c r="H2041">
        <v>1</v>
      </c>
      <c r="I2041" t="s">
        <v>6406</v>
      </c>
      <c r="J2041" t="s">
        <v>357</v>
      </c>
    </row>
    <row r="2042" spans="1:10" x14ac:dyDescent="0.25">
      <c r="A2042" t="s">
        <v>6407</v>
      </c>
      <c r="B2042" t="s">
        <v>6408</v>
      </c>
      <c r="C2042" s="2">
        <v>46223.583333333336</v>
      </c>
      <c r="D2042" t="s">
        <v>418</v>
      </c>
      <c r="E2042" t="s">
        <v>47</v>
      </c>
      <c r="F2042" t="s">
        <v>238</v>
      </c>
      <c r="G2042" t="s">
        <v>121</v>
      </c>
      <c r="H2042">
        <v>1</v>
      </c>
      <c r="I2042" t="s">
        <v>6409</v>
      </c>
      <c r="J2042" t="s">
        <v>357</v>
      </c>
    </row>
    <row r="2043" spans="1:10" x14ac:dyDescent="0.25">
      <c r="A2043" t="s">
        <v>6410</v>
      </c>
      <c r="B2043" t="s">
        <v>6411</v>
      </c>
      <c r="C2043" s="2">
        <v>46223.583333333336</v>
      </c>
      <c r="D2043" t="s">
        <v>418</v>
      </c>
      <c r="E2043" t="s">
        <v>65</v>
      </c>
      <c r="F2043" t="s">
        <v>195</v>
      </c>
      <c r="G2043" t="s">
        <v>135</v>
      </c>
      <c r="H2043">
        <v>2</v>
      </c>
      <c r="I2043" t="s">
        <v>6412</v>
      </c>
      <c r="J2043" t="s">
        <v>357</v>
      </c>
    </row>
    <row r="2044" spans="1:10" x14ac:dyDescent="0.25">
      <c r="A2044" t="s">
        <v>6413</v>
      </c>
      <c r="B2044" t="s">
        <v>6414</v>
      </c>
      <c r="C2044" s="2">
        <v>46223.583333333336</v>
      </c>
      <c r="D2044" t="s">
        <v>418</v>
      </c>
      <c r="E2044" t="s">
        <v>69</v>
      </c>
      <c r="F2044" t="s">
        <v>197</v>
      </c>
      <c r="G2044" t="s">
        <v>139</v>
      </c>
      <c r="H2044">
        <v>3</v>
      </c>
      <c r="I2044" t="s">
        <v>6415</v>
      </c>
      <c r="J2044" t="s">
        <v>357</v>
      </c>
    </row>
    <row r="2045" spans="1:10" x14ac:dyDescent="0.25">
      <c r="A2045" t="s">
        <v>6416</v>
      </c>
      <c r="B2045" t="s">
        <v>6417</v>
      </c>
      <c r="C2045" s="2">
        <v>46223.583333333336</v>
      </c>
      <c r="D2045" t="s">
        <v>418</v>
      </c>
      <c r="E2045" t="s">
        <v>73</v>
      </c>
      <c r="F2045" t="s">
        <v>177</v>
      </c>
      <c r="G2045" t="s">
        <v>143</v>
      </c>
      <c r="H2045">
        <v>1</v>
      </c>
      <c r="I2045" t="s">
        <v>6418</v>
      </c>
      <c r="J2045" t="s">
        <v>357</v>
      </c>
    </row>
    <row r="2046" spans="1:10" x14ac:dyDescent="0.25">
      <c r="A2046" t="s">
        <v>6419</v>
      </c>
      <c r="B2046" t="s">
        <v>6420</v>
      </c>
      <c r="C2046" s="2">
        <v>46223.583333333336</v>
      </c>
      <c r="D2046" t="s">
        <v>418</v>
      </c>
      <c r="E2046" t="s">
        <v>77</v>
      </c>
      <c r="F2046" t="s">
        <v>200</v>
      </c>
      <c r="G2046" t="s">
        <v>147</v>
      </c>
      <c r="H2046">
        <v>4</v>
      </c>
      <c r="I2046" t="s">
        <v>6421</v>
      </c>
      <c r="J2046" t="s">
        <v>357</v>
      </c>
    </row>
    <row r="2047" spans="1:10" x14ac:dyDescent="0.25">
      <c r="A2047" t="s">
        <v>6422</v>
      </c>
      <c r="B2047" t="s">
        <v>6423</v>
      </c>
      <c r="C2047" s="2">
        <v>46223.583333333336</v>
      </c>
      <c r="D2047" t="s">
        <v>418</v>
      </c>
      <c r="E2047" t="s">
        <v>79</v>
      </c>
      <c r="F2047" t="s">
        <v>148</v>
      </c>
      <c r="G2047" t="s">
        <v>149</v>
      </c>
      <c r="H2047">
        <v>4</v>
      </c>
      <c r="I2047" t="s">
        <v>6424</v>
      </c>
      <c r="J2047" t="s">
        <v>357</v>
      </c>
    </row>
    <row r="2048" spans="1:10" x14ac:dyDescent="0.25">
      <c r="A2048" t="s">
        <v>6425</v>
      </c>
      <c r="B2048" t="s">
        <v>6426</v>
      </c>
      <c r="C2048" s="2">
        <v>46223.583333333336</v>
      </c>
      <c r="D2048" t="s">
        <v>418</v>
      </c>
      <c r="E2048" t="s">
        <v>28</v>
      </c>
      <c r="F2048" t="s">
        <v>104</v>
      </c>
      <c r="G2048" t="s">
        <v>105</v>
      </c>
      <c r="H2048">
        <v>4</v>
      </c>
      <c r="I2048" t="s">
        <v>6427</v>
      </c>
      <c r="J2048" t="s">
        <v>357</v>
      </c>
    </row>
    <row r="2049" spans="1:10" x14ac:dyDescent="0.25">
      <c r="A2049" t="s">
        <v>6428</v>
      </c>
      <c r="B2049" t="s">
        <v>6429</v>
      </c>
      <c r="C2049" s="2">
        <v>46223.583333333336</v>
      </c>
      <c r="D2049" t="s">
        <v>418</v>
      </c>
      <c r="E2049" t="s">
        <v>32</v>
      </c>
      <c r="F2049" t="s">
        <v>222</v>
      </c>
      <c r="G2049" t="s">
        <v>109</v>
      </c>
      <c r="H2049">
        <v>4</v>
      </c>
      <c r="I2049" t="s">
        <v>6430</v>
      </c>
      <c r="J2049" t="s">
        <v>357</v>
      </c>
    </row>
    <row r="2050" spans="1:10" x14ac:dyDescent="0.25">
      <c r="A2050" t="s">
        <v>6431</v>
      </c>
      <c r="B2050" t="s">
        <v>6432</v>
      </c>
      <c r="C2050" s="2">
        <v>46223.583333333336</v>
      </c>
      <c r="D2050" t="s">
        <v>418</v>
      </c>
      <c r="E2050" t="s">
        <v>43</v>
      </c>
      <c r="F2050" t="s">
        <v>116</v>
      </c>
      <c r="G2050" t="s">
        <v>117</v>
      </c>
      <c r="H2050">
        <v>5</v>
      </c>
      <c r="I2050" t="s">
        <v>6433</v>
      </c>
      <c r="J2050" t="s">
        <v>357</v>
      </c>
    </row>
    <row r="2051" spans="1:10" x14ac:dyDescent="0.25">
      <c r="A2051" t="s">
        <v>6434</v>
      </c>
      <c r="B2051" t="s">
        <v>6435</v>
      </c>
      <c r="C2051" s="2">
        <v>46223.583333333336</v>
      </c>
      <c r="D2051" t="s">
        <v>418</v>
      </c>
      <c r="E2051" t="s">
        <v>45</v>
      </c>
      <c r="F2051" t="s">
        <v>225</v>
      </c>
      <c r="G2051" t="s">
        <v>119</v>
      </c>
      <c r="H2051">
        <v>2</v>
      </c>
      <c r="I2051" t="s">
        <v>6436</v>
      </c>
      <c r="J2051" t="s">
        <v>357</v>
      </c>
    </row>
    <row r="2052" spans="1:10" x14ac:dyDescent="0.25">
      <c r="A2052" t="s">
        <v>6437</v>
      </c>
      <c r="B2052" t="s">
        <v>6438</v>
      </c>
      <c r="C2052" s="2">
        <v>46223.583333333336</v>
      </c>
      <c r="D2052" t="s">
        <v>418</v>
      </c>
      <c r="E2052" t="s">
        <v>55</v>
      </c>
      <c r="F2052" t="s">
        <v>170</v>
      </c>
      <c r="G2052" t="s">
        <v>129</v>
      </c>
      <c r="H2052">
        <v>2</v>
      </c>
      <c r="I2052" t="s">
        <v>6439</v>
      </c>
      <c r="J2052" t="s">
        <v>357</v>
      </c>
    </row>
    <row r="2053" spans="1:10" x14ac:dyDescent="0.25">
      <c r="A2053" t="s">
        <v>6440</v>
      </c>
      <c r="B2053" t="s">
        <v>6441</v>
      </c>
      <c r="C2053" s="2">
        <v>46223.583333333336</v>
      </c>
      <c r="D2053" t="s">
        <v>418</v>
      </c>
      <c r="E2053" t="s">
        <v>57</v>
      </c>
      <c r="F2053" t="s">
        <v>211</v>
      </c>
      <c r="G2053" t="s">
        <v>131</v>
      </c>
      <c r="H2053">
        <v>6</v>
      </c>
      <c r="I2053" t="s">
        <v>6442</v>
      </c>
      <c r="J2053" t="s">
        <v>357</v>
      </c>
    </row>
    <row r="2054" spans="1:10" x14ac:dyDescent="0.25">
      <c r="A2054" t="s">
        <v>6443</v>
      </c>
      <c r="B2054" t="s">
        <v>6444</v>
      </c>
      <c r="C2054" s="2">
        <v>46223.583333333336</v>
      </c>
      <c r="D2054" t="s">
        <v>418</v>
      </c>
      <c r="E2054" t="s">
        <v>59</v>
      </c>
      <c r="F2054" t="s">
        <v>194</v>
      </c>
      <c r="G2054" t="s">
        <v>133</v>
      </c>
      <c r="H2054">
        <v>1</v>
      </c>
      <c r="I2054" t="s">
        <v>6445</v>
      </c>
      <c r="J2054" t="s">
        <v>357</v>
      </c>
    </row>
    <row r="2055" spans="1:10" x14ac:dyDescent="0.25">
      <c r="A2055" t="s">
        <v>6446</v>
      </c>
      <c r="B2055" t="s">
        <v>6447</v>
      </c>
      <c r="C2055" s="2">
        <v>46223.583333333336</v>
      </c>
      <c r="D2055" t="s">
        <v>418</v>
      </c>
      <c r="E2055" t="s">
        <v>65</v>
      </c>
      <c r="F2055" t="s">
        <v>195</v>
      </c>
      <c r="G2055" t="s">
        <v>135</v>
      </c>
      <c r="H2055">
        <v>4</v>
      </c>
      <c r="I2055" t="s">
        <v>6448</v>
      </c>
      <c r="J2055" t="s">
        <v>357</v>
      </c>
    </row>
    <row r="2056" spans="1:10" x14ac:dyDescent="0.25">
      <c r="A2056" t="s">
        <v>6449</v>
      </c>
      <c r="B2056" t="s">
        <v>6450</v>
      </c>
      <c r="C2056" s="2">
        <v>46223.583333333336</v>
      </c>
      <c r="D2056" t="s">
        <v>418</v>
      </c>
      <c r="E2056" t="s">
        <v>65</v>
      </c>
      <c r="F2056" t="s">
        <v>228</v>
      </c>
      <c r="G2056" t="s">
        <v>135</v>
      </c>
      <c r="H2056">
        <v>1</v>
      </c>
      <c r="I2056" t="s">
        <v>6448</v>
      </c>
      <c r="J2056" t="s">
        <v>357</v>
      </c>
    </row>
    <row r="2057" spans="1:10" x14ac:dyDescent="0.25">
      <c r="A2057" t="s">
        <v>6451</v>
      </c>
      <c r="B2057" t="s">
        <v>6452</v>
      </c>
      <c r="C2057" s="2">
        <v>46223.583333333336</v>
      </c>
      <c r="D2057" t="s">
        <v>418</v>
      </c>
      <c r="E2057" t="s">
        <v>71</v>
      </c>
      <c r="F2057" t="s">
        <v>198</v>
      </c>
      <c r="G2057" t="s">
        <v>141</v>
      </c>
      <c r="H2057">
        <v>1</v>
      </c>
      <c r="I2057" t="s">
        <v>6453</v>
      </c>
      <c r="J2057" t="s">
        <v>357</v>
      </c>
    </row>
    <row r="2058" spans="1:10" x14ac:dyDescent="0.25">
      <c r="A2058" t="s">
        <v>6454</v>
      </c>
      <c r="B2058" t="s">
        <v>6455</v>
      </c>
      <c r="C2058" s="2">
        <v>46223.583333333336</v>
      </c>
      <c r="D2058" t="s">
        <v>418</v>
      </c>
      <c r="E2058" t="s">
        <v>71</v>
      </c>
      <c r="F2058" t="s">
        <v>212</v>
      </c>
      <c r="G2058" t="s">
        <v>141</v>
      </c>
      <c r="H2058">
        <v>4</v>
      </c>
      <c r="I2058" t="s">
        <v>6453</v>
      </c>
      <c r="J2058" t="s">
        <v>357</v>
      </c>
    </row>
    <row r="2059" spans="1:10" x14ac:dyDescent="0.25">
      <c r="A2059" t="s">
        <v>6456</v>
      </c>
      <c r="B2059" t="s">
        <v>6457</v>
      </c>
      <c r="C2059" s="2">
        <v>46223.583333333336</v>
      </c>
      <c r="D2059" t="s">
        <v>418</v>
      </c>
      <c r="E2059" t="s">
        <v>22</v>
      </c>
      <c r="F2059" t="s">
        <v>233</v>
      </c>
      <c r="G2059" t="s">
        <v>99</v>
      </c>
      <c r="H2059">
        <v>4</v>
      </c>
      <c r="I2059" t="s">
        <v>6458</v>
      </c>
      <c r="J2059" t="s">
        <v>357</v>
      </c>
    </row>
    <row r="2060" spans="1:10" x14ac:dyDescent="0.25">
      <c r="A2060" t="s">
        <v>6459</v>
      </c>
      <c r="B2060" t="s">
        <v>6460</v>
      </c>
      <c r="C2060" s="2">
        <v>46223.583333333336</v>
      </c>
      <c r="D2060" t="s">
        <v>418</v>
      </c>
      <c r="E2060" t="s">
        <v>28</v>
      </c>
      <c r="F2060" t="s">
        <v>104</v>
      </c>
      <c r="G2060" t="s">
        <v>105</v>
      </c>
      <c r="H2060">
        <v>3</v>
      </c>
      <c r="I2060" t="s">
        <v>6461</v>
      </c>
      <c r="J2060" t="s">
        <v>357</v>
      </c>
    </row>
    <row r="2061" spans="1:10" x14ac:dyDescent="0.25">
      <c r="A2061" t="s">
        <v>6462</v>
      </c>
      <c r="B2061" t="s">
        <v>6463</v>
      </c>
      <c r="C2061" s="2">
        <v>46223.583333333336</v>
      </c>
      <c r="D2061" t="s">
        <v>418</v>
      </c>
      <c r="E2061" t="s">
        <v>32</v>
      </c>
      <c r="F2061" t="s">
        <v>222</v>
      </c>
      <c r="G2061" t="s">
        <v>109</v>
      </c>
      <c r="H2061">
        <v>6</v>
      </c>
      <c r="I2061" t="s">
        <v>6464</v>
      </c>
      <c r="J2061" t="s">
        <v>357</v>
      </c>
    </row>
    <row r="2062" spans="1:10" x14ac:dyDescent="0.25">
      <c r="A2062" t="s">
        <v>6465</v>
      </c>
      <c r="B2062" t="s">
        <v>6466</v>
      </c>
      <c r="C2062" s="2">
        <v>46223.583333333336</v>
      </c>
      <c r="D2062" t="s">
        <v>418</v>
      </c>
      <c r="E2062" t="s">
        <v>47</v>
      </c>
      <c r="F2062" t="s">
        <v>238</v>
      </c>
      <c r="G2062" t="s">
        <v>121</v>
      </c>
      <c r="H2062">
        <v>6</v>
      </c>
      <c r="I2062" t="s">
        <v>6467</v>
      </c>
      <c r="J2062" t="s">
        <v>357</v>
      </c>
    </row>
    <row r="2063" spans="1:10" x14ac:dyDescent="0.25">
      <c r="A2063" t="s">
        <v>6468</v>
      </c>
      <c r="B2063" t="s">
        <v>6469</v>
      </c>
      <c r="C2063" s="2">
        <v>46223.583333333336</v>
      </c>
      <c r="D2063" t="s">
        <v>418</v>
      </c>
      <c r="E2063" t="s">
        <v>51</v>
      </c>
      <c r="F2063" t="s">
        <v>209</v>
      </c>
      <c r="G2063" t="s">
        <v>125</v>
      </c>
      <c r="H2063">
        <v>1</v>
      </c>
      <c r="I2063" t="s">
        <v>6470</v>
      </c>
      <c r="J2063" t="s">
        <v>357</v>
      </c>
    </row>
    <row r="2064" spans="1:10" x14ac:dyDescent="0.25">
      <c r="A2064" t="s">
        <v>6471</v>
      </c>
      <c r="B2064" t="s">
        <v>6472</v>
      </c>
      <c r="C2064" s="2">
        <v>46223.583333333336</v>
      </c>
      <c r="D2064" t="s">
        <v>418</v>
      </c>
      <c r="E2064" t="s">
        <v>53</v>
      </c>
      <c r="F2064" t="s">
        <v>210</v>
      </c>
      <c r="G2064" t="s">
        <v>127</v>
      </c>
      <c r="H2064">
        <v>6</v>
      </c>
      <c r="I2064" t="s">
        <v>6473</v>
      </c>
      <c r="J2064" t="s">
        <v>357</v>
      </c>
    </row>
    <row r="2065" spans="1:10" x14ac:dyDescent="0.25">
      <c r="A2065" t="s">
        <v>6474</v>
      </c>
      <c r="B2065" t="s">
        <v>6475</v>
      </c>
      <c r="C2065" s="2">
        <v>46223.583333333336</v>
      </c>
      <c r="D2065" t="s">
        <v>418</v>
      </c>
      <c r="E2065" t="s">
        <v>57</v>
      </c>
      <c r="F2065" t="s">
        <v>211</v>
      </c>
      <c r="G2065" t="s">
        <v>131</v>
      </c>
      <c r="H2065">
        <v>7</v>
      </c>
      <c r="I2065" t="s">
        <v>6476</v>
      </c>
      <c r="J2065" t="s">
        <v>357</v>
      </c>
    </row>
    <row r="2066" spans="1:10" x14ac:dyDescent="0.25">
      <c r="A2066" t="s">
        <v>6477</v>
      </c>
      <c r="B2066" t="s">
        <v>6478</v>
      </c>
      <c r="C2066" s="2">
        <v>46223.583333333336</v>
      </c>
      <c r="D2066" t="s">
        <v>418</v>
      </c>
      <c r="E2066" t="s">
        <v>67</v>
      </c>
      <c r="F2066" t="s">
        <v>196</v>
      </c>
      <c r="G2066" t="s">
        <v>137</v>
      </c>
      <c r="H2066">
        <v>7</v>
      </c>
      <c r="I2066" t="s">
        <v>6479</v>
      </c>
      <c r="J2066" t="s">
        <v>357</v>
      </c>
    </row>
    <row r="2067" spans="1:10" x14ac:dyDescent="0.25">
      <c r="A2067" t="s">
        <v>6480</v>
      </c>
      <c r="B2067" t="s">
        <v>6481</v>
      </c>
      <c r="C2067" s="2">
        <v>46223.583333333336</v>
      </c>
      <c r="D2067" t="s">
        <v>418</v>
      </c>
      <c r="E2067" t="s">
        <v>75</v>
      </c>
      <c r="F2067" t="s">
        <v>199</v>
      </c>
      <c r="G2067" t="s">
        <v>145</v>
      </c>
      <c r="H2067">
        <v>3</v>
      </c>
      <c r="I2067" t="s">
        <v>6482</v>
      </c>
      <c r="J2067" t="s">
        <v>357</v>
      </c>
    </row>
    <row r="2068" spans="1:10" x14ac:dyDescent="0.25">
      <c r="A2068" t="s">
        <v>6483</v>
      </c>
      <c r="B2068" t="s">
        <v>6484</v>
      </c>
      <c r="C2068" s="2">
        <v>46223.583333333336</v>
      </c>
      <c r="D2068" t="s">
        <v>418</v>
      </c>
      <c r="E2068" t="s">
        <v>18</v>
      </c>
      <c r="F2068" t="s">
        <v>231</v>
      </c>
      <c r="G2068" t="s">
        <v>95</v>
      </c>
      <c r="H2068">
        <v>2</v>
      </c>
      <c r="I2068" t="s">
        <v>6485</v>
      </c>
      <c r="J2068" t="s">
        <v>357</v>
      </c>
    </row>
    <row r="2069" spans="1:10" x14ac:dyDescent="0.25">
      <c r="A2069" t="s">
        <v>6486</v>
      </c>
      <c r="B2069" t="s">
        <v>6487</v>
      </c>
      <c r="C2069" s="2">
        <v>46223.583333333336</v>
      </c>
      <c r="D2069" t="s">
        <v>418</v>
      </c>
      <c r="E2069" t="s">
        <v>22</v>
      </c>
      <c r="F2069" t="s">
        <v>233</v>
      </c>
      <c r="G2069" t="s">
        <v>99</v>
      </c>
      <c r="H2069">
        <v>1</v>
      </c>
      <c r="I2069" t="s">
        <v>6488</v>
      </c>
      <c r="J2069" t="s">
        <v>357</v>
      </c>
    </row>
    <row r="2070" spans="1:10" x14ac:dyDescent="0.25">
      <c r="A2070" t="s">
        <v>6489</v>
      </c>
      <c r="B2070" t="s">
        <v>6490</v>
      </c>
      <c r="C2070" s="2">
        <v>46223.583333333336</v>
      </c>
      <c r="D2070" t="s">
        <v>418</v>
      </c>
      <c r="E2070" t="s">
        <v>36</v>
      </c>
      <c r="F2070" t="s">
        <v>223</v>
      </c>
      <c r="G2070" t="s">
        <v>113</v>
      </c>
      <c r="H2070">
        <v>1</v>
      </c>
      <c r="I2070" t="s">
        <v>6491</v>
      </c>
      <c r="J2070" t="s">
        <v>357</v>
      </c>
    </row>
    <row r="2071" spans="1:10" x14ac:dyDescent="0.25">
      <c r="A2071" t="s">
        <v>6492</v>
      </c>
      <c r="B2071" t="s">
        <v>6493</v>
      </c>
      <c r="C2071" s="2">
        <v>46223.583333333336</v>
      </c>
      <c r="D2071" t="s">
        <v>418</v>
      </c>
      <c r="E2071" t="s">
        <v>51</v>
      </c>
      <c r="F2071" t="s">
        <v>209</v>
      </c>
      <c r="G2071" t="s">
        <v>125</v>
      </c>
      <c r="H2071">
        <v>4</v>
      </c>
      <c r="I2071" t="s">
        <v>6494</v>
      </c>
      <c r="J2071" t="s">
        <v>357</v>
      </c>
    </row>
    <row r="2072" spans="1:10" x14ac:dyDescent="0.25">
      <c r="A2072" t="s">
        <v>6495</v>
      </c>
      <c r="B2072" t="s">
        <v>6496</v>
      </c>
      <c r="C2072" s="2">
        <v>46223.583333333336</v>
      </c>
      <c r="D2072" t="s">
        <v>418</v>
      </c>
      <c r="E2072" t="s">
        <v>55</v>
      </c>
      <c r="F2072" t="s">
        <v>170</v>
      </c>
      <c r="G2072" t="s">
        <v>129</v>
      </c>
      <c r="H2072">
        <v>4</v>
      </c>
      <c r="I2072" t="s">
        <v>6497</v>
      </c>
      <c r="J2072" t="s">
        <v>357</v>
      </c>
    </row>
    <row r="2073" spans="1:10" x14ac:dyDescent="0.25">
      <c r="A2073" t="s">
        <v>6498</v>
      </c>
      <c r="B2073" t="s">
        <v>6499</v>
      </c>
      <c r="C2073" s="2">
        <v>46223.583333333336</v>
      </c>
      <c r="D2073" t="s">
        <v>418</v>
      </c>
      <c r="E2073" t="s">
        <v>71</v>
      </c>
      <c r="F2073" t="s">
        <v>212</v>
      </c>
      <c r="G2073" t="s">
        <v>141</v>
      </c>
      <c r="H2073">
        <v>3</v>
      </c>
      <c r="I2073" t="s">
        <v>6500</v>
      </c>
      <c r="J2073" t="s">
        <v>357</v>
      </c>
    </row>
    <row r="2074" spans="1:10" x14ac:dyDescent="0.25">
      <c r="A2074" t="s">
        <v>6501</v>
      </c>
      <c r="B2074" t="s">
        <v>6502</v>
      </c>
      <c r="C2074" s="2">
        <v>46223.583333333336</v>
      </c>
      <c r="D2074" t="s">
        <v>418</v>
      </c>
      <c r="E2074" t="s">
        <v>75</v>
      </c>
      <c r="F2074" t="s">
        <v>199</v>
      </c>
      <c r="G2074" t="s">
        <v>145</v>
      </c>
      <c r="H2074">
        <v>2</v>
      </c>
      <c r="I2074" t="s">
        <v>6503</v>
      </c>
      <c r="J2074" t="s">
        <v>357</v>
      </c>
    </row>
    <row r="2075" spans="1:10" x14ac:dyDescent="0.25">
      <c r="A2075" t="s">
        <v>6504</v>
      </c>
      <c r="B2075" t="s">
        <v>6505</v>
      </c>
      <c r="C2075" s="2">
        <v>46224.333333333336</v>
      </c>
      <c r="D2075" t="s">
        <v>1412</v>
      </c>
      <c r="E2075" t="s">
        <v>18</v>
      </c>
      <c r="F2075" t="s">
        <v>244</v>
      </c>
      <c r="G2075" t="s">
        <v>95</v>
      </c>
      <c r="H2075">
        <v>85</v>
      </c>
      <c r="I2075" t="s">
        <v>357</v>
      </c>
      <c r="J2075" t="s">
        <v>6506</v>
      </c>
    </row>
    <row r="2076" spans="1:10" x14ac:dyDescent="0.25">
      <c r="A2076" t="s">
        <v>6507</v>
      </c>
      <c r="B2076" t="s">
        <v>6508</v>
      </c>
      <c r="C2076" s="2">
        <v>46224.333333333336</v>
      </c>
      <c r="D2076" t="s">
        <v>1412</v>
      </c>
      <c r="E2076" t="s">
        <v>20</v>
      </c>
      <c r="F2076" t="s">
        <v>245</v>
      </c>
      <c r="G2076" t="s">
        <v>97</v>
      </c>
      <c r="H2076">
        <v>99</v>
      </c>
      <c r="I2076" t="s">
        <v>357</v>
      </c>
      <c r="J2076" t="s">
        <v>6509</v>
      </c>
    </row>
    <row r="2077" spans="1:10" x14ac:dyDescent="0.25">
      <c r="A2077" t="s">
        <v>6510</v>
      </c>
      <c r="B2077" t="s">
        <v>6511</v>
      </c>
      <c r="C2077" s="2">
        <v>46224.333333333336</v>
      </c>
      <c r="D2077" t="s">
        <v>1412</v>
      </c>
      <c r="E2077" t="s">
        <v>22</v>
      </c>
      <c r="F2077" t="s">
        <v>246</v>
      </c>
      <c r="G2077" t="s">
        <v>99</v>
      </c>
      <c r="H2077">
        <v>77</v>
      </c>
      <c r="I2077" t="s">
        <v>357</v>
      </c>
      <c r="J2077" t="s">
        <v>6512</v>
      </c>
    </row>
    <row r="2078" spans="1:10" x14ac:dyDescent="0.25">
      <c r="A2078" t="s">
        <v>6513</v>
      </c>
      <c r="B2078" t="s">
        <v>6514</v>
      </c>
      <c r="C2078" s="2">
        <v>46224.333333333336</v>
      </c>
      <c r="D2078" t="s">
        <v>1412</v>
      </c>
      <c r="E2078" t="s">
        <v>24</v>
      </c>
      <c r="F2078" t="s">
        <v>247</v>
      </c>
      <c r="G2078" t="s">
        <v>101</v>
      </c>
      <c r="H2078">
        <v>65</v>
      </c>
      <c r="I2078" t="s">
        <v>357</v>
      </c>
      <c r="J2078" t="s">
        <v>6515</v>
      </c>
    </row>
    <row r="2079" spans="1:10" x14ac:dyDescent="0.25">
      <c r="A2079" t="s">
        <v>6516</v>
      </c>
      <c r="B2079" t="s">
        <v>6517</v>
      </c>
      <c r="C2079" s="2">
        <v>46224.333333333336</v>
      </c>
      <c r="D2079" t="s">
        <v>1412</v>
      </c>
      <c r="E2079" t="s">
        <v>26</v>
      </c>
      <c r="F2079" t="s">
        <v>248</v>
      </c>
      <c r="G2079" t="s">
        <v>103</v>
      </c>
      <c r="H2079">
        <v>93</v>
      </c>
      <c r="I2079" t="s">
        <v>357</v>
      </c>
      <c r="J2079" t="s">
        <v>6518</v>
      </c>
    </row>
    <row r="2080" spans="1:10" x14ac:dyDescent="0.25">
      <c r="A2080" t="s">
        <v>6519</v>
      </c>
      <c r="B2080" t="s">
        <v>6520</v>
      </c>
      <c r="C2080" s="2">
        <v>46224.333333333336</v>
      </c>
      <c r="D2080" t="s">
        <v>1412</v>
      </c>
      <c r="E2080" t="s">
        <v>28</v>
      </c>
      <c r="F2080" t="s">
        <v>249</v>
      </c>
      <c r="G2080" t="s">
        <v>105</v>
      </c>
      <c r="H2080">
        <v>91</v>
      </c>
      <c r="I2080" t="s">
        <v>357</v>
      </c>
      <c r="J2080" t="s">
        <v>6521</v>
      </c>
    </row>
    <row r="2081" spans="1:10" x14ac:dyDescent="0.25">
      <c r="A2081" t="s">
        <v>6522</v>
      </c>
      <c r="B2081" t="s">
        <v>6523</v>
      </c>
      <c r="C2081" s="2">
        <v>46224.333333333336</v>
      </c>
      <c r="D2081" t="s">
        <v>1412</v>
      </c>
      <c r="E2081" t="s">
        <v>30</v>
      </c>
      <c r="F2081" t="s">
        <v>250</v>
      </c>
      <c r="G2081" t="s">
        <v>107</v>
      </c>
      <c r="H2081">
        <v>88</v>
      </c>
      <c r="I2081" t="s">
        <v>357</v>
      </c>
      <c r="J2081" t="s">
        <v>6524</v>
      </c>
    </row>
    <row r="2082" spans="1:10" x14ac:dyDescent="0.25">
      <c r="A2082" t="s">
        <v>6525</v>
      </c>
      <c r="B2082" t="s">
        <v>6526</v>
      </c>
      <c r="C2082" s="2">
        <v>46224.333333333336</v>
      </c>
      <c r="D2082" t="s">
        <v>1412</v>
      </c>
      <c r="E2082" t="s">
        <v>32</v>
      </c>
      <c r="F2082" t="s">
        <v>251</v>
      </c>
      <c r="G2082" t="s">
        <v>109</v>
      </c>
      <c r="H2082">
        <v>83</v>
      </c>
      <c r="I2082" t="s">
        <v>357</v>
      </c>
      <c r="J2082" t="s">
        <v>6527</v>
      </c>
    </row>
    <row r="2083" spans="1:10" x14ac:dyDescent="0.25">
      <c r="A2083" t="s">
        <v>6528</v>
      </c>
      <c r="B2083" t="s">
        <v>6529</v>
      </c>
      <c r="C2083" s="2">
        <v>46224.333333333336</v>
      </c>
      <c r="D2083" t="s">
        <v>1412</v>
      </c>
      <c r="E2083" t="s">
        <v>36</v>
      </c>
      <c r="F2083" t="s">
        <v>252</v>
      </c>
      <c r="G2083" t="s">
        <v>113</v>
      </c>
      <c r="H2083">
        <v>85</v>
      </c>
      <c r="I2083" t="s">
        <v>357</v>
      </c>
      <c r="J2083" t="s">
        <v>6530</v>
      </c>
    </row>
    <row r="2084" spans="1:10" x14ac:dyDescent="0.25">
      <c r="A2084" t="s">
        <v>6531</v>
      </c>
      <c r="B2084" t="s">
        <v>6532</v>
      </c>
      <c r="C2084" s="2">
        <v>46224.333333333336</v>
      </c>
      <c r="D2084" t="s">
        <v>1412</v>
      </c>
      <c r="E2084" t="s">
        <v>49</v>
      </c>
      <c r="F2084" t="s">
        <v>253</v>
      </c>
      <c r="G2084" t="s">
        <v>123</v>
      </c>
      <c r="H2084">
        <v>97</v>
      </c>
      <c r="I2084" t="s">
        <v>357</v>
      </c>
      <c r="J2084" t="s">
        <v>6533</v>
      </c>
    </row>
    <row r="2085" spans="1:10" x14ac:dyDescent="0.25">
      <c r="A2085" t="s">
        <v>6534</v>
      </c>
      <c r="B2085" t="s">
        <v>6535</v>
      </c>
      <c r="C2085" s="2">
        <v>46224.333333333336</v>
      </c>
      <c r="D2085" t="s">
        <v>1412</v>
      </c>
      <c r="E2085" t="s">
        <v>51</v>
      </c>
      <c r="F2085" t="s">
        <v>254</v>
      </c>
      <c r="G2085" t="s">
        <v>125</v>
      </c>
      <c r="H2085">
        <v>98</v>
      </c>
      <c r="I2085" t="s">
        <v>357</v>
      </c>
      <c r="J2085" t="s">
        <v>6536</v>
      </c>
    </row>
    <row r="2086" spans="1:10" x14ac:dyDescent="0.25">
      <c r="A2086" t="s">
        <v>6537</v>
      </c>
      <c r="B2086" t="s">
        <v>6538</v>
      </c>
      <c r="C2086" s="2">
        <v>46224.333333333336</v>
      </c>
      <c r="D2086" t="s">
        <v>1412</v>
      </c>
      <c r="E2086" t="s">
        <v>57</v>
      </c>
      <c r="F2086" t="s">
        <v>255</v>
      </c>
      <c r="G2086" t="s">
        <v>131</v>
      </c>
      <c r="H2086">
        <v>93</v>
      </c>
      <c r="I2086" t="s">
        <v>357</v>
      </c>
      <c r="J2086" t="s">
        <v>6539</v>
      </c>
    </row>
    <row r="2087" spans="1:10" x14ac:dyDescent="0.25">
      <c r="A2087" t="s">
        <v>6540</v>
      </c>
      <c r="B2087" t="s">
        <v>6541</v>
      </c>
      <c r="C2087" s="2">
        <v>46224.333333333336</v>
      </c>
      <c r="D2087" t="s">
        <v>1412</v>
      </c>
      <c r="E2087" t="s">
        <v>69</v>
      </c>
      <c r="F2087" t="s">
        <v>256</v>
      </c>
      <c r="G2087" t="s">
        <v>139</v>
      </c>
      <c r="H2087">
        <v>84</v>
      </c>
      <c r="I2087" t="s">
        <v>357</v>
      </c>
      <c r="J2087" t="s">
        <v>6542</v>
      </c>
    </row>
    <row r="2088" spans="1:10" x14ac:dyDescent="0.25">
      <c r="A2088" t="s">
        <v>6543</v>
      </c>
      <c r="B2088" t="s">
        <v>6544</v>
      </c>
      <c r="C2088" s="2">
        <v>46224.333333333336</v>
      </c>
      <c r="D2088" t="s">
        <v>1412</v>
      </c>
      <c r="E2088" t="s">
        <v>71</v>
      </c>
      <c r="F2088" t="s">
        <v>257</v>
      </c>
      <c r="G2088" t="s">
        <v>141</v>
      </c>
      <c r="H2088">
        <v>62</v>
      </c>
      <c r="I2088" t="s">
        <v>357</v>
      </c>
      <c r="J2088" t="s">
        <v>6545</v>
      </c>
    </row>
    <row r="2089" spans="1:10" x14ac:dyDescent="0.25">
      <c r="A2089" t="s">
        <v>6546</v>
      </c>
      <c r="B2089" t="s">
        <v>6547</v>
      </c>
      <c r="C2089" s="2">
        <v>46224.333333333336</v>
      </c>
      <c r="D2089" t="s">
        <v>1412</v>
      </c>
      <c r="E2089" t="s">
        <v>73</v>
      </c>
      <c r="F2089" t="s">
        <v>258</v>
      </c>
      <c r="G2089" t="s">
        <v>143</v>
      </c>
      <c r="H2089">
        <v>93</v>
      </c>
      <c r="I2089" t="s">
        <v>357</v>
      </c>
      <c r="J2089" t="s">
        <v>6548</v>
      </c>
    </row>
    <row r="2090" spans="1:10" x14ac:dyDescent="0.25">
      <c r="A2090" t="s">
        <v>6549</v>
      </c>
      <c r="B2090" t="s">
        <v>6550</v>
      </c>
      <c r="C2090" s="2">
        <v>46224.333333333336</v>
      </c>
      <c r="D2090" t="s">
        <v>1412</v>
      </c>
      <c r="E2090" t="s">
        <v>75</v>
      </c>
      <c r="F2090" t="s">
        <v>259</v>
      </c>
      <c r="G2090" t="s">
        <v>145</v>
      </c>
      <c r="H2090">
        <v>70</v>
      </c>
      <c r="I2090" t="s">
        <v>357</v>
      </c>
      <c r="J2090" t="s">
        <v>6551</v>
      </c>
    </row>
    <row r="2091" spans="1:10" x14ac:dyDescent="0.25">
      <c r="A2091" t="s">
        <v>6552</v>
      </c>
      <c r="B2091" t="s">
        <v>6553</v>
      </c>
      <c r="C2091" s="2">
        <v>46224.583333333336</v>
      </c>
      <c r="D2091" t="s">
        <v>418</v>
      </c>
      <c r="E2091" t="s">
        <v>20</v>
      </c>
      <c r="F2091" t="s">
        <v>245</v>
      </c>
      <c r="G2091" t="s">
        <v>97</v>
      </c>
      <c r="H2091">
        <v>1</v>
      </c>
      <c r="I2091" t="s">
        <v>6554</v>
      </c>
      <c r="J2091" t="s">
        <v>357</v>
      </c>
    </row>
    <row r="2092" spans="1:10" x14ac:dyDescent="0.25">
      <c r="A2092" t="s">
        <v>6555</v>
      </c>
      <c r="B2092" t="s">
        <v>6556</v>
      </c>
      <c r="C2092" s="2">
        <v>46224.583333333336</v>
      </c>
      <c r="D2092" t="s">
        <v>418</v>
      </c>
      <c r="E2092" t="s">
        <v>22</v>
      </c>
      <c r="F2092" t="s">
        <v>246</v>
      </c>
      <c r="G2092" t="s">
        <v>99</v>
      </c>
      <c r="H2092">
        <v>1</v>
      </c>
      <c r="I2092" t="s">
        <v>6557</v>
      </c>
      <c r="J2092" t="s">
        <v>357</v>
      </c>
    </row>
    <row r="2093" spans="1:10" x14ac:dyDescent="0.25">
      <c r="A2093" t="s">
        <v>6558</v>
      </c>
      <c r="B2093" t="s">
        <v>6559</v>
      </c>
      <c r="C2093" s="2">
        <v>46224.583333333336</v>
      </c>
      <c r="D2093" t="s">
        <v>418</v>
      </c>
      <c r="E2093" t="s">
        <v>24</v>
      </c>
      <c r="F2093" t="s">
        <v>247</v>
      </c>
      <c r="G2093" t="s">
        <v>101</v>
      </c>
      <c r="H2093">
        <v>3</v>
      </c>
      <c r="I2093" t="s">
        <v>6560</v>
      </c>
      <c r="J2093" t="s">
        <v>357</v>
      </c>
    </row>
    <row r="2094" spans="1:10" x14ac:dyDescent="0.25">
      <c r="A2094" t="s">
        <v>6561</v>
      </c>
      <c r="B2094" t="s">
        <v>6562</v>
      </c>
      <c r="C2094" s="2">
        <v>46224.583333333336</v>
      </c>
      <c r="D2094" t="s">
        <v>418</v>
      </c>
      <c r="E2094" t="s">
        <v>26</v>
      </c>
      <c r="F2094" t="s">
        <v>248</v>
      </c>
      <c r="G2094" t="s">
        <v>103</v>
      </c>
      <c r="H2094">
        <v>4</v>
      </c>
      <c r="I2094" t="s">
        <v>6563</v>
      </c>
      <c r="J2094" t="s">
        <v>357</v>
      </c>
    </row>
    <row r="2095" spans="1:10" x14ac:dyDescent="0.25">
      <c r="A2095" t="s">
        <v>6564</v>
      </c>
      <c r="B2095" t="s">
        <v>6565</v>
      </c>
      <c r="C2095" s="2">
        <v>46224.583333333336</v>
      </c>
      <c r="D2095" t="s">
        <v>418</v>
      </c>
      <c r="E2095" t="s">
        <v>51</v>
      </c>
      <c r="F2095" t="s">
        <v>209</v>
      </c>
      <c r="G2095" t="s">
        <v>125</v>
      </c>
      <c r="H2095">
        <v>2</v>
      </c>
      <c r="I2095" t="s">
        <v>6566</v>
      </c>
      <c r="J2095" t="s">
        <v>357</v>
      </c>
    </row>
    <row r="2096" spans="1:10" x14ac:dyDescent="0.25">
      <c r="A2096" t="s">
        <v>6567</v>
      </c>
      <c r="B2096" t="s">
        <v>6568</v>
      </c>
      <c r="C2096" s="2">
        <v>46224.583333333336</v>
      </c>
      <c r="D2096" t="s">
        <v>418</v>
      </c>
      <c r="E2096" t="s">
        <v>59</v>
      </c>
      <c r="F2096" t="s">
        <v>194</v>
      </c>
      <c r="G2096" t="s">
        <v>133</v>
      </c>
      <c r="H2096">
        <v>2</v>
      </c>
      <c r="I2096" t="s">
        <v>6569</v>
      </c>
      <c r="J2096" t="s">
        <v>357</v>
      </c>
    </row>
    <row r="2097" spans="1:10" x14ac:dyDescent="0.25">
      <c r="A2097" t="s">
        <v>6570</v>
      </c>
      <c r="B2097" t="s">
        <v>6571</v>
      </c>
      <c r="C2097" s="2">
        <v>46224.583333333336</v>
      </c>
      <c r="D2097" t="s">
        <v>418</v>
      </c>
      <c r="E2097" t="s">
        <v>65</v>
      </c>
      <c r="F2097" t="s">
        <v>228</v>
      </c>
      <c r="G2097" t="s">
        <v>135</v>
      </c>
      <c r="H2097">
        <v>2</v>
      </c>
      <c r="I2097" t="s">
        <v>6572</v>
      </c>
      <c r="J2097" t="s">
        <v>357</v>
      </c>
    </row>
    <row r="2098" spans="1:10" x14ac:dyDescent="0.25">
      <c r="A2098" t="s">
        <v>6573</v>
      </c>
      <c r="B2098" t="s">
        <v>6574</v>
      </c>
      <c r="C2098" s="2">
        <v>46224.583333333336</v>
      </c>
      <c r="D2098" t="s">
        <v>418</v>
      </c>
      <c r="E2098" t="s">
        <v>22</v>
      </c>
      <c r="F2098" t="s">
        <v>246</v>
      </c>
      <c r="G2098" t="s">
        <v>99</v>
      </c>
      <c r="H2098">
        <v>4</v>
      </c>
      <c r="I2098" t="s">
        <v>6575</v>
      </c>
      <c r="J2098" t="s">
        <v>357</v>
      </c>
    </row>
    <row r="2099" spans="1:10" x14ac:dyDescent="0.25">
      <c r="A2099" t="s">
        <v>6576</v>
      </c>
      <c r="B2099" t="s">
        <v>6577</v>
      </c>
      <c r="C2099" s="2">
        <v>46224.583333333336</v>
      </c>
      <c r="D2099" t="s">
        <v>418</v>
      </c>
      <c r="E2099" t="s">
        <v>24</v>
      </c>
      <c r="F2099" t="s">
        <v>247</v>
      </c>
      <c r="G2099" t="s">
        <v>101</v>
      </c>
      <c r="H2099">
        <v>4</v>
      </c>
      <c r="I2099" t="s">
        <v>6578</v>
      </c>
      <c r="J2099" t="s">
        <v>357</v>
      </c>
    </row>
    <row r="2100" spans="1:10" x14ac:dyDescent="0.25">
      <c r="A2100" t="s">
        <v>6579</v>
      </c>
      <c r="B2100" t="s">
        <v>6580</v>
      </c>
      <c r="C2100" s="2">
        <v>46224.583333333336</v>
      </c>
      <c r="D2100" t="s">
        <v>418</v>
      </c>
      <c r="E2100" t="s">
        <v>26</v>
      </c>
      <c r="F2100" t="s">
        <v>248</v>
      </c>
      <c r="G2100" t="s">
        <v>103</v>
      </c>
      <c r="H2100">
        <v>2</v>
      </c>
      <c r="I2100" t="s">
        <v>6581</v>
      </c>
      <c r="J2100" t="s">
        <v>357</v>
      </c>
    </row>
    <row r="2101" spans="1:10" x14ac:dyDescent="0.25">
      <c r="A2101" t="s">
        <v>6582</v>
      </c>
      <c r="B2101" t="s">
        <v>6583</v>
      </c>
      <c r="C2101" s="2">
        <v>46224.583333333336</v>
      </c>
      <c r="D2101" t="s">
        <v>418</v>
      </c>
      <c r="E2101" t="s">
        <v>30</v>
      </c>
      <c r="F2101" t="s">
        <v>159</v>
      </c>
      <c r="G2101" t="s">
        <v>107</v>
      </c>
      <c r="H2101">
        <v>2</v>
      </c>
      <c r="I2101" t="s">
        <v>6584</v>
      </c>
      <c r="J2101" t="s">
        <v>357</v>
      </c>
    </row>
    <row r="2102" spans="1:10" x14ac:dyDescent="0.25">
      <c r="A2102" t="s">
        <v>6585</v>
      </c>
      <c r="B2102" t="s">
        <v>6586</v>
      </c>
      <c r="C2102" s="2">
        <v>46224.583333333336</v>
      </c>
      <c r="D2102" t="s">
        <v>418</v>
      </c>
      <c r="E2102" t="s">
        <v>43</v>
      </c>
      <c r="F2102" t="s">
        <v>116</v>
      </c>
      <c r="G2102" t="s">
        <v>117</v>
      </c>
      <c r="H2102">
        <v>4</v>
      </c>
      <c r="I2102" t="s">
        <v>6587</v>
      </c>
      <c r="J2102" t="s">
        <v>357</v>
      </c>
    </row>
    <row r="2103" spans="1:10" x14ac:dyDescent="0.25">
      <c r="A2103" t="s">
        <v>6588</v>
      </c>
      <c r="B2103" t="s">
        <v>6589</v>
      </c>
      <c r="C2103" s="2">
        <v>46224.583333333336</v>
      </c>
      <c r="D2103" t="s">
        <v>418</v>
      </c>
      <c r="E2103" t="s">
        <v>67</v>
      </c>
      <c r="F2103" t="s">
        <v>196</v>
      </c>
      <c r="G2103" t="s">
        <v>137</v>
      </c>
      <c r="H2103">
        <v>4</v>
      </c>
      <c r="I2103" t="s">
        <v>6590</v>
      </c>
      <c r="J2103" t="s">
        <v>357</v>
      </c>
    </row>
    <row r="2104" spans="1:10" x14ac:dyDescent="0.25">
      <c r="A2104" t="s">
        <v>6591</v>
      </c>
      <c r="B2104" t="s">
        <v>6592</v>
      </c>
      <c r="C2104" s="2">
        <v>46224.583333333336</v>
      </c>
      <c r="D2104" t="s">
        <v>418</v>
      </c>
      <c r="E2104" t="s">
        <v>77</v>
      </c>
      <c r="F2104" t="s">
        <v>200</v>
      </c>
      <c r="G2104" t="s">
        <v>147</v>
      </c>
      <c r="H2104">
        <v>3</v>
      </c>
      <c r="I2104" t="s">
        <v>6593</v>
      </c>
      <c r="J2104" t="s">
        <v>357</v>
      </c>
    </row>
    <row r="2105" spans="1:10" x14ac:dyDescent="0.25">
      <c r="A2105" t="s">
        <v>6594</v>
      </c>
      <c r="B2105" t="s">
        <v>6595</v>
      </c>
      <c r="C2105" s="2">
        <v>46224.583333333336</v>
      </c>
      <c r="D2105" t="s">
        <v>418</v>
      </c>
      <c r="E2105" t="s">
        <v>18</v>
      </c>
      <c r="F2105" t="s">
        <v>231</v>
      </c>
      <c r="G2105" t="s">
        <v>95</v>
      </c>
      <c r="H2105">
        <v>6</v>
      </c>
      <c r="I2105" t="s">
        <v>6596</v>
      </c>
      <c r="J2105" t="s">
        <v>357</v>
      </c>
    </row>
    <row r="2106" spans="1:10" x14ac:dyDescent="0.25">
      <c r="A2106" t="s">
        <v>6597</v>
      </c>
      <c r="B2106" t="s">
        <v>6598</v>
      </c>
      <c r="C2106" s="2">
        <v>46224.583333333336</v>
      </c>
      <c r="D2106" t="s">
        <v>418</v>
      </c>
      <c r="E2106" t="s">
        <v>22</v>
      </c>
      <c r="F2106" t="s">
        <v>246</v>
      </c>
      <c r="G2106" t="s">
        <v>99</v>
      </c>
      <c r="H2106">
        <v>5</v>
      </c>
      <c r="I2106" t="s">
        <v>6599</v>
      </c>
      <c r="J2106" t="s">
        <v>357</v>
      </c>
    </row>
    <row r="2107" spans="1:10" x14ac:dyDescent="0.25">
      <c r="A2107" t="s">
        <v>6600</v>
      </c>
      <c r="B2107" t="s">
        <v>6601</v>
      </c>
      <c r="C2107" s="2">
        <v>46224.583333333336</v>
      </c>
      <c r="D2107" t="s">
        <v>418</v>
      </c>
      <c r="E2107" t="s">
        <v>32</v>
      </c>
      <c r="F2107" t="s">
        <v>251</v>
      </c>
      <c r="G2107" t="s">
        <v>109</v>
      </c>
      <c r="H2107">
        <v>1</v>
      </c>
      <c r="I2107" t="s">
        <v>6602</v>
      </c>
      <c r="J2107" t="s">
        <v>357</v>
      </c>
    </row>
    <row r="2108" spans="1:10" x14ac:dyDescent="0.25">
      <c r="A2108" t="s">
        <v>6603</v>
      </c>
      <c r="B2108" t="s">
        <v>6604</v>
      </c>
      <c r="C2108" s="2">
        <v>46224.583333333336</v>
      </c>
      <c r="D2108" t="s">
        <v>418</v>
      </c>
      <c r="E2108" t="s">
        <v>55</v>
      </c>
      <c r="F2108" t="s">
        <v>170</v>
      </c>
      <c r="G2108" t="s">
        <v>129</v>
      </c>
      <c r="H2108">
        <v>2</v>
      </c>
      <c r="I2108" t="s">
        <v>6605</v>
      </c>
      <c r="J2108" t="s">
        <v>357</v>
      </c>
    </row>
    <row r="2109" spans="1:10" x14ac:dyDescent="0.25">
      <c r="A2109" t="s">
        <v>6606</v>
      </c>
      <c r="B2109" t="s">
        <v>6607</v>
      </c>
      <c r="C2109" s="2">
        <v>46224.583333333336</v>
      </c>
      <c r="D2109" t="s">
        <v>418</v>
      </c>
      <c r="E2109" t="s">
        <v>59</v>
      </c>
      <c r="F2109" t="s">
        <v>194</v>
      </c>
      <c r="G2109" t="s">
        <v>133</v>
      </c>
      <c r="H2109">
        <v>4</v>
      </c>
      <c r="I2109" t="s">
        <v>6608</v>
      </c>
      <c r="J2109" t="s">
        <v>357</v>
      </c>
    </row>
    <row r="2110" spans="1:10" x14ac:dyDescent="0.25">
      <c r="A2110" t="s">
        <v>6609</v>
      </c>
      <c r="B2110" t="s">
        <v>6610</v>
      </c>
      <c r="C2110" s="2">
        <v>46224.583333333336</v>
      </c>
      <c r="D2110" t="s">
        <v>418</v>
      </c>
      <c r="E2110" t="s">
        <v>65</v>
      </c>
      <c r="F2110" t="s">
        <v>228</v>
      </c>
      <c r="G2110" t="s">
        <v>135</v>
      </c>
      <c r="H2110">
        <v>2</v>
      </c>
      <c r="I2110" t="s">
        <v>6611</v>
      </c>
      <c r="J2110" t="s">
        <v>357</v>
      </c>
    </row>
    <row r="2111" spans="1:10" x14ac:dyDescent="0.25">
      <c r="A2111" t="s">
        <v>6612</v>
      </c>
      <c r="B2111" t="s">
        <v>6613</v>
      </c>
      <c r="C2111" s="2">
        <v>46224.583333333336</v>
      </c>
      <c r="D2111" t="s">
        <v>418</v>
      </c>
      <c r="E2111" t="s">
        <v>77</v>
      </c>
      <c r="F2111" t="s">
        <v>200</v>
      </c>
      <c r="G2111" t="s">
        <v>147</v>
      </c>
      <c r="H2111">
        <v>1</v>
      </c>
      <c r="I2111" t="s">
        <v>6614</v>
      </c>
      <c r="J2111" t="s">
        <v>357</v>
      </c>
    </row>
    <row r="2112" spans="1:10" x14ac:dyDescent="0.25">
      <c r="A2112" t="s">
        <v>6615</v>
      </c>
      <c r="B2112" t="s">
        <v>6616</v>
      </c>
      <c r="C2112" s="2">
        <v>46224.583333333336</v>
      </c>
      <c r="D2112" t="s">
        <v>418</v>
      </c>
      <c r="E2112" t="s">
        <v>18</v>
      </c>
      <c r="F2112" t="s">
        <v>231</v>
      </c>
      <c r="G2112" t="s">
        <v>95</v>
      </c>
      <c r="H2112">
        <v>6</v>
      </c>
      <c r="I2112" t="s">
        <v>6617</v>
      </c>
      <c r="J2112" t="s">
        <v>357</v>
      </c>
    </row>
    <row r="2113" spans="1:10" x14ac:dyDescent="0.25">
      <c r="A2113" t="s">
        <v>6618</v>
      </c>
      <c r="B2113" t="s">
        <v>6619</v>
      </c>
      <c r="C2113" s="2">
        <v>46224.583333333336</v>
      </c>
      <c r="D2113" t="s">
        <v>418</v>
      </c>
      <c r="E2113" t="s">
        <v>20</v>
      </c>
      <c r="F2113" t="s">
        <v>245</v>
      </c>
      <c r="G2113" t="s">
        <v>97</v>
      </c>
      <c r="H2113">
        <v>7</v>
      </c>
      <c r="I2113" t="s">
        <v>6620</v>
      </c>
      <c r="J2113" t="s">
        <v>357</v>
      </c>
    </row>
    <row r="2114" spans="1:10" x14ac:dyDescent="0.25">
      <c r="A2114" t="s">
        <v>6621</v>
      </c>
      <c r="B2114" t="s">
        <v>6622</v>
      </c>
      <c r="C2114" s="2">
        <v>46224.583333333336</v>
      </c>
      <c r="D2114" t="s">
        <v>418</v>
      </c>
      <c r="E2114" t="s">
        <v>22</v>
      </c>
      <c r="F2114" t="s">
        <v>246</v>
      </c>
      <c r="G2114" t="s">
        <v>99</v>
      </c>
      <c r="H2114">
        <v>7</v>
      </c>
      <c r="I2114" t="s">
        <v>6623</v>
      </c>
      <c r="J2114" t="s">
        <v>357</v>
      </c>
    </row>
    <row r="2115" spans="1:10" x14ac:dyDescent="0.25">
      <c r="A2115" t="s">
        <v>6624</v>
      </c>
      <c r="B2115" t="s">
        <v>6625</v>
      </c>
      <c r="C2115" s="2">
        <v>46224.583333333336</v>
      </c>
      <c r="D2115" t="s">
        <v>418</v>
      </c>
      <c r="E2115" t="s">
        <v>26</v>
      </c>
      <c r="F2115" t="s">
        <v>248</v>
      </c>
      <c r="G2115" t="s">
        <v>103</v>
      </c>
      <c r="H2115">
        <v>4</v>
      </c>
      <c r="I2115" t="s">
        <v>6626</v>
      </c>
      <c r="J2115" t="s">
        <v>357</v>
      </c>
    </row>
    <row r="2116" spans="1:10" x14ac:dyDescent="0.25">
      <c r="A2116" t="s">
        <v>6627</v>
      </c>
      <c r="B2116" t="s">
        <v>6628</v>
      </c>
      <c r="C2116" s="2">
        <v>46224.583333333336</v>
      </c>
      <c r="D2116" t="s">
        <v>418</v>
      </c>
      <c r="E2116" t="s">
        <v>47</v>
      </c>
      <c r="F2116" t="s">
        <v>238</v>
      </c>
      <c r="G2116" t="s">
        <v>121</v>
      </c>
      <c r="H2116">
        <v>1</v>
      </c>
      <c r="I2116" t="s">
        <v>6629</v>
      </c>
      <c r="J2116" t="s">
        <v>357</v>
      </c>
    </row>
    <row r="2117" spans="1:10" x14ac:dyDescent="0.25">
      <c r="A2117" t="s">
        <v>6630</v>
      </c>
      <c r="B2117" t="s">
        <v>6631</v>
      </c>
      <c r="C2117" s="2">
        <v>46224.583333333336</v>
      </c>
      <c r="D2117" t="s">
        <v>418</v>
      </c>
      <c r="E2117" t="s">
        <v>49</v>
      </c>
      <c r="F2117" t="s">
        <v>253</v>
      </c>
      <c r="G2117" t="s">
        <v>123</v>
      </c>
      <c r="H2117">
        <v>7</v>
      </c>
      <c r="I2117" t="s">
        <v>6632</v>
      </c>
      <c r="J2117" t="s">
        <v>357</v>
      </c>
    </row>
    <row r="2118" spans="1:10" x14ac:dyDescent="0.25">
      <c r="A2118" t="s">
        <v>6633</v>
      </c>
      <c r="B2118" t="s">
        <v>6634</v>
      </c>
      <c r="C2118" s="2">
        <v>46224.583333333336</v>
      </c>
      <c r="D2118" t="s">
        <v>418</v>
      </c>
      <c r="E2118" t="s">
        <v>73</v>
      </c>
      <c r="F2118" t="s">
        <v>177</v>
      </c>
      <c r="G2118" t="s">
        <v>143</v>
      </c>
      <c r="H2118">
        <v>3</v>
      </c>
      <c r="I2118" t="s">
        <v>6635</v>
      </c>
      <c r="J2118" t="s">
        <v>357</v>
      </c>
    </row>
    <row r="2119" spans="1:10" x14ac:dyDescent="0.25">
      <c r="A2119" t="s">
        <v>6636</v>
      </c>
      <c r="B2119" t="s">
        <v>6637</v>
      </c>
      <c r="C2119" s="2">
        <v>46224.583333333336</v>
      </c>
      <c r="D2119" t="s">
        <v>418</v>
      </c>
      <c r="E2119" t="s">
        <v>18</v>
      </c>
      <c r="F2119" t="s">
        <v>231</v>
      </c>
      <c r="G2119" t="s">
        <v>95</v>
      </c>
      <c r="H2119">
        <v>4</v>
      </c>
      <c r="I2119" t="s">
        <v>6638</v>
      </c>
      <c r="J2119" t="s">
        <v>357</v>
      </c>
    </row>
    <row r="2120" spans="1:10" x14ac:dyDescent="0.25">
      <c r="A2120" t="s">
        <v>6639</v>
      </c>
      <c r="B2120" t="s">
        <v>6640</v>
      </c>
      <c r="C2120" s="2">
        <v>46224.583333333336</v>
      </c>
      <c r="D2120" t="s">
        <v>418</v>
      </c>
      <c r="E2120" t="s">
        <v>20</v>
      </c>
      <c r="F2120" t="s">
        <v>245</v>
      </c>
      <c r="G2120" t="s">
        <v>97</v>
      </c>
      <c r="H2120">
        <v>2</v>
      </c>
      <c r="I2120" t="s">
        <v>6641</v>
      </c>
      <c r="J2120" t="s">
        <v>357</v>
      </c>
    </row>
    <row r="2121" spans="1:10" x14ac:dyDescent="0.25">
      <c r="A2121" t="s">
        <v>6642</v>
      </c>
      <c r="B2121" t="s">
        <v>6643</v>
      </c>
      <c r="C2121" s="2">
        <v>46224.583333333336</v>
      </c>
      <c r="D2121" t="s">
        <v>418</v>
      </c>
      <c r="E2121" t="s">
        <v>24</v>
      </c>
      <c r="F2121" t="s">
        <v>247</v>
      </c>
      <c r="G2121" t="s">
        <v>101</v>
      </c>
      <c r="H2121">
        <v>1</v>
      </c>
      <c r="I2121" t="s">
        <v>6644</v>
      </c>
      <c r="J2121" t="s">
        <v>357</v>
      </c>
    </row>
    <row r="2122" spans="1:10" x14ac:dyDescent="0.25">
      <c r="A2122" t="s">
        <v>6645</v>
      </c>
      <c r="B2122" t="s">
        <v>6646</v>
      </c>
      <c r="C2122" s="2">
        <v>46224.583333333336</v>
      </c>
      <c r="D2122" t="s">
        <v>418</v>
      </c>
      <c r="E2122" t="s">
        <v>26</v>
      </c>
      <c r="F2122" t="s">
        <v>248</v>
      </c>
      <c r="G2122" t="s">
        <v>103</v>
      </c>
      <c r="H2122">
        <v>3</v>
      </c>
      <c r="I2122" t="s">
        <v>6647</v>
      </c>
      <c r="J2122" t="s">
        <v>357</v>
      </c>
    </row>
    <row r="2123" spans="1:10" x14ac:dyDescent="0.25">
      <c r="A2123" t="s">
        <v>6648</v>
      </c>
      <c r="B2123" t="s">
        <v>6649</v>
      </c>
      <c r="C2123" s="2">
        <v>46224.583333333336</v>
      </c>
      <c r="D2123" t="s">
        <v>418</v>
      </c>
      <c r="E2123" t="s">
        <v>30</v>
      </c>
      <c r="F2123" t="s">
        <v>159</v>
      </c>
      <c r="G2123" t="s">
        <v>107</v>
      </c>
      <c r="H2123">
        <v>3</v>
      </c>
      <c r="I2123" t="s">
        <v>6650</v>
      </c>
      <c r="J2123" t="s">
        <v>357</v>
      </c>
    </row>
    <row r="2124" spans="1:10" x14ac:dyDescent="0.25">
      <c r="A2124" t="s">
        <v>6651</v>
      </c>
      <c r="B2124" t="s">
        <v>6652</v>
      </c>
      <c r="C2124" s="2">
        <v>46224.583333333336</v>
      </c>
      <c r="D2124" t="s">
        <v>418</v>
      </c>
      <c r="E2124" t="s">
        <v>41</v>
      </c>
      <c r="F2124" t="s">
        <v>224</v>
      </c>
      <c r="G2124" t="s">
        <v>115</v>
      </c>
      <c r="H2124">
        <v>4</v>
      </c>
      <c r="I2124" t="s">
        <v>6653</v>
      </c>
      <c r="J2124" t="s">
        <v>357</v>
      </c>
    </row>
    <row r="2125" spans="1:10" x14ac:dyDescent="0.25">
      <c r="A2125" t="s">
        <v>6654</v>
      </c>
      <c r="B2125" t="s">
        <v>6655</v>
      </c>
      <c r="C2125" s="2">
        <v>46224.583333333336</v>
      </c>
      <c r="D2125" t="s">
        <v>418</v>
      </c>
      <c r="E2125" t="s">
        <v>55</v>
      </c>
      <c r="F2125" t="s">
        <v>170</v>
      </c>
      <c r="G2125" t="s">
        <v>129</v>
      </c>
      <c r="H2125">
        <v>1</v>
      </c>
      <c r="I2125" t="s">
        <v>6656</v>
      </c>
      <c r="J2125" t="s">
        <v>357</v>
      </c>
    </row>
    <row r="2126" spans="1:10" x14ac:dyDescent="0.25">
      <c r="A2126" t="s">
        <v>6657</v>
      </c>
      <c r="B2126" t="s">
        <v>6658</v>
      </c>
      <c r="C2126" s="2">
        <v>46224.583333333336</v>
      </c>
      <c r="D2126" t="s">
        <v>418</v>
      </c>
      <c r="E2126" t="s">
        <v>57</v>
      </c>
      <c r="F2126" t="s">
        <v>255</v>
      </c>
      <c r="G2126" t="s">
        <v>131</v>
      </c>
      <c r="H2126">
        <v>1</v>
      </c>
      <c r="I2126" t="s">
        <v>6659</v>
      </c>
      <c r="J2126" t="s">
        <v>357</v>
      </c>
    </row>
    <row r="2127" spans="1:10" x14ac:dyDescent="0.25">
      <c r="A2127" t="s">
        <v>6660</v>
      </c>
      <c r="B2127" t="s">
        <v>6661</v>
      </c>
      <c r="C2127" s="2">
        <v>46224.583333333336</v>
      </c>
      <c r="D2127" t="s">
        <v>418</v>
      </c>
      <c r="E2127" t="s">
        <v>59</v>
      </c>
      <c r="F2127" t="s">
        <v>194</v>
      </c>
      <c r="G2127" t="s">
        <v>133</v>
      </c>
      <c r="H2127">
        <v>2</v>
      </c>
      <c r="I2127" t="s">
        <v>6662</v>
      </c>
      <c r="J2127" t="s">
        <v>357</v>
      </c>
    </row>
    <row r="2128" spans="1:10" x14ac:dyDescent="0.25">
      <c r="A2128" t="s">
        <v>6663</v>
      </c>
      <c r="B2128" t="s">
        <v>6664</v>
      </c>
      <c r="C2128" s="2">
        <v>46224.583333333336</v>
      </c>
      <c r="D2128" t="s">
        <v>418</v>
      </c>
      <c r="E2128" t="s">
        <v>67</v>
      </c>
      <c r="F2128" t="s">
        <v>196</v>
      </c>
      <c r="G2128" t="s">
        <v>137</v>
      </c>
      <c r="H2128">
        <v>1</v>
      </c>
      <c r="I2128" t="s">
        <v>6665</v>
      </c>
      <c r="J2128" t="s">
        <v>357</v>
      </c>
    </row>
    <row r="2129" spans="1:10" x14ac:dyDescent="0.25">
      <c r="A2129" t="s">
        <v>6666</v>
      </c>
      <c r="B2129" t="s">
        <v>6667</v>
      </c>
      <c r="C2129" s="2">
        <v>46224.583333333336</v>
      </c>
      <c r="D2129" t="s">
        <v>418</v>
      </c>
      <c r="E2129" t="s">
        <v>77</v>
      </c>
      <c r="F2129" t="s">
        <v>200</v>
      </c>
      <c r="G2129" t="s">
        <v>147</v>
      </c>
      <c r="H2129">
        <v>4</v>
      </c>
      <c r="I2129" t="s">
        <v>6668</v>
      </c>
      <c r="J2129" t="s">
        <v>357</v>
      </c>
    </row>
    <row r="2130" spans="1:10" x14ac:dyDescent="0.25">
      <c r="A2130" t="s">
        <v>6669</v>
      </c>
      <c r="B2130" t="s">
        <v>6670</v>
      </c>
      <c r="C2130" s="2">
        <v>46225.583333333336</v>
      </c>
      <c r="D2130" t="s">
        <v>418</v>
      </c>
      <c r="E2130" t="s">
        <v>18</v>
      </c>
      <c r="F2130" t="s">
        <v>231</v>
      </c>
      <c r="G2130" t="s">
        <v>95</v>
      </c>
      <c r="H2130">
        <v>2</v>
      </c>
      <c r="I2130" t="s">
        <v>6671</v>
      </c>
      <c r="J2130" t="s">
        <v>357</v>
      </c>
    </row>
    <row r="2131" spans="1:10" x14ac:dyDescent="0.25">
      <c r="A2131" t="s">
        <v>6672</v>
      </c>
      <c r="B2131" t="s">
        <v>6673</v>
      </c>
      <c r="C2131" s="2">
        <v>46225.583333333336</v>
      </c>
      <c r="D2131" t="s">
        <v>418</v>
      </c>
      <c r="E2131" t="s">
        <v>20</v>
      </c>
      <c r="F2131" t="s">
        <v>245</v>
      </c>
      <c r="G2131" t="s">
        <v>97</v>
      </c>
      <c r="H2131">
        <v>4</v>
      </c>
      <c r="I2131" t="s">
        <v>6674</v>
      </c>
      <c r="J2131" t="s">
        <v>357</v>
      </c>
    </row>
    <row r="2132" spans="1:10" x14ac:dyDescent="0.25">
      <c r="A2132" t="s">
        <v>6675</v>
      </c>
      <c r="B2132" t="s">
        <v>6676</v>
      </c>
      <c r="C2132" s="2">
        <v>46225.583333333336</v>
      </c>
      <c r="D2132" t="s">
        <v>418</v>
      </c>
      <c r="E2132" t="s">
        <v>22</v>
      </c>
      <c r="F2132" t="s">
        <v>246</v>
      </c>
      <c r="G2132" t="s">
        <v>99</v>
      </c>
      <c r="H2132">
        <v>2</v>
      </c>
      <c r="I2132" t="s">
        <v>6677</v>
      </c>
      <c r="J2132" t="s">
        <v>357</v>
      </c>
    </row>
    <row r="2133" spans="1:10" x14ac:dyDescent="0.25">
      <c r="A2133" t="s">
        <v>6678</v>
      </c>
      <c r="B2133" t="s">
        <v>6679</v>
      </c>
      <c r="C2133" s="2">
        <v>46225.583333333336</v>
      </c>
      <c r="D2133" t="s">
        <v>418</v>
      </c>
      <c r="E2133" t="s">
        <v>24</v>
      </c>
      <c r="F2133" t="s">
        <v>247</v>
      </c>
      <c r="G2133" t="s">
        <v>101</v>
      </c>
      <c r="H2133">
        <v>3</v>
      </c>
      <c r="I2133" t="s">
        <v>6680</v>
      </c>
      <c r="J2133" t="s">
        <v>357</v>
      </c>
    </row>
    <row r="2134" spans="1:10" x14ac:dyDescent="0.25">
      <c r="A2134" t="s">
        <v>6681</v>
      </c>
      <c r="B2134" t="s">
        <v>6682</v>
      </c>
      <c r="C2134" s="2">
        <v>46225.583333333336</v>
      </c>
      <c r="D2134" t="s">
        <v>418</v>
      </c>
      <c r="E2134" t="s">
        <v>41</v>
      </c>
      <c r="F2134" t="s">
        <v>224</v>
      </c>
      <c r="G2134" t="s">
        <v>115</v>
      </c>
      <c r="H2134">
        <v>1</v>
      </c>
      <c r="I2134" t="s">
        <v>6683</v>
      </c>
      <c r="J2134" t="s">
        <v>357</v>
      </c>
    </row>
    <row r="2135" spans="1:10" x14ac:dyDescent="0.25">
      <c r="A2135" t="s">
        <v>6684</v>
      </c>
      <c r="B2135" t="s">
        <v>6685</v>
      </c>
      <c r="C2135" s="2">
        <v>46225.583333333336</v>
      </c>
      <c r="D2135" t="s">
        <v>418</v>
      </c>
      <c r="E2135" t="s">
        <v>55</v>
      </c>
      <c r="F2135" t="s">
        <v>170</v>
      </c>
      <c r="G2135" t="s">
        <v>129</v>
      </c>
      <c r="H2135">
        <v>4</v>
      </c>
      <c r="I2135" t="s">
        <v>6686</v>
      </c>
      <c r="J2135" t="s">
        <v>357</v>
      </c>
    </row>
    <row r="2136" spans="1:10" x14ac:dyDescent="0.25">
      <c r="A2136" t="s">
        <v>6687</v>
      </c>
      <c r="B2136" t="s">
        <v>6688</v>
      </c>
      <c r="C2136" s="2">
        <v>46225.583333333336</v>
      </c>
      <c r="D2136" t="s">
        <v>418</v>
      </c>
      <c r="E2136" t="s">
        <v>69</v>
      </c>
      <c r="F2136" t="s">
        <v>197</v>
      </c>
      <c r="G2136" t="s">
        <v>139</v>
      </c>
      <c r="H2136">
        <v>4</v>
      </c>
      <c r="I2136" t="s">
        <v>6689</v>
      </c>
      <c r="J2136" t="s">
        <v>357</v>
      </c>
    </row>
    <row r="2137" spans="1:10" x14ac:dyDescent="0.25">
      <c r="A2137" t="s">
        <v>6690</v>
      </c>
      <c r="B2137" t="s">
        <v>6691</v>
      </c>
      <c r="C2137" s="2">
        <v>46225.583333333336</v>
      </c>
      <c r="D2137" t="s">
        <v>418</v>
      </c>
      <c r="E2137" t="s">
        <v>18</v>
      </c>
      <c r="F2137" t="s">
        <v>231</v>
      </c>
      <c r="G2137" t="s">
        <v>95</v>
      </c>
      <c r="H2137">
        <v>3</v>
      </c>
      <c r="I2137" t="s">
        <v>6692</v>
      </c>
      <c r="J2137" t="s">
        <v>357</v>
      </c>
    </row>
    <row r="2138" spans="1:10" x14ac:dyDescent="0.25">
      <c r="A2138" t="s">
        <v>6693</v>
      </c>
      <c r="B2138" t="s">
        <v>6694</v>
      </c>
      <c r="C2138" s="2">
        <v>46225.583333333336</v>
      </c>
      <c r="D2138" t="s">
        <v>418</v>
      </c>
      <c r="E2138" t="s">
        <v>20</v>
      </c>
      <c r="F2138" t="s">
        <v>245</v>
      </c>
      <c r="G2138" t="s">
        <v>97</v>
      </c>
      <c r="H2138">
        <v>2</v>
      </c>
      <c r="I2138" t="s">
        <v>6695</v>
      </c>
      <c r="J2138" t="s">
        <v>357</v>
      </c>
    </row>
    <row r="2139" spans="1:10" x14ac:dyDescent="0.25">
      <c r="A2139" t="s">
        <v>6696</v>
      </c>
      <c r="B2139" t="s">
        <v>6697</v>
      </c>
      <c r="C2139" s="2">
        <v>46225.583333333336</v>
      </c>
      <c r="D2139" t="s">
        <v>418</v>
      </c>
      <c r="E2139" t="s">
        <v>22</v>
      </c>
      <c r="F2139" t="s">
        <v>246</v>
      </c>
      <c r="G2139" t="s">
        <v>99</v>
      </c>
      <c r="H2139">
        <v>4</v>
      </c>
      <c r="I2139" t="s">
        <v>6698</v>
      </c>
      <c r="J2139" t="s">
        <v>357</v>
      </c>
    </row>
    <row r="2140" spans="1:10" x14ac:dyDescent="0.25">
      <c r="A2140" t="s">
        <v>6699</v>
      </c>
      <c r="B2140" t="s">
        <v>6700</v>
      </c>
      <c r="C2140" s="2">
        <v>46225.583333333336</v>
      </c>
      <c r="D2140" t="s">
        <v>418</v>
      </c>
      <c r="E2140" t="s">
        <v>24</v>
      </c>
      <c r="F2140" t="s">
        <v>247</v>
      </c>
      <c r="G2140" t="s">
        <v>101</v>
      </c>
      <c r="H2140">
        <v>1</v>
      </c>
      <c r="I2140" t="s">
        <v>6701</v>
      </c>
      <c r="J2140" t="s">
        <v>357</v>
      </c>
    </row>
    <row r="2141" spans="1:10" x14ac:dyDescent="0.25">
      <c r="A2141" t="s">
        <v>6702</v>
      </c>
      <c r="B2141" t="s">
        <v>6703</v>
      </c>
      <c r="C2141" s="2">
        <v>46225.583333333336</v>
      </c>
      <c r="D2141" t="s">
        <v>418</v>
      </c>
      <c r="E2141" t="s">
        <v>26</v>
      </c>
      <c r="F2141" t="s">
        <v>248</v>
      </c>
      <c r="G2141" t="s">
        <v>103</v>
      </c>
      <c r="H2141">
        <v>5</v>
      </c>
      <c r="I2141" t="s">
        <v>6704</v>
      </c>
      <c r="J2141" t="s">
        <v>357</v>
      </c>
    </row>
    <row r="2142" spans="1:10" x14ac:dyDescent="0.25">
      <c r="A2142" t="s">
        <v>6705</v>
      </c>
      <c r="B2142" t="s">
        <v>6706</v>
      </c>
      <c r="C2142" s="2">
        <v>46225.583333333336</v>
      </c>
      <c r="D2142" t="s">
        <v>418</v>
      </c>
      <c r="E2142" t="s">
        <v>45</v>
      </c>
      <c r="F2142" t="s">
        <v>225</v>
      </c>
      <c r="G2142" t="s">
        <v>119</v>
      </c>
      <c r="H2142">
        <v>3</v>
      </c>
      <c r="I2142" t="s">
        <v>6707</v>
      </c>
      <c r="J2142" t="s">
        <v>357</v>
      </c>
    </row>
    <row r="2143" spans="1:10" x14ac:dyDescent="0.25">
      <c r="A2143" t="s">
        <v>6708</v>
      </c>
      <c r="B2143" t="s">
        <v>6709</v>
      </c>
      <c r="C2143" s="2">
        <v>46225.583333333336</v>
      </c>
      <c r="D2143" t="s">
        <v>418</v>
      </c>
      <c r="E2143" t="s">
        <v>47</v>
      </c>
      <c r="F2143" t="s">
        <v>238</v>
      </c>
      <c r="G2143" t="s">
        <v>121</v>
      </c>
      <c r="H2143">
        <v>2</v>
      </c>
      <c r="I2143" t="s">
        <v>6710</v>
      </c>
      <c r="J2143" t="s">
        <v>357</v>
      </c>
    </row>
    <row r="2144" spans="1:10" x14ac:dyDescent="0.25">
      <c r="A2144" t="s">
        <v>6711</v>
      </c>
      <c r="B2144" t="s">
        <v>6712</v>
      </c>
      <c r="C2144" s="2">
        <v>46225.583333333336</v>
      </c>
      <c r="D2144" t="s">
        <v>418</v>
      </c>
      <c r="E2144" t="s">
        <v>49</v>
      </c>
      <c r="F2144" t="s">
        <v>253</v>
      </c>
      <c r="G2144" t="s">
        <v>123</v>
      </c>
      <c r="H2144">
        <v>2</v>
      </c>
      <c r="I2144" t="s">
        <v>6713</v>
      </c>
      <c r="J2144" t="s">
        <v>357</v>
      </c>
    </row>
    <row r="2145" spans="1:10" x14ac:dyDescent="0.25">
      <c r="A2145" t="s">
        <v>6714</v>
      </c>
      <c r="B2145" t="s">
        <v>6715</v>
      </c>
      <c r="C2145" s="2">
        <v>46225.583333333336</v>
      </c>
      <c r="D2145" t="s">
        <v>418</v>
      </c>
      <c r="E2145" t="s">
        <v>59</v>
      </c>
      <c r="F2145" t="s">
        <v>194</v>
      </c>
      <c r="G2145" t="s">
        <v>133</v>
      </c>
      <c r="H2145">
        <v>3</v>
      </c>
      <c r="I2145" t="s">
        <v>6716</v>
      </c>
      <c r="J2145" t="s">
        <v>357</v>
      </c>
    </row>
    <row r="2146" spans="1:10" x14ac:dyDescent="0.25">
      <c r="A2146" t="s">
        <v>6717</v>
      </c>
      <c r="B2146" t="s">
        <v>6718</v>
      </c>
      <c r="C2146" s="2">
        <v>46225.583333333336</v>
      </c>
      <c r="D2146" t="s">
        <v>418</v>
      </c>
      <c r="E2146" t="s">
        <v>67</v>
      </c>
      <c r="F2146" t="s">
        <v>196</v>
      </c>
      <c r="G2146" t="s">
        <v>137</v>
      </c>
      <c r="H2146">
        <v>1</v>
      </c>
      <c r="I2146" t="s">
        <v>6719</v>
      </c>
      <c r="J2146" t="s">
        <v>357</v>
      </c>
    </row>
    <row r="2147" spans="1:10" x14ac:dyDescent="0.25">
      <c r="A2147" t="s">
        <v>6720</v>
      </c>
      <c r="B2147" t="s">
        <v>6721</v>
      </c>
      <c r="C2147" s="2">
        <v>46225.583333333336</v>
      </c>
      <c r="D2147" t="s">
        <v>418</v>
      </c>
      <c r="E2147" t="s">
        <v>20</v>
      </c>
      <c r="F2147" t="s">
        <v>245</v>
      </c>
      <c r="G2147" t="s">
        <v>97</v>
      </c>
      <c r="H2147">
        <v>4</v>
      </c>
      <c r="I2147" t="s">
        <v>6722</v>
      </c>
      <c r="J2147" t="s">
        <v>357</v>
      </c>
    </row>
    <row r="2148" spans="1:10" x14ac:dyDescent="0.25">
      <c r="A2148" t="s">
        <v>6723</v>
      </c>
      <c r="B2148" t="s">
        <v>6724</v>
      </c>
      <c r="C2148" s="2">
        <v>46225.583333333336</v>
      </c>
      <c r="D2148" t="s">
        <v>418</v>
      </c>
      <c r="E2148" t="s">
        <v>22</v>
      </c>
      <c r="F2148" t="s">
        <v>246</v>
      </c>
      <c r="G2148" t="s">
        <v>99</v>
      </c>
      <c r="H2148">
        <v>2</v>
      </c>
      <c r="I2148" t="s">
        <v>6725</v>
      </c>
      <c r="J2148" t="s">
        <v>357</v>
      </c>
    </row>
    <row r="2149" spans="1:10" x14ac:dyDescent="0.25">
      <c r="A2149" t="s">
        <v>6726</v>
      </c>
      <c r="B2149" t="s">
        <v>6727</v>
      </c>
      <c r="C2149" s="2">
        <v>46225.583333333336</v>
      </c>
      <c r="D2149" t="s">
        <v>418</v>
      </c>
      <c r="E2149" t="s">
        <v>24</v>
      </c>
      <c r="F2149" t="s">
        <v>247</v>
      </c>
      <c r="G2149" t="s">
        <v>101</v>
      </c>
      <c r="H2149">
        <v>5</v>
      </c>
      <c r="I2149" t="s">
        <v>6728</v>
      </c>
      <c r="J2149" t="s">
        <v>357</v>
      </c>
    </row>
    <row r="2150" spans="1:10" x14ac:dyDescent="0.25">
      <c r="A2150" t="s">
        <v>6729</v>
      </c>
      <c r="B2150" t="s">
        <v>6730</v>
      </c>
      <c r="C2150" s="2">
        <v>46225.583333333336</v>
      </c>
      <c r="D2150" t="s">
        <v>418</v>
      </c>
      <c r="E2150" t="s">
        <v>26</v>
      </c>
      <c r="F2150" t="s">
        <v>248</v>
      </c>
      <c r="G2150" t="s">
        <v>103</v>
      </c>
      <c r="H2150">
        <v>6</v>
      </c>
      <c r="I2150" t="s">
        <v>6731</v>
      </c>
      <c r="J2150" t="s">
        <v>357</v>
      </c>
    </row>
    <row r="2151" spans="1:10" x14ac:dyDescent="0.25">
      <c r="A2151" t="s">
        <v>6732</v>
      </c>
      <c r="B2151" t="s">
        <v>6733</v>
      </c>
      <c r="C2151" s="2">
        <v>46225.583333333336</v>
      </c>
      <c r="D2151" t="s">
        <v>418</v>
      </c>
      <c r="E2151" t="s">
        <v>45</v>
      </c>
      <c r="F2151" t="s">
        <v>225</v>
      </c>
      <c r="G2151" t="s">
        <v>119</v>
      </c>
      <c r="H2151">
        <v>2</v>
      </c>
      <c r="I2151" t="s">
        <v>6734</v>
      </c>
      <c r="J2151" t="s">
        <v>357</v>
      </c>
    </row>
    <row r="2152" spans="1:10" x14ac:dyDescent="0.25">
      <c r="A2152" t="s">
        <v>6735</v>
      </c>
      <c r="B2152" t="s">
        <v>6736</v>
      </c>
      <c r="C2152" s="2">
        <v>46225.583333333336</v>
      </c>
      <c r="D2152" t="s">
        <v>418</v>
      </c>
      <c r="E2152" t="s">
        <v>51</v>
      </c>
      <c r="F2152" t="s">
        <v>209</v>
      </c>
      <c r="G2152" t="s">
        <v>125</v>
      </c>
      <c r="H2152">
        <v>6</v>
      </c>
      <c r="I2152" t="s">
        <v>6737</v>
      </c>
      <c r="J2152" t="s">
        <v>357</v>
      </c>
    </row>
    <row r="2153" spans="1:10" x14ac:dyDescent="0.25">
      <c r="A2153" t="s">
        <v>6738</v>
      </c>
      <c r="B2153" t="s">
        <v>6739</v>
      </c>
      <c r="C2153" s="2">
        <v>46225.583333333336</v>
      </c>
      <c r="D2153" t="s">
        <v>418</v>
      </c>
      <c r="E2153" t="s">
        <v>53</v>
      </c>
      <c r="F2153" t="s">
        <v>210</v>
      </c>
      <c r="G2153" t="s">
        <v>127</v>
      </c>
      <c r="H2153">
        <v>2</v>
      </c>
      <c r="I2153" t="s">
        <v>6740</v>
      </c>
      <c r="J2153" t="s">
        <v>357</v>
      </c>
    </row>
    <row r="2154" spans="1:10" x14ac:dyDescent="0.25">
      <c r="A2154" t="s">
        <v>6741</v>
      </c>
      <c r="B2154" t="s">
        <v>6742</v>
      </c>
      <c r="C2154" s="2">
        <v>46225.583333333336</v>
      </c>
      <c r="D2154" t="s">
        <v>418</v>
      </c>
      <c r="E2154" t="s">
        <v>59</v>
      </c>
      <c r="F2154" t="s">
        <v>194</v>
      </c>
      <c r="G2154" t="s">
        <v>133</v>
      </c>
      <c r="H2154">
        <v>1</v>
      </c>
      <c r="I2154" t="s">
        <v>6743</v>
      </c>
      <c r="J2154" t="s">
        <v>357</v>
      </c>
    </row>
    <row r="2155" spans="1:10" x14ac:dyDescent="0.25">
      <c r="A2155" t="s">
        <v>6744</v>
      </c>
      <c r="B2155" t="s">
        <v>6745</v>
      </c>
      <c r="C2155" s="2">
        <v>46225.583333333336</v>
      </c>
      <c r="D2155" t="s">
        <v>418</v>
      </c>
      <c r="E2155" t="s">
        <v>67</v>
      </c>
      <c r="F2155" t="s">
        <v>196</v>
      </c>
      <c r="G2155" t="s">
        <v>137</v>
      </c>
      <c r="H2155">
        <v>6</v>
      </c>
      <c r="I2155" t="s">
        <v>6746</v>
      </c>
      <c r="J2155" t="s">
        <v>357</v>
      </c>
    </row>
    <row r="2156" spans="1:10" x14ac:dyDescent="0.25">
      <c r="A2156" t="s">
        <v>6747</v>
      </c>
      <c r="B2156" t="s">
        <v>6748</v>
      </c>
      <c r="C2156" s="2">
        <v>46225.583333333336</v>
      </c>
      <c r="D2156" t="s">
        <v>418</v>
      </c>
      <c r="E2156" t="s">
        <v>77</v>
      </c>
      <c r="F2156" t="s">
        <v>200</v>
      </c>
      <c r="G2156" t="s">
        <v>147</v>
      </c>
      <c r="H2156">
        <v>6</v>
      </c>
      <c r="I2156" t="s">
        <v>6749</v>
      </c>
      <c r="J2156" t="s">
        <v>357</v>
      </c>
    </row>
    <row r="2157" spans="1:10" x14ac:dyDescent="0.25">
      <c r="A2157" t="s">
        <v>6750</v>
      </c>
      <c r="B2157" t="s">
        <v>6751</v>
      </c>
      <c r="C2157" s="2">
        <v>46225.583333333336</v>
      </c>
      <c r="D2157" t="s">
        <v>418</v>
      </c>
      <c r="E2157" t="s">
        <v>18</v>
      </c>
      <c r="F2157" t="s">
        <v>231</v>
      </c>
      <c r="G2157" t="s">
        <v>95</v>
      </c>
      <c r="H2157">
        <v>3</v>
      </c>
      <c r="I2157" t="s">
        <v>6752</v>
      </c>
      <c r="J2157" t="s">
        <v>357</v>
      </c>
    </row>
    <row r="2158" spans="1:10" x14ac:dyDescent="0.25">
      <c r="A2158" t="s">
        <v>6753</v>
      </c>
      <c r="B2158" t="s">
        <v>6754</v>
      </c>
      <c r="C2158" s="2">
        <v>46225.583333333336</v>
      </c>
      <c r="D2158" t="s">
        <v>418</v>
      </c>
      <c r="E2158" t="s">
        <v>20</v>
      </c>
      <c r="F2158" t="s">
        <v>245</v>
      </c>
      <c r="G2158" t="s">
        <v>97</v>
      </c>
      <c r="H2158">
        <v>6</v>
      </c>
      <c r="I2158" t="s">
        <v>6755</v>
      </c>
      <c r="J2158" t="s">
        <v>357</v>
      </c>
    </row>
    <row r="2159" spans="1:10" x14ac:dyDescent="0.25">
      <c r="A2159" t="s">
        <v>6756</v>
      </c>
      <c r="B2159" t="s">
        <v>6757</v>
      </c>
      <c r="C2159" s="2">
        <v>46225.583333333336</v>
      </c>
      <c r="D2159" t="s">
        <v>418</v>
      </c>
      <c r="E2159" t="s">
        <v>22</v>
      </c>
      <c r="F2159" t="s">
        <v>246</v>
      </c>
      <c r="G2159" t="s">
        <v>99</v>
      </c>
      <c r="H2159">
        <v>7</v>
      </c>
      <c r="I2159" t="s">
        <v>6758</v>
      </c>
      <c r="J2159" t="s">
        <v>357</v>
      </c>
    </row>
    <row r="2160" spans="1:10" x14ac:dyDescent="0.25">
      <c r="A2160" t="s">
        <v>6759</v>
      </c>
      <c r="B2160" t="s">
        <v>6760</v>
      </c>
      <c r="C2160" s="2">
        <v>46225.583333333336</v>
      </c>
      <c r="D2160" t="s">
        <v>418</v>
      </c>
      <c r="E2160" t="s">
        <v>24</v>
      </c>
      <c r="F2160" t="s">
        <v>247</v>
      </c>
      <c r="G2160" t="s">
        <v>101</v>
      </c>
      <c r="H2160">
        <v>3</v>
      </c>
      <c r="I2160" t="s">
        <v>6761</v>
      </c>
      <c r="J2160" t="s">
        <v>357</v>
      </c>
    </row>
    <row r="2161" spans="1:10" x14ac:dyDescent="0.25">
      <c r="A2161" t="s">
        <v>6762</v>
      </c>
      <c r="B2161" t="s">
        <v>6763</v>
      </c>
      <c r="C2161" s="2">
        <v>46225.583333333336</v>
      </c>
      <c r="D2161" t="s">
        <v>418</v>
      </c>
      <c r="E2161" t="s">
        <v>26</v>
      </c>
      <c r="F2161" t="s">
        <v>248</v>
      </c>
      <c r="G2161" t="s">
        <v>103</v>
      </c>
      <c r="H2161">
        <v>6</v>
      </c>
      <c r="I2161" t="s">
        <v>6764</v>
      </c>
      <c r="J2161" t="s">
        <v>357</v>
      </c>
    </row>
    <row r="2162" spans="1:10" x14ac:dyDescent="0.25">
      <c r="A2162" t="s">
        <v>6765</v>
      </c>
      <c r="B2162" t="s">
        <v>6766</v>
      </c>
      <c r="C2162" s="2">
        <v>46225.583333333336</v>
      </c>
      <c r="D2162" t="s">
        <v>418</v>
      </c>
      <c r="E2162" t="s">
        <v>32</v>
      </c>
      <c r="F2162" t="s">
        <v>251</v>
      </c>
      <c r="G2162" t="s">
        <v>109</v>
      </c>
      <c r="H2162">
        <v>6</v>
      </c>
      <c r="I2162" t="s">
        <v>6767</v>
      </c>
      <c r="J2162" t="s">
        <v>357</v>
      </c>
    </row>
    <row r="2163" spans="1:10" x14ac:dyDescent="0.25">
      <c r="A2163" t="s">
        <v>6768</v>
      </c>
      <c r="B2163" t="s">
        <v>6769</v>
      </c>
      <c r="C2163" s="2">
        <v>46225.583333333336</v>
      </c>
      <c r="D2163" t="s">
        <v>418</v>
      </c>
      <c r="E2163" t="s">
        <v>45</v>
      </c>
      <c r="F2163" t="s">
        <v>225</v>
      </c>
      <c r="G2163" t="s">
        <v>119</v>
      </c>
      <c r="H2163">
        <v>4</v>
      </c>
      <c r="I2163" t="s">
        <v>6770</v>
      </c>
      <c r="J2163" t="s">
        <v>357</v>
      </c>
    </row>
    <row r="2164" spans="1:10" x14ac:dyDescent="0.25">
      <c r="A2164" t="s">
        <v>6771</v>
      </c>
      <c r="B2164" t="s">
        <v>6772</v>
      </c>
      <c r="C2164" s="2">
        <v>46225.583333333336</v>
      </c>
      <c r="D2164" t="s">
        <v>418</v>
      </c>
      <c r="E2164" t="s">
        <v>47</v>
      </c>
      <c r="F2164" t="s">
        <v>238</v>
      </c>
      <c r="G2164" t="s">
        <v>121</v>
      </c>
      <c r="H2164">
        <v>6</v>
      </c>
      <c r="I2164" t="s">
        <v>6773</v>
      </c>
      <c r="J2164" t="s">
        <v>357</v>
      </c>
    </row>
    <row r="2165" spans="1:10" x14ac:dyDescent="0.25">
      <c r="A2165" t="s">
        <v>6774</v>
      </c>
      <c r="B2165" t="s">
        <v>6775</v>
      </c>
      <c r="C2165" s="2">
        <v>46225.583333333336</v>
      </c>
      <c r="D2165" t="s">
        <v>418</v>
      </c>
      <c r="E2165" t="s">
        <v>65</v>
      </c>
      <c r="F2165" t="s">
        <v>228</v>
      </c>
      <c r="G2165" t="s">
        <v>135</v>
      </c>
      <c r="H2165">
        <v>7</v>
      </c>
      <c r="I2165" t="s">
        <v>6776</v>
      </c>
      <c r="J2165" t="s">
        <v>357</v>
      </c>
    </row>
    <row r="2166" spans="1:10" x14ac:dyDescent="0.25">
      <c r="A2166" t="s">
        <v>6777</v>
      </c>
      <c r="B2166" t="s">
        <v>6778</v>
      </c>
      <c r="C2166" s="2">
        <v>46225.583333333336</v>
      </c>
      <c r="D2166" t="s">
        <v>418</v>
      </c>
      <c r="E2166" t="s">
        <v>18</v>
      </c>
      <c r="F2166" t="s">
        <v>231</v>
      </c>
      <c r="G2166" t="s">
        <v>95</v>
      </c>
      <c r="H2166">
        <v>4</v>
      </c>
      <c r="I2166" t="s">
        <v>6779</v>
      </c>
      <c r="J2166" t="s">
        <v>357</v>
      </c>
    </row>
    <row r="2167" spans="1:10" x14ac:dyDescent="0.25">
      <c r="A2167" t="s">
        <v>6780</v>
      </c>
      <c r="B2167" t="s">
        <v>6781</v>
      </c>
      <c r="C2167" s="2">
        <v>46225.583333333336</v>
      </c>
      <c r="D2167" t="s">
        <v>418</v>
      </c>
      <c r="E2167" t="s">
        <v>20</v>
      </c>
      <c r="F2167" t="s">
        <v>245</v>
      </c>
      <c r="G2167" t="s">
        <v>97</v>
      </c>
      <c r="H2167">
        <v>4</v>
      </c>
      <c r="I2167" t="s">
        <v>6782</v>
      </c>
      <c r="J2167" t="s">
        <v>357</v>
      </c>
    </row>
    <row r="2168" spans="1:10" x14ac:dyDescent="0.25">
      <c r="A2168" t="s">
        <v>6783</v>
      </c>
      <c r="B2168" t="s">
        <v>6784</v>
      </c>
      <c r="C2168" s="2">
        <v>46225.583333333336</v>
      </c>
      <c r="D2168" t="s">
        <v>418</v>
      </c>
      <c r="E2168" t="s">
        <v>22</v>
      </c>
      <c r="F2168" t="s">
        <v>246</v>
      </c>
      <c r="G2168" t="s">
        <v>99</v>
      </c>
      <c r="H2168">
        <v>4</v>
      </c>
      <c r="I2168" t="s">
        <v>6785</v>
      </c>
      <c r="J2168" t="s">
        <v>357</v>
      </c>
    </row>
    <row r="2169" spans="1:10" x14ac:dyDescent="0.25">
      <c r="A2169" t="s">
        <v>6786</v>
      </c>
      <c r="B2169" t="s">
        <v>6787</v>
      </c>
      <c r="C2169" s="2">
        <v>46225.583333333336</v>
      </c>
      <c r="D2169" t="s">
        <v>418</v>
      </c>
      <c r="E2169" t="s">
        <v>24</v>
      </c>
      <c r="F2169" t="s">
        <v>247</v>
      </c>
      <c r="G2169" t="s">
        <v>101</v>
      </c>
      <c r="H2169">
        <v>2</v>
      </c>
      <c r="I2169" t="s">
        <v>6788</v>
      </c>
      <c r="J2169" t="s">
        <v>357</v>
      </c>
    </row>
    <row r="2170" spans="1:10" x14ac:dyDescent="0.25">
      <c r="A2170" t="s">
        <v>6789</v>
      </c>
      <c r="B2170" t="s">
        <v>6790</v>
      </c>
      <c r="C2170" s="2">
        <v>46225.583333333336</v>
      </c>
      <c r="D2170" t="s">
        <v>418</v>
      </c>
      <c r="E2170" t="s">
        <v>26</v>
      </c>
      <c r="F2170" t="s">
        <v>248</v>
      </c>
      <c r="G2170" t="s">
        <v>103</v>
      </c>
      <c r="H2170">
        <v>4</v>
      </c>
      <c r="I2170" t="s">
        <v>6791</v>
      </c>
      <c r="J2170" t="s">
        <v>357</v>
      </c>
    </row>
    <row r="2171" spans="1:10" x14ac:dyDescent="0.25">
      <c r="A2171" t="s">
        <v>6792</v>
      </c>
      <c r="B2171" t="s">
        <v>6793</v>
      </c>
      <c r="C2171" s="2">
        <v>46225.583333333336</v>
      </c>
      <c r="D2171" t="s">
        <v>418</v>
      </c>
      <c r="E2171" t="s">
        <v>36</v>
      </c>
      <c r="F2171" t="s">
        <v>223</v>
      </c>
      <c r="G2171" t="s">
        <v>113</v>
      </c>
      <c r="H2171">
        <v>1</v>
      </c>
      <c r="I2171" t="s">
        <v>6794</v>
      </c>
      <c r="J2171" t="s">
        <v>357</v>
      </c>
    </row>
    <row r="2172" spans="1:10" x14ac:dyDescent="0.25">
      <c r="A2172" t="s">
        <v>6795</v>
      </c>
      <c r="B2172" t="s">
        <v>6796</v>
      </c>
      <c r="C2172" s="2">
        <v>46225.583333333336</v>
      </c>
      <c r="D2172" t="s">
        <v>418</v>
      </c>
      <c r="E2172" t="s">
        <v>49</v>
      </c>
      <c r="F2172" t="s">
        <v>253</v>
      </c>
      <c r="G2172" t="s">
        <v>123</v>
      </c>
      <c r="H2172">
        <v>1</v>
      </c>
      <c r="I2172" t="s">
        <v>6797</v>
      </c>
      <c r="J2172" t="s">
        <v>357</v>
      </c>
    </row>
    <row r="2173" spans="1:10" x14ac:dyDescent="0.25">
      <c r="A2173" t="s">
        <v>6798</v>
      </c>
      <c r="B2173" t="s">
        <v>6799</v>
      </c>
      <c r="C2173" s="2">
        <v>46225.583333333336</v>
      </c>
      <c r="D2173" t="s">
        <v>418</v>
      </c>
      <c r="E2173" t="s">
        <v>77</v>
      </c>
      <c r="F2173" t="s">
        <v>200</v>
      </c>
      <c r="G2173" t="s">
        <v>147</v>
      </c>
      <c r="H2173">
        <v>4</v>
      </c>
      <c r="I2173" t="s">
        <v>6800</v>
      </c>
      <c r="J2173" t="s">
        <v>357</v>
      </c>
    </row>
    <row r="2174" spans="1:10" x14ac:dyDescent="0.25">
      <c r="A2174" t="s">
        <v>6801</v>
      </c>
      <c r="B2174" t="s">
        <v>6802</v>
      </c>
      <c r="C2174" s="2">
        <v>46226.583333333336</v>
      </c>
      <c r="D2174" t="s">
        <v>418</v>
      </c>
      <c r="E2174" t="s">
        <v>22</v>
      </c>
      <c r="F2174" t="s">
        <v>246</v>
      </c>
      <c r="G2174" t="s">
        <v>99</v>
      </c>
      <c r="H2174">
        <v>1</v>
      </c>
      <c r="I2174" t="s">
        <v>6803</v>
      </c>
      <c r="J2174" t="s">
        <v>357</v>
      </c>
    </row>
    <row r="2175" spans="1:10" x14ac:dyDescent="0.25">
      <c r="A2175" t="s">
        <v>6804</v>
      </c>
      <c r="B2175" t="s">
        <v>6805</v>
      </c>
      <c r="C2175" s="2">
        <v>46226.583333333336</v>
      </c>
      <c r="D2175" t="s">
        <v>418</v>
      </c>
      <c r="E2175" t="s">
        <v>24</v>
      </c>
      <c r="F2175" t="s">
        <v>247</v>
      </c>
      <c r="G2175" t="s">
        <v>101</v>
      </c>
      <c r="H2175">
        <v>2</v>
      </c>
      <c r="I2175" t="s">
        <v>6806</v>
      </c>
      <c r="J2175" t="s">
        <v>357</v>
      </c>
    </row>
    <row r="2176" spans="1:10" x14ac:dyDescent="0.25">
      <c r="A2176" t="s">
        <v>6807</v>
      </c>
      <c r="B2176" t="s">
        <v>6808</v>
      </c>
      <c r="C2176" s="2">
        <v>46226.583333333336</v>
      </c>
      <c r="D2176" t="s">
        <v>418</v>
      </c>
      <c r="E2176" t="s">
        <v>26</v>
      </c>
      <c r="F2176" t="s">
        <v>248</v>
      </c>
      <c r="G2176" t="s">
        <v>103</v>
      </c>
      <c r="H2176">
        <v>2</v>
      </c>
      <c r="I2176" t="s">
        <v>6809</v>
      </c>
      <c r="J2176" t="s">
        <v>357</v>
      </c>
    </row>
    <row r="2177" spans="1:10" x14ac:dyDescent="0.25">
      <c r="A2177" t="s">
        <v>6810</v>
      </c>
      <c r="B2177" t="s">
        <v>6811</v>
      </c>
      <c r="C2177" s="2">
        <v>46226.583333333336</v>
      </c>
      <c r="D2177" t="s">
        <v>418</v>
      </c>
      <c r="E2177" t="s">
        <v>30</v>
      </c>
      <c r="F2177" t="s">
        <v>159</v>
      </c>
      <c r="G2177" t="s">
        <v>107</v>
      </c>
      <c r="H2177">
        <v>2</v>
      </c>
      <c r="I2177" t="s">
        <v>6812</v>
      </c>
      <c r="J2177" t="s">
        <v>357</v>
      </c>
    </row>
    <row r="2178" spans="1:10" x14ac:dyDescent="0.25">
      <c r="A2178" t="s">
        <v>6813</v>
      </c>
      <c r="B2178" t="s">
        <v>6814</v>
      </c>
      <c r="C2178" s="2">
        <v>46226.583333333336</v>
      </c>
      <c r="D2178" t="s">
        <v>418</v>
      </c>
      <c r="E2178" t="s">
        <v>32</v>
      </c>
      <c r="F2178" t="s">
        <v>251</v>
      </c>
      <c r="G2178" t="s">
        <v>109</v>
      </c>
      <c r="H2178">
        <v>3</v>
      </c>
      <c r="I2178" t="s">
        <v>6815</v>
      </c>
      <c r="J2178" t="s">
        <v>357</v>
      </c>
    </row>
    <row r="2179" spans="1:10" x14ac:dyDescent="0.25">
      <c r="A2179" t="s">
        <v>6816</v>
      </c>
      <c r="B2179" t="s">
        <v>6817</v>
      </c>
      <c r="C2179" s="2">
        <v>46226.583333333336</v>
      </c>
      <c r="D2179" t="s">
        <v>418</v>
      </c>
      <c r="E2179" t="s">
        <v>36</v>
      </c>
      <c r="F2179" t="s">
        <v>223</v>
      </c>
      <c r="G2179" t="s">
        <v>113</v>
      </c>
      <c r="H2179">
        <v>3</v>
      </c>
      <c r="I2179" t="s">
        <v>6818</v>
      </c>
      <c r="J2179" t="s">
        <v>357</v>
      </c>
    </row>
    <row r="2180" spans="1:10" x14ac:dyDescent="0.25">
      <c r="A2180" t="s">
        <v>6819</v>
      </c>
      <c r="B2180" t="s">
        <v>6820</v>
      </c>
      <c r="C2180" s="2">
        <v>46226.583333333336</v>
      </c>
      <c r="D2180" t="s">
        <v>418</v>
      </c>
      <c r="E2180" t="s">
        <v>41</v>
      </c>
      <c r="F2180" t="s">
        <v>224</v>
      </c>
      <c r="G2180" t="s">
        <v>115</v>
      </c>
      <c r="H2180">
        <v>3</v>
      </c>
      <c r="I2180" t="s">
        <v>6821</v>
      </c>
      <c r="J2180" t="s">
        <v>357</v>
      </c>
    </row>
    <row r="2181" spans="1:10" x14ac:dyDescent="0.25">
      <c r="A2181" t="s">
        <v>6822</v>
      </c>
      <c r="B2181" t="s">
        <v>6823</v>
      </c>
      <c r="C2181" s="2">
        <v>46226.583333333336</v>
      </c>
      <c r="D2181" t="s">
        <v>418</v>
      </c>
      <c r="E2181" t="s">
        <v>71</v>
      </c>
      <c r="F2181" t="s">
        <v>212</v>
      </c>
      <c r="G2181" t="s">
        <v>141</v>
      </c>
      <c r="H2181">
        <v>2</v>
      </c>
      <c r="I2181" t="s">
        <v>6824</v>
      </c>
      <c r="J2181" t="s">
        <v>357</v>
      </c>
    </row>
    <row r="2182" spans="1:10" x14ac:dyDescent="0.25">
      <c r="A2182" t="s">
        <v>6825</v>
      </c>
      <c r="B2182" t="s">
        <v>6826</v>
      </c>
      <c r="C2182" s="2">
        <v>46226.583333333336</v>
      </c>
      <c r="D2182" t="s">
        <v>418</v>
      </c>
      <c r="E2182" t="s">
        <v>73</v>
      </c>
      <c r="F2182" t="s">
        <v>177</v>
      </c>
      <c r="G2182" t="s">
        <v>143</v>
      </c>
      <c r="H2182">
        <v>1</v>
      </c>
      <c r="I2182" t="s">
        <v>6827</v>
      </c>
      <c r="J2182" t="s">
        <v>357</v>
      </c>
    </row>
    <row r="2183" spans="1:10" x14ac:dyDescent="0.25">
      <c r="A2183" t="s">
        <v>6828</v>
      </c>
      <c r="B2183" t="s">
        <v>6829</v>
      </c>
      <c r="C2183" s="2">
        <v>46226.583333333336</v>
      </c>
      <c r="D2183" t="s">
        <v>418</v>
      </c>
      <c r="E2183" t="s">
        <v>77</v>
      </c>
      <c r="F2183" t="s">
        <v>200</v>
      </c>
      <c r="G2183" t="s">
        <v>147</v>
      </c>
      <c r="H2183">
        <v>2</v>
      </c>
      <c r="I2183" t="s">
        <v>6830</v>
      </c>
      <c r="J2183" t="s">
        <v>357</v>
      </c>
    </row>
    <row r="2184" spans="1:10" x14ac:dyDescent="0.25">
      <c r="A2184" t="s">
        <v>6831</v>
      </c>
      <c r="B2184" t="s">
        <v>6832</v>
      </c>
      <c r="C2184" s="2">
        <v>46226.583333333336</v>
      </c>
      <c r="D2184" t="s">
        <v>418</v>
      </c>
      <c r="E2184" t="s">
        <v>18</v>
      </c>
      <c r="F2184" t="s">
        <v>231</v>
      </c>
      <c r="G2184" t="s">
        <v>95</v>
      </c>
      <c r="H2184">
        <v>5</v>
      </c>
      <c r="I2184" t="s">
        <v>6833</v>
      </c>
      <c r="J2184" t="s">
        <v>357</v>
      </c>
    </row>
    <row r="2185" spans="1:10" x14ac:dyDescent="0.25">
      <c r="A2185" t="s">
        <v>6834</v>
      </c>
      <c r="B2185" t="s">
        <v>6835</v>
      </c>
      <c r="C2185" s="2">
        <v>46226.583333333336</v>
      </c>
      <c r="D2185" t="s">
        <v>418</v>
      </c>
      <c r="E2185" t="s">
        <v>20</v>
      </c>
      <c r="F2185" t="s">
        <v>245</v>
      </c>
      <c r="G2185" t="s">
        <v>97</v>
      </c>
      <c r="H2185">
        <v>3</v>
      </c>
      <c r="I2185" t="s">
        <v>6836</v>
      </c>
      <c r="J2185" t="s">
        <v>357</v>
      </c>
    </row>
    <row r="2186" spans="1:10" x14ac:dyDescent="0.25">
      <c r="A2186" t="s">
        <v>6837</v>
      </c>
      <c r="B2186" t="s">
        <v>6838</v>
      </c>
      <c r="C2186" s="2">
        <v>46226.583333333336</v>
      </c>
      <c r="D2186" t="s">
        <v>418</v>
      </c>
      <c r="E2186" t="s">
        <v>22</v>
      </c>
      <c r="F2186" t="s">
        <v>246</v>
      </c>
      <c r="G2186" t="s">
        <v>99</v>
      </c>
      <c r="H2186">
        <v>4</v>
      </c>
      <c r="I2186" t="s">
        <v>6839</v>
      </c>
      <c r="J2186" t="s">
        <v>357</v>
      </c>
    </row>
    <row r="2187" spans="1:10" x14ac:dyDescent="0.25">
      <c r="A2187" t="s">
        <v>6840</v>
      </c>
      <c r="B2187" t="s">
        <v>6841</v>
      </c>
      <c r="C2187" s="2">
        <v>46226.583333333336</v>
      </c>
      <c r="D2187" t="s">
        <v>418</v>
      </c>
      <c r="E2187" t="s">
        <v>24</v>
      </c>
      <c r="F2187" t="s">
        <v>247</v>
      </c>
      <c r="G2187" t="s">
        <v>101</v>
      </c>
      <c r="H2187">
        <v>1</v>
      </c>
      <c r="I2187" t="s">
        <v>6842</v>
      </c>
      <c r="J2187" t="s">
        <v>357</v>
      </c>
    </row>
    <row r="2188" spans="1:10" x14ac:dyDescent="0.25">
      <c r="A2188" t="s">
        <v>6843</v>
      </c>
      <c r="B2188" t="s">
        <v>6844</v>
      </c>
      <c r="C2188" s="2">
        <v>46226.583333333336</v>
      </c>
      <c r="D2188" t="s">
        <v>418</v>
      </c>
      <c r="E2188" t="s">
        <v>26</v>
      </c>
      <c r="F2188" t="s">
        <v>248</v>
      </c>
      <c r="G2188" t="s">
        <v>103</v>
      </c>
      <c r="H2188">
        <v>5</v>
      </c>
      <c r="I2188" t="s">
        <v>6845</v>
      </c>
      <c r="J2188" t="s">
        <v>357</v>
      </c>
    </row>
    <row r="2189" spans="1:10" x14ac:dyDescent="0.25">
      <c r="A2189" t="s">
        <v>6846</v>
      </c>
      <c r="B2189" t="s">
        <v>6847</v>
      </c>
      <c r="C2189" s="2">
        <v>46226.583333333336</v>
      </c>
      <c r="D2189" t="s">
        <v>418</v>
      </c>
      <c r="E2189" t="s">
        <v>28</v>
      </c>
      <c r="F2189" t="s">
        <v>104</v>
      </c>
      <c r="G2189" t="s">
        <v>105</v>
      </c>
      <c r="H2189">
        <v>5</v>
      </c>
      <c r="I2189" t="s">
        <v>6848</v>
      </c>
      <c r="J2189" t="s">
        <v>357</v>
      </c>
    </row>
    <row r="2190" spans="1:10" x14ac:dyDescent="0.25">
      <c r="A2190" t="s">
        <v>6849</v>
      </c>
      <c r="B2190" t="s">
        <v>6850</v>
      </c>
      <c r="C2190" s="2">
        <v>46226.583333333336</v>
      </c>
      <c r="D2190" t="s">
        <v>418</v>
      </c>
      <c r="E2190" t="s">
        <v>43</v>
      </c>
      <c r="F2190" t="s">
        <v>116</v>
      </c>
      <c r="G2190" t="s">
        <v>117</v>
      </c>
      <c r="H2190">
        <v>2</v>
      </c>
      <c r="I2190" t="s">
        <v>6851</v>
      </c>
      <c r="J2190" t="s">
        <v>357</v>
      </c>
    </row>
    <row r="2191" spans="1:10" x14ac:dyDescent="0.25">
      <c r="A2191" t="s">
        <v>6852</v>
      </c>
      <c r="B2191" t="s">
        <v>6853</v>
      </c>
      <c r="C2191" s="2">
        <v>46226.583333333336</v>
      </c>
      <c r="D2191" t="s">
        <v>418</v>
      </c>
      <c r="E2191" t="s">
        <v>45</v>
      </c>
      <c r="F2191" t="s">
        <v>225</v>
      </c>
      <c r="G2191" t="s">
        <v>119</v>
      </c>
      <c r="H2191">
        <v>1</v>
      </c>
      <c r="I2191" t="s">
        <v>6854</v>
      </c>
      <c r="J2191" t="s">
        <v>357</v>
      </c>
    </row>
    <row r="2192" spans="1:10" x14ac:dyDescent="0.25">
      <c r="A2192" t="s">
        <v>6855</v>
      </c>
      <c r="B2192" t="s">
        <v>6856</v>
      </c>
      <c r="C2192" s="2">
        <v>46226.583333333336</v>
      </c>
      <c r="D2192" t="s">
        <v>418</v>
      </c>
      <c r="E2192" t="s">
        <v>69</v>
      </c>
      <c r="F2192" t="s">
        <v>197</v>
      </c>
      <c r="G2192" t="s">
        <v>139</v>
      </c>
      <c r="H2192">
        <v>4</v>
      </c>
      <c r="I2192" t="s">
        <v>6857</v>
      </c>
      <c r="J2192" t="s">
        <v>357</v>
      </c>
    </row>
    <row r="2193" spans="1:10" x14ac:dyDescent="0.25">
      <c r="A2193" t="s">
        <v>6858</v>
      </c>
      <c r="B2193" t="s">
        <v>6859</v>
      </c>
      <c r="C2193" s="2">
        <v>46226.583333333336</v>
      </c>
      <c r="D2193" t="s">
        <v>418</v>
      </c>
      <c r="E2193" t="s">
        <v>69</v>
      </c>
      <c r="F2193" t="s">
        <v>229</v>
      </c>
      <c r="G2193" t="s">
        <v>139</v>
      </c>
      <c r="H2193">
        <v>1</v>
      </c>
      <c r="I2193" t="s">
        <v>6857</v>
      </c>
      <c r="J2193" t="s">
        <v>357</v>
      </c>
    </row>
    <row r="2194" spans="1:10" x14ac:dyDescent="0.25">
      <c r="A2194" t="s">
        <v>6860</v>
      </c>
      <c r="B2194" t="s">
        <v>6861</v>
      </c>
      <c r="C2194" s="2">
        <v>46226.583333333336</v>
      </c>
      <c r="D2194" t="s">
        <v>418</v>
      </c>
      <c r="E2194" t="s">
        <v>18</v>
      </c>
      <c r="F2194" t="s">
        <v>231</v>
      </c>
      <c r="G2194" t="s">
        <v>95</v>
      </c>
      <c r="H2194">
        <v>3</v>
      </c>
      <c r="I2194" t="s">
        <v>6862</v>
      </c>
      <c r="J2194" t="s">
        <v>357</v>
      </c>
    </row>
    <row r="2195" spans="1:10" x14ac:dyDescent="0.25">
      <c r="A2195" t="s">
        <v>6863</v>
      </c>
      <c r="B2195" t="s">
        <v>6864</v>
      </c>
      <c r="C2195" s="2">
        <v>46226.583333333336</v>
      </c>
      <c r="D2195" t="s">
        <v>418</v>
      </c>
      <c r="E2195" t="s">
        <v>18</v>
      </c>
      <c r="F2195" t="s">
        <v>244</v>
      </c>
      <c r="G2195" t="s">
        <v>95</v>
      </c>
      <c r="H2195">
        <v>2</v>
      </c>
      <c r="I2195" t="s">
        <v>6862</v>
      </c>
      <c r="J2195" t="s">
        <v>357</v>
      </c>
    </row>
    <row r="2196" spans="1:10" x14ac:dyDescent="0.25">
      <c r="A2196" t="s">
        <v>6865</v>
      </c>
      <c r="B2196" t="s">
        <v>6866</v>
      </c>
      <c r="C2196" s="2">
        <v>46226.583333333336</v>
      </c>
      <c r="D2196" t="s">
        <v>418</v>
      </c>
      <c r="E2196" t="s">
        <v>20</v>
      </c>
      <c r="F2196" t="s">
        <v>245</v>
      </c>
      <c r="G2196" t="s">
        <v>97</v>
      </c>
      <c r="H2196">
        <v>5</v>
      </c>
      <c r="I2196" t="s">
        <v>6867</v>
      </c>
      <c r="J2196" t="s">
        <v>357</v>
      </c>
    </row>
    <row r="2197" spans="1:10" x14ac:dyDescent="0.25">
      <c r="A2197" t="s">
        <v>6868</v>
      </c>
      <c r="B2197" t="s">
        <v>6869</v>
      </c>
      <c r="C2197" s="2">
        <v>46226.583333333336</v>
      </c>
      <c r="D2197" t="s">
        <v>418</v>
      </c>
      <c r="E2197" t="s">
        <v>22</v>
      </c>
      <c r="F2197" t="s">
        <v>246</v>
      </c>
      <c r="G2197" t="s">
        <v>99</v>
      </c>
      <c r="H2197">
        <v>1</v>
      </c>
      <c r="I2197" t="s">
        <v>6870</v>
      </c>
      <c r="J2197" t="s">
        <v>357</v>
      </c>
    </row>
    <row r="2198" spans="1:10" x14ac:dyDescent="0.25">
      <c r="A2198" t="s">
        <v>6871</v>
      </c>
      <c r="B2198" t="s">
        <v>6872</v>
      </c>
      <c r="C2198" s="2">
        <v>46226.583333333336</v>
      </c>
      <c r="D2198" t="s">
        <v>418</v>
      </c>
      <c r="E2198" t="s">
        <v>24</v>
      </c>
      <c r="F2198" t="s">
        <v>247</v>
      </c>
      <c r="G2198" t="s">
        <v>101</v>
      </c>
      <c r="H2198">
        <v>2</v>
      </c>
      <c r="I2198" t="s">
        <v>6873</v>
      </c>
      <c r="J2198" t="s">
        <v>357</v>
      </c>
    </row>
    <row r="2199" spans="1:10" x14ac:dyDescent="0.25">
      <c r="A2199" t="s">
        <v>6874</v>
      </c>
      <c r="B2199" t="s">
        <v>6875</v>
      </c>
      <c r="C2199" s="2">
        <v>46226.583333333336</v>
      </c>
      <c r="D2199" t="s">
        <v>418</v>
      </c>
      <c r="E2199" t="s">
        <v>26</v>
      </c>
      <c r="F2199" t="s">
        <v>248</v>
      </c>
      <c r="G2199" t="s">
        <v>103</v>
      </c>
      <c r="H2199">
        <v>4</v>
      </c>
      <c r="I2199" t="s">
        <v>6876</v>
      </c>
      <c r="J2199" t="s">
        <v>357</v>
      </c>
    </row>
    <row r="2200" spans="1:10" x14ac:dyDescent="0.25">
      <c r="A2200" t="s">
        <v>6877</v>
      </c>
      <c r="B2200" t="s">
        <v>6878</v>
      </c>
      <c r="C2200" s="2">
        <v>46226.583333333336</v>
      </c>
      <c r="D2200" t="s">
        <v>418</v>
      </c>
      <c r="E2200" t="s">
        <v>30</v>
      </c>
      <c r="F2200" t="s">
        <v>159</v>
      </c>
      <c r="G2200" t="s">
        <v>107</v>
      </c>
      <c r="H2200">
        <v>1</v>
      </c>
      <c r="I2200" t="s">
        <v>6879</v>
      </c>
      <c r="J2200" t="s">
        <v>357</v>
      </c>
    </row>
    <row r="2201" spans="1:10" x14ac:dyDescent="0.25">
      <c r="A2201" t="s">
        <v>6880</v>
      </c>
      <c r="B2201" t="s">
        <v>6881</v>
      </c>
      <c r="C2201" s="2">
        <v>46226.583333333336</v>
      </c>
      <c r="D2201" t="s">
        <v>418</v>
      </c>
      <c r="E2201" t="s">
        <v>45</v>
      </c>
      <c r="F2201" t="s">
        <v>225</v>
      </c>
      <c r="G2201" t="s">
        <v>119</v>
      </c>
      <c r="H2201">
        <v>4</v>
      </c>
      <c r="I2201" t="s">
        <v>6882</v>
      </c>
      <c r="J2201" t="s">
        <v>357</v>
      </c>
    </row>
    <row r="2202" spans="1:10" x14ac:dyDescent="0.25">
      <c r="A2202" t="s">
        <v>6883</v>
      </c>
      <c r="B2202" t="s">
        <v>6884</v>
      </c>
      <c r="C2202" s="2">
        <v>46226.583333333336</v>
      </c>
      <c r="D2202" t="s">
        <v>418</v>
      </c>
      <c r="E2202" t="s">
        <v>71</v>
      </c>
      <c r="F2202" t="s">
        <v>212</v>
      </c>
      <c r="G2202" t="s">
        <v>141</v>
      </c>
      <c r="H2202">
        <v>4</v>
      </c>
      <c r="I2202" t="s">
        <v>6885</v>
      </c>
      <c r="J2202" t="s">
        <v>357</v>
      </c>
    </row>
    <row r="2203" spans="1:10" x14ac:dyDescent="0.25">
      <c r="A2203" t="s">
        <v>6886</v>
      </c>
      <c r="B2203" t="s">
        <v>6887</v>
      </c>
      <c r="C2203" s="2">
        <v>46226.583333333336</v>
      </c>
      <c r="D2203" t="s">
        <v>418</v>
      </c>
      <c r="E2203" t="s">
        <v>73</v>
      </c>
      <c r="F2203" t="s">
        <v>177</v>
      </c>
      <c r="G2203" t="s">
        <v>143</v>
      </c>
      <c r="H2203">
        <v>2</v>
      </c>
      <c r="I2203" t="s">
        <v>6888</v>
      </c>
      <c r="J2203" t="s">
        <v>357</v>
      </c>
    </row>
    <row r="2204" spans="1:10" x14ac:dyDescent="0.25">
      <c r="A2204" t="s">
        <v>6889</v>
      </c>
      <c r="B2204" t="s">
        <v>6890</v>
      </c>
      <c r="C2204" s="2">
        <v>46226.583333333336</v>
      </c>
      <c r="D2204" t="s">
        <v>418</v>
      </c>
      <c r="E2204" t="s">
        <v>18</v>
      </c>
      <c r="F2204" t="s">
        <v>244</v>
      </c>
      <c r="G2204" t="s">
        <v>95</v>
      </c>
      <c r="H2204">
        <v>3</v>
      </c>
      <c r="I2204" t="s">
        <v>6891</v>
      </c>
      <c r="J2204" t="s">
        <v>357</v>
      </c>
    </row>
    <row r="2205" spans="1:10" x14ac:dyDescent="0.25">
      <c r="A2205" t="s">
        <v>6892</v>
      </c>
      <c r="B2205" t="s">
        <v>6893</v>
      </c>
      <c r="C2205" s="2">
        <v>46226.583333333336</v>
      </c>
      <c r="D2205" t="s">
        <v>418</v>
      </c>
      <c r="E2205" t="s">
        <v>22</v>
      </c>
      <c r="F2205" t="s">
        <v>246</v>
      </c>
      <c r="G2205" t="s">
        <v>99</v>
      </c>
      <c r="H2205">
        <v>7</v>
      </c>
      <c r="I2205" t="s">
        <v>6894</v>
      </c>
      <c r="J2205" t="s">
        <v>357</v>
      </c>
    </row>
    <row r="2206" spans="1:10" x14ac:dyDescent="0.25">
      <c r="A2206" t="s">
        <v>6895</v>
      </c>
      <c r="B2206" t="s">
        <v>6896</v>
      </c>
      <c r="C2206" s="2">
        <v>46226.583333333336</v>
      </c>
      <c r="D2206" t="s">
        <v>418</v>
      </c>
      <c r="E2206" t="s">
        <v>24</v>
      </c>
      <c r="F2206" t="s">
        <v>247</v>
      </c>
      <c r="G2206" t="s">
        <v>101</v>
      </c>
      <c r="H2206">
        <v>6</v>
      </c>
      <c r="I2206" t="s">
        <v>6897</v>
      </c>
      <c r="J2206" t="s">
        <v>357</v>
      </c>
    </row>
    <row r="2207" spans="1:10" x14ac:dyDescent="0.25">
      <c r="A2207" t="s">
        <v>6898</v>
      </c>
      <c r="B2207" t="s">
        <v>6899</v>
      </c>
      <c r="C2207" s="2">
        <v>46226.583333333336</v>
      </c>
      <c r="D2207" t="s">
        <v>418</v>
      </c>
      <c r="E2207" t="s">
        <v>26</v>
      </c>
      <c r="F2207" t="s">
        <v>248</v>
      </c>
      <c r="G2207" t="s">
        <v>103</v>
      </c>
      <c r="H2207">
        <v>4</v>
      </c>
      <c r="I2207" t="s">
        <v>6900</v>
      </c>
      <c r="J2207" t="s">
        <v>357</v>
      </c>
    </row>
    <row r="2208" spans="1:10" x14ac:dyDescent="0.25">
      <c r="A2208" t="s">
        <v>6901</v>
      </c>
      <c r="B2208" t="s">
        <v>6902</v>
      </c>
      <c r="C2208" s="2">
        <v>46226.583333333336</v>
      </c>
      <c r="D2208" t="s">
        <v>418</v>
      </c>
      <c r="E2208" t="s">
        <v>36</v>
      </c>
      <c r="F2208" t="s">
        <v>223</v>
      </c>
      <c r="G2208" t="s">
        <v>113</v>
      </c>
      <c r="H2208">
        <v>4</v>
      </c>
      <c r="I2208" t="s">
        <v>6903</v>
      </c>
      <c r="J2208" t="s">
        <v>357</v>
      </c>
    </row>
    <row r="2209" spans="1:10" x14ac:dyDescent="0.25">
      <c r="A2209" t="s">
        <v>6904</v>
      </c>
      <c r="B2209" t="s">
        <v>6905</v>
      </c>
      <c r="C2209" s="2">
        <v>46226.583333333336</v>
      </c>
      <c r="D2209" t="s">
        <v>418</v>
      </c>
      <c r="E2209" t="s">
        <v>47</v>
      </c>
      <c r="F2209" t="s">
        <v>238</v>
      </c>
      <c r="G2209" t="s">
        <v>121</v>
      </c>
      <c r="H2209">
        <v>7</v>
      </c>
      <c r="I2209" t="s">
        <v>6906</v>
      </c>
      <c r="J2209" t="s">
        <v>357</v>
      </c>
    </row>
    <row r="2210" spans="1:10" x14ac:dyDescent="0.25">
      <c r="A2210" t="s">
        <v>6907</v>
      </c>
      <c r="B2210" t="s">
        <v>6908</v>
      </c>
      <c r="C2210" s="2">
        <v>46226.583333333336</v>
      </c>
      <c r="D2210" t="s">
        <v>418</v>
      </c>
      <c r="E2210" t="s">
        <v>55</v>
      </c>
      <c r="F2210" t="s">
        <v>170</v>
      </c>
      <c r="G2210" t="s">
        <v>129</v>
      </c>
      <c r="H2210">
        <v>4</v>
      </c>
      <c r="I2210" t="s">
        <v>6909</v>
      </c>
      <c r="J2210" t="s">
        <v>357</v>
      </c>
    </row>
    <row r="2211" spans="1:10" x14ac:dyDescent="0.25">
      <c r="A2211" t="s">
        <v>6910</v>
      </c>
      <c r="B2211" t="s">
        <v>6911</v>
      </c>
      <c r="C2211" s="2">
        <v>46226.583333333336</v>
      </c>
      <c r="D2211" t="s">
        <v>418</v>
      </c>
      <c r="E2211" t="s">
        <v>59</v>
      </c>
      <c r="F2211" t="s">
        <v>194</v>
      </c>
      <c r="G2211" t="s">
        <v>133</v>
      </c>
      <c r="H2211">
        <v>3</v>
      </c>
      <c r="I2211" t="s">
        <v>6912</v>
      </c>
      <c r="J2211" t="s">
        <v>357</v>
      </c>
    </row>
    <row r="2212" spans="1:10" x14ac:dyDescent="0.25">
      <c r="A2212" t="s">
        <v>6913</v>
      </c>
      <c r="B2212" t="s">
        <v>6914</v>
      </c>
      <c r="C2212" s="2">
        <v>46226.583333333336</v>
      </c>
      <c r="D2212" t="s">
        <v>418</v>
      </c>
      <c r="E2212" t="s">
        <v>65</v>
      </c>
      <c r="F2212" t="s">
        <v>228</v>
      </c>
      <c r="G2212" t="s">
        <v>135</v>
      </c>
      <c r="H2212">
        <v>1</v>
      </c>
      <c r="I2212" t="s">
        <v>6915</v>
      </c>
      <c r="J2212" t="s">
        <v>357</v>
      </c>
    </row>
    <row r="2213" spans="1:10" x14ac:dyDescent="0.25">
      <c r="A2213" t="s">
        <v>6916</v>
      </c>
      <c r="B2213" t="s">
        <v>6917</v>
      </c>
      <c r="C2213" s="2">
        <v>46226.583333333336</v>
      </c>
      <c r="D2213" t="s">
        <v>418</v>
      </c>
      <c r="E2213" t="s">
        <v>71</v>
      </c>
      <c r="F2213" t="s">
        <v>212</v>
      </c>
      <c r="G2213" t="s">
        <v>141</v>
      </c>
      <c r="H2213">
        <v>1</v>
      </c>
      <c r="I2213" t="s">
        <v>6918</v>
      </c>
      <c r="J2213" t="s">
        <v>357</v>
      </c>
    </row>
    <row r="2214" spans="1:10" x14ac:dyDescent="0.25">
      <c r="A2214" t="s">
        <v>6919</v>
      </c>
      <c r="B2214" t="s">
        <v>6920</v>
      </c>
      <c r="C2214" s="2">
        <v>46226.583333333336</v>
      </c>
      <c r="D2214" t="s">
        <v>418</v>
      </c>
      <c r="E2214" t="s">
        <v>75</v>
      </c>
      <c r="F2214" t="s">
        <v>199</v>
      </c>
      <c r="G2214" t="s">
        <v>145</v>
      </c>
      <c r="H2214">
        <v>4</v>
      </c>
      <c r="I2214" t="s">
        <v>6921</v>
      </c>
      <c r="J2214" t="s">
        <v>357</v>
      </c>
    </row>
    <row r="2215" spans="1:10" x14ac:dyDescent="0.25">
      <c r="A2215" t="s">
        <v>6922</v>
      </c>
      <c r="B2215" t="s">
        <v>6923</v>
      </c>
      <c r="C2215" s="2">
        <v>46226.583333333336</v>
      </c>
      <c r="D2215" t="s">
        <v>418</v>
      </c>
      <c r="E2215" t="s">
        <v>18</v>
      </c>
      <c r="F2215" t="s">
        <v>244</v>
      </c>
      <c r="G2215" t="s">
        <v>95</v>
      </c>
      <c r="H2215">
        <v>4</v>
      </c>
      <c r="I2215" t="s">
        <v>6924</v>
      </c>
      <c r="J2215" t="s">
        <v>357</v>
      </c>
    </row>
    <row r="2216" spans="1:10" x14ac:dyDescent="0.25">
      <c r="A2216" t="s">
        <v>6925</v>
      </c>
      <c r="B2216" t="s">
        <v>6926</v>
      </c>
      <c r="C2216" s="2">
        <v>46226.583333333336</v>
      </c>
      <c r="D2216" t="s">
        <v>418</v>
      </c>
      <c r="E2216" t="s">
        <v>20</v>
      </c>
      <c r="F2216" t="s">
        <v>245</v>
      </c>
      <c r="G2216" t="s">
        <v>97</v>
      </c>
      <c r="H2216">
        <v>2</v>
      </c>
      <c r="I2216" t="s">
        <v>6927</v>
      </c>
      <c r="J2216" t="s">
        <v>357</v>
      </c>
    </row>
    <row r="2217" spans="1:10" x14ac:dyDescent="0.25">
      <c r="A2217" t="s">
        <v>6928</v>
      </c>
      <c r="B2217" t="s">
        <v>6929</v>
      </c>
      <c r="C2217" s="2">
        <v>46226.583333333336</v>
      </c>
      <c r="D2217" t="s">
        <v>418</v>
      </c>
      <c r="E2217" t="s">
        <v>24</v>
      </c>
      <c r="F2217" t="s">
        <v>247</v>
      </c>
      <c r="G2217" t="s">
        <v>101</v>
      </c>
      <c r="H2217">
        <v>4</v>
      </c>
      <c r="I2217" t="s">
        <v>6930</v>
      </c>
      <c r="J2217" t="s">
        <v>357</v>
      </c>
    </row>
    <row r="2218" spans="1:10" x14ac:dyDescent="0.25">
      <c r="A2218" t="s">
        <v>6931</v>
      </c>
      <c r="B2218" t="s">
        <v>6932</v>
      </c>
      <c r="C2218" s="2">
        <v>46226.583333333336</v>
      </c>
      <c r="D2218" t="s">
        <v>418</v>
      </c>
      <c r="E2218" t="s">
        <v>26</v>
      </c>
      <c r="F2218" t="s">
        <v>248</v>
      </c>
      <c r="G2218" t="s">
        <v>103</v>
      </c>
      <c r="H2218">
        <v>3</v>
      </c>
      <c r="I2218" t="s">
        <v>6933</v>
      </c>
      <c r="J2218" t="s">
        <v>357</v>
      </c>
    </row>
    <row r="2219" spans="1:10" x14ac:dyDescent="0.25">
      <c r="A2219" t="s">
        <v>6934</v>
      </c>
      <c r="B2219" t="s">
        <v>6935</v>
      </c>
      <c r="C2219" s="2">
        <v>46226.583333333336</v>
      </c>
      <c r="D2219" t="s">
        <v>418</v>
      </c>
      <c r="E2219" t="s">
        <v>32</v>
      </c>
      <c r="F2219" t="s">
        <v>251</v>
      </c>
      <c r="G2219" t="s">
        <v>109</v>
      </c>
      <c r="H2219">
        <v>4</v>
      </c>
      <c r="I2219" t="s">
        <v>6936</v>
      </c>
      <c r="J2219" t="s">
        <v>357</v>
      </c>
    </row>
    <row r="2220" spans="1:10" x14ac:dyDescent="0.25">
      <c r="A2220" t="s">
        <v>6937</v>
      </c>
      <c r="B2220" t="s">
        <v>6938</v>
      </c>
      <c r="C2220" s="2">
        <v>46226.583333333336</v>
      </c>
      <c r="D2220" t="s">
        <v>418</v>
      </c>
      <c r="E2220" t="s">
        <v>41</v>
      </c>
      <c r="F2220" t="s">
        <v>224</v>
      </c>
      <c r="G2220" t="s">
        <v>115</v>
      </c>
      <c r="H2220">
        <v>4</v>
      </c>
      <c r="I2220" t="s">
        <v>6939</v>
      </c>
      <c r="J2220" t="s">
        <v>357</v>
      </c>
    </row>
    <row r="2221" spans="1:10" x14ac:dyDescent="0.25">
      <c r="A2221" t="s">
        <v>6940</v>
      </c>
      <c r="B2221" t="s">
        <v>6941</v>
      </c>
      <c r="C2221" s="2">
        <v>46226.583333333336</v>
      </c>
      <c r="D2221" t="s">
        <v>418</v>
      </c>
      <c r="E2221" t="s">
        <v>43</v>
      </c>
      <c r="F2221" t="s">
        <v>116</v>
      </c>
      <c r="G2221" t="s">
        <v>117</v>
      </c>
      <c r="H2221">
        <v>3</v>
      </c>
      <c r="I2221" t="s">
        <v>6942</v>
      </c>
      <c r="J2221" t="s">
        <v>357</v>
      </c>
    </row>
    <row r="2222" spans="1:10" x14ac:dyDescent="0.25">
      <c r="A2222" t="s">
        <v>6943</v>
      </c>
      <c r="B2222" t="s">
        <v>6944</v>
      </c>
      <c r="C2222" s="2">
        <v>46226.583333333336</v>
      </c>
      <c r="D2222" t="s">
        <v>418</v>
      </c>
      <c r="E2222" t="s">
        <v>47</v>
      </c>
      <c r="F2222" t="s">
        <v>238</v>
      </c>
      <c r="G2222" t="s">
        <v>121</v>
      </c>
      <c r="H2222">
        <v>3</v>
      </c>
      <c r="I2222" t="s">
        <v>6945</v>
      </c>
      <c r="J2222" t="s">
        <v>357</v>
      </c>
    </row>
    <row r="2223" spans="1:10" x14ac:dyDescent="0.25">
      <c r="A2223" t="s">
        <v>6946</v>
      </c>
      <c r="B2223" t="s">
        <v>6947</v>
      </c>
      <c r="C2223" s="2">
        <v>46226.583333333336</v>
      </c>
      <c r="D2223" t="s">
        <v>418</v>
      </c>
      <c r="E2223" t="s">
        <v>49</v>
      </c>
      <c r="F2223" t="s">
        <v>253</v>
      </c>
      <c r="G2223" t="s">
        <v>123</v>
      </c>
      <c r="H2223">
        <v>4</v>
      </c>
      <c r="I2223" t="s">
        <v>6948</v>
      </c>
      <c r="J2223" t="s">
        <v>357</v>
      </c>
    </row>
    <row r="2224" spans="1:10" x14ac:dyDescent="0.25">
      <c r="A2224" t="s">
        <v>6949</v>
      </c>
      <c r="B2224" t="s">
        <v>6950</v>
      </c>
      <c r="C2224" s="2">
        <v>46226.583333333336</v>
      </c>
      <c r="D2224" t="s">
        <v>418</v>
      </c>
      <c r="E2224" t="s">
        <v>53</v>
      </c>
      <c r="F2224" t="s">
        <v>210</v>
      </c>
      <c r="G2224" t="s">
        <v>127</v>
      </c>
      <c r="H2224">
        <v>4</v>
      </c>
      <c r="I2224" t="s">
        <v>6951</v>
      </c>
      <c r="J2224" t="s">
        <v>357</v>
      </c>
    </row>
    <row r="2225" spans="1:10" x14ac:dyDescent="0.25">
      <c r="A2225" t="s">
        <v>6952</v>
      </c>
      <c r="B2225" t="s">
        <v>6953</v>
      </c>
      <c r="C2225" s="2">
        <v>46226.583333333336</v>
      </c>
      <c r="D2225" t="s">
        <v>418</v>
      </c>
      <c r="E2225" t="s">
        <v>59</v>
      </c>
      <c r="F2225" t="s">
        <v>194</v>
      </c>
      <c r="G2225" t="s">
        <v>133</v>
      </c>
      <c r="H2225">
        <v>4</v>
      </c>
      <c r="I2225" t="s">
        <v>6954</v>
      </c>
      <c r="J2225" t="s">
        <v>357</v>
      </c>
    </row>
    <row r="2226" spans="1:10" x14ac:dyDescent="0.25">
      <c r="A2226" t="s">
        <v>6955</v>
      </c>
      <c r="B2226" t="s">
        <v>6956</v>
      </c>
      <c r="C2226" s="2">
        <v>46226.583333333336</v>
      </c>
      <c r="D2226" t="s">
        <v>418</v>
      </c>
      <c r="E2226" t="s">
        <v>67</v>
      </c>
      <c r="F2226" t="s">
        <v>196</v>
      </c>
      <c r="G2226" t="s">
        <v>137</v>
      </c>
      <c r="H2226">
        <v>3</v>
      </c>
      <c r="I2226" t="s">
        <v>6957</v>
      </c>
      <c r="J2226" t="s">
        <v>357</v>
      </c>
    </row>
    <row r="2227" spans="1:10" x14ac:dyDescent="0.25">
      <c r="A2227" t="s">
        <v>6958</v>
      </c>
      <c r="B2227" t="s">
        <v>6959</v>
      </c>
      <c r="C2227" s="2">
        <v>46226.583333333336</v>
      </c>
      <c r="D2227" t="s">
        <v>418</v>
      </c>
      <c r="E2227" t="s">
        <v>75</v>
      </c>
      <c r="F2227" t="s">
        <v>199</v>
      </c>
      <c r="G2227" t="s">
        <v>145</v>
      </c>
      <c r="H2227">
        <v>3</v>
      </c>
      <c r="I2227" t="s">
        <v>6960</v>
      </c>
      <c r="J2227" t="s">
        <v>357</v>
      </c>
    </row>
    <row r="2228" spans="1:10" x14ac:dyDescent="0.25">
      <c r="A2228" t="s">
        <v>6961</v>
      </c>
      <c r="B2228" t="s">
        <v>6962</v>
      </c>
      <c r="C2228" s="2">
        <v>46227.583333333336</v>
      </c>
      <c r="D2228" t="s">
        <v>418</v>
      </c>
      <c r="E2228" t="s">
        <v>18</v>
      </c>
      <c r="F2228" t="s">
        <v>244</v>
      </c>
      <c r="G2228" t="s">
        <v>95</v>
      </c>
      <c r="H2228">
        <v>1</v>
      </c>
      <c r="I2228" t="s">
        <v>6963</v>
      </c>
      <c r="J2228" t="s">
        <v>357</v>
      </c>
    </row>
    <row r="2229" spans="1:10" x14ac:dyDescent="0.25">
      <c r="A2229" t="s">
        <v>6964</v>
      </c>
      <c r="B2229" t="s">
        <v>6965</v>
      </c>
      <c r="C2229" s="2">
        <v>46227.583333333336</v>
      </c>
      <c r="D2229" t="s">
        <v>418</v>
      </c>
      <c r="E2229" t="s">
        <v>20</v>
      </c>
      <c r="F2229" t="s">
        <v>245</v>
      </c>
      <c r="G2229" t="s">
        <v>97</v>
      </c>
      <c r="H2229">
        <v>2</v>
      </c>
      <c r="I2229" t="s">
        <v>6966</v>
      </c>
      <c r="J2229" t="s">
        <v>357</v>
      </c>
    </row>
    <row r="2230" spans="1:10" x14ac:dyDescent="0.25">
      <c r="A2230" t="s">
        <v>6967</v>
      </c>
      <c r="B2230" t="s">
        <v>6968</v>
      </c>
      <c r="C2230" s="2">
        <v>46227.583333333336</v>
      </c>
      <c r="D2230" t="s">
        <v>418</v>
      </c>
      <c r="E2230" t="s">
        <v>22</v>
      </c>
      <c r="F2230" t="s">
        <v>246</v>
      </c>
      <c r="G2230" t="s">
        <v>99</v>
      </c>
      <c r="H2230">
        <v>3</v>
      </c>
      <c r="I2230" t="s">
        <v>6969</v>
      </c>
      <c r="J2230" t="s">
        <v>357</v>
      </c>
    </row>
    <row r="2231" spans="1:10" x14ac:dyDescent="0.25">
      <c r="A2231" t="s">
        <v>6970</v>
      </c>
      <c r="B2231" t="s">
        <v>6971</v>
      </c>
      <c r="C2231" s="2">
        <v>46227.583333333336</v>
      </c>
      <c r="D2231" t="s">
        <v>418</v>
      </c>
      <c r="E2231" t="s">
        <v>28</v>
      </c>
      <c r="F2231" t="s">
        <v>104</v>
      </c>
      <c r="G2231" t="s">
        <v>105</v>
      </c>
      <c r="H2231">
        <v>2</v>
      </c>
      <c r="I2231" t="s">
        <v>6972</v>
      </c>
      <c r="J2231" t="s">
        <v>357</v>
      </c>
    </row>
    <row r="2232" spans="1:10" x14ac:dyDescent="0.25">
      <c r="A2232" t="s">
        <v>6973</v>
      </c>
      <c r="B2232" t="s">
        <v>6974</v>
      </c>
      <c r="C2232" s="2">
        <v>46227.583333333336</v>
      </c>
      <c r="D2232" t="s">
        <v>418</v>
      </c>
      <c r="E2232" t="s">
        <v>36</v>
      </c>
      <c r="F2232" t="s">
        <v>223</v>
      </c>
      <c r="G2232" t="s">
        <v>113</v>
      </c>
      <c r="H2232">
        <v>2</v>
      </c>
      <c r="I2232" t="s">
        <v>6975</v>
      </c>
      <c r="J2232" t="s">
        <v>357</v>
      </c>
    </row>
    <row r="2233" spans="1:10" x14ac:dyDescent="0.25">
      <c r="A2233" t="s">
        <v>6976</v>
      </c>
      <c r="B2233" t="s">
        <v>6977</v>
      </c>
      <c r="C2233" s="2">
        <v>46227.583333333336</v>
      </c>
      <c r="D2233" t="s">
        <v>418</v>
      </c>
      <c r="E2233" t="s">
        <v>41</v>
      </c>
      <c r="F2233" t="s">
        <v>224</v>
      </c>
      <c r="G2233" t="s">
        <v>115</v>
      </c>
      <c r="H2233">
        <v>3</v>
      </c>
      <c r="I2233" t="s">
        <v>6978</v>
      </c>
      <c r="J2233" t="s">
        <v>357</v>
      </c>
    </row>
    <row r="2234" spans="1:10" x14ac:dyDescent="0.25">
      <c r="A2234" t="s">
        <v>6979</v>
      </c>
      <c r="B2234" t="s">
        <v>6980</v>
      </c>
      <c r="C2234" s="2">
        <v>46227.583333333336</v>
      </c>
      <c r="D2234" t="s">
        <v>418</v>
      </c>
      <c r="E2234" t="s">
        <v>49</v>
      </c>
      <c r="F2234" t="s">
        <v>253</v>
      </c>
      <c r="G2234" t="s">
        <v>123</v>
      </c>
      <c r="H2234">
        <v>1</v>
      </c>
      <c r="I2234" t="s">
        <v>6981</v>
      </c>
      <c r="J2234" t="s">
        <v>357</v>
      </c>
    </row>
    <row r="2235" spans="1:10" x14ac:dyDescent="0.25">
      <c r="A2235" t="s">
        <v>6982</v>
      </c>
      <c r="B2235" t="s">
        <v>6983</v>
      </c>
      <c r="C2235" s="2">
        <v>46227.583333333336</v>
      </c>
      <c r="D2235" t="s">
        <v>418</v>
      </c>
      <c r="E2235" t="s">
        <v>67</v>
      </c>
      <c r="F2235" t="s">
        <v>196</v>
      </c>
      <c r="G2235" t="s">
        <v>137</v>
      </c>
      <c r="H2235">
        <v>4</v>
      </c>
      <c r="I2235" t="s">
        <v>6984</v>
      </c>
      <c r="J2235" t="s">
        <v>357</v>
      </c>
    </row>
    <row r="2236" spans="1:10" x14ac:dyDescent="0.25">
      <c r="A2236" t="s">
        <v>6985</v>
      </c>
      <c r="B2236" t="s">
        <v>6986</v>
      </c>
      <c r="C2236" s="2">
        <v>46227.583333333336</v>
      </c>
      <c r="D2236" t="s">
        <v>418</v>
      </c>
      <c r="E2236" t="s">
        <v>75</v>
      </c>
      <c r="F2236" t="s">
        <v>199</v>
      </c>
      <c r="G2236" t="s">
        <v>145</v>
      </c>
      <c r="H2236">
        <v>3</v>
      </c>
      <c r="I2236" t="s">
        <v>6987</v>
      </c>
      <c r="J2236" t="s">
        <v>357</v>
      </c>
    </row>
    <row r="2237" spans="1:10" x14ac:dyDescent="0.25">
      <c r="A2237" t="s">
        <v>6988</v>
      </c>
      <c r="B2237" t="s">
        <v>6989</v>
      </c>
      <c r="C2237" s="2">
        <v>46227.583333333336</v>
      </c>
      <c r="D2237" t="s">
        <v>418</v>
      </c>
      <c r="E2237" t="s">
        <v>18</v>
      </c>
      <c r="F2237" t="s">
        <v>244</v>
      </c>
      <c r="G2237" t="s">
        <v>95</v>
      </c>
      <c r="H2237">
        <v>1</v>
      </c>
      <c r="I2237" t="s">
        <v>6990</v>
      </c>
      <c r="J2237" t="s">
        <v>357</v>
      </c>
    </row>
    <row r="2238" spans="1:10" x14ac:dyDescent="0.25">
      <c r="A2238" t="s">
        <v>6991</v>
      </c>
      <c r="B2238" t="s">
        <v>6992</v>
      </c>
      <c r="C2238" s="2">
        <v>46227.583333333336</v>
      </c>
      <c r="D2238" t="s">
        <v>418</v>
      </c>
      <c r="E2238" t="s">
        <v>20</v>
      </c>
      <c r="F2238" t="s">
        <v>245</v>
      </c>
      <c r="G2238" t="s">
        <v>97</v>
      </c>
      <c r="H2238">
        <v>4</v>
      </c>
      <c r="I2238" t="s">
        <v>6993</v>
      </c>
      <c r="J2238" t="s">
        <v>357</v>
      </c>
    </row>
    <row r="2239" spans="1:10" x14ac:dyDescent="0.25">
      <c r="A2239" t="s">
        <v>6994</v>
      </c>
      <c r="B2239" t="s">
        <v>6995</v>
      </c>
      <c r="C2239" s="2">
        <v>46227.583333333336</v>
      </c>
      <c r="D2239" t="s">
        <v>418</v>
      </c>
      <c r="E2239" t="s">
        <v>22</v>
      </c>
      <c r="F2239" t="s">
        <v>246</v>
      </c>
      <c r="G2239" t="s">
        <v>99</v>
      </c>
      <c r="H2239">
        <v>4</v>
      </c>
      <c r="I2239" t="s">
        <v>6996</v>
      </c>
      <c r="J2239" t="s">
        <v>357</v>
      </c>
    </row>
    <row r="2240" spans="1:10" x14ac:dyDescent="0.25">
      <c r="A2240" t="s">
        <v>6997</v>
      </c>
      <c r="B2240" t="s">
        <v>6998</v>
      </c>
      <c r="C2240" s="2">
        <v>46227.583333333336</v>
      </c>
      <c r="D2240" t="s">
        <v>418</v>
      </c>
      <c r="E2240" t="s">
        <v>36</v>
      </c>
      <c r="F2240" t="s">
        <v>223</v>
      </c>
      <c r="G2240" t="s">
        <v>113</v>
      </c>
      <c r="H2240">
        <v>1</v>
      </c>
      <c r="I2240" t="s">
        <v>6999</v>
      </c>
      <c r="J2240" t="s">
        <v>357</v>
      </c>
    </row>
    <row r="2241" spans="1:10" x14ac:dyDescent="0.25">
      <c r="A2241" t="s">
        <v>7000</v>
      </c>
      <c r="B2241" t="s">
        <v>7001</v>
      </c>
      <c r="C2241" s="2">
        <v>46227.583333333336</v>
      </c>
      <c r="D2241" t="s">
        <v>418</v>
      </c>
      <c r="E2241" t="s">
        <v>45</v>
      </c>
      <c r="F2241" t="s">
        <v>225</v>
      </c>
      <c r="G2241" t="s">
        <v>119</v>
      </c>
      <c r="H2241">
        <v>1</v>
      </c>
      <c r="I2241" t="s">
        <v>7002</v>
      </c>
      <c r="J2241" t="s">
        <v>357</v>
      </c>
    </row>
    <row r="2242" spans="1:10" x14ac:dyDescent="0.25">
      <c r="A2242" t="s">
        <v>7003</v>
      </c>
      <c r="B2242" t="s">
        <v>7004</v>
      </c>
      <c r="C2242" s="2">
        <v>46227.583333333336</v>
      </c>
      <c r="D2242" t="s">
        <v>418</v>
      </c>
      <c r="E2242" t="s">
        <v>47</v>
      </c>
      <c r="F2242" t="s">
        <v>238</v>
      </c>
      <c r="G2242" t="s">
        <v>121</v>
      </c>
      <c r="H2242">
        <v>5</v>
      </c>
      <c r="I2242" t="s">
        <v>7005</v>
      </c>
      <c r="J2242" t="s">
        <v>357</v>
      </c>
    </row>
    <row r="2243" spans="1:10" x14ac:dyDescent="0.25">
      <c r="A2243" t="s">
        <v>7006</v>
      </c>
      <c r="B2243" t="s">
        <v>7007</v>
      </c>
      <c r="C2243" s="2">
        <v>46227.583333333336</v>
      </c>
      <c r="D2243" t="s">
        <v>418</v>
      </c>
      <c r="E2243" t="s">
        <v>49</v>
      </c>
      <c r="F2243" t="s">
        <v>253</v>
      </c>
      <c r="G2243" t="s">
        <v>123</v>
      </c>
      <c r="H2243">
        <v>3</v>
      </c>
      <c r="I2243" t="s">
        <v>7008</v>
      </c>
      <c r="J2243" t="s">
        <v>357</v>
      </c>
    </row>
    <row r="2244" spans="1:10" x14ac:dyDescent="0.25">
      <c r="A2244" t="s">
        <v>7009</v>
      </c>
      <c r="B2244" t="s">
        <v>7010</v>
      </c>
      <c r="C2244" s="2">
        <v>46227.583333333336</v>
      </c>
      <c r="D2244" t="s">
        <v>418</v>
      </c>
      <c r="E2244" t="s">
        <v>53</v>
      </c>
      <c r="F2244" t="s">
        <v>210</v>
      </c>
      <c r="G2244" t="s">
        <v>127</v>
      </c>
      <c r="H2244">
        <v>3</v>
      </c>
      <c r="I2244" t="s">
        <v>7011</v>
      </c>
      <c r="J2244" t="s">
        <v>357</v>
      </c>
    </row>
    <row r="2245" spans="1:10" x14ac:dyDescent="0.25">
      <c r="A2245" t="s">
        <v>7012</v>
      </c>
      <c r="B2245" t="s">
        <v>7013</v>
      </c>
      <c r="C2245" s="2">
        <v>46227.583333333336</v>
      </c>
      <c r="D2245" t="s">
        <v>418</v>
      </c>
      <c r="E2245" t="s">
        <v>59</v>
      </c>
      <c r="F2245" t="s">
        <v>194</v>
      </c>
      <c r="G2245" t="s">
        <v>133</v>
      </c>
      <c r="H2245">
        <v>2</v>
      </c>
      <c r="I2245" t="s">
        <v>7014</v>
      </c>
      <c r="J2245" t="s">
        <v>357</v>
      </c>
    </row>
    <row r="2246" spans="1:10" x14ac:dyDescent="0.25">
      <c r="A2246" t="s">
        <v>7015</v>
      </c>
      <c r="B2246" t="s">
        <v>7016</v>
      </c>
      <c r="C2246" s="2">
        <v>46227.583333333336</v>
      </c>
      <c r="D2246" t="s">
        <v>418</v>
      </c>
      <c r="E2246" t="s">
        <v>59</v>
      </c>
      <c r="F2246" t="s">
        <v>227</v>
      </c>
      <c r="G2246" t="s">
        <v>133</v>
      </c>
      <c r="H2246">
        <v>1</v>
      </c>
      <c r="I2246" t="s">
        <v>7014</v>
      </c>
      <c r="J2246" t="s">
        <v>357</v>
      </c>
    </row>
    <row r="2247" spans="1:10" x14ac:dyDescent="0.25">
      <c r="A2247" t="s">
        <v>7017</v>
      </c>
      <c r="B2247" t="s">
        <v>7018</v>
      </c>
      <c r="C2247" s="2">
        <v>46227.583333333336</v>
      </c>
      <c r="D2247" t="s">
        <v>418</v>
      </c>
      <c r="E2247" t="s">
        <v>65</v>
      </c>
      <c r="F2247" t="s">
        <v>228</v>
      </c>
      <c r="G2247" t="s">
        <v>135</v>
      </c>
      <c r="H2247">
        <v>3</v>
      </c>
      <c r="I2247" t="s">
        <v>7019</v>
      </c>
      <c r="J2247" t="s">
        <v>357</v>
      </c>
    </row>
    <row r="2248" spans="1:10" x14ac:dyDescent="0.25">
      <c r="A2248" t="s">
        <v>7020</v>
      </c>
      <c r="B2248" t="s">
        <v>7021</v>
      </c>
      <c r="C2248" s="2">
        <v>46227.583333333336</v>
      </c>
      <c r="D2248" t="s">
        <v>418</v>
      </c>
      <c r="E2248" t="s">
        <v>69</v>
      </c>
      <c r="F2248" t="s">
        <v>229</v>
      </c>
      <c r="G2248" t="s">
        <v>139</v>
      </c>
      <c r="H2248">
        <v>2</v>
      </c>
      <c r="I2248" t="s">
        <v>7022</v>
      </c>
      <c r="J2248" t="s">
        <v>357</v>
      </c>
    </row>
    <row r="2249" spans="1:10" x14ac:dyDescent="0.25">
      <c r="A2249" t="s">
        <v>7023</v>
      </c>
      <c r="B2249" t="s">
        <v>7024</v>
      </c>
      <c r="C2249" s="2">
        <v>46227.583333333336</v>
      </c>
      <c r="D2249" t="s">
        <v>418</v>
      </c>
      <c r="E2249" t="s">
        <v>75</v>
      </c>
      <c r="F2249" t="s">
        <v>199</v>
      </c>
      <c r="G2249" t="s">
        <v>145</v>
      </c>
      <c r="H2249">
        <v>1</v>
      </c>
      <c r="I2249" t="s">
        <v>7025</v>
      </c>
      <c r="J2249" t="s">
        <v>357</v>
      </c>
    </row>
    <row r="2250" spans="1:10" x14ac:dyDescent="0.25">
      <c r="A2250" t="s">
        <v>7026</v>
      </c>
      <c r="B2250" t="s">
        <v>7027</v>
      </c>
      <c r="C2250" s="2">
        <v>46227.583333333336</v>
      </c>
      <c r="D2250" t="s">
        <v>418</v>
      </c>
      <c r="E2250" t="s">
        <v>77</v>
      </c>
      <c r="F2250" t="s">
        <v>200</v>
      </c>
      <c r="G2250" t="s">
        <v>147</v>
      </c>
      <c r="H2250">
        <v>4</v>
      </c>
      <c r="I2250" t="s">
        <v>7028</v>
      </c>
      <c r="J2250" t="s">
        <v>357</v>
      </c>
    </row>
    <row r="2251" spans="1:10" x14ac:dyDescent="0.25">
      <c r="A2251" t="s">
        <v>7029</v>
      </c>
      <c r="B2251" t="s">
        <v>7030</v>
      </c>
      <c r="C2251" s="2">
        <v>46227.583333333336</v>
      </c>
      <c r="D2251" t="s">
        <v>418</v>
      </c>
      <c r="E2251" t="s">
        <v>18</v>
      </c>
      <c r="F2251" t="s">
        <v>244</v>
      </c>
      <c r="G2251" t="s">
        <v>95</v>
      </c>
      <c r="H2251">
        <v>1</v>
      </c>
      <c r="I2251" t="s">
        <v>7031</v>
      </c>
      <c r="J2251" t="s">
        <v>357</v>
      </c>
    </row>
    <row r="2252" spans="1:10" x14ac:dyDescent="0.25">
      <c r="A2252" t="s">
        <v>7032</v>
      </c>
      <c r="B2252" t="s">
        <v>7033</v>
      </c>
      <c r="C2252" s="2">
        <v>46227.583333333336</v>
      </c>
      <c r="D2252" t="s">
        <v>418</v>
      </c>
      <c r="E2252" t="s">
        <v>22</v>
      </c>
      <c r="F2252" t="s">
        <v>246</v>
      </c>
      <c r="G2252" t="s">
        <v>99</v>
      </c>
      <c r="H2252">
        <v>4</v>
      </c>
      <c r="I2252" t="s">
        <v>7034</v>
      </c>
      <c r="J2252" t="s">
        <v>357</v>
      </c>
    </row>
    <row r="2253" spans="1:10" x14ac:dyDescent="0.25">
      <c r="A2253" t="s">
        <v>7035</v>
      </c>
      <c r="B2253" t="s">
        <v>7036</v>
      </c>
      <c r="C2253" s="2">
        <v>46227.583333333336</v>
      </c>
      <c r="D2253" t="s">
        <v>418</v>
      </c>
      <c r="E2253" t="s">
        <v>24</v>
      </c>
      <c r="F2253" t="s">
        <v>247</v>
      </c>
      <c r="G2253" t="s">
        <v>101</v>
      </c>
      <c r="H2253">
        <v>6</v>
      </c>
      <c r="I2253" t="s">
        <v>7037</v>
      </c>
      <c r="J2253" t="s">
        <v>357</v>
      </c>
    </row>
    <row r="2254" spans="1:10" x14ac:dyDescent="0.25">
      <c r="A2254" t="s">
        <v>7038</v>
      </c>
      <c r="B2254" t="s">
        <v>7039</v>
      </c>
      <c r="C2254" s="2">
        <v>46227.583333333336</v>
      </c>
      <c r="D2254" t="s">
        <v>418</v>
      </c>
      <c r="E2254" t="s">
        <v>32</v>
      </c>
      <c r="F2254" t="s">
        <v>251</v>
      </c>
      <c r="G2254" t="s">
        <v>109</v>
      </c>
      <c r="H2254">
        <v>4</v>
      </c>
      <c r="I2254" t="s">
        <v>7040</v>
      </c>
      <c r="J2254" t="s">
        <v>357</v>
      </c>
    </row>
    <row r="2255" spans="1:10" x14ac:dyDescent="0.25">
      <c r="A2255" t="s">
        <v>7041</v>
      </c>
      <c r="B2255" t="s">
        <v>7042</v>
      </c>
      <c r="C2255" s="2">
        <v>46227.583333333336</v>
      </c>
      <c r="D2255" t="s">
        <v>418</v>
      </c>
      <c r="E2255" t="s">
        <v>36</v>
      </c>
      <c r="F2255" t="s">
        <v>223</v>
      </c>
      <c r="G2255" t="s">
        <v>113</v>
      </c>
      <c r="H2255">
        <v>5</v>
      </c>
      <c r="I2255" t="s">
        <v>7043</v>
      </c>
      <c r="J2255" t="s">
        <v>357</v>
      </c>
    </row>
    <row r="2256" spans="1:10" x14ac:dyDescent="0.25">
      <c r="A2256" t="s">
        <v>7044</v>
      </c>
      <c r="B2256" t="s">
        <v>7045</v>
      </c>
      <c r="C2256" s="2">
        <v>46227.583333333336</v>
      </c>
      <c r="D2256" t="s">
        <v>418</v>
      </c>
      <c r="E2256" t="s">
        <v>57</v>
      </c>
      <c r="F2256" t="s">
        <v>255</v>
      </c>
      <c r="G2256" t="s">
        <v>131</v>
      </c>
      <c r="H2256">
        <v>1</v>
      </c>
      <c r="I2256" t="s">
        <v>7046</v>
      </c>
      <c r="J2256" t="s">
        <v>357</v>
      </c>
    </row>
    <row r="2257" spans="1:10" x14ac:dyDescent="0.25">
      <c r="A2257" t="s">
        <v>7047</v>
      </c>
      <c r="B2257" t="s">
        <v>7048</v>
      </c>
      <c r="C2257" s="2">
        <v>46227.583333333336</v>
      </c>
      <c r="D2257" t="s">
        <v>418</v>
      </c>
      <c r="E2257" t="s">
        <v>73</v>
      </c>
      <c r="F2257" t="s">
        <v>177</v>
      </c>
      <c r="G2257" t="s">
        <v>143</v>
      </c>
      <c r="H2257">
        <v>1</v>
      </c>
      <c r="I2257" t="s">
        <v>7049</v>
      </c>
      <c r="J2257" t="s">
        <v>357</v>
      </c>
    </row>
    <row r="2258" spans="1:10" x14ac:dyDescent="0.25">
      <c r="A2258" t="s">
        <v>7050</v>
      </c>
      <c r="B2258" t="s">
        <v>7051</v>
      </c>
      <c r="C2258" s="2">
        <v>46227.583333333336</v>
      </c>
      <c r="D2258" t="s">
        <v>418</v>
      </c>
      <c r="E2258" t="s">
        <v>75</v>
      </c>
      <c r="F2258" t="s">
        <v>199</v>
      </c>
      <c r="G2258" t="s">
        <v>145</v>
      </c>
      <c r="H2258">
        <v>3</v>
      </c>
      <c r="I2258" t="s">
        <v>7052</v>
      </c>
      <c r="J2258" t="s">
        <v>357</v>
      </c>
    </row>
    <row r="2259" spans="1:10" x14ac:dyDescent="0.25">
      <c r="A2259" t="s">
        <v>7053</v>
      </c>
      <c r="B2259" t="s">
        <v>7054</v>
      </c>
      <c r="C2259" s="2">
        <v>46227.583333333336</v>
      </c>
      <c r="D2259" t="s">
        <v>418</v>
      </c>
      <c r="E2259" t="s">
        <v>75</v>
      </c>
      <c r="F2259" t="s">
        <v>230</v>
      </c>
      <c r="G2259" t="s">
        <v>145</v>
      </c>
      <c r="H2259">
        <v>1</v>
      </c>
      <c r="I2259" t="s">
        <v>7052</v>
      </c>
      <c r="J2259" t="s">
        <v>357</v>
      </c>
    </row>
    <row r="2260" spans="1:10" x14ac:dyDescent="0.25">
      <c r="A2260" t="s">
        <v>7055</v>
      </c>
      <c r="B2260" t="s">
        <v>7056</v>
      </c>
      <c r="C2260" s="2">
        <v>46227.583333333336</v>
      </c>
      <c r="D2260" t="s">
        <v>418</v>
      </c>
      <c r="E2260" t="s">
        <v>77</v>
      </c>
      <c r="F2260" t="s">
        <v>200</v>
      </c>
      <c r="G2260" t="s">
        <v>147</v>
      </c>
      <c r="H2260">
        <v>6</v>
      </c>
      <c r="I2260" t="s">
        <v>7057</v>
      </c>
      <c r="J2260" t="s">
        <v>357</v>
      </c>
    </row>
    <row r="2261" spans="1:10" x14ac:dyDescent="0.25">
      <c r="A2261" t="s">
        <v>7058</v>
      </c>
      <c r="B2261" t="s">
        <v>7059</v>
      </c>
      <c r="C2261" s="2">
        <v>46227.583333333336</v>
      </c>
      <c r="D2261" t="s">
        <v>418</v>
      </c>
      <c r="E2261" t="s">
        <v>20</v>
      </c>
      <c r="F2261" t="s">
        <v>245</v>
      </c>
      <c r="G2261" t="s">
        <v>97</v>
      </c>
      <c r="H2261">
        <v>3</v>
      </c>
      <c r="I2261" t="s">
        <v>7060</v>
      </c>
      <c r="J2261" t="s">
        <v>357</v>
      </c>
    </row>
    <row r="2262" spans="1:10" x14ac:dyDescent="0.25">
      <c r="A2262" t="s">
        <v>7061</v>
      </c>
      <c r="B2262" t="s">
        <v>7062</v>
      </c>
      <c r="C2262" s="2">
        <v>46227.583333333336</v>
      </c>
      <c r="D2262" t="s">
        <v>418</v>
      </c>
      <c r="E2262" t="s">
        <v>22</v>
      </c>
      <c r="F2262" t="s">
        <v>246</v>
      </c>
      <c r="G2262" t="s">
        <v>99</v>
      </c>
      <c r="H2262">
        <v>4</v>
      </c>
      <c r="I2262" t="s">
        <v>7063</v>
      </c>
      <c r="J2262" t="s">
        <v>357</v>
      </c>
    </row>
    <row r="2263" spans="1:10" x14ac:dyDescent="0.25">
      <c r="A2263" t="s">
        <v>7064</v>
      </c>
      <c r="B2263" t="s">
        <v>7065</v>
      </c>
      <c r="C2263" s="2">
        <v>46227.583333333336</v>
      </c>
      <c r="D2263" t="s">
        <v>418</v>
      </c>
      <c r="E2263" t="s">
        <v>24</v>
      </c>
      <c r="F2263" t="s">
        <v>247</v>
      </c>
      <c r="G2263" t="s">
        <v>101</v>
      </c>
      <c r="H2263">
        <v>3</v>
      </c>
      <c r="I2263" t="s">
        <v>7066</v>
      </c>
      <c r="J2263" t="s">
        <v>357</v>
      </c>
    </row>
    <row r="2264" spans="1:10" x14ac:dyDescent="0.25">
      <c r="A2264" t="s">
        <v>7067</v>
      </c>
      <c r="B2264" t="s">
        <v>7068</v>
      </c>
      <c r="C2264" s="2">
        <v>46227.583333333336</v>
      </c>
      <c r="D2264" t="s">
        <v>418</v>
      </c>
      <c r="E2264" t="s">
        <v>26</v>
      </c>
      <c r="F2264" t="s">
        <v>248</v>
      </c>
      <c r="G2264" t="s">
        <v>103</v>
      </c>
      <c r="H2264">
        <v>3</v>
      </c>
      <c r="I2264" t="s">
        <v>7069</v>
      </c>
      <c r="J2264" t="s">
        <v>357</v>
      </c>
    </row>
    <row r="2265" spans="1:10" x14ac:dyDescent="0.25">
      <c r="A2265" t="s">
        <v>7070</v>
      </c>
      <c r="B2265" t="s">
        <v>7071</v>
      </c>
      <c r="C2265" s="2">
        <v>46227.583333333336</v>
      </c>
      <c r="D2265" t="s">
        <v>418</v>
      </c>
      <c r="E2265" t="s">
        <v>30</v>
      </c>
      <c r="F2265" t="s">
        <v>159</v>
      </c>
      <c r="G2265" t="s">
        <v>107</v>
      </c>
      <c r="H2265">
        <v>1</v>
      </c>
      <c r="I2265" t="s">
        <v>7072</v>
      </c>
      <c r="J2265" t="s">
        <v>357</v>
      </c>
    </row>
    <row r="2266" spans="1:10" x14ac:dyDescent="0.25">
      <c r="A2266" t="s">
        <v>7073</v>
      </c>
      <c r="B2266" t="s">
        <v>7074</v>
      </c>
      <c r="C2266" s="2">
        <v>46227.583333333336</v>
      </c>
      <c r="D2266" t="s">
        <v>418</v>
      </c>
      <c r="E2266" t="s">
        <v>30</v>
      </c>
      <c r="F2266" t="s">
        <v>250</v>
      </c>
      <c r="G2266" t="s">
        <v>107</v>
      </c>
      <c r="H2266">
        <v>3</v>
      </c>
      <c r="I2266" t="s">
        <v>7072</v>
      </c>
      <c r="J2266" t="s">
        <v>357</v>
      </c>
    </row>
    <row r="2267" spans="1:10" x14ac:dyDescent="0.25">
      <c r="A2267" t="s">
        <v>7075</v>
      </c>
      <c r="B2267" t="s">
        <v>7076</v>
      </c>
      <c r="C2267" s="2">
        <v>46227.583333333336</v>
      </c>
      <c r="D2267" t="s">
        <v>418</v>
      </c>
      <c r="E2267" t="s">
        <v>32</v>
      </c>
      <c r="F2267" t="s">
        <v>251</v>
      </c>
      <c r="G2267" t="s">
        <v>109</v>
      </c>
      <c r="H2267">
        <v>4</v>
      </c>
      <c r="I2267" t="s">
        <v>7077</v>
      </c>
      <c r="J2267" t="s">
        <v>357</v>
      </c>
    </row>
    <row r="2268" spans="1:10" x14ac:dyDescent="0.25">
      <c r="A2268" t="s">
        <v>7078</v>
      </c>
      <c r="B2268" t="s">
        <v>7079</v>
      </c>
      <c r="C2268" s="2">
        <v>46227.583333333336</v>
      </c>
      <c r="D2268" t="s">
        <v>418</v>
      </c>
      <c r="E2268" t="s">
        <v>36</v>
      </c>
      <c r="F2268" t="s">
        <v>223</v>
      </c>
      <c r="G2268" t="s">
        <v>113</v>
      </c>
      <c r="H2268">
        <v>4</v>
      </c>
      <c r="I2268" t="s">
        <v>7080</v>
      </c>
      <c r="J2268" t="s">
        <v>357</v>
      </c>
    </row>
    <row r="2269" spans="1:10" x14ac:dyDescent="0.25">
      <c r="A2269" t="s">
        <v>7081</v>
      </c>
      <c r="B2269" t="s">
        <v>7082</v>
      </c>
      <c r="C2269" s="2">
        <v>46227.583333333336</v>
      </c>
      <c r="D2269" t="s">
        <v>418</v>
      </c>
      <c r="E2269" t="s">
        <v>36</v>
      </c>
      <c r="F2269" t="s">
        <v>252</v>
      </c>
      <c r="G2269" t="s">
        <v>113</v>
      </c>
      <c r="H2269">
        <v>3</v>
      </c>
      <c r="I2269" t="s">
        <v>7080</v>
      </c>
      <c r="J2269" t="s">
        <v>357</v>
      </c>
    </row>
    <row r="2270" spans="1:10" x14ac:dyDescent="0.25">
      <c r="A2270" t="s">
        <v>7083</v>
      </c>
      <c r="B2270" t="s">
        <v>7084</v>
      </c>
      <c r="C2270" s="2">
        <v>46227.583333333336</v>
      </c>
      <c r="D2270" t="s">
        <v>418</v>
      </c>
      <c r="E2270" t="s">
        <v>55</v>
      </c>
      <c r="F2270" t="s">
        <v>170</v>
      </c>
      <c r="G2270" t="s">
        <v>129</v>
      </c>
      <c r="H2270">
        <v>6</v>
      </c>
      <c r="I2270" t="s">
        <v>7085</v>
      </c>
      <c r="J2270" t="s">
        <v>357</v>
      </c>
    </row>
    <row r="2271" spans="1:10" x14ac:dyDescent="0.25">
      <c r="A2271" t="s">
        <v>7086</v>
      </c>
      <c r="B2271" t="s">
        <v>7087</v>
      </c>
      <c r="C2271" s="2">
        <v>46227.583333333336</v>
      </c>
      <c r="D2271" t="s">
        <v>418</v>
      </c>
      <c r="E2271" t="s">
        <v>67</v>
      </c>
      <c r="F2271" t="s">
        <v>196</v>
      </c>
      <c r="G2271" t="s">
        <v>137</v>
      </c>
      <c r="H2271">
        <v>7</v>
      </c>
      <c r="I2271" t="s">
        <v>7088</v>
      </c>
      <c r="J2271" t="s">
        <v>357</v>
      </c>
    </row>
    <row r="2272" spans="1:10" x14ac:dyDescent="0.25">
      <c r="A2272" t="s">
        <v>7089</v>
      </c>
      <c r="B2272" t="s">
        <v>7090</v>
      </c>
      <c r="C2272" s="2">
        <v>46227.583333333336</v>
      </c>
      <c r="D2272" t="s">
        <v>418</v>
      </c>
      <c r="E2272" t="s">
        <v>69</v>
      </c>
      <c r="F2272" t="s">
        <v>229</v>
      </c>
      <c r="G2272" t="s">
        <v>139</v>
      </c>
      <c r="H2272">
        <v>4</v>
      </c>
      <c r="I2272" t="s">
        <v>7091</v>
      </c>
      <c r="J2272" t="s">
        <v>357</v>
      </c>
    </row>
    <row r="2273" spans="1:10" x14ac:dyDescent="0.25">
      <c r="A2273" t="s">
        <v>7092</v>
      </c>
      <c r="B2273" t="s">
        <v>7093</v>
      </c>
      <c r="C2273" s="2">
        <v>46227.583333333336</v>
      </c>
      <c r="D2273" t="s">
        <v>418</v>
      </c>
      <c r="E2273" t="s">
        <v>18</v>
      </c>
      <c r="F2273" t="s">
        <v>244</v>
      </c>
      <c r="G2273" t="s">
        <v>95</v>
      </c>
      <c r="H2273">
        <v>1</v>
      </c>
      <c r="I2273" t="s">
        <v>7094</v>
      </c>
      <c r="J2273" t="s">
        <v>357</v>
      </c>
    </row>
    <row r="2274" spans="1:10" x14ac:dyDescent="0.25">
      <c r="A2274" t="s">
        <v>7095</v>
      </c>
      <c r="B2274" t="s">
        <v>7096</v>
      </c>
      <c r="C2274" s="2">
        <v>46227.583333333336</v>
      </c>
      <c r="D2274" t="s">
        <v>418</v>
      </c>
      <c r="E2274" t="s">
        <v>22</v>
      </c>
      <c r="F2274" t="s">
        <v>246</v>
      </c>
      <c r="G2274" t="s">
        <v>99</v>
      </c>
      <c r="H2274">
        <v>2</v>
      </c>
      <c r="I2274" t="s">
        <v>7097</v>
      </c>
      <c r="J2274" t="s">
        <v>357</v>
      </c>
    </row>
    <row r="2275" spans="1:10" x14ac:dyDescent="0.25">
      <c r="A2275" t="s">
        <v>7098</v>
      </c>
      <c r="B2275" t="s">
        <v>7099</v>
      </c>
      <c r="C2275" s="2">
        <v>46227.583333333336</v>
      </c>
      <c r="D2275" t="s">
        <v>418</v>
      </c>
      <c r="E2275" t="s">
        <v>26</v>
      </c>
      <c r="F2275" t="s">
        <v>248</v>
      </c>
      <c r="G2275" t="s">
        <v>103</v>
      </c>
      <c r="H2275">
        <v>2</v>
      </c>
      <c r="I2275" t="s">
        <v>7100</v>
      </c>
      <c r="J2275" t="s">
        <v>357</v>
      </c>
    </row>
    <row r="2276" spans="1:10" x14ac:dyDescent="0.25">
      <c r="A2276" t="s">
        <v>7101</v>
      </c>
      <c r="B2276" t="s">
        <v>7102</v>
      </c>
      <c r="C2276" s="2">
        <v>46227.583333333336</v>
      </c>
      <c r="D2276" t="s">
        <v>418</v>
      </c>
      <c r="E2276" t="s">
        <v>30</v>
      </c>
      <c r="F2276" t="s">
        <v>250</v>
      </c>
      <c r="G2276" t="s">
        <v>107</v>
      </c>
      <c r="H2276">
        <v>4</v>
      </c>
      <c r="I2276" t="s">
        <v>7103</v>
      </c>
      <c r="J2276" t="s">
        <v>357</v>
      </c>
    </row>
    <row r="2277" spans="1:10" x14ac:dyDescent="0.25">
      <c r="A2277" t="s">
        <v>7104</v>
      </c>
      <c r="B2277" t="s">
        <v>7105</v>
      </c>
      <c r="C2277" s="2">
        <v>46227.583333333336</v>
      </c>
      <c r="D2277" t="s">
        <v>418</v>
      </c>
      <c r="E2277" t="s">
        <v>45</v>
      </c>
      <c r="F2277" t="s">
        <v>225</v>
      </c>
      <c r="G2277" t="s">
        <v>119</v>
      </c>
      <c r="H2277">
        <v>4</v>
      </c>
      <c r="I2277" t="s">
        <v>7106</v>
      </c>
      <c r="J2277" t="s">
        <v>357</v>
      </c>
    </row>
    <row r="2278" spans="1:10" x14ac:dyDescent="0.25">
      <c r="A2278" t="s">
        <v>7107</v>
      </c>
      <c r="B2278" t="s">
        <v>7108</v>
      </c>
      <c r="C2278" s="2">
        <v>46227.583333333336</v>
      </c>
      <c r="D2278" t="s">
        <v>418</v>
      </c>
      <c r="E2278" t="s">
        <v>47</v>
      </c>
      <c r="F2278" t="s">
        <v>238</v>
      </c>
      <c r="G2278" t="s">
        <v>121</v>
      </c>
      <c r="H2278">
        <v>3</v>
      </c>
      <c r="I2278" t="s">
        <v>7109</v>
      </c>
      <c r="J2278" t="s">
        <v>357</v>
      </c>
    </row>
    <row r="2279" spans="1:10" x14ac:dyDescent="0.25">
      <c r="A2279" t="s">
        <v>7110</v>
      </c>
      <c r="B2279" t="s">
        <v>7111</v>
      </c>
      <c r="C2279" s="2">
        <v>46227.583333333336</v>
      </c>
      <c r="D2279" t="s">
        <v>418</v>
      </c>
      <c r="E2279" t="s">
        <v>65</v>
      </c>
      <c r="F2279" t="s">
        <v>228</v>
      </c>
      <c r="G2279" t="s">
        <v>135</v>
      </c>
      <c r="H2279">
        <v>1</v>
      </c>
      <c r="I2279" t="s">
        <v>7112</v>
      </c>
      <c r="J2279" t="s">
        <v>357</v>
      </c>
    </row>
    <row r="2280" spans="1:10" x14ac:dyDescent="0.25">
      <c r="A2280" t="s">
        <v>7113</v>
      </c>
      <c r="B2280" t="s">
        <v>7114</v>
      </c>
      <c r="C2280" s="2">
        <v>46227.583333333336</v>
      </c>
      <c r="D2280" t="s">
        <v>418</v>
      </c>
      <c r="E2280" t="s">
        <v>67</v>
      </c>
      <c r="F2280" t="s">
        <v>196</v>
      </c>
      <c r="G2280" t="s">
        <v>137</v>
      </c>
      <c r="H2280">
        <v>4</v>
      </c>
      <c r="I2280" t="s">
        <v>7115</v>
      </c>
      <c r="J2280" t="s">
        <v>357</v>
      </c>
    </row>
    <row r="2281" spans="1:10" x14ac:dyDescent="0.25">
      <c r="A2281" t="s">
        <v>7116</v>
      </c>
      <c r="B2281" t="s">
        <v>7117</v>
      </c>
      <c r="C2281" s="2">
        <v>46227.583333333336</v>
      </c>
      <c r="D2281" t="s">
        <v>418</v>
      </c>
      <c r="E2281" t="s">
        <v>71</v>
      </c>
      <c r="F2281" t="s">
        <v>212</v>
      </c>
      <c r="G2281" t="s">
        <v>141</v>
      </c>
      <c r="H2281">
        <v>4</v>
      </c>
      <c r="I2281" t="s">
        <v>7118</v>
      </c>
      <c r="J2281" t="s">
        <v>357</v>
      </c>
    </row>
    <row r="2282" spans="1:10" x14ac:dyDescent="0.25">
      <c r="A2282" t="s">
        <v>7119</v>
      </c>
      <c r="B2282" t="s">
        <v>7120</v>
      </c>
      <c r="C2282" s="2">
        <v>46227.583333333336</v>
      </c>
      <c r="D2282" t="s">
        <v>418</v>
      </c>
      <c r="E2282" t="s">
        <v>77</v>
      </c>
      <c r="F2282" t="s">
        <v>200</v>
      </c>
      <c r="G2282" t="s">
        <v>147</v>
      </c>
      <c r="H2282">
        <v>1</v>
      </c>
      <c r="I2282" t="s">
        <v>7121</v>
      </c>
      <c r="J2282" t="s">
        <v>357</v>
      </c>
    </row>
    <row r="2283" spans="1:10" x14ac:dyDescent="0.25">
      <c r="A2283" t="s">
        <v>7122</v>
      </c>
      <c r="B2283" t="s">
        <v>7123</v>
      </c>
      <c r="C2283" s="2">
        <v>46228.583333333336</v>
      </c>
      <c r="D2283" t="s">
        <v>418</v>
      </c>
      <c r="E2283" t="s">
        <v>18</v>
      </c>
      <c r="F2283" t="s">
        <v>244</v>
      </c>
      <c r="G2283" t="s">
        <v>95</v>
      </c>
      <c r="H2283">
        <v>1</v>
      </c>
      <c r="I2283" t="s">
        <v>7124</v>
      </c>
      <c r="J2283" t="s">
        <v>357</v>
      </c>
    </row>
    <row r="2284" spans="1:10" x14ac:dyDescent="0.25">
      <c r="A2284" t="s">
        <v>7125</v>
      </c>
      <c r="B2284" t="s">
        <v>7126</v>
      </c>
      <c r="C2284" s="2">
        <v>46228.583333333336</v>
      </c>
      <c r="D2284" t="s">
        <v>418</v>
      </c>
      <c r="E2284" t="s">
        <v>22</v>
      </c>
      <c r="F2284" t="s">
        <v>246</v>
      </c>
      <c r="G2284" t="s">
        <v>99</v>
      </c>
      <c r="H2284">
        <v>5</v>
      </c>
      <c r="I2284" t="s">
        <v>7127</v>
      </c>
      <c r="J2284" t="s">
        <v>357</v>
      </c>
    </row>
    <row r="2285" spans="1:10" x14ac:dyDescent="0.25">
      <c r="A2285" t="s">
        <v>7128</v>
      </c>
      <c r="B2285" t="s">
        <v>7129</v>
      </c>
      <c r="C2285" s="2">
        <v>46228.583333333336</v>
      </c>
      <c r="D2285" t="s">
        <v>418</v>
      </c>
      <c r="E2285" t="s">
        <v>24</v>
      </c>
      <c r="F2285" t="s">
        <v>247</v>
      </c>
      <c r="G2285" t="s">
        <v>101</v>
      </c>
      <c r="H2285">
        <v>5</v>
      </c>
      <c r="I2285" t="s">
        <v>7130</v>
      </c>
      <c r="J2285" t="s">
        <v>357</v>
      </c>
    </row>
    <row r="2286" spans="1:10" x14ac:dyDescent="0.25">
      <c r="A2286" t="s">
        <v>7131</v>
      </c>
      <c r="B2286" t="s">
        <v>7132</v>
      </c>
      <c r="C2286" s="2">
        <v>46228.583333333336</v>
      </c>
      <c r="D2286" t="s">
        <v>418</v>
      </c>
      <c r="E2286" t="s">
        <v>26</v>
      </c>
      <c r="F2286" t="s">
        <v>248</v>
      </c>
      <c r="G2286" t="s">
        <v>103</v>
      </c>
      <c r="H2286">
        <v>1</v>
      </c>
      <c r="I2286" t="s">
        <v>7133</v>
      </c>
      <c r="J2286" t="s">
        <v>357</v>
      </c>
    </row>
    <row r="2287" spans="1:10" x14ac:dyDescent="0.25">
      <c r="A2287" t="s">
        <v>7134</v>
      </c>
      <c r="B2287" t="s">
        <v>7135</v>
      </c>
      <c r="C2287" s="2">
        <v>46228.583333333336</v>
      </c>
      <c r="D2287" t="s">
        <v>418</v>
      </c>
      <c r="E2287" t="s">
        <v>28</v>
      </c>
      <c r="F2287" t="s">
        <v>104</v>
      </c>
      <c r="G2287" t="s">
        <v>105</v>
      </c>
      <c r="H2287">
        <v>2</v>
      </c>
      <c r="I2287" t="s">
        <v>7136</v>
      </c>
      <c r="J2287" t="s">
        <v>357</v>
      </c>
    </row>
    <row r="2288" spans="1:10" x14ac:dyDescent="0.25">
      <c r="A2288" t="s">
        <v>7137</v>
      </c>
      <c r="B2288" t="s">
        <v>7138</v>
      </c>
      <c r="C2288" s="2">
        <v>46228.583333333336</v>
      </c>
      <c r="D2288" t="s">
        <v>418</v>
      </c>
      <c r="E2288" t="s">
        <v>41</v>
      </c>
      <c r="F2288" t="s">
        <v>224</v>
      </c>
      <c r="G2288" t="s">
        <v>115</v>
      </c>
      <c r="H2288">
        <v>2</v>
      </c>
      <c r="I2288" t="s">
        <v>7139</v>
      </c>
      <c r="J2288" t="s">
        <v>357</v>
      </c>
    </row>
    <row r="2289" spans="1:10" x14ac:dyDescent="0.25">
      <c r="A2289" t="s">
        <v>7140</v>
      </c>
      <c r="B2289" t="s">
        <v>7141</v>
      </c>
      <c r="C2289" s="2">
        <v>46228.583333333336</v>
      </c>
      <c r="D2289" t="s">
        <v>418</v>
      </c>
      <c r="E2289" t="s">
        <v>45</v>
      </c>
      <c r="F2289" t="s">
        <v>225</v>
      </c>
      <c r="G2289" t="s">
        <v>119</v>
      </c>
      <c r="H2289">
        <v>2</v>
      </c>
      <c r="I2289" t="s">
        <v>7142</v>
      </c>
      <c r="J2289" t="s">
        <v>357</v>
      </c>
    </row>
    <row r="2290" spans="1:10" x14ac:dyDescent="0.25">
      <c r="A2290" t="s">
        <v>7143</v>
      </c>
      <c r="B2290" t="s">
        <v>7144</v>
      </c>
      <c r="C2290" s="2">
        <v>46228.583333333336</v>
      </c>
      <c r="D2290" t="s">
        <v>418</v>
      </c>
      <c r="E2290" t="s">
        <v>47</v>
      </c>
      <c r="F2290" t="s">
        <v>238</v>
      </c>
      <c r="G2290" t="s">
        <v>121</v>
      </c>
      <c r="H2290">
        <v>4</v>
      </c>
      <c r="I2290" t="s">
        <v>7145</v>
      </c>
      <c r="J2290" t="s">
        <v>357</v>
      </c>
    </row>
    <row r="2291" spans="1:10" x14ac:dyDescent="0.25">
      <c r="A2291" t="s">
        <v>7146</v>
      </c>
      <c r="B2291" t="s">
        <v>7147</v>
      </c>
      <c r="C2291" s="2">
        <v>46228.583333333336</v>
      </c>
      <c r="D2291" t="s">
        <v>418</v>
      </c>
      <c r="E2291" t="s">
        <v>51</v>
      </c>
      <c r="F2291" t="s">
        <v>209</v>
      </c>
      <c r="G2291" t="s">
        <v>125</v>
      </c>
      <c r="H2291">
        <v>2</v>
      </c>
      <c r="I2291" t="s">
        <v>7148</v>
      </c>
      <c r="J2291" t="s">
        <v>357</v>
      </c>
    </row>
    <row r="2292" spans="1:10" x14ac:dyDescent="0.25">
      <c r="A2292" t="s">
        <v>7149</v>
      </c>
      <c r="B2292" t="s">
        <v>7150</v>
      </c>
      <c r="C2292" s="2">
        <v>46228.583333333336</v>
      </c>
      <c r="D2292" t="s">
        <v>418</v>
      </c>
      <c r="E2292" t="s">
        <v>55</v>
      </c>
      <c r="F2292" t="s">
        <v>170</v>
      </c>
      <c r="G2292" t="s">
        <v>129</v>
      </c>
      <c r="H2292">
        <v>5</v>
      </c>
      <c r="I2292" t="s">
        <v>7151</v>
      </c>
      <c r="J2292" t="s">
        <v>357</v>
      </c>
    </row>
    <row r="2293" spans="1:10" x14ac:dyDescent="0.25">
      <c r="A2293" t="s">
        <v>7152</v>
      </c>
      <c r="B2293" t="s">
        <v>7153</v>
      </c>
      <c r="C2293" s="2">
        <v>46228.583333333336</v>
      </c>
      <c r="D2293" t="s">
        <v>418</v>
      </c>
      <c r="E2293" t="s">
        <v>57</v>
      </c>
      <c r="F2293" t="s">
        <v>255</v>
      </c>
      <c r="G2293" t="s">
        <v>131</v>
      </c>
      <c r="H2293">
        <v>5</v>
      </c>
      <c r="I2293" t="s">
        <v>7154</v>
      </c>
      <c r="J2293" t="s">
        <v>357</v>
      </c>
    </row>
    <row r="2294" spans="1:10" x14ac:dyDescent="0.25">
      <c r="A2294" t="s">
        <v>7155</v>
      </c>
      <c r="B2294" t="s">
        <v>7156</v>
      </c>
      <c r="C2294" s="2">
        <v>46228.583333333336</v>
      </c>
      <c r="D2294" t="s">
        <v>418</v>
      </c>
      <c r="E2294" t="s">
        <v>65</v>
      </c>
      <c r="F2294" t="s">
        <v>228</v>
      </c>
      <c r="G2294" t="s">
        <v>135</v>
      </c>
      <c r="H2294">
        <v>4</v>
      </c>
      <c r="I2294" t="s">
        <v>7157</v>
      </c>
      <c r="J2294" t="s">
        <v>357</v>
      </c>
    </row>
    <row r="2295" spans="1:10" x14ac:dyDescent="0.25">
      <c r="A2295" t="s">
        <v>7158</v>
      </c>
      <c r="B2295" t="s">
        <v>7159</v>
      </c>
      <c r="C2295" s="2">
        <v>46228.583333333336</v>
      </c>
      <c r="D2295" t="s">
        <v>418</v>
      </c>
      <c r="E2295" t="s">
        <v>18</v>
      </c>
      <c r="F2295" t="s">
        <v>244</v>
      </c>
      <c r="G2295" t="s">
        <v>95</v>
      </c>
      <c r="H2295">
        <v>5</v>
      </c>
      <c r="I2295" t="s">
        <v>7160</v>
      </c>
      <c r="J2295" t="s">
        <v>357</v>
      </c>
    </row>
    <row r="2296" spans="1:10" x14ac:dyDescent="0.25">
      <c r="A2296" t="s">
        <v>7161</v>
      </c>
      <c r="B2296" t="s">
        <v>7162</v>
      </c>
      <c r="C2296" s="2">
        <v>46228.583333333336</v>
      </c>
      <c r="D2296" t="s">
        <v>418</v>
      </c>
      <c r="E2296" t="s">
        <v>20</v>
      </c>
      <c r="F2296" t="s">
        <v>245</v>
      </c>
      <c r="G2296" t="s">
        <v>97</v>
      </c>
      <c r="H2296">
        <v>6</v>
      </c>
      <c r="I2296" t="s">
        <v>7163</v>
      </c>
      <c r="J2296" t="s">
        <v>357</v>
      </c>
    </row>
    <row r="2297" spans="1:10" x14ac:dyDescent="0.25">
      <c r="A2297" t="s">
        <v>7164</v>
      </c>
      <c r="B2297" t="s">
        <v>7165</v>
      </c>
      <c r="C2297" s="2">
        <v>46228.583333333336</v>
      </c>
      <c r="D2297" t="s">
        <v>418</v>
      </c>
      <c r="E2297" t="s">
        <v>22</v>
      </c>
      <c r="F2297" t="s">
        <v>246</v>
      </c>
      <c r="G2297" t="s">
        <v>99</v>
      </c>
      <c r="H2297">
        <v>3</v>
      </c>
      <c r="I2297" t="s">
        <v>7166</v>
      </c>
      <c r="J2297" t="s">
        <v>357</v>
      </c>
    </row>
    <row r="2298" spans="1:10" x14ac:dyDescent="0.25">
      <c r="A2298" t="s">
        <v>7167</v>
      </c>
      <c r="B2298" t="s">
        <v>7168</v>
      </c>
      <c r="C2298" s="2">
        <v>46228.583333333336</v>
      </c>
      <c r="D2298" t="s">
        <v>418</v>
      </c>
      <c r="E2298" t="s">
        <v>24</v>
      </c>
      <c r="F2298" t="s">
        <v>247</v>
      </c>
      <c r="G2298" t="s">
        <v>101</v>
      </c>
      <c r="H2298">
        <v>4</v>
      </c>
      <c r="I2298" t="s">
        <v>7169</v>
      </c>
      <c r="J2298" t="s">
        <v>357</v>
      </c>
    </row>
    <row r="2299" spans="1:10" x14ac:dyDescent="0.25">
      <c r="A2299" t="s">
        <v>7170</v>
      </c>
      <c r="B2299" t="s">
        <v>7171</v>
      </c>
      <c r="C2299" s="2">
        <v>46228.583333333336</v>
      </c>
      <c r="D2299" t="s">
        <v>418</v>
      </c>
      <c r="E2299" t="s">
        <v>26</v>
      </c>
      <c r="F2299" t="s">
        <v>248</v>
      </c>
      <c r="G2299" t="s">
        <v>103</v>
      </c>
      <c r="H2299">
        <v>4</v>
      </c>
      <c r="I2299" t="s">
        <v>7172</v>
      </c>
      <c r="J2299" t="s">
        <v>357</v>
      </c>
    </row>
    <row r="2300" spans="1:10" x14ac:dyDescent="0.25">
      <c r="A2300" t="s">
        <v>7173</v>
      </c>
      <c r="B2300" t="s">
        <v>7174</v>
      </c>
      <c r="C2300" s="2">
        <v>46228.583333333336</v>
      </c>
      <c r="D2300" t="s">
        <v>418</v>
      </c>
      <c r="E2300" t="s">
        <v>30</v>
      </c>
      <c r="F2300" t="s">
        <v>250</v>
      </c>
      <c r="G2300" t="s">
        <v>107</v>
      </c>
      <c r="H2300">
        <v>6</v>
      </c>
      <c r="I2300" t="s">
        <v>7175</v>
      </c>
      <c r="J2300" t="s">
        <v>357</v>
      </c>
    </row>
    <row r="2301" spans="1:10" x14ac:dyDescent="0.25">
      <c r="A2301" t="s">
        <v>7176</v>
      </c>
      <c r="B2301" t="s">
        <v>7177</v>
      </c>
      <c r="C2301" s="2">
        <v>46228.583333333336</v>
      </c>
      <c r="D2301" t="s">
        <v>418</v>
      </c>
      <c r="E2301" t="s">
        <v>36</v>
      </c>
      <c r="F2301" t="s">
        <v>252</v>
      </c>
      <c r="G2301" t="s">
        <v>113</v>
      </c>
      <c r="H2301">
        <v>6</v>
      </c>
      <c r="I2301" t="s">
        <v>7178</v>
      </c>
      <c r="J2301" t="s">
        <v>357</v>
      </c>
    </row>
    <row r="2302" spans="1:10" x14ac:dyDescent="0.25">
      <c r="A2302" t="s">
        <v>7179</v>
      </c>
      <c r="B2302" t="s">
        <v>7180</v>
      </c>
      <c r="C2302" s="2">
        <v>46228.583333333336</v>
      </c>
      <c r="D2302" t="s">
        <v>418</v>
      </c>
      <c r="E2302" t="s">
        <v>41</v>
      </c>
      <c r="F2302" t="s">
        <v>224</v>
      </c>
      <c r="G2302" t="s">
        <v>115</v>
      </c>
      <c r="H2302">
        <v>3</v>
      </c>
      <c r="I2302" t="s">
        <v>7181</v>
      </c>
      <c r="J2302" t="s">
        <v>357</v>
      </c>
    </row>
    <row r="2303" spans="1:10" x14ac:dyDescent="0.25">
      <c r="A2303" t="s">
        <v>7182</v>
      </c>
      <c r="B2303" t="s">
        <v>7183</v>
      </c>
      <c r="C2303" s="2">
        <v>46228.583333333336</v>
      </c>
      <c r="D2303" t="s">
        <v>418</v>
      </c>
      <c r="E2303" t="s">
        <v>55</v>
      </c>
      <c r="F2303" t="s">
        <v>170</v>
      </c>
      <c r="G2303" t="s">
        <v>129</v>
      </c>
      <c r="H2303">
        <v>1</v>
      </c>
      <c r="I2303" t="s">
        <v>7184</v>
      </c>
      <c r="J2303" t="s">
        <v>357</v>
      </c>
    </row>
    <row r="2304" spans="1:10" x14ac:dyDescent="0.25">
      <c r="A2304" t="s">
        <v>7185</v>
      </c>
      <c r="B2304" t="s">
        <v>7186</v>
      </c>
      <c r="C2304" s="2">
        <v>46228.583333333336</v>
      </c>
      <c r="D2304" t="s">
        <v>418</v>
      </c>
      <c r="E2304" t="s">
        <v>57</v>
      </c>
      <c r="F2304" t="s">
        <v>255</v>
      </c>
      <c r="G2304" t="s">
        <v>131</v>
      </c>
      <c r="H2304">
        <v>3</v>
      </c>
      <c r="I2304" t="s">
        <v>7187</v>
      </c>
      <c r="J2304" t="s">
        <v>357</v>
      </c>
    </row>
    <row r="2305" spans="1:10" x14ac:dyDescent="0.25">
      <c r="A2305" t="s">
        <v>7188</v>
      </c>
      <c r="B2305" t="s">
        <v>7189</v>
      </c>
      <c r="C2305" s="2">
        <v>46228.583333333336</v>
      </c>
      <c r="D2305" t="s">
        <v>418</v>
      </c>
      <c r="E2305" t="s">
        <v>65</v>
      </c>
      <c r="F2305" t="s">
        <v>228</v>
      </c>
      <c r="G2305" t="s">
        <v>135</v>
      </c>
      <c r="H2305">
        <v>4</v>
      </c>
      <c r="I2305" t="s">
        <v>7190</v>
      </c>
      <c r="J2305" t="s">
        <v>357</v>
      </c>
    </row>
    <row r="2306" spans="1:10" x14ac:dyDescent="0.25">
      <c r="A2306" t="s">
        <v>7191</v>
      </c>
      <c r="B2306" t="s">
        <v>7192</v>
      </c>
      <c r="C2306" s="2">
        <v>46228.583333333336</v>
      </c>
      <c r="D2306" t="s">
        <v>418</v>
      </c>
      <c r="E2306" t="s">
        <v>67</v>
      </c>
      <c r="F2306" t="s">
        <v>196</v>
      </c>
      <c r="G2306" t="s">
        <v>137</v>
      </c>
      <c r="H2306">
        <v>1</v>
      </c>
      <c r="I2306" t="s">
        <v>7193</v>
      </c>
      <c r="J2306" t="s">
        <v>357</v>
      </c>
    </row>
    <row r="2307" spans="1:10" x14ac:dyDescent="0.25">
      <c r="A2307" t="s">
        <v>7194</v>
      </c>
      <c r="B2307" t="s">
        <v>7195</v>
      </c>
      <c r="C2307" s="2">
        <v>46228.583333333336</v>
      </c>
      <c r="D2307" t="s">
        <v>418</v>
      </c>
      <c r="E2307" t="s">
        <v>69</v>
      </c>
      <c r="F2307" t="s">
        <v>229</v>
      </c>
      <c r="G2307" t="s">
        <v>139</v>
      </c>
      <c r="H2307">
        <v>5</v>
      </c>
      <c r="I2307" t="s">
        <v>7196</v>
      </c>
      <c r="J2307" t="s">
        <v>357</v>
      </c>
    </row>
    <row r="2308" spans="1:10" x14ac:dyDescent="0.25">
      <c r="A2308" t="s">
        <v>7197</v>
      </c>
      <c r="B2308" t="s">
        <v>7198</v>
      </c>
      <c r="C2308" s="2">
        <v>46228.583333333336</v>
      </c>
      <c r="D2308" t="s">
        <v>418</v>
      </c>
      <c r="E2308" t="s">
        <v>75</v>
      </c>
      <c r="F2308" t="s">
        <v>230</v>
      </c>
      <c r="G2308" t="s">
        <v>145</v>
      </c>
      <c r="H2308">
        <v>6</v>
      </c>
      <c r="I2308" t="s">
        <v>7199</v>
      </c>
      <c r="J2308" t="s">
        <v>357</v>
      </c>
    </row>
    <row r="2309" spans="1:10" x14ac:dyDescent="0.25">
      <c r="A2309" t="s">
        <v>7200</v>
      </c>
      <c r="B2309" t="s">
        <v>7201</v>
      </c>
      <c r="C2309" s="2">
        <v>46228.583333333336</v>
      </c>
      <c r="D2309" t="s">
        <v>418</v>
      </c>
      <c r="E2309" t="s">
        <v>20</v>
      </c>
      <c r="F2309" t="s">
        <v>245</v>
      </c>
      <c r="G2309" t="s">
        <v>97</v>
      </c>
      <c r="H2309">
        <v>6</v>
      </c>
      <c r="I2309" t="s">
        <v>7202</v>
      </c>
      <c r="J2309" t="s">
        <v>357</v>
      </c>
    </row>
    <row r="2310" spans="1:10" x14ac:dyDescent="0.25">
      <c r="A2310" t="s">
        <v>7203</v>
      </c>
      <c r="B2310" t="s">
        <v>7204</v>
      </c>
      <c r="C2310" s="2">
        <v>46228.583333333336</v>
      </c>
      <c r="D2310" t="s">
        <v>418</v>
      </c>
      <c r="E2310" t="s">
        <v>22</v>
      </c>
      <c r="F2310" t="s">
        <v>246</v>
      </c>
      <c r="G2310" t="s">
        <v>99</v>
      </c>
      <c r="H2310">
        <v>3</v>
      </c>
      <c r="I2310" t="s">
        <v>7205</v>
      </c>
      <c r="J2310" t="s">
        <v>357</v>
      </c>
    </row>
    <row r="2311" spans="1:10" x14ac:dyDescent="0.25">
      <c r="A2311" t="s">
        <v>7206</v>
      </c>
      <c r="B2311" t="s">
        <v>7207</v>
      </c>
      <c r="C2311" s="2">
        <v>46228.583333333336</v>
      </c>
      <c r="D2311" t="s">
        <v>418</v>
      </c>
      <c r="E2311" t="s">
        <v>22</v>
      </c>
      <c r="F2311" t="s">
        <v>233</v>
      </c>
      <c r="G2311" t="s">
        <v>99</v>
      </c>
      <c r="H2311">
        <v>3</v>
      </c>
      <c r="I2311" t="s">
        <v>7205</v>
      </c>
      <c r="J2311" t="s">
        <v>357</v>
      </c>
    </row>
    <row r="2312" spans="1:10" x14ac:dyDescent="0.25">
      <c r="A2312" t="s">
        <v>7208</v>
      </c>
      <c r="B2312" t="s">
        <v>7209</v>
      </c>
      <c r="C2312" s="2">
        <v>46228.583333333336</v>
      </c>
      <c r="D2312" t="s">
        <v>418</v>
      </c>
      <c r="E2312" t="s">
        <v>26</v>
      </c>
      <c r="F2312" t="s">
        <v>248</v>
      </c>
      <c r="G2312" t="s">
        <v>103</v>
      </c>
      <c r="H2312">
        <v>3</v>
      </c>
      <c r="I2312" t="s">
        <v>7210</v>
      </c>
      <c r="J2312" t="s">
        <v>357</v>
      </c>
    </row>
    <row r="2313" spans="1:10" x14ac:dyDescent="0.25">
      <c r="A2313" t="s">
        <v>7211</v>
      </c>
      <c r="B2313" t="s">
        <v>7212</v>
      </c>
      <c r="C2313" s="2">
        <v>46228.583333333336</v>
      </c>
      <c r="D2313" t="s">
        <v>418</v>
      </c>
      <c r="E2313" t="s">
        <v>36</v>
      </c>
      <c r="F2313" t="s">
        <v>252</v>
      </c>
      <c r="G2313" t="s">
        <v>113</v>
      </c>
      <c r="H2313">
        <v>5</v>
      </c>
      <c r="I2313" t="s">
        <v>7213</v>
      </c>
      <c r="J2313" t="s">
        <v>357</v>
      </c>
    </row>
    <row r="2314" spans="1:10" x14ac:dyDescent="0.25">
      <c r="A2314" t="s">
        <v>7214</v>
      </c>
      <c r="B2314" t="s">
        <v>7215</v>
      </c>
      <c r="C2314" s="2">
        <v>46228.583333333336</v>
      </c>
      <c r="D2314" t="s">
        <v>418</v>
      </c>
      <c r="E2314" t="s">
        <v>51</v>
      </c>
      <c r="F2314" t="s">
        <v>209</v>
      </c>
      <c r="G2314" t="s">
        <v>125</v>
      </c>
      <c r="H2314">
        <v>3</v>
      </c>
      <c r="I2314" t="s">
        <v>7216</v>
      </c>
      <c r="J2314" t="s">
        <v>357</v>
      </c>
    </row>
    <row r="2315" spans="1:10" x14ac:dyDescent="0.25">
      <c r="A2315" t="s">
        <v>7217</v>
      </c>
      <c r="B2315" t="s">
        <v>7218</v>
      </c>
      <c r="C2315" s="2">
        <v>46228.583333333336</v>
      </c>
      <c r="D2315" t="s">
        <v>418</v>
      </c>
      <c r="E2315" t="s">
        <v>55</v>
      </c>
      <c r="F2315" t="s">
        <v>170</v>
      </c>
      <c r="G2315" t="s">
        <v>129</v>
      </c>
      <c r="H2315">
        <v>8</v>
      </c>
      <c r="I2315" t="s">
        <v>7219</v>
      </c>
      <c r="J2315" t="s">
        <v>357</v>
      </c>
    </row>
    <row r="2316" spans="1:10" x14ac:dyDescent="0.25">
      <c r="A2316" t="s">
        <v>7220</v>
      </c>
      <c r="B2316" t="s">
        <v>7221</v>
      </c>
      <c r="C2316" s="2">
        <v>46228.583333333336</v>
      </c>
      <c r="D2316" t="s">
        <v>418</v>
      </c>
      <c r="E2316" t="s">
        <v>57</v>
      </c>
      <c r="F2316" t="s">
        <v>255</v>
      </c>
      <c r="G2316" t="s">
        <v>131</v>
      </c>
      <c r="H2316">
        <v>6</v>
      </c>
      <c r="I2316" t="s">
        <v>7222</v>
      </c>
      <c r="J2316" t="s">
        <v>357</v>
      </c>
    </row>
    <row r="2317" spans="1:10" x14ac:dyDescent="0.25">
      <c r="A2317" t="s">
        <v>7223</v>
      </c>
      <c r="B2317" t="s">
        <v>7224</v>
      </c>
      <c r="C2317" s="2">
        <v>46228.583333333336</v>
      </c>
      <c r="D2317" t="s">
        <v>418</v>
      </c>
      <c r="E2317" t="s">
        <v>65</v>
      </c>
      <c r="F2317" t="s">
        <v>228</v>
      </c>
      <c r="G2317" t="s">
        <v>135</v>
      </c>
      <c r="H2317">
        <v>3</v>
      </c>
      <c r="I2317" t="s">
        <v>7225</v>
      </c>
      <c r="J2317" t="s">
        <v>357</v>
      </c>
    </row>
    <row r="2318" spans="1:10" x14ac:dyDescent="0.25">
      <c r="A2318" t="s">
        <v>7226</v>
      </c>
      <c r="B2318" t="s">
        <v>7227</v>
      </c>
      <c r="C2318" s="2">
        <v>46228.583333333336</v>
      </c>
      <c r="D2318" t="s">
        <v>418</v>
      </c>
      <c r="E2318" t="s">
        <v>18</v>
      </c>
      <c r="F2318" t="s">
        <v>244</v>
      </c>
      <c r="G2318" t="s">
        <v>95</v>
      </c>
      <c r="H2318">
        <v>4</v>
      </c>
      <c r="I2318" t="s">
        <v>7228</v>
      </c>
      <c r="J2318" t="s">
        <v>357</v>
      </c>
    </row>
    <row r="2319" spans="1:10" x14ac:dyDescent="0.25">
      <c r="A2319" t="s">
        <v>7229</v>
      </c>
      <c r="B2319" t="s">
        <v>7230</v>
      </c>
      <c r="C2319" s="2">
        <v>46228.583333333336</v>
      </c>
      <c r="D2319" t="s">
        <v>418</v>
      </c>
      <c r="E2319" t="s">
        <v>20</v>
      </c>
      <c r="F2319" t="s">
        <v>245</v>
      </c>
      <c r="G2319" t="s">
        <v>97</v>
      </c>
      <c r="H2319">
        <v>4</v>
      </c>
      <c r="I2319" t="s">
        <v>7231</v>
      </c>
      <c r="J2319" t="s">
        <v>357</v>
      </c>
    </row>
    <row r="2320" spans="1:10" x14ac:dyDescent="0.25">
      <c r="A2320" t="s">
        <v>7232</v>
      </c>
      <c r="B2320" t="s">
        <v>7233</v>
      </c>
      <c r="C2320" s="2">
        <v>46228.583333333336</v>
      </c>
      <c r="D2320" t="s">
        <v>418</v>
      </c>
      <c r="E2320" t="s">
        <v>22</v>
      </c>
      <c r="F2320" t="s">
        <v>233</v>
      </c>
      <c r="G2320" t="s">
        <v>99</v>
      </c>
      <c r="H2320">
        <v>4</v>
      </c>
      <c r="I2320" t="s">
        <v>7234</v>
      </c>
      <c r="J2320" t="s">
        <v>357</v>
      </c>
    </row>
    <row r="2321" spans="1:10" x14ac:dyDescent="0.25">
      <c r="A2321" t="s">
        <v>7235</v>
      </c>
      <c r="B2321" t="s">
        <v>7236</v>
      </c>
      <c r="C2321" s="2">
        <v>46228.583333333336</v>
      </c>
      <c r="D2321" t="s">
        <v>418</v>
      </c>
      <c r="E2321" t="s">
        <v>24</v>
      </c>
      <c r="F2321" t="s">
        <v>247</v>
      </c>
      <c r="G2321" t="s">
        <v>101</v>
      </c>
      <c r="H2321">
        <v>5</v>
      </c>
      <c r="I2321" t="s">
        <v>7237</v>
      </c>
      <c r="J2321" t="s">
        <v>357</v>
      </c>
    </row>
    <row r="2322" spans="1:10" x14ac:dyDescent="0.25">
      <c r="A2322" t="s">
        <v>7238</v>
      </c>
      <c r="B2322" t="s">
        <v>7239</v>
      </c>
      <c r="C2322" s="2">
        <v>46228.583333333336</v>
      </c>
      <c r="D2322" t="s">
        <v>418</v>
      </c>
      <c r="E2322" t="s">
        <v>26</v>
      </c>
      <c r="F2322" t="s">
        <v>248</v>
      </c>
      <c r="G2322" t="s">
        <v>103</v>
      </c>
      <c r="H2322">
        <v>2</v>
      </c>
      <c r="I2322" t="s">
        <v>7240</v>
      </c>
      <c r="J2322" t="s">
        <v>357</v>
      </c>
    </row>
    <row r="2323" spans="1:10" x14ac:dyDescent="0.25">
      <c r="A2323" t="s">
        <v>7241</v>
      </c>
      <c r="B2323" t="s">
        <v>7242</v>
      </c>
      <c r="C2323" s="2">
        <v>46228.583333333336</v>
      </c>
      <c r="D2323" t="s">
        <v>418</v>
      </c>
      <c r="E2323" t="s">
        <v>30</v>
      </c>
      <c r="F2323" t="s">
        <v>250</v>
      </c>
      <c r="G2323" t="s">
        <v>107</v>
      </c>
      <c r="H2323">
        <v>4</v>
      </c>
      <c r="I2323" t="s">
        <v>7243</v>
      </c>
      <c r="J2323" t="s">
        <v>357</v>
      </c>
    </row>
    <row r="2324" spans="1:10" x14ac:dyDescent="0.25">
      <c r="A2324" t="s">
        <v>7244</v>
      </c>
      <c r="B2324" t="s">
        <v>7245</v>
      </c>
      <c r="C2324" s="2">
        <v>46228.583333333336</v>
      </c>
      <c r="D2324" t="s">
        <v>418</v>
      </c>
      <c r="E2324" t="s">
        <v>49</v>
      </c>
      <c r="F2324" t="s">
        <v>253</v>
      </c>
      <c r="G2324" t="s">
        <v>123</v>
      </c>
      <c r="H2324">
        <v>9</v>
      </c>
      <c r="I2324" t="s">
        <v>7246</v>
      </c>
      <c r="J2324" t="s">
        <v>357</v>
      </c>
    </row>
    <row r="2325" spans="1:10" x14ac:dyDescent="0.25">
      <c r="A2325" t="s">
        <v>7247</v>
      </c>
      <c r="B2325" t="s">
        <v>7248</v>
      </c>
      <c r="C2325" s="2">
        <v>46228.583333333336</v>
      </c>
      <c r="D2325" t="s">
        <v>418</v>
      </c>
      <c r="E2325" t="s">
        <v>57</v>
      </c>
      <c r="F2325" t="s">
        <v>255</v>
      </c>
      <c r="G2325" t="s">
        <v>131</v>
      </c>
      <c r="H2325">
        <v>4</v>
      </c>
      <c r="I2325" t="s">
        <v>7249</v>
      </c>
      <c r="J2325" t="s">
        <v>357</v>
      </c>
    </row>
    <row r="2326" spans="1:10" x14ac:dyDescent="0.25">
      <c r="A2326" t="s">
        <v>7250</v>
      </c>
      <c r="B2326" t="s">
        <v>7251</v>
      </c>
      <c r="C2326" s="2">
        <v>46228.583333333336</v>
      </c>
      <c r="D2326" t="s">
        <v>418</v>
      </c>
      <c r="E2326" t="s">
        <v>73</v>
      </c>
      <c r="F2326" t="s">
        <v>177</v>
      </c>
      <c r="G2326" t="s">
        <v>143</v>
      </c>
      <c r="H2326">
        <v>4</v>
      </c>
      <c r="I2326" t="s">
        <v>7252</v>
      </c>
      <c r="J2326" t="s">
        <v>357</v>
      </c>
    </row>
    <row r="2327" spans="1:10" x14ac:dyDescent="0.25">
      <c r="A2327" t="s">
        <v>7253</v>
      </c>
      <c r="B2327" t="s">
        <v>7254</v>
      </c>
      <c r="C2327" s="2">
        <v>46228.583333333336</v>
      </c>
      <c r="D2327" t="s">
        <v>418</v>
      </c>
      <c r="E2327" t="s">
        <v>75</v>
      </c>
      <c r="F2327" t="s">
        <v>230</v>
      </c>
      <c r="G2327" t="s">
        <v>145</v>
      </c>
      <c r="H2327">
        <v>9</v>
      </c>
      <c r="I2327" t="s">
        <v>7255</v>
      </c>
      <c r="J2327" t="s">
        <v>357</v>
      </c>
    </row>
    <row r="2328" spans="1:10" x14ac:dyDescent="0.25">
      <c r="A2328" t="s">
        <v>7256</v>
      </c>
      <c r="B2328" t="s">
        <v>7257</v>
      </c>
      <c r="C2328" s="2">
        <v>46228.583333333336</v>
      </c>
      <c r="D2328" t="s">
        <v>418</v>
      </c>
      <c r="E2328" t="s">
        <v>20</v>
      </c>
      <c r="F2328" t="s">
        <v>245</v>
      </c>
      <c r="G2328" t="s">
        <v>97</v>
      </c>
      <c r="H2328">
        <v>6</v>
      </c>
      <c r="I2328" t="s">
        <v>7258</v>
      </c>
      <c r="J2328" t="s">
        <v>357</v>
      </c>
    </row>
    <row r="2329" spans="1:10" x14ac:dyDescent="0.25">
      <c r="A2329" t="s">
        <v>7259</v>
      </c>
      <c r="B2329" t="s">
        <v>7260</v>
      </c>
      <c r="C2329" s="2">
        <v>46228.583333333336</v>
      </c>
      <c r="D2329" t="s">
        <v>418</v>
      </c>
      <c r="E2329" t="s">
        <v>22</v>
      </c>
      <c r="F2329" t="s">
        <v>233</v>
      </c>
      <c r="G2329" t="s">
        <v>99</v>
      </c>
      <c r="H2329">
        <v>5</v>
      </c>
      <c r="I2329" t="s">
        <v>7261</v>
      </c>
      <c r="J2329" t="s">
        <v>357</v>
      </c>
    </row>
    <row r="2330" spans="1:10" x14ac:dyDescent="0.25">
      <c r="A2330" t="s">
        <v>7262</v>
      </c>
      <c r="B2330" t="s">
        <v>7263</v>
      </c>
      <c r="C2330" s="2">
        <v>46228.583333333336</v>
      </c>
      <c r="D2330" t="s">
        <v>418</v>
      </c>
      <c r="E2330" t="s">
        <v>24</v>
      </c>
      <c r="F2330" t="s">
        <v>247</v>
      </c>
      <c r="G2330" t="s">
        <v>101</v>
      </c>
      <c r="H2330">
        <v>5</v>
      </c>
      <c r="I2330" t="s">
        <v>7264</v>
      </c>
      <c r="J2330" t="s">
        <v>357</v>
      </c>
    </row>
    <row r="2331" spans="1:10" x14ac:dyDescent="0.25">
      <c r="A2331" t="s">
        <v>7265</v>
      </c>
      <c r="B2331" t="s">
        <v>7266</v>
      </c>
      <c r="C2331" s="2">
        <v>46228.583333333336</v>
      </c>
      <c r="D2331" t="s">
        <v>418</v>
      </c>
      <c r="E2331" t="s">
        <v>32</v>
      </c>
      <c r="F2331" t="s">
        <v>251</v>
      </c>
      <c r="G2331" t="s">
        <v>109</v>
      </c>
      <c r="H2331">
        <v>4</v>
      </c>
      <c r="I2331" t="s">
        <v>7267</v>
      </c>
      <c r="J2331" t="s">
        <v>357</v>
      </c>
    </row>
    <row r="2332" spans="1:10" x14ac:dyDescent="0.25">
      <c r="A2332" t="s">
        <v>7268</v>
      </c>
      <c r="B2332" t="s">
        <v>7269</v>
      </c>
      <c r="C2332" s="2">
        <v>46228.583333333336</v>
      </c>
      <c r="D2332" t="s">
        <v>418</v>
      </c>
      <c r="E2332" t="s">
        <v>47</v>
      </c>
      <c r="F2332" t="s">
        <v>238</v>
      </c>
      <c r="G2332" t="s">
        <v>121</v>
      </c>
      <c r="H2332">
        <v>2</v>
      </c>
      <c r="I2332" t="s">
        <v>7270</v>
      </c>
      <c r="J2332" t="s">
        <v>357</v>
      </c>
    </row>
    <row r="2333" spans="1:10" x14ac:dyDescent="0.25">
      <c r="A2333" t="s">
        <v>7271</v>
      </c>
      <c r="B2333" t="s">
        <v>7272</v>
      </c>
      <c r="C2333" s="2">
        <v>46228.583333333336</v>
      </c>
      <c r="D2333" t="s">
        <v>418</v>
      </c>
      <c r="E2333" t="s">
        <v>53</v>
      </c>
      <c r="F2333" t="s">
        <v>169</v>
      </c>
      <c r="G2333" t="s">
        <v>127</v>
      </c>
      <c r="H2333">
        <v>4</v>
      </c>
      <c r="I2333" t="s">
        <v>7273</v>
      </c>
      <c r="J2333" t="s">
        <v>357</v>
      </c>
    </row>
    <row r="2334" spans="1:10" x14ac:dyDescent="0.25">
      <c r="A2334" t="s">
        <v>7274</v>
      </c>
      <c r="B2334" t="s">
        <v>7275</v>
      </c>
      <c r="C2334" s="2">
        <v>46228.583333333336</v>
      </c>
      <c r="D2334" t="s">
        <v>418</v>
      </c>
      <c r="E2334" t="s">
        <v>55</v>
      </c>
      <c r="F2334" t="s">
        <v>170</v>
      </c>
      <c r="G2334" t="s">
        <v>129</v>
      </c>
      <c r="H2334">
        <v>4</v>
      </c>
      <c r="I2334" t="s">
        <v>7276</v>
      </c>
      <c r="J2334" t="s">
        <v>357</v>
      </c>
    </row>
    <row r="2335" spans="1:10" x14ac:dyDescent="0.25">
      <c r="A2335" t="s">
        <v>7277</v>
      </c>
      <c r="B2335" t="s">
        <v>7278</v>
      </c>
      <c r="C2335" s="2">
        <v>46228.583333333336</v>
      </c>
      <c r="D2335" t="s">
        <v>418</v>
      </c>
      <c r="E2335" t="s">
        <v>71</v>
      </c>
      <c r="F2335" t="s">
        <v>212</v>
      </c>
      <c r="G2335" t="s">
        <v>141</v>
      </c>
      <c r="H2335">
        <v>2</v>
      </c>
      <c r="I2335" t="s">
        <v>7279</v>
      </c>
      <c r="J2335" t="s">
        <v>357</v>
      </c>
    </row>
    <row r="2336" spans="1:10" x14ac:dyDescent="0.25">
      <c r="A2336" t="s">
        <v>7280</v>
      </c>
      <c r="B2336" t="s">
        <v>7281</v>
      </c>
      <c r="C2336" s="2">
        <v>46229.583333333336</v>
      </c>
      <c r="D2336" t="s">
        <v>418</v>
      </c>
      <c r="E2336" t="s">
        <v>18</v>
      </c>
      <c r="F2336" t="s">
        <v>244</v>
      </c>
      <c r="G2336" t="s">
        <v>95</v>
      </c>
      <c r="H2336">
        <v>5</v>
      </c>
      <c r="I2336" t="s">
        <v>7282</v>
      </c>
      <c r="J2336" t="s">
        <v>357</v>
      </c>
    </row>
    <row r="2337" spans="1:10" x14ac:dyDescent="0.25">
      <c r="A2337" t="s">
        <v>7283</v>
      </c>
      <c r="B2337" t="s">
        <v>7284</v>
      </c>
      <c r="C2337" s="2">
        <v>46229.583333333336</v>
      </c>
      <c r="D2337" t="s">
        <v>418</v>
      </c>
      <c r="E2337" t="s">
        <v>20</v>
      </c>
      <c r="F2337" t="s">
        <v>245</v>
      </c>
      <c r="G2337" t="s">
        <v>97</v>
      </c>
      <c r="H2337">
        <v>3</v>
      </c>
      <c r="I2337" t="s">
        <v>7285</v>
      </c>
      <c r="J2337" t="s">
        <v>357</v>
      </c>
    </row>
    <row r="2338" spans="1:10" x14ac:dyDescent="0.25">
      <c r="A2338" t="s">
        <v>7286</v>
      </c>
      <c r="B2338" t="s">
        <v>7287</v>
      </c>
      <c r="C2338" s="2">
        <v>46229.583333333336</v>
      </c>
      <c r="D2338" t="s">
        <v>418</v>
      </c>
      <c r="E2338" t="s">
        <v>22</v>
      </c>
      <c r="F2338" t="s">
        <v>233</v>
      </c>
      <c r="G2338" t="s">
        <v>99</v>
      </c>
      <c r="H2338">
        <v>1</v>
      </c>
      <c r="I2338" t="s">
        <v>7288</v>
      </c>
      <c r="J2338" t="s">
        <v>357</v>
      </c>
    </row>
    <row r="2339" spans="1:10" x14ac:dyDescent="0.25">
      <c r="A2339" t="s">
        <v>7289</v>
      </c>
      <c r="B2339" t="s">
        <v>7290</v>
      </c>
      <c r="C2339" s="2">
        <v>46229.583333333336</v>
      </c>
      <c r="D2339" t="s">
        <v>418</v>
      </c>
      <c r="E2339" t="s">
        <v>24</v>
      </c>
      <c r="F2339" t="s">
        <v>234</v>
      </c>
      <c r="G2339" t="s">
        <v>101</v>
      </c>
      <c r="H2339">
        <v>2</v>
      </c>
      <c r="I2339" t="s">
        <v>7291</v>
      </c>
      <c r="J2339" t="s">
        <v>357</v>
      </c>
    </row>
    <row r="2340" spans="1:10" x14ac:dyDescent="0.25">
      <c r="A2340" t="s">
        <v>7292</v>
      </c>
      <c r="B2340" t="s">
        <v>7293</v>
      </c>
      <c r="C2340" s="2">
        <v>46229.583333333336</v>
      </c>
      <c r="D2340" t="s">
        <v>418</v>
      </c>
      <c r="E2340" t="s">
        <v>26</v>
      </c>
      <c r="F2340" t="s">
        <v>248</v>
      </c>
      <c r="G2340" t="s">
        <v>103</v>
      </c>
      <c r="H2340">
        <v>3</v>
      </c>
      <c r="I2340" t="s">
        <v>7294</v>
      </c>
      <c r="J2340" t="s">
        <v>357</v>
      </c>
    </row>
    <row r="2341" spans="1:10" x14ac:dyDescent="0.25">
      <c r="A2341" t="s">
        <v>7295</v>
      </c>
      <c r="B2341" t="s">
        <v>7296</v>
      </c>
      <c r="C2341" s="2">
        <v>46229.583333333336</v>
      </c>
      <c r="D2341" t="s">
        <v>418</v>
      </c>
      <c r="E2341" t="s">
        <v>28</v>
      </c>
      <c r="F2341" t="s">
        <v>104</v>
      </c>
      <c r="G2341" t="s">
        <v>105</v>
      </c>
      <c r="H2341">
        <v>4</v>
      </c>
      <c r="I2341" t="s">
        <v>7297</v>
      </c>
      <c r="J2341" t="s">
        <v>357</v>
      </c>
    </row>
    <row r="2342" spans="1:10" x14ac:dyDescent="0.25">
      <c r="A2342" t="s">
        <v>7298</v>
      </c>
      <c r="B2342" t="s">
        <v>7299</v>
      </c>
      <c r="C2342" s="2">
        <v>46229.583333333336</v>
      </c>
      <c r="D2342" t="s">
        <v>418</v>
      </c>
      <c r="E2342" t="s">
        <v>32</v>
      </c>
      <c r="F2342" t="s">
        <v>251</v>
      </c>
      <c r="G2342" t="s">
        <v>109</v>
      </c>
      <c r="H2342">
        <v>1</v>
      </c>
      <c r="I2342" t="s">
        <v>7300</v>
      </c>
      <c r="J2342" t="s">
        <v>357</v>
      </c>
    </row>
    <row r="2343" spans="1:10" x14ac:dyDescent="0.25">
      <c r="A2343" t="s">
        <v>7301</v>
      </c>
      <c r="B2343" t="s">
        <v>7302</v>
      </c>
      <c r="C2343" s="2">
        <v>46229.583333333336</v>
      </c>
      <c r="D2343" t="s">
        <v>418</v>
      </c>
      <c r="E2343" t="s">
        <v>43</v>
      </c>
      <c r="F2343" t="s">
        <v>116</v>
      </c>
      <c r="G2343" t="s">
        <v>117</v>
      </c>
      <c r="H2343">
        <v>1</v>
      </c>
      <c r="I2343" t="s">
        <v>7303</v>
      </c>
      <c r="J2343" t="s">
        <v>357</v>
      </c>
    </row>
    <row r="2344" spans="1:10" x14ac:dyDescent="0.25">
      <c r="A2344" t="s">
        <v>7304</v>
      </c>
      <c r="B2344" t="s">
        <v>7305</v>
      </c>
      <c r="C2344" s="2">
        <v>46229.583333333336</v>
      </c>
      <c r="D2344" t="s">
        <v>418</v>
      </c>
      <c r="E2344" t="s">
        <v>49</v>
      </c>
      <c r="F2344" t="s">
        <v>253</v>
      </c>
      <c r="G2344" t="s">
        <v>123</v>
      </c>
      <c r="H2344">
        <v>4</v>
      </c>
      <c r="I2344" t="s">
        <v>7306</v>
      </c>
      <c r="J2344" t="s">
        <v>357</v>
      </c>
    </row>
    <row r="2345" spans="1:10" x14ac:dyDescent="0.25">
      <c r="A2345" t="s">
        <v>7307</v>
      </c>
      <c r="B2345" t="s">
        <v>7308</v>
      </c>
      <c r="C2345" s="2">
        <v>46229.583333333336</v>
      </c>
      <c r="D2345" t="s">
        <v>418</v>
      </c>
      <c r="E2345" t="s">
        <v>57</v>
      </c>
      <c r="F2345" t="s">
        <v>255</v>
      </c>
      <c r="G2345" t="s">
        <v>131</v>
      </c>
      <c r="H2345">
        <v>5</v>
      </c>
      <c r="I2345" t="s">
        <v>7309</v>
      </c>
      <c r="J2345" t="s">
        <v>357</v>
      </c>
    </row>
    <row r="2346" spans="1:10" x14ac:dyDescent="0.25">
      <c r="A2346" t="s">
        <v>7310</v>
      </c>
      <c r="B2346" t="s">
        <v>7311</v>
      </c>
      <c r="C2346" s="2">
        <v>46229.583333333336</v>
      </c>
      <c r="D2346" t="s">
        <v>418</v>
      </c>
      <c r="E2346" t="s">
        <v>65</v>
      </c>
      <c r="F2346" t="s">
        <v>228</v>
      </c>
      <c r="G2346" t="s">
        <v>135</v>
      </c>
      <c r="H2346">
        <v>3</v>
      </c>
      <c r="I2346" t="s">
        <v>7312</v>
      </c>
      <c r="J2346" t="s">
        <v>357</v>
      </c>
    </row>
    <row r="2347" spans="1:10" x14ac:dyDescent="0.25">
      <c r="A2347" t="s">
        <v>7313</v>
      </c>
      <c r="B2347" t="s">
        <v>7314</v>
      </c>
      <c r="C2347" s="2">
        <v>46229.583333333336</v>
      </c>
      <c r="D2347" t="s">
        <v>418</v>
      </c>
      <c r="E2347" t="s">
        <v>69</v>
      </c>
      <c r="F2347" t="s">
        <v>229</v>
      </c>
      <c r="G2347" t="s">
        <v>139</v>
      </c>
      <c r="H2347">
        <v>4</v>
      </c>
      <c r="I2347" t="s">
        <v>7315</v>
      </c>
      <c r="J2347" t="s">
        <v>357</v>
      </c>
    </row>
    <row r="2348" spans="1:10" x14ac:dyDescent="0.25">
      <c r="A2348" t="s">
        <v>7316</v>
      </c>
      <c r="B2348" t="s">
        <v>7317</v>
      </c>
      <c r="C2348" s="2">
        <v>46229.583333333336</v>
      </c>
      <c r="D2348" t="s">
        <v>418</v>
      </c>
      <c r="E2348" t="s">
        <v>71</v>
      </c>
      <c r="F2348" t="s">
        <v>212</v>
      </c>
      <c r="G2348" t="s">
        <v>141</v>
      </c>
      <c r="H2348">
        <v>2</v>
      </c>
      <c r="I2348" t="s">
        <v>7318</v>
      </c>
      <c r="J2348" t="s">
        <v>357</v>
      </c>
    </row>
    <row r="2349" spans="1:10" x14ac:dyDescent="0.25">
      <c r="A2349" t="s">
        <v>7319</v>
      </c>
      <c r="B2349" t="s">
        <v>7320</v>
      </c>
      <c r="C2349" s="2">
        <v>46229.583333333336</v>
      </c>
      <c r="D2349" t="s">
        <v>418</v>
      </c>
      <c r="E2349" t="s">
        <v>73</v>
      </c>
      <c r="F2349" t="s">
        <v>177</v>
      </c>
      <c r="G2349" t="s">
        <v>143</v>
      </c>
      <c r="H2349">
        <v>1</v>
      </c>
      <c r="I2349" t="s">
        <v>7321</v>
      </c>
      <c r="J2349" t="s">
        <v>357</v>
      </c>
    </row>
    <row r="2350" spans="1:10" x14ac:dyDescent="0.25">
      <c r="A2350" t="s">
        <v>7322</v>
      </c>
      <c r="B2350" t="s">
        <v>7323</v>
      </c>
      <c r="C2350" s="2">
        <v>46229.583333333336</v>
      </c>
      <c r="D2350" t="s">
        <v>418</v>
      </c>
      <c r="E2350" t="s">
        <v>77</v>
      </c>
      <c r="F2350" t="s">
        <v>200</v>
      </c>
      <c r="G2350" t="s">
        <v>147</v>
      </c>
      <c r="H2350">
        <v>2</v>
      </c>
      <c r="I2350" t="s">
        <v>7324</v>
      </c>
      <c r="J2350" t="s">
        <v>357</v>
      </c>
    </row>
    <row r="2351" spans="1:10" x14ac:dyDescent="0.25">
      <c r="A2351" t="s">
        <v>7325</v>
      </c>
      <c r="B2351" t="s">
        <v>7326</v>
      </c>
      <c r="C2351" s="2">
        <v>46229.583333333336</v>
      </c>
      <c r="D2351" t="s">
        <v>418</v>
      </c>
      <c r="E2351" t="s">
        <v>79</v>
      </c>
      <c r="F2351" t="s">
        <v>148</v>
      </c>
      <c r="G2351" t="s">
        <v>149</v>
      </c>
      <c r="H2351">
        <v>3</v>
      </c>
      <c r="I2351" t="s">
        <v>7327</v>
      </c>
      <c r="J2351" t="s">
        <v>357</v>
      </c>
    </row>
    <row r="2352" spans="1:10" x14ac:dyDescent="0.25">
      <c r="A2352" t="s">
        <v>7328</v>
      </c>
      <c r="B2352" t="s">
        <v>7329</v>
      </c>
      <c r="C2352" s="2">
        <v>46229.583333333336</v>
      </c>
      <c r="D2352" t="s">
        <v>418</v>
      </c>
      <c r="E2352" t="s">
        <v>20</v>
      </c>
      <c r="F2352" t="s">
        <v>245</v>
      </c>
      <c r="G2352" t="s">
        <v>97</v>
      </c>
      <c r="H2352">
        <v>1</v>
      </c>
      <c r="I2352" t="s">
        <v>7330</v>
      </c>
      <c r="J2352" t="s">
        <v>357</v>
      </c>
    </row>
    <row r="2353" spans="1:10" x14ac:dyDescent="0.25">
      <c r="A2353" t="s">
        <v>7331</v>
      </c>
      <c r="B2353" t="s">
        <v>7332</v>
      </c>
      <c r="C2353" s="2">
        <v>46229.583333333336</v>
      </c>
      <c r="D2353" t="s">
        <v>418</v>
      </c>
      <c r="E2353" t="s">
        <v>22</v>
      </c>
      <c r="F2353" t="s">
        <v>233</v>
      </c>
      <c r="G2353" t="s">
        <v>99</v>
      </c>
      <c r="H2353">
        <v>4</v>
      </c>
      <c r="I2353" t="s">
        <v>7333</v>
      </c>
      <c r="J2353" t="s">
        <v>357</v>
      </c>
    </row>
    <row r="2354" spans="1:10" x14ac:dyDescent="0.25">
      <c r="A2354" t="s">
        <v>7334</v>
      </c>
      <c r="B2354" t="s">
        <v>7335</v>
      </c>
      <c r="C2354" s="2">
        <v>46229.583333333336</v>
      </c>
      <c r="D2354" t="s">
        <v>418</v>
      </c>
      <c r="E2354" t="s">
        <v>24</v>
      </c>
      <c r="F2354" t="s">
        <v>234</v>
      </c>
      <c r="G2354" t="s">
        <v>101</v>
      </c>
      <c r="H2354">
        <v>1</v>
      </c>
      <c r="I2354" t="s">
        <v>7336</v>
      </c>
      <c r="J2354" t="s">
        <v>357</v>
      </c>
    </row>
    <row r="2355" spans="1:10" x14ac:dyDescent="0.25">
      <c r="A2355" t="s">
        <v>7337</v>
      </c>
      <c r="B2355" t="s">
        <v>7338</v>
      </c>
      <c r="C2355" s="2">
        <v>46229.583333333336</v>
      </c>
      <c r="D2355" t="s">
        <v>418</v>
      </c>
      <c r="E2355" t="s">
        <v>26</v>
      </c>
      <c r="F2355" t="s">
        <v>248</v>
      </c>
      <c r="G2355" t="s">
        <v>103</v>
      </c>
      <c r="H2355">
        <v>1</v>
      </c>
      <c r="I2355" t="s">
        <v>7339</v>
      </c>
      <c r="J2355" t="s">
        <v>357</v>
      </c>
    </row>
    <row r="2356" spans="1:10" x14ac:dyDescent="0.25">
      <c r="A2356" t="s">
        <v>7340</v>
      </c>
      <c r="B2356" t="s">
        <v>7341</v>
      </c>
      <c r="C2356" s="2">
        <v>46229.583333333336</v>
      </c>
      <c r="D2356" t="s">
        <v>418</v>
      </c>
      <c r="E2356" t="s">
        <v>28</v>
      </c>
      <c r="F2356" t="s">
        <v>104</v>
      </c>
      <c r="G2356" t="s">
        <v>105</v>
      </c>
      <c r="H2356">
        <v>5</v>
      </c>
      <c r="I2356" t="s">
        <v>7342</v>
      </c>
      <c r="J2356" t="s">
        <v>357</v>
      </c>
    </row>
    <row r="2357" spans="1:10" x14ac:dyDescent="0.25">
      <c r="A2357" t="s">
        <v>7343</v>
      </c>
      <c r="B2357" t="s">
        <v>7344</v>
      </c>
      <c r="C2357" s="2">
        <v>46229.583333333336</v>
      </c>
      <c r="D2357" t="s">
        <v>418</v>
      </c>
      <c r="E2357" t="s">
        <v>30</v>
      </c>
      <c r="F2357" t="s">
        <v>250</v>
      </c>
      <c r="G2357" t="s">
        <v>107</v>
      </c>
      <c r="H2357">
        <v>5</v>
      </c>
      <c r="I2357" t="s">
        <v>7345</v>
      </c>
      <c r="J2357" t="s">
        <v>357</v>
      </c>
    </row>
    <row r="2358" spans="1:10" x14ac:dyDescent="0.25">
      <c r="A2358" t="s">
        <v>7346</v>
      </c>
      <c r="B2358" t="s">
        <v>7347</v>
      </c>
      <c r="C2358" s="2">
        <v>46229.583333333336</v>
      </c>
      <c r="D2358" t="s">
        <v>418</v>
      </c>
      <c r="E2358" t="s">
        <v>49</v>
      </c>
      <c r="F2358" t="s">
        <v>253</v>
      </c>
      <c r="G2358" t="s">
        <v>123</v>
      </c>
      <c r="H2358">
        <v>1</v>
      </c>
      <c r="I2358" t="s">
        <v>7348</v>
      </c>
      <c r="J2358" t="s">
        <v>357</v>
      </c>
    </row>
    <row r="2359" spans="1:10" x14ac:dyDescent="0.25">
      <c r="A2359" t="s">
        <v>7349</v>
      </c>
      <c r="B2359" t="s">
        <v>7350</v>
      </c>
      <c r="C2359" s="2">
        <v>46229.583333333336</v>
      </c>
      <c r="D2359" t="s">
        <v>418</v>
      </c>
      <c r="E2359" t="s">
        <v>57</v>
      </c>
      <c r="F2359" t="s">
        <v>255</v>
      </c>
      <c r="G2359" t="s">
        <v>131</v>
      </c>
      <c r="H2359">
        <v>1</v>
      </c>
      <c r="I2359" t="s">
        <v>7351</v>
      </c>
      <c r="J2359" t="s">
        <v>357</v>
      </c>
    </row>
    <row r="2360" spans="1:10" x14ac:dyDescent="0.25">
      <c r="A2360" t="s">
        <v>7352</v>
      </c>
      <c r="B2360" t="s">
        <v>7353</v>
      </c>
      <c r="C2360" s="2">
        <v>46229.583333333336</v>
      </c>
      <c r="D2360" t="s">
        <v>418</v>
      </c>
      <c r="E2360" t="s">
        <v>71</v>
      </c>
      <c r="F2360" t="s">
        <v>212</v>
      </c>
      <c r="G2360" t="s">
        <v>141</v>
      </c>
      <c r="H2360">
        <v>4</v>
      </c>
      <c r="I2360" t="s">
        <v>7354</v>
      </c>
      <c r="J2360" t="s">
        <v>357</v>
      </c>
    </row>
    <row r="2361" spans="1:10" x14ac:dyDescent="0.25">
      <c r="A2361" t="s">
        <v>7355</v>
      </c>
      <c r="B2361" t="s">
        <v>7356</v>
      </c>
      <c r="C2361" s="2">
        <v>46229.583333333336</v>
      </c>
      <c r="D2361" t="s">
        <v>418</v>
      </c>
      <c r="E2361" t="s">
        <v>73</v>
      </c>
      <c r="F2361" t="s">
        <v>177</v>
      </c>
      <c r="G2361" t="s">
        <v>143</v>
      </c>
      <c r="H2361">
        <v>5</v>
      </c>
      <c r="I2361" t="s">
        <v>7357</v>
      </c>
      <c r="J2361" t="s">
        <v>357</v>
      </c>
    </row>
    <row r="2362" spans="1:10" x14ac:dyDescent="0.25">
      <c r="A2362" t="s">
        <v>7358</v>
      </c>
      <c r="B2362" t="s">
        <v>7359</v>
      </c>
      <c r="C2362" s="2">
        <v>46229.583333333336</v>
      </c>
      <c r="D2362" t="s">
        <v>418</v>
      </c>
      <c r="E2362" t="s">
        <v>18</v>
      </c>
      <c r="F2362" t="s">
        <v>244</v>
      </c>
      <c r="G2362" t="s">
        <v>95</v>
      </c>
      <c r="H2362">
        <v>3</v>
      </c>
      <c r="I2362" t="s">
        <v>7360</v>
      </c>
      <c r="J2362" t="s">
        <v>357</v>
      </c>
    </row>
    <row r="2363" spans="1:10" x14ac:dyDescent="0.25">
      <c r="A2363" t="s">
        <v>7361</v>
      </c>
      <c r="B2363" t="s">
        <v>7362</v>
      </c>
      <c r="C2363" s="2">
        <v>46229.583333333336</v>
      </c>
      <c r="D2363" t="s">
        <v>418</v>
      </c>
      <c r="E2363" t="s">
        <v>20</v>
      </c>
      <c r="F2363" t="s">
        <v>245</v>
      </c>
      <c r="G2363" t="s">
        <v>97</v>
      </c>
      <c r="H2363">
        <v>5</v>
      </c>
      <c r="I2363" t="s">
        <v>7363</v>
      </c>
      <c r="J2363" t="s">
        <v>357</v>
      </c>
    </row>
    <row r="2364" spans="1:10" x14ac:dyDescent="0.25">
      <c r="A2364" t="s">
        <v>7364</v>
      </c>
      <c r="B2364" t="s">
        <v>7365</v>
      </c>
      <c r="C2364" s="2">
        <v>46229.583333333336</v>
      </c>
      <c r="D2364" t="s">
        <v>418</v>
      </c>
      <c r="E2364" t="s">
        <v>30</v>
      </c>
      <c r="F2364" t="s">
        <v>250</v>
      </c>
      <c r="G2364" t="s">
        <v>107</v>
      </c>
      <c r="H2364">
        <v>3</v>
      </c>
      <c r="I2364" t="s">
        <v>7366</v>
      </c>
      <c r="J2364" t="s">
        <v>357</v>
      </c>
    </row>
    <row r="2365" spans="1:10" x14ac:dyDescent="0.25">
      <c r="A2365" t="s">
        <v>7367</v>
      </c>
      <c r="B2365" t="s">
        <v>7368</v>
      </c>
      <c r="C2365" s="2">
        <v>46229.583333333336</v>
      </c>
      <c r="D2365" t="s">
        <v>418</v>
      </c>
      <c r="E2365" t="s">
        <v>43</v>
      </c>
      <c r="F2365" t="s">
        <v>116</v>
      </c>
      <c r="G2365" t="s">
        <v>117</v>
      </c>
      <c r="H2365">
        <v>5</v>
      </c>
      <c r="I2365" t="s">
        <v>7369</v>
      </c>
      <c r="J2365" t="s">
        <v>357</v>
      </c>
    </row>
    <row r="2366" spans="1:10" x14ac:dyDescent="0.25">
      <c r="A2366" t="s">
        <v>7370</v>
      </c>
      <c r="B2366" t="s">
        <v>7371</v>
      </c>
      <c r="C2366" s="2">
        <v>46229.583333333336</v>
      </c>
      <c r="D2366" t="s">
        <v>418</v>
      </c>
      <c r="E2366" t="s">
        <v>45</v>
      </c>
      <c r="F2366" t="s">
        <v>225</v>
      </c>
      <c r="G2366" t="s">
        <v>119</v>
      </c>
      <c r="H2366">
        <v>3</v>
      </c>
      <c r="I2366" t="s">
        <v>7372</v>
      </c>
      <c r="J2366" t="s">
        <v>357</v>
      </c>
    </row>
    <row r="2367" spans="1:10" x14ac:dyDescent="0.25">
      <c r="A2367" t="s">
        <v>7373</v>
      </c>
      <c r="B2367" t="s">
        <v>7374</v>
      </c>
      <c r="C2367" s="2">
        <v>46229.583333333336</v>
      </c>
      <c r="D2367" t="s">
        <v>418</v>
      </c>
      <c r="E2367" t="s">
        <v>47</v>
      </c>
      <c r="F2367" t="s">
        <v>238</v>
      </c>
      <c r="G2367" t="s">
        <v>121</v>
      </c>
      <c r="H2367">
        <v>5</v>
      </c>
      <c r="I2367" t="s">
        <v>7375</v>
      </c>
      <c r="J2367" t="s">
        <v>357</v>
      </c>
    </row>
    <row r="2368" spans="1:10" x14ac:dyDescent="0.25">
      <c r="A2368" t="s">
        <v>7376</v>
      </c>
      <c r="B2368" t="s">
        <v>7377</v>
      </c>
      <c r="C2368" s="2">
        <v>46229.583333333336</v>
      </c>
      <c r="D2368" t="s">
        <v>418</v>
      </c>
      <c r="E2368" t="s">
        <v>51</v>
      </c>
      <c r="F2368" t="s">
        <v>209</v>
      </c>
      <c r="G2368" t="s">
        <v>125</v>
      </c>
      <c r="H2368">
        <v>5</v>
      </c>
      <c r="I2368" t="s">
        <v>7378</v>
      </c>
      <c r="J2368" t="s">
        <v>357</v>
      </c>
    </row>
    <row r="2369" spans="1:10" x14ac:dyDescent="0.25">
      <c r="A2369" t="s">
        <v>7379</v>
      </c>
      <c r="B2369" t="s">
        <v>7380</v>
      </c>
      <c r="C2369" s="2">
        <v>46229.583333333336</v>
      </c>
      <c r="D2369" t="s">
        <v>418</v>
      </c>
      <c r="E2369" t="s">
        <v>67</v>
      </c>
      <c r="F2369" t="s">
        <v>196</v>
      </c>
      <c r="G2369" t="s">
        <v>137</v>
      </c>
      <c r="H2369">
        <v>5</v>
      </c>
      <c r="I2369" t="s">
        <v>7381</v>
      </c>
      <c r="J2369" t="s">
        <v>357</v>
      </c>
    </row>
    <row r="2370" spans="1:10" x14ac:dyDescent="0.25">
      <c r="A2370" t="s">
        <v>7382</v>
      </c>
      <c r="B2370" t="s">
        <v>7383</v>
      </c>
      <c r="C2370" s="2">
        <v>46229.583333333336</v>
      </c>
      <c r="D2370" t="s">
        <v>418</v>
      </c>
      <c r="E2370" t="s">
        <v>22</v>
      </c>
      <c r="F2370" t="s">
        <v>233</v>
      </c>
      <c r="G2370" t="s">
        <v>99</v>
      </c>
      <c r="H2370">
        <v>9</v>
      </c>
      <c r="I2370" t="s">
        <v>7384</v>
      </c>
      <c r="J2370" t="s">
        <v>357</v>
      </c>
    </row>
    <row r="2371" spans="1:10" x14ac:dyDescent="0.25">
      <c r="A2371" t="s">
        <v>7385</v>
      </c>
      <c r="B2371" t="s">
        <v>7386</v>
      </c>
      <c r="C2371" s="2">
        <v>46229.583333333336</v>
      </c>
      <c r="D2371" t="s">
        <v>418</v>
      </c>
      <c r="E2371" t="s">
        <v>26</v>
      </c>
      <c r="F2371" t="s">
        <v>248</v>
      </c>
      <c r="G2371" t="s">
        <v>103</v>
      </c>
      <c r="H2371">
        <v>7</v>
      </c>
      <c r="I2371" t="s">
        <v>7387</v>
      </c>
      <c r="J2371" t="s">
        <v>357</v>
      </c>
    </row>
    <row r="2372" spans="1:10" x14ac:dyDescent="0.25">
      <c r="A2372" t="s">
        <v>7388</v>
      </c>
      <c r="B2372" t="s">
        <v>7389</v>
      </c>
      <c r="C2372" s="2">
        <v>46229.583333333336</v>
      </c>
      <c r="D2372" t="s">
        <v>418</v>
      </c>
      <c r="E2372" t="s">
        <v>28</v>
      </c>
      <c r="F2372" t="s">
        <v>104</v>
      </c>
      <c r="G2372" t="s">
        <v>105</v>
      </c>
      <c r="H2372">
        <v>2</v>
      </c>
      <c r="I2372" t="s">
        <v>7390</v>
      </c>
      <c r="J2372" t="s">
        <v>357</v>
      </c>
    </row>
    <row r="2373" spans="1:10" x14ac:dyDescent="0.25">
      <c r="A2373" t="s">
        <v>7391</v>
      </c>
      <c r="B2373" t="s">
        <v>7392</v>
      </c>
      <c r="C2373" s="2">
        <v>46229.583333333336</v>
      </c>
      <c r="D2373" t="s">
        <v>418</v>
      </c>
      <c r="E2373" t="s">
        <v>32</v>
      </c>
      <c r="F2373" t="s">
        <v>251</v>
      </c>
      <c r="G2373" t="s">
        <v>109</v>
      </c>
      <c r="H2373">
        <v>2</v>
      </c>
      <c r="I2373" t="s">
        <v>7393</v>
      </c>
      <c r="J2373" t="s">
        <v>357</v>
      </c>
    </row>
    <row r="2374" spans="1:10" x14ac:dyDescent="0.25">
      <c r="A2374" t="s">
        <v>7394</v>
      </c>
      <c r="B2374" t="s">
        <v>7395</v>
      </c>
      <c r="C2374" s="2">
        <v>46229.583333333336</v>
      </c>
      <c r="D2374" t="s">
        <v>418</v>
      </c>
      <c r="E2374" t="s">
        <v>36</v>
      </c>
      <c r="F2374" t="s">
        <v>252</v>
      </c>
      <c r="G2374" t="s">
        <v>113</v>
      </c>
      <c r="H2374">
        <v>5</v>
      </c>
      <c r="I2374" t="s">
        <v>7396</v>
      </c>
      <c r="J2374" t="s">
        <v>357</v>
      </c>
    </row>
    <row r="2375" spans="1:10" x14ac:dyDescent="0.25">
      <c r="A2375" t="s">
        <v>7397</v>
      </c>
      <c r="B2375" t="s">
        <v>7398</v>
      </c>
      <c r="C2375" s="2">
        <v>46229.583333333336</v>
      </c>
      <c r="D2375" t="s">
        <v>418</v>
      </c>
      <c r="E2375" t="s">
        <v>49</v>
      </c>
      <c r="F2375" t="s">
        <v>253</v>
      </c>
      <c r="G2375" t="s">
        <v>123</v>
      </c>
      <c r="H2375">
        <v>4</v>
      </c>
      <c r="I2375" t="s">
        <v>7399</v>
      </c>
      <c r="J2375" t="s">
        <v>357</v>
      </c>
    </row>
    <row r="2376" spans="1:10" x14ac:dyDescent="0.25">
      <c r="A2376" t="s">
        <v>7400</v>
      </c>
      <c r="B2376" t="s">
        <v>7401</v>
      </c>
      <c r="C2376" s="2">
        <v>46229.583333333336</v>
      </c>
      <c r="D2376" t="s">
        <v>418</v>
      </c>
      <c r="E2376" t="s">
        <v>67</v>
      </c>
      <c r="F2376" t="s">
        <v>196</v>
      </c>
      <c r="G2376" t="s">
        <v>137</v>
      </c>
      <c r="H2376">
        <v>9</v>
      </c>
      <c r="I2376" t="s">
        <v>7402</v>
      </c>
      <c r="J2376" t="s">
        <v>357</v>
      </c>
    </row>
    <row r="2377" spans="1:10" x14ac:dyDescent="0.25">
      <c r="A2377" t="s">
        <v>7403</v>
      </c>
      <c r="B2377" t="s">
        <v>7404</v>
      </c>
      <c r="C2377" s="2">
        <v>46229.583333333336</v>
      </c>
      <c r="D2377" t="s">
        <v>418</v>
      </c>
      <c r="E2377" t="s">
        <v>75</v>
      </c>
      <c r="F2377" t="s">
        <v>230</v>
      </c>
      <c r="G2377" t="s">
        <v>145</v>
      </c>
      <c r="H2377">
        <v>4</v>
      </c>
      <c r="I2377" t="s">
        <v>7405</v>
      </c>
      <c r="J2377" t="s">
        <v>357</v>
      </c>
    </row>
    <row r="2378" spans="1:10" x14ac:dyDescent="0.25">
      <c r="A2378" t="s">
        <v>7406</v>
      </c>
      <c r="B2378" t="s">
        <v>7407</v>
      </c>
      <c r="C2378" s="2">
        <v>46229.583333333336</v>
      </c>
      <c r="D2378" t="s">
        <v>418</v>
      </c>
      <c r="E2378" t="s">
        <v>18</v>
      </c>
      <c r="F2378" t="s">
        <v>244</v>
      </c>
      <c r="G2378" t="s">
        <v>95</v>
      </c>
      <c r="H2378">
        <v>5</v>
      </c>
      <c r="I2378" t="s">
        <v>7408</v>
      </c>
      <c r="J2378" t="s">
        <v>357</v>
      </c>
    </row>
    <row r="2379" spans="1:10" x14ac:dyDescent="0.25">
      <c r="A2379" t="s">
        <v>7409</v>
      </c>
      <c r="B2379" t="s">
        <v>7410</v>
      </c>
      <c r="C2379" s="2">
        <v>46229.583333333336</v>
      </c>
      <c r="D2379" t="s">
        <v>418</v>
      </c>
      <c r="E2379" t="s">
        <v>22</v>
      </c>
      <c r="F2379" t="s">
        <v>233</v>
      </c>
      <c r="G2379" t="s">
        <v>99</v>
      </c>
      <c r="H2379">
        <v>5</v>
      </c>
      <c r="I2379" t="s">
        <v>7411</v>
      </c>
      <c r="J2379" t="s">
        <v>357</v>
      </c>
    </row>
    <row r="2380" spans="1:10" x14ac:dyDescent="0.25">
      <c r="A2380" t="s">
        <v>7412</v>
      </c>
      <c r="B2380" t="s">
        <v>7413</v>
      </c>
      <c r="C2380" s="2">
        <v>46229.583333333336</v>
      </c>
      <c r="D2380" t="s">
        <v>418</v>
      </c>
      <c r="E2380" t="s">
        <v>26</v>
      </c>
      <c r="F2380" t="s">
        <v>248</v>
      </c>
      <c r="G2380" t="s">
        <v>103</v>
      </c>
      <c r="H2380">
        <v>1</v>
      </c>
      <c r="I2380" t="s">
        <v>7414</v>
      </c>
      <c r="J2380" t="s">
        <v>357</v>
      </c>
    </row>
    <row r="2381" spans="1:10" x14ac:dyDescent="0.25">
      <c r="A2381" t="s">
        <v>7415</v>
      </c>
      <c r="B2381" t="s">
        <v>7416</v>
      </c>
      <c r="C2381" s="2">
        <v>46229.583333333336</v>
      </c>
      <c r="D2381" t="s">
        <v>418</v>
      </c>
      <c r="E2381" t="s">
        <v>30</v>
      </c>
      <c r="F2381" t="s">
        <v>250</v>
      </c>
      <c r="G2381" t="s">
        <v>107</v>
      </c>
      <c r="H2381">
        <v>6</v>
      </c>
      <c r="I2381" t="s">
        <v>7417</v>
      </c>
      <c r="J2381" t="s">
        <v>357</v>
      </c>
    </row>
    <row r="2382" spans="1:10" x14ac:dyDescent="0.25">
      <c r="A2382" t="s">
        <v>7418</v>
      </c>
      <c r="B2382" t="s">
        <v>7419</v>
      </c>
      <c r="C2382" s="2">
        <v>46229.583333333336</v>
      </c>
      <c r="D2382" t="s">
        <v>418</v>
      </c>
      <c r="E2382" t="s">
        <v>41</v>
      </c>
      <c r="F2382" t="s">
        <v>224</v>
      </c>
      <c r="G2382" t="s">
        <v>115</v>
      </c>
      <c r="H2382">
        <v>1</v>
      </c>
      <c r="I2382" t="s">
        <v>7420</v>
      </c>
      <c r="J2382" t="s">
        <v>357</v>
      </c>
    </row>
    <row r="2383" spans="1:10" x14ac:dyDescent="0.25">
      <c r="A2383" t="s">
        <v>7421</v>
      </c>
      <c r="B2383" t="s">
        <v>7422</v>
      </c>
      <c r="C2383" s="2">
        <v>46229.583333333336</v>
      </c>
      <c r="D2383" t="s">
        <v>418</v>
      </c>
      <c r="E2383" t="s">
        <v>47</v>
      </c>
      <c r="F2383" t="s">
        <v>238</v>
      </c>
      <c r="G2383" t="s">
        <v>121</v>
      </c>
      <c r="H2383">
        <v>2</v>
      </c>
      <c r="I2383" t="s">
        <v>7423</v>
      </c>
      <c r="J2383" t="s">
        <v>357</v>
      </c>
    </row>
    <row r="2384" spans="1:10" x14ac:dyDescent="0.25">
      <c r="A2384" t="s">
        <v>7424</v>
      </c>
      <c r="B2384" t="s">
        <v>7425</v>
      </c>
      <c r="C2384" s="2">
        <v>46229.583333333336</v>
      </c>
      <c r="D2384" t="s">
        <v>418</v>
      </c>
      <c r="E2384" t="s">
        <v>49</v>
      </c>
      <c r="F2384" t="s">
        <v>253</v>
      </c>
      <c r="G2384" t="s">
        <v>123</v>
      </c>
      <c r="H2384">
        <v>4</v>
      </c>
      <c r="I2384" t="s">
        <v>7426</v>
      </c>
      <c r="J2384" t="s">
        <v>357</v>
      </c>
    </row>
    <row r="2385" spans="1:10" x14ac:dyDescent="0.25">
      <c r="A2385" t="s">
        <v>7427</v>
      </c>
      <c r="B2385" t="s">
        <v>7428</v>
      </c>
      <c r="C2385" s="2">
        <v>46229.583333333336</v>
      </c>
      <c r="D2385" t="s">
        <v>418</v>
      </c>
      <c r="E2385" t="s">
        <v>51</v>
      </c>
      <c r="F2385" t="s">
        <v>209</v>
      </c>
      <c r="G2385" t="s">
        <v>125</v>
      </c>
      <c r="H2385">
        <v>1</v>
      </c>
      <c r="I2385" t="s">
        <v>7429</v>
      </c>
      <c r="J2385" t="s">
        <v>357</v>
      </c>
    </row>
    <row r="2386" spans="1:10" x14ac:dyDescent="0.25">
      <c r="A2386" t="s">
        <v>7430</v>
      </c>
      <c r="B2386" t="s">
        <v>7431</v>
      </c>
      <c r="C2386" s="2">
        <v>46229.583333333336</v>
      </c>
      <c r="D2386" t="s">
        <v>418</v>
      </c>
      <c r="E2386" t="s">
        <v>59</v>
      </c>
      <c r="F2386" t="s">
        <v>227</v>
      </c>
      <c r="G2386" t="s">
        <v>133</v>
      </c>
      <c r="H2386">
        <v>1</v>
      </c>
      <c r="I2386" t="s">
        <v>7432</v>
      </c>
      <c r="J2386" t="s">
        <v>357</v>
      </c>
    </row>
    <row r="2387" spans="1:10" x14ac:dyDescent="0.25">
      <c r="A2387" t="s">
        <v>7433</v>
      </c>
      <c r="B2387" t="s">
        <v>7434</v>
      </c>
      <c r="C2387" s="2">
        <v>46229.583333333336</v>
      </c>
      <c r="D2387" t="s">
        <v>418</v>
      </c>
      <c r="E2387" t="s">
        <v>65</v>
      </c>
      <c r="F2387" t="s">
        <v>228</v>
      </c>
      <c r="G2387" t="s">
        <v>135</v>
      </c>
      <c r="H2387">
        <v>6</v>
      </c>
      <c r="I2387" t="s">
        <v>7435</v>
      </c>
      <c r="J2387" t="s">
        <v>357</v>
      </c>
    </row>
    <row r="2388" spans="1:10" x14ac:dyDescent="0.25">
      <c r="A2388" t="s">
        <v>7436</v>
      </c>
      <c r="B2388" t="s">
        <v>7437</v>
      </c>
      <c r="C2388" s="2">
        <v>46229.583333333336</v>
      </c>
      <c r="D2388" t="s">
        <v>418</v>
      </c>
      <c r="E2388" t="s">
        <v>69</v>
      </c>
      <c r="F2388" t="s">
        <v>229</v>
      </c>
      <c r="G2388" t="s">
        <v>139</v>
      </c>
      <c r="H2388">
        <v>4</v>
      </c>
      <c r="I2388" t="s">
        <v>7438</v>
      </c>
      <c r="J2388" t="s">
        <v>357</v>
      </c>
    </row>
    <row r="2389" spans="1:10" x14ac:dyDescent="0.25">
      <c r="A2389" t="s">
        <v>7439</v>
      </c>
      <c r="B2389" t="s">
        <v>7440</v>
      </c>
      <c r="C2389" s="2">
        <v>46229.583333333336</v>
      </c>
      <c r="D2389" t="s">
        <v>418</v>
      </c>
      <c r="E2389" t="s">
        <v>77</v>
      </c>
      <c r="F2389" t="s">
        <v>200</v>
      </c>
      <c r="G2389" t="s">
        <v>147</v>
      </c>
      <c r="H2389">
        <v>2</v>
      </c>
      <c r="I2389" t="s">
        <v>7441</v>
      </c>
      <c r="J2389" t="s">
        <v>357</v>
      </c>
    </row>
    <row r="2390" spans="1:10" x14ac:dyDescent="0.25">
      <c r="A2390" t="s">
        <v>7442</v>
      </c>
      <c r="B2390" t="s">
        <v>7443</v>
      </c>
      <c r="C2390" s="2">
        <v>46230.583333333336</v>
      </c>
      <c r="D2390" t="s">
        <v>418</v>
      </c>
      <c r="E2390" t="s">
        <v>18</v>
      </c>
      <c r="F2390" t="s">
        <v>244</v>
      </c>
      <c r="G2390" t="s">
        <v>95</v>
      </c>
      <c r="H2390">
        <v>2</v>
      </c>
      <c r="I2390" t="s">
        <v>7444</v>
      </c>
      <c r="J2390" t="s">
        <v>357</v>
      </c>
    </row>
    <row r="2391" spans="1:10" x14ac:dyDescent="0.25">
      <c r="A2391" t="s">
        <v>7445</v>
      </c>
      <c r="B2391" t="s">
        <v>7446</v>
      </c>
      <c r="C2391" s="2">
        <v>46230.583333333336</v>
      </c>
      <c r="D2391" t="s">
        <v>418</v>
      </c>
      <c r="E2391" t="s">
        <v>20</v>
      </c>
      <c r="F2391" t="s">
        <v>245</v>
      </c>
      <c r="G2391" t="s">
        <v>97</v>
      </c>
      <c r="H2391">
        <v>4</v>
      </c>
      <c r="I2391" t="s">
        <v>7447</v>
      </c>
      <c r="J2391" t="s">
        <v>357</v>
      </c>
    </row>
    <row r="2392" spans="1:10" x14ac:dyDescent="0.25">
      <c r="A2392" t="s">
        <v>7448</v>
      </c>
      <c r="B2392" t="s">
        <v>7449</v>
      </c>
      <c r="C2392" s="2">
        <v>46230.583333333336</v>
      </c>
      <c r="D2392" t="s">
        <v>418</v>
      </c>
      <c r="E2392" t="s">
        <v>22</v>
      </c>
      <c r="F2392" t="s">
        <v>233</v>
      </c>
      <c r="G2392" t="s">
        <v>99</v>
      </c>
      <c r="H2392">
        <v>2</v>
      </c>
      <c r="I2392" t="s">
        <v>7450</v>
      </c>
      <c r="J2392" t="s">
        <v>357</v>
      </c>
    </row>
    <row r="2393" spans="1:10" x14ac:dyDescent="0.25">
      <c r="A2393" t="s">
        <v>7451</v>
      </c>
      <c r="B2393" t="s">
        <v>7452</v>
      </c>
      <c r="C2393" s="2">
        <v>46230.583333333336</v>
      </c>
      <c r="D2393" t="s">
        <v>418</v>
      </c>
      <c r="E2393" t="s">
        <v>45</v>
      </c>
      <c r="F2393" t="s">
        <v>225</v>
      </c>
      <c r="G2393" t="s">
        <v>119</v>
      </c>
      <c r="H2393">
        <v>2</v>
      </c>
      <c r="I2393" t="s">
        <v>7453</v>
      </c>
      <c r="J2393" t="s">
        <v>357</v>
      </c>
    </row>
    <row r="2394" spans="1:10" x14ac:dyDescent="0.25">
      <c r="A2394" t="s">
        <v>7454</v>
      </c>
      <c r="B2394" t="s">
        <v>7455</v>
      </c>
      <c r="C2394" s="2">
        <v>46230.583333333336</v>
      </c>
      <c r="D2394" t="s">
        <v>418</v>
      </c>
      <c r="E2394" t="s">
        <v>57</v>
      </c>
      <c r="F2394" t="s">
        <v>255</v>
      </c>
      <c r="G2394" t="s">
        <v>131</v>
      </c>
      <c r="H2394">
        <v>4</v>
      </c>
      <c r="I2394" t="s">
        <v>7456</v>
      </c>
      <c r="J2394" t="s">
        <v>357</v>
      </c>
    </row>
    <row r="2395" spans="1:10" x14ac:dyDescent="0.25">
      <c r="A2395" t="s">
        <v>7457</v>
      </c>
      <c r="B2395" t="s">
        <v>7458</v>
      </c>
      <c r="C2395" s="2">
        <v>46230.583333333336</v>
      </c>
      <c r="D2395" t="s">
        <v>418</v>
      </c>
      <c r="E2395" t="s">
        <v>65</v>
      </c>
      <c r="F2395" t="s">
        <v>228</v>
      </c>
      <c r="G2395" t="s">
        <v>135</v>
      </c>
      <c r="H2395">
        <v>2</v>
      </c>
      <c r="I2395" t="s">
        <v>7459</v>
      </c>
      <c r="J2395" t="s">
        <v>357</v>
      </c>
    </row>
    <row r="2396" spans="1:10" x14ac:dyDescent="0.25">
      <c r="A2396" t="s">
        <v>7460</v>
      </c>
      <c r="B2396" t="s">
        <v>7461</v>
      </c>
      <c r="C2396" s="2">
        <v>46230.583333333336</v>
      </c>
      <c r="D2396" t="s">
        <v>418</v>
      </c>
      <c r="E2396" t="s">
        <v>69</v>
      </c>
      <c r="F2396" t="s">
        <v>229</v>
      </c>
      <c r="G2396" t="s">
        <v>139</v>
      </c>
      <c r="H2396">
        <v>2</v>
      </c>
      <c r="I2396" t="s">
        <v>7462</v>
      </c>
      <c r="J2396" t="s">
        <v>357</v>
      </c>
    </row>
    <row r="2397" spans="1:10" x14ac:dyDescent="0.25">
      <c r="A2397" t="s">
        <v>7463</v>
      </c>
      <c r="B2397" t="s">
        <v>7464</v>
      </c>
      <c r="C2397" s="2">
        <v>46230.583333333336</v>
      </c>
      <c r="D2397" t="s">
        <v>418</v>
      </c>
      <c r="E2397" t="s">
        <v>73</v>
      </c>
      <c r="F2397" t="s">
        <v>177</v>
      </c>
      <c r="G2397" t="s">
        <v>143</v>
      </c>
      <c r="H2397">
        <v>1</v>
      </c>
      <c r="I2397" t="s">
        <v>7465</v>
      </c>
      <c r="J2397" t="s">
        <v>357</v>
      </c>
    </row>
    <row r="2398" spans="1:10" x14ac:dyDescent="0.25">
      <c r="A2398" t="s">
        <v>7466</v>
      </c>
      <c r="B2398" t="s">
        <v>7467</v>
      </c>
      <c r="C2398" s="2">
        <v>46230.583333333336</v>
      </c>
      <c r="D2398" t="s">
        <v>418</v>
      </c>
      <c r="E2398" t="s">
        <v>75</v>
      </c>
      <c r="F2398" t="s">
        <v>230</v>
      </c>
      <c r="G2398" t="s">
        <v>145</v>
      </c>
      <c r="H2398">
        <v>1</v>
      </c>
      <c r="I2398" t="s">
        <v>7468</v>
      </c>
      <c r="J2398" t="s">
        <v>357</v>
      </c>
    </row>
    <row r="2399" spans="1:10" x14ac:dyDescent="0.25">
      <c r="A2399" t="s">
        <v>7469</v>
      </c>
      <c r="B2399" t="s">
        <v>7470</v>
      </c>
      <c r="C2399" s="2">
        <v>46230.583333333336</v>
      </c>
      <c r="D2399" t="s">
        <v>418</v>
      </c>
      <c r="E2399" t="s">
        <v>20</v>
      </c>
      <c r="F2399" t="s">
        <v>245</v>
      </c>
      <c r="G2399" t="s">
        <v>97</v>
      </c>
      <c r="H2399">
        <v>3</v>
      </c>
      <c r="I2399" t="s">
        <v>7471</v>
      </c>
      <c r="J2399" t="s">
        <v>357</v>
      </c>
    </row>
    <row r="2400" spans="1:10" x14ac:dyDescent="0.25">
      <c r="A2400" t="s">
        <v>7472</v>
      </c>
      <c r="B2400" t="s">
        <v>7473</v>
      </c>
      <c r="C2400" s="2">
        <v>46230.583333333336</v>
      </c>
      <c r="D2400" t="s">
        <v>418</v>
      </c>
      <c r="E2400" t="s">
        <v>22</v>
      </c>
      <c r="F2400" t="s">
        <v>233</v>
      </c>
      <c r="G2400" t="s">
        <v>99</v>
      </c>
      <c r="H2400">
        <v>1</v>
      </c>
      <c r="I2400" t="s">
        <v>7474</v>
      </c>
      <c r="J2400" t="s">
        <v>357</v>
      </c>
    </row>
    <row r="2401" spans="1:10" x14ac:dyDescent="0.25">
      <c r="A2401" t="s">
        <v>7475</v>
      </c>
      <c r="B2401" t="s">
        <v>7476</v>
      </c>
      <c r="C2401" s="2">
        <v>46230.583333333336</v>
      </c>
      <c r="D2401" t="s">
        <v>418</v>
      </c>
      <c r="E2401" t="s">
        <v>24</v>
      </c>
      <c r="F2401" t="s">
        <v>234</v>
      </c>
      <c r="G2401" t="s">
        <v>101</v>
      </c>
      <c r="H2401">
        <v>4</v>
      </c>
      <c r="I2401" t="s">
        <v>7477</v>
      </c>
      <c r="J2401" t="s">
        <v>357</v>
      </c>
    </row>
    <row r="2402" spans="1:10" x14ac:dyDescent="0.25">
      <c r="A2402" t="s">
        <v>7478</v>
      </c>
      <c r="B2402" t="s">
        <v>7479</v>
      </c>
      <c r="C2402" s="2">
        <v>46230.583333333336</v>
      </c>
      <c r="D2402" t="s">
        <v>418</v>
      </c>
      <c r="E2402" t="s">
        <v>26</v>
      </c>
      <c r="F2402" t="s">
        <v>248</v>
      </c>
      <c r="G2402" t="s">
        <v>103</v>
      </c>
      <c r="H2402">
        <v>1</v>
      </c>
      <c r="I2402" t="s">
        <v>7480</v>
      </c>
      <c r="J2402" t="s">
        <v>357</v>
      </c>
    </row>
    <row r="2403" spans="1:10" x14ac:dyDescent="0.25">
      <c r="A2403" t="s">
        <v>7481</v>
      </c>
      <c r="B2403" t="s">
        <v>7482</v>
      </c>
      <c r="C2403" s="2">
        <v>46230.583333333336</v>
      </c>
      <c r="D2403" t="s">
        <v>418</v>
      </c>
      <c r="E2403" t="s">
        <v>36</v>
      </c>
      <c r="F2403" t="s">
        <v>252</v>
      </c>
      <c r="G2403" t="s">
        <v>113</v>
      </c>
      <c r="H2403">
        <v>1</v>
      </c>
      <c r="I2403" t="s">
        <v>7483</v>
      </c>
      <c r="J2403" t="s">
        <v>357</v>
      </c>
    </row>
    <row r="2404" spans="1:10" x14ac:dyDescent="0.25">
      <c r="A2404" t="s">
        <v>7484</v>
      </c>
      <c r="B2404" t="s">
        <v>7485</v>
      </c>
      <c r="C2404" s="2">
        <v>46230.583333333336</v>
      </c>
      <c r="D2404" t="s">
        <v>418</v>
      </c>
      <c r="E2404" t="s">
        <v>41</v>
      </c>
      <c r="F2404" t="s">
        <v>224</v>
      </c>
      <c r="G2404" t="s">
        <v>115</v>
      </c>
      <c r="H2404">
        <v>4</v>
      </c>
      <c r="I2404" t="s">
        <v>7486</v>
      </c>
      <c r="J2404" t="s">
        <v>357</v>
      </c>
    </row>
    <row r="2405" spans="1:10" x14ac:dyDescent="0.25">
      <c r="A2405" t="s">
        <v>7487</v>
      </c>
      <c r="B2405" t="s">
        <v>7488</v>
      </c>
      <c r="C2405" s="2">
        <v>46230.583333333336</v>
      </c>
      <c r="D2405" t="s">
        <v>418</v>
      </c>
      <c r="E2405" t="s">
        <v>67</v>
      </c>
      <c r="F2405" t="s">
        <v>196</v>
      </c>
      <c r="G2405" t="s">
        <v>137</v>
      </c>
      <c r="H2405">
        <v>3</v>
      </c>
      <c r="I2405" t="s">
        <v>7489</v>
      </c>
      <c r="J2405" t="s">
        <v>357</v>
      </c>
    </row>
    <row r="2406" spans="1:10" x14ac:dyDescent="0.25">
      <c r="A2406" t="s">
        <v>7490</v>
      </c>
      <c r="B2406" t="s">
        <v>7491</v>
      </c>
      <c r="C2406" s="2">
        <v>46230.583333333336</v>
      </c>
      <c r="D2406" t="s">
        <v>418</v>
      </c>
      <c r="E2406" t="s">
        <v>69</v>
      </c>
      <c r="F2406" t="s">
        <v>229</v>
      </c>
      <c r="G2406" t="s">
        <v>139</v>
      </c>
      <c r="H2406">
        <v>1</v>
      </c>
      <c r="I2406" t="s">
        <v>7492</v>
      </c>
      <c r="J2406" t="s">
        <v>357</v>
      </c>
    </row>
    <row r="2407" spans="1:10" x14ac:dyDescent="0.25">
      <c r="A2407" t="s">
        <v>7493</v>
      </c>
      <c r="B2407" t="s">
        <v>7494</v>
      </c>
      <c r="C2407" s="2">
        <v>46230.583333333336</v>
      </c>
      <c r="D2407" t="s">
        <v>418</v>
      </c>
      <c r="E2407" t="s">
        <v>75</v>
      </c>
      <c r="F2407" t="s">
        <v>230</v>
      </c>
      <c r="G2407" t="s">
        <v>145</v>
      </c>
      <c r="H2407">
        <v>3</v>
      </c>
      <c r="I2407" t="s">
        <v>7495</v>
      </c>
      <c r="J2407" t="s">
        <v>357</v>
      </c>
    </row>
    <row r="2408" spans="1:10" x14ac:dyDescent="0.25">
      <c r="A2408" t="s">
        <v>7496</v>
      </c>
      <c r="B2408" t="s">
        <v>7497</v>
      </c>
      <c r="C2408" s="2">
        <v>46230.583333333336</v>
      </c>
      <c r="D2408" t="s">
        <v>418</v>
      </c>
      <c r="E2408" t="s">
        <v>77</v>
      </c>
      <c r="F2408" t="s">
        <v>200</v>
      </c>
      <c r="G2408" t="s">
        <v>147</v>
      </c>
      <c r="H2408">
        <v>3</v>
      </c>
      <c r="I2408" t="s">
        <v>7498</v>
      </c>
      <c r="J2408" t="s">
        <v>357</v>
      </c>
    </row>
    <row r="2409" spans="1:10" x14ac:dyDescent="0.25">
      <c r="A2409" t="s">
        <v>7499</v>
      </c>
      <c r="B2409" t="s">
        <v>7500</v>
      </c>
      <c r="C2409" s="2">
        <v>46230.583333333336</v>
      </c>
      <c r="D2409" t="s">
        <v>418</v>
      </c>
      <c r="E2409" t="s">
        <v>18</v>
      </c>
      <c r="F2409" t="s">
        <v>244</v>
      </c>
      <c r="G2409" t="s">
        <v>95</v>
      </c>
      <c r="H2409">
        <v>5</v>
      </c>
      <c r="I2409" t="s">
        <v>7501</v>
      </c>
      <c r="J2409" t="s">
        <v>357</v>
      </c>
    </row>
    <row r="2410" spans="1:10" x14ac:dyDescent="0.25">
      <c r="A2410" t="s">
        <v>7502</v>
      </c>
      <c r="B2410" t="s">
        <v>7503</v>
      </c>
      <c r="C2410" s="2">
        <v>46230.583333333336</v>
      </c>
      <c r="D2410" t="s">
        <v>418</v>
      </c>
      <c r="E2410" t="s">
        <v>22</v>
      </c>
      <c r="F2410" t="s">
        <v>233</v>
      </c>
      <c r="G2410" t="s">
        <v>99</v>
      </c>
      <c r="H2410">
        <v>5</v>
      </c>
      <c r="I2410" t="s">
        <v>7504</v>
      </c>
      <c r="J2410" t="s">
        <v>357</v>
      </c>
    </row>
    <row r="2411" spans="1:10" x14ac:dyDescent="0.25">
      <c r="A2411" t="s">
        <v>7505</v>
      </c>
      <c r="B2411" t="s">
        <v>7506</v>
      </c>
      <c r="C2411" s="2">
        <v>46230.583333333336</v>
      </c>
      <c r="D2411" t="s">
        <v>418</v>
      </c>
      <c r="E2411" t="s">
        <v>26</v>
      </c>
      <c r="F2411" t="s">
        <v>248</v>
      </c>
      <c r="G2411" t="s">
        <v>103</v>
      </c>
      <c r="H2411">
        <v>4</v>
      </c>
      <c r="I2411" t="s">
        <v>7507</v>
      </c>
      <c r="J2411" t="s">
        <v>357</v>
      </c>
    </row>
    <row r="2412" spans="1:10" x14ac:dyDescent="0.25">
      <c r="A2412" t="s">
        <v>7508</v>
      </c>
      <c r="B2412" t="s">
        <v>7509</v>
      </c>
      <c r="C2412" s="2">
        <v>46230.583333333336</v>
      </c>
      <c r="D2412" t="s">
        <v>418</v>
      </c>
      <c r="E2412" t="s">
        <v>28</v>
      </c>
      <c r="F2412" t="s">
        <v>104</v>
      </c>
      <c r="G2412" t="s">
        <v>105</v>
      </c>
      <c r="H2412">
        <v>2</v>
      </c>
      <c r="I2412" t="s">
        <v>7510</v>
      </c>
      <c r="J2412" t="s">
        <v>357</v>
      </c>
    </row>
    <row r="2413" spans="1:10" x14ac:dyDescent="0.25">
      <c r="A2413" t="s">
        <v>7511</v>
      </c>
      <c r="B2413" t="s">
        <v>7512</v>
      </c>
      <c r="C2413" s="2">
        <v>46230.583333333336</v>
      </c>
      <c r="D2413" t="s">
        <v>418</v>
      </c>
      <c r="E2413" t="s">
        <v>36</v>
      </c>
      <c r="F2413" t="s">
        <v>252</v>
      </c>
      <c r="G2413" t="s">
        <v>113</v>
      </c>
      <c r="H2413">
        <v>1</v>
      </c>
      <c r="I2413" t="s">
        <v>7513</v>
      </c>
      <c r="J2413" t="s">
        <v>357</v>
      </c>
    </row>
    <row r="2414" spans="1:10" x14ac:dyDescent="0.25">
      <c r="A2414" t="s">
        <v>7514</v>
      </c>
      <c r="B2414" t="s">
        <v>7515</v>
      </c>
      <c r="C2414" s="2">
        <v>46230.583333333336</v>
      </c>
      <c r="D2414" t="s">
        <v>418</v>
      </c>
      <c r="E2414" t="s">
        <v>41</v>
      </c>
      <c r="F2414" t="s">
        <v>224</v>
      </c>
      <c r="G2414" t="s">
        <v>115</v>
      </c>
      <c r="H2414">
        <v>1</v>
      </c>
      <c r="I2414" t="s">
        <v>7516</v>
      </c>
      <c r="J2414" t="s">
        <v>357</v>
      </c>
    </row>
    <row r="2415" spans="1:10" x14ac:dyDescent="0.25">
      <c r="A2415" t="s">
        <v>7517</v>
      </c>
      <c r="B2415" t="s">
        <v>7518</v>
      </c>
      <c r="C2415" s="2">
        <v>46230.583333333336</v>
      </c>
      <c r="D2415" t="s">
        <v>418</v>
      </c>
      <c r="E2415" t="s">
        <v>51</v>
      </c>
      <c r="F2415" t="s">
        <v>209</v>
      </c>
      <c r="G2415" t="s">
        <v>125</v>
      </c>
      <c r="H2415">
        <v>4</v>
      </c>
      <c r="I2415" t="s">
        <v>7519</v>
      </c>
      <c r="J2415" t="s">
        <v>357</v>
      </c>
    </row>
    <row r="2416" spans="1:10" x14ac:dyDescent="0.25">
      <c r="A2416" t="s">
        <v>7520</v>
      </c>
      <c r="B2416" t="s">
        <v>7521</v>
      </c>
      <c r="C2416" s="2">
        <v>46230.583333333336</v>
      </c>
      <c r="D2416" t="s">
        <v>418</v>
      </c>
      <c r="E2416" t="s">
        <v>59</v>
      </c>
      <c r="F2416" t="s">
        <v>227</v>
      </c>
      <c r="G2416" t="s">
        <v>133</v>
      </c>
      <c r="H2416">
        <v>5</v>
      </c>
      <c r="I2416" t="s">
        <v>7522</v>
      </c>
      <c r="J2416" t="s">
        <v>357</v>
      </c>
    </row>
    <row r="2417" spans="1:10" x14ac:dyDescent="0.25">
      <c r="A2417" t="s">
        <v>7523</v>
      </c>
      <c r="B2417" t="s">
        <v>7524</v>
      </c>
      <c r="C2417" s="2">
        <v>46230.583333333336</v>
      </c>
      <c r="D2417" t="s">
        <v>418</v>
      </c>
      <c r="E2417" t="s">
        <v>71</v>
      </c>
      <c r="F2417" t="s">
        <v>212</v>
      </c>
      <c r="G2417" t="s">
        <v>141</v>
      </c>
      <c r="H2417">
        <v>6</v>
      </c>
      <c r="I2417" t="s">
        <v>7525</v>
      </c>
      <c r="J2417" t="s">
        <v>357</v>
      </c>
    </row>
    <row r="2418" spans="1:10" x14ac:dyDescent="0.25">
      <c r="A2418" t="s">
        <v>7526</v>
      </c>
      <c r="B2418" t="s">
        <v>7527</v>
      </c>
      <c r="C2418" s="2">
        <v>46230.583333333336</v>
      </c>
      <c r="D2418" t="s">
        <v>418</v>
      </c>
      <c r="E2418" t="s">
        <v>22</v>
      </c>
      <c r="F2418" t="s">
        <v>233</v>
      </c>
      <c r="G2418" t="s">
        <v>99</v>
      </c>
      <c r="H2418">
        <v>4</v>
      </c>
      <c r="I2418" t="s">
        <v>7528</v>
      </c>
      <c r="J2418" t="s">
        <v>357</v>
      </c>
    </row>
    <row r="2419" spans="1:10" x14ac:dyDescent="0.25">
      <c r="A2419" t="s">
        <v>7529</v>
      </c>
      <c r="B2419" t="s">
        <v>7530</v>
      </c>
      <c r="C2419" s="2">
        <v>46230.583333333336</v>
      </c>
      <c r="D2419" t="s">
        <v>418</v>
      </c>
      <c r="E2419" t="s">
        <v>24</v>
      </c>
      <c r="F2419" t="s">
        <v>234</v>
      </c>
      <c r="G2419" t="s">
        <v>101</v>
      </c>
      <c r="H2419">
        <v>6</v>
      </c>
      <c r="I2419" t="s">
        <v>7531</v>
      </c>
      <c r="J2419" t="s">
        <v>357</v>
      </c>
    </row>
    <row r="2420" spans="1:10" x14ac:dyDescent="0.25">
      <c r="A2420" t="s">
        <v>7532</v>
      </c>
      <c r="B2420" t="s">
        <v>7533</v>
      </c>
      <c r="C2420" s="2">
        <v>46230.583333333336</v>
      </c>
      <c r="D2420" t="s">
        <v>418</v>
      </c>
      <c r="E2420" t="s">
        <v>55</v>
      </c>
      <c r="F2420" t="s">
        <v>170</v>
      </c>
      <c r="G2420" t="s">
        <v>129</v>
      </c>
      <c r="H2420">
        <v>4</v>
      </c>
      <c r="I2420" t="s">
        <v>7534</v>
      </c>
      <c r="J2420" t="s">
        <v>357</v>
      </c>
    </row>
    <row r="2421" spans="1:10" x14ac:dyDescent="0.25">
      <c r="A2421" t="s">
        <v>7535</v>
      </c>
      <c r="B2421" t="s">
        <v>7536</v>
      </c>
      <c r="C2421" s="2">
        <v>46230.583333333336</v>
      </c>
      <c r="D2421" t="s">
        <v>418</v>
      </c>
      <c r="E2421" t="s">
        <v>59</v>
      </c>
      <c r="F2421" t="s">
        <v>227</v>
      </c>
      <c r="G2421" t="s">
        <v>133</v>
      </c>
      <c r="H2421">
        <v>4</v>
      </c>
      <c r="I2421" t="s">
        <v>7537</v>
      </c>
      <c r="J2421" t="s">
        <v>357</v>
      </c>
    </row>
    <row r="2422" spans="1:10" x14ac:dyDescent="0.25">
      <c r="A2422" t="s">
        <v>7538</v>
      </c>
      <c r="B2422" t="s">
        <v>7539</v>
      </c>
      <c r="C2422" s="2">
        <v>46230.583333333336</v>
      </c>
      <c r="D2422" t="s">
        <v>418</v>
      </c>
      <c r="E2422" t="s">
        <v>67</v>
      </c>
      <c r="F2422" t="s">
        <v>196</v>
      </c>
      <c r="G2422" t="s">
        <v>137</v>
      </c>
      <c r="H2422">
        <v>7</v>
      </c>
      <c r="I2422" t="s">
        <v>7540</v>
      </c>
      <c r="J2422" t="s">
        <v>357</v>
      </c>
    </row>
    <row r="2423" spans="1:10" x14ac:dyDescent="0.25">
      <c r="A2423" t="s">
        <v>7541</v>
      </c>
      <c r="B2423" t="s">
        <v>7542</v>
      </c>
      <c r="C2423" s="2">
        <v>46230.583333333336</v>
      </c>
      <c r="D2423" t="s">
        <v>418</v>
      </c>
      <c r="E2423" t="s">
        <v>75</v>
      </c>
      <c r="F2423" t="s">
        <v>230</v>
      </c>
      <c r="G2423" t="s">
        <v>145</v>
      </c>
      <c r="H2423">
        <v>7</v>
      </c>
      <c r="I2423" t="s">
        <v>7543</v>
      </c>
      <c r="J2423" t="s">
        <v>357</v>
      </c>
    </row>
    <row r="2424" spans="1:10" x14ac:dyDescent="0.25">
      <c r="A2424" t="s">
        <v>7544</v>
      </c>
      <c r="B2424" t="s">
        <v>7545</v>
      </c>
      <c r="C2424" s="2">
        <v>46230.583333333336</v>
      </c>
      <c r="D2424" t="s">
        <v>418</v>
      </c>
      <c r="E2424" t="s">
        <v>20</v>
      </c>
      <c r="F2424" t="s">
        <v>245</v>
      </c>
      <c r="G2424" t="s">
        <v>97</v>
      </c>
      <c r="H2424">
        <v>4</v>
      </c>
      <c r="I2424" t="s">
        <v>7546</v>
      </c>
      <c r="J2424" t="s">
        <v>357</v>
      </c>
    </row>
    <row r="2425" spans="1:10" x14ac:dyDescent="0.25">
      <c r="A2425" t="s">
        <v>7547</v>
      </c>
      <c r="B2425" t="s">
        <v>7548</v>
      </c>
      <c r="C2425" s="2">
        <v>46230.583333333336</v>
      </c>
      <c r="D2425" t="s">
        <v>418</v>
      </c>
      <c r="E2425" t="s">
        <v>22</v>
      </c>
      <c r="F2425" t="s">
        <v>233</v>
      </c>
      <c r="G2425" t="s">
        <v>99</v>
      </c>
      <c r="H2425">
        <v>4</v>
      </c>
      <c r="I2425" t="s">
        <v>7549</v>
      </c>
      <c r="J2425" t="s">
        <v>357</v>
      </c>
    </row>
    <row r="2426" spans="1:10" x14ac:dyDescent="0.25">
      <c r="A2426" t="s">
        <v>7550</v>
      </c>
      <c r="B2426" t="s">
        <v>7551</v>
      </c>
      <c r="C2426" s="2">
        <v>46230.583333333336</v>
      </c>
      <c r="D2426" t="s">
        <v>418</v>
      </c>
      <c r="E2426" t="s">
        <v>26</v>
      </c>
      <c r="F2426" t="s">
        <v>248</v>
      </c>
      <c r="G2426" t="s">
        <v>103</v>
      </c>
      <c r="H2426">
        <v>2</v>
      </c>
      <c r="I2426" t="s">
        <v>7552</v>
      </c>
      <c r="J2426" t="s">
        <v>357</v>
      </c>
    </row>
    <row r="2427" spans="1:10" x14ac:dyDescent="0.25">
      <c r="A2427" t="s">
        <v>7553</v>
      </c>
      <c r="B2427" t="s">
        <v>7554</v>
      </c>
      <c r="C2427" s="2">
        <v>46230.583333333336</v>
      </c>
      <c r="D2427" t="s">
        <v>418</v>
      </c>
      <c r="E2427" t="s">
        <v>30</v>
      </c>
      <c r="F2427" t="s">
        <v>250</v>
      </c>
      <c r="G2427" t="s">
        <v>107</v>
      </c>
      <c r="H2427">
        <v>4</v>
      </c>
      <c r="I2427" t="s">
        <v>7555</v>
      </c>
      <c r="J2427" t="s">
        <v>357</v>
      </c>
    </row>
    <row r="2428" spans="1:10" x14ac:dyDescent="0.25">
      <c r="A2428" t="s">
        <v>7556</v>
      </c>
      <c r="B2428" t="s">
        <v>7557</v>
      </c>
      <c r="C2428" s="2">
        <v>46230.583333333336</v>
      </c>
      <c r="D2428" t="s">
        <v>418</v>
      </c>
      <c r="E2428" t="s">
        <v>32</v>
      </c>
      <c r="F2428" t="s">
        <v>251</v>
      </c>
      <c r="G2428" t="s">
        <v>109</v>
      </c>
      <c r="H2428">
        <v>2</v>
      </c>
      <c r="I2428" t="s">
        <v>7558</v>
      </c>
      <c r="J2428" t="s">
        <v>357</v>
      </c>
    </row>
    <row r="2429" spans="1:10" x14ac:dyDescent="0.25">
      <c r="A2429" t="s">
        <v>7559</v>
      </c>
      <c r="B2429" t="s">
        <v>7560</v>
      </c>
      <c r="C2429" s="2">
        <v>46230.583333333336</v>
      </c>
      <c r="D2429" t="s">
        <v>418</v>
      </c>
      <c r="E2429" t="s">
        <v>47</v>
      </c>
      <c r="F2429" t="s">
        <v>238</v>
      </c>
      <c r="G2429" t="s">
        <v>121</v>
      </c>
      <c r="H2429">
        <v>1</v>
      </c>
      <c r="I2429" t="s">
        <v>7561</v>
      </c>
      <c r="J2429" t="s">
        <v>357</v>
      </c>
    </row>
    <row r="2430" spans="1:10" x14ac:dyDescent="0.25">
      <c r="A2430" t="s">
        <v>7562</v>
      </c>
      <c r="B2430" t="s">
        <v>7563</v>
      </c>
      <c r="C2430" s="2">
        <v>46230.583333333336</v>
      </c>
      <c r="D2430" t="s">
        <v>418</v>
      </c>
      <c r="E2430" t="s">
        <v>57</v>
      </c>
      <c r="F2430" t="s">
        <v>255</v>
      </c>
      <c r="G2430" t="s">
        <v>131</v>
      </c>
      <c r="H2430">
        <v>2</v>
      </c>
      <c r="I2430" t="s">
        <v>7564</v>
      </c>
      <c r="J2430" t="s">
        <v>357</v>
      </c>
    </row>
    <row r="2431" spans="1:10" x14ac:dyDescent="0.25">
      <c r="A2431" t="s">
        <v>7565</v>
      </c>
      <c r="B2431" t="s">
        <v>7566</v>
      </c>
      <c r="C2431" s="2">
        <v>46230.583333333336</v>
      </c>
      <c r="D2431" t="s">
        <v>418</v>
      </c>
      <c r="E2431" t="s">
        <v>65</v>
      </c>
      <c r="F2431" t="s">
        <v>228</v>
      </c>
      <c r="G2431" t="s">
        <v>135</v>
      </c>
      <c r="H2431">
        <v>3</v>
      </c>
      <c r="I2431" t="s">
        <v>7567</v>
      </c>
      <c r="J2431" t="s">
        <v>357</v>
      </c>
    </row>
    <row r="2432" spans="1:10" x14ac:dyDescent="0.25">
      <c r="A2432" t="s">
        <v>7568</v>
      </c>
      <c r="B2432" t="s">
        <v>7569</v>
      </c>
      <c r="C2432" s="2">
        <v>46230.583333333336</v>
      </c>
      <c r="D2432" t="s">
        <v>418</v>
      </c>
      <c r="E2432" t="s">
        <v>71</v>
      </c>
      <c r="F2432" t="s">
        <v>212</v>
      </c>
      <c r="G2432" t="s">
        <v>141</v>
      </c>
      <c r="H2432">
        <v>1</v>
      </c>
      <c r="I2432" t="s">
        <v>7570</v>
      </c>
      <c r="J2432" t="s">
        <v>357</v>
      </c>
    </row>
    <row r="2433" spans="1:10" x14ac:dyDescent="0.25">
      <c r="A2433" t="s">
        <v>7571</v>
      </c>
      <c r="B2433" t="s">
        <v>7572</v>
      </c>
      <c r="C2433" s="2">
        <v>46230.583333333336</v>
      </c>
      <c r="D2433" t="s">
        <v>418</v>
      </c>
      <c r="E2433" t="s">
        <v>73</v>
      </c>
      <c r="F2433" t="s">
        <v>177</v>
      </c>
      <c r="G2433" t="s">
        <v>143</v>
      </c>
      <c r="H2433">
        <v>4</v>
      </c>
      <c r="I2433" t="s">
        <v>7573</v>
      </c>
      <c r="J2433" t="s">
        <v>357</v>
      </c>
    </row>
    <row r="2434" spans="1:10" x14ac:dyDescent="0.25">
      <c r="A2434" t="s">
        <v>7574</v>
      </c>
      <c r="B2434" t="s">
        <v>7575</v>
      </c>
      <c r="C2434" s="2">
        <v>46231.333333333336</v>
      </c>
      <c r="D2434" t="s">
        <v>1412</v>
      </c>
      <c r="E2434" t="s">
        <v>18</v>
      </c>
      <c r="F2434" t="s">
        <v>260</v>
      </c>
      <c r="G2434" t="s">
        <v>95</v>
      </c>
      <c r="H2434">
        <v>60</v>
      </c>
      <c r="I2434" t="s">
        <v>357</v>
      </c>
      <c r="J2434" t="s">
        <v>7576</v>
      </c>
    </row>
    <row r="2435" spans="1:10" x14ac:dyDescent="0.25">
      <c r="A2435" t="s">
        <v>7577</v>
      </c>
      <c r="B2435" t="s">
        <v>7578</v>
      </c>
      <c r="C2435" s="2">
        <v>46231.333333333336</v>
      </c>
      <c r="D2435" t="s">
        <v>1412</v>
      </c>
      <c r="E2435" t="s">
        <v>20</v>
      </c>
      <c r="F2435" t="s">
        <v>261</v>
      </c>
      <c r="G2435" t="s">
        <v>97</v>
      </c>
      <c r="H2435">
        <v>72</v>
      </c>
      <c r="I2435" t="s">
        <v>357</v>
      </c>
      <c r="J2435" t="s">
        <v>7579</v>
      </c>
    </row>
    <row r="2436" spans="1:10" x14ac:dyDescent="0.25">
      <c r="A2436" t="s">
        <v>7580</v>
      </c>
      <c r="B2436" t="s">
        <v>7581</v>
      </c>
      <c r="C2436" s="2">
        <v>46231.333333333336</v>
      </c>
      <c r="D2436" t="s">
        <v>1412</v>
      </c>
      <c r="E2436" t="s">
        <v>22</v>
      </c>
      <c r="F2436" t="s">
        <v>262</v>
      </c>
      <c r="G2436" t="s">
        <v>99</v>
      </c>
      <c r="H2436">
        <v>79</v>
      </c>
      <c r="I2436" t="s">
        <v>357</v>
      </c>
      <c r="J2436" t="s">
        <v>7582</v>
      </c>
    </row>
    <row r="2437" spans="1:10" x14ac:dyDescent="0.25">
      <c r="A2437" t="s">
        <v>7583</v>
      </c>
      <c r="B2437" t="s">
        <v>7584</v>
      </c>
      <c r="C2437" s="2">
        <v>46231.333333333336</v>
      </c>
      <c r="D2437" t="s">
        <v>1412</v>
      </c>
      <c r="E2437" t="s">
        <v>24</v>
      </c>
      <c r="F2437" t="s">
        <v>263</v>
      </c>
      <c r="G2437" t="s">
        <v>101</v>
      </c>
      <c r="H2437">
        <v>87</v>
      </c>
      <c r="I2437" t="s">
        <v>357</v>
      </c>
      <c r="J2437" t="s">
        <v>7585</v>
      </c>
    </row>
    <row r="2438" spans="1:10" x14ac:dyDescent="0.25">
      <c r="A2438" t="s">
        <v>7586</v>
      </c>
      <c r="B2438" t="s">
        <v>7587</v>
      </c>
      <c r="C2438" s="2">
        <v>46231.333333333336</v>
      </c>
      <c r="D2438" t="s">
        <v>1412</v>
      </c>
      <c r="E2438" t="s">
        <v>26</v>
      </c>
      <c r="F2438" t="s">
        <v>264</v>
      </c>
      <c r="G2438" t="s">
        <v>103</v>
      </c>
      <c r="H2438">
        <v>83</v>
      </c>
      <c r="I2438" t="s">
        <v>357</v>
      </c>
      <c r="J2438" t="s">
        <v>7588</v>
      </c>
    </row>
    <row r="2439" spans="1:10" x14ac:dyDescent="0.25">
      <c r="A2439" t="s">
        <v>7589</v>
      </c>
      <c r="B2439" t="s">
        <v>7590</v>
      </c>
      <c r="C2439" s="2">
        <v>46231.333333333336</v>
      </c>
      <c r="D2439" t="s">
        <v>1412</v>
      </c>
      <c r="E2439" t="s">
        <v>41</v>
      </c>
      <c r="F2439" t="s">
        <v>265</v>
      </c>
      <c r="G2439" t="s">
        <v>115</v>
      </c>
      <c r="H2439">
        <v>69</v>
      </c>
      <c r="I2439" t="s">
        <v>357</v>
      </c>
      <c r="J2439" t="s">
        <v>7591</v>
      </c>
    </row>
    <row r="2440" spans="1:10" x14ac:dyDescent="0.25">
      <c r="A2440" t="s">
        <v>7592</v>
      </c>
      <c r="B2440" t="s">
        <v>7593</v>
      </c>
      <c r="C2440" s="2">
        <v>46231.333333333336</v>
      </c>
      <c r="D2440" t="s">
        <v>1412</v>
      </c>
      <c r="E2440" t="s">
        <v>43</v>
      </c>
      <c r="F2440" t="s">
        <v>266</v>
      </c>
      <c r="G2440" t="s">
        <v>117</v>
      </c>
      <c r="H2440">
        <v>71</v>
      </c>
      <c r="I2440" t="s">
        <v>357</v>
      </c>
      <c r="J2440" t="s">
        <v>7594</v>
      </c>
    </row>
    <row r="2441" spans="1:10" x14ac:dyDescent="0.25">
      <c r="A2441" t="s">
        <v>7595</v>
      </c>
      <c r="B2441" t="s">
        <v>7596</v>
      </c>
      <c r="C2441" s="2">
        <v>46231.333333333336</v>
      </c>
      <c r="D2441" t="s">
        <v>1412</v>
      </c>
      <c r="E2441" t="s">
        <v>45</v>
      </c>
      <c r="F2441" t="s">
        <v>267</v>
      </c>
      <c r="G2441" t="s">
        <v>119</v>
      </c>
      <c r="H2441">
        <v>86</v>
      </c>
      <c r="I2441" t="s">
        <v>357</v>
      </c>
      <c r="J2441" t="s">
        <v>7597</v>
      </c>
    </row>
    <row r="2442" spans="1:10" x14ac:dyDescent="0.25">
      <c r="A2442" t="s">
        <v>7598</v>
      </c>
      <c r="B2442" t="s">
        <v>7599</v>
      </c>
      <c r="C2442" s="2">
        <v>46231.333333333336</v>
      </c>
      <c r="D2442" t="s">
        <v>1412</v>
      </c>
      <c r="E2442" t="s">
        <v>47</v>
      </c>
      <c r="F2442" t="s">
        <v>268</v>
      </c>
      <c r="G2442" t="s">
        <v>121</v>
      </c>
      <c r="H2442">
        <v>63</v>
      </c>
      <c r="I2442" t="s">
        <v>357</v>
      </c>
      <c r="J2442" t="s">
        <v>7600</v>
      </c>
    </row>
    <row r="2443" spans="1:10" x14ac:dyDescent="0.25">
      <c r="A2443" t="s">
        <v>7601</v>
      </c>
      <c r="B2443" t="s">
        <v>7602</v>
      </c>
      <c r="C2443" s="2">
        <v>46231.333333333336</v>
      </c>
      <c r="D2443" t="s">
        <v>1412</v>
      </c>
      <c r="E2443" t="s">
        <v>55</v>
      </c>
      <c r="F2443" t="s">
        <v>269</v>
      </c>
      <c r="G2443" t="s">
        <v>129</v>
      </c>
      <c r="H2443">
        <v>85</v>
      </c>
      <c r="I2443" t="s">
        <v>357</v>
      </c>
      <c r="J2443" t="s">
        <v>7603</v>
      </c>
    </row>
    <row r="2444" spans="1:10" x14ac:dyDescent="0.25">
      <c r="A2444" t="s">
        <v>7604</v>
      </c>
      <c r="B2444" t="s">
        <v>7605</v>
      </c>
      <c r="C2444" s="2">
        <v>46231.333333333336</v>
      </c>
      <c r="D2444" t="s">
        <v>1412</v>
      </c>
      <c r="E2444" t="s">
        <v>59</v>
      </c>
      <c r="F2444" t="s">
        <v>270</v>
      </c>
      <c r="G2444" t="s">
        <v>133</v>
      </c>
      <c r="H2444">
        <v>60</v>
      </c>
      <c r="I2444" t="s">
        <v>357</v>
      </c>
      <c r="J2444" t="s">
        <v>7606</v>
      </c>
    </row>
    <row r="2445" spans="1:10" x14ac:dyDescent="0.25">
      <c r="A2445" t="s">
        <v>7607</v>
      </c>
      <c r="B2445" t="s">
        <v>7608</v>
      </c>
      <c r="C2445" s="2">
        <v>46231.333333333336</v>
      </c>
      <c r="D2445" t="s">
        <v>1412</v>
      </c>
      <c r="E2445" t="s">
        <v>67</v>
      </c>
      <c r="F2445" t="s">
        <v>271</v>
      </c>
      <c r="G2445" t="s">
        <v>137</v>
      </c>
      <c r="H2445">
        <v>81</v>
      </c>
      <c r="I2445" t="s">
        <v>357</v>
      </c>
      <c r="J2445" t="s">
        <v>7609</v>
      </c>
    </row>
    <row r="2446" spans="1:10" x14ac:dyDescent="0.25">
      <c r="A2446" t="s">
        <v>7610</v>
      </c>
      <c r="B2446" t="s">
        <v>7611</v>
      </c>
      <c r="C2446" s="2">
        <v>46231.333333333336</v>
      </c>
      <c r="D2446" t="s">
        <v>1412</v>
      </c>
      <c r="E2446" t="s">
        <v>75</v>
      </c>
      <c r="F2446" t="s">
        <v>272</v>
      </c>
      <c r="G2446" t="s">
        <v>145</v>
      </c>
      <c r="H2446">
        <v>74</v>
      </c>
      <c r="I2446" t="s">
        <v>357</v>
      </c>
      <c r="J2446" t="s">
        <v>7612</v>
      </c>
    </row>
    <row r="2447" spans="1:10" x14ac:dyDescent="0.25">
      <c r="A2447" t="s">
        <v>7613</v>
      </c>
      <c r="B2447" t="s">
        <v>7614</v>
      </c>
      <c r="C2447" s="2">
        <v>46231.333333333336</v>
      </c>
      <c r="D2447" t="s">
        <v>1412</v>
      </c>
      <c r="E2447" t="s">
        <v>77</v>
      </c>
      <c r="F2447" t="s">
        <v>273</v>
      </c>
      <c r="G2447" t="s">
        <v>147</v>
      </c>
      <c r="H2447">
        <v>86</v>
      </c>
      <c r="I2447" t="s">
        <v>357</v>
      </c>
      <c r="J2447" t="s">
        <v>7615</v>
      </c>
    </row>
    <row r="2448" spans="1:10" x14ac:dyDescent="0.25">
      <c r="A2448" t="s">
        <v>7616</v>
      </c>
      <c r="B2448" t="s">
        <v>7617</v>
      </c>
      <c r="C2448" s="2">
        <v>46231.583333333336</v>
      </c>
      <c r="D2448" t="s">
        <v>418</v>
      </c>
      <c r="E2448" t="s">
        <v>20</v>
      </c>
      <c r="F2448" t="s">
        <v>245</v>
      </c>
      <c r="G2448" t="s">
        <v>97</v>
      </c>
      <c r="H2448">
        <v>1</v>
      </c>
      <c r="I2448" t="s">
        <v>7618</v>
      </c>
      <c r="J2448" t="s">
        <v>357</v>
      </c>
    </row>
    <row r="2449" spans="1:10" x14ac:dyDescent="0.25">
      <c r="A2449" t="s">
        <v>7619</v>
      </c>
      <c r="B2449" t="s">
        <v>7620</v>
      </c>
      <c r="C2449" s="2">
        <v>46231.583333333336</v>
      </c>
      <c r="D2449" t="s">
        <v>418</v>
      </c>
      <c r="E2449" t="s">
        <v>22</v>
      </c>
      <c r="F2449" t="s">
        <v>233</v>
      </c>
      <c r="G2449" t="s">
        <v>99</v>
      </c>
      <c r="H2449">
        <v>4</v>
      </c>
      <c r="I2449" t="s">
        <v>7621</v>
      </c>
      <c r="J2449" t="s">
        <v>357</v>
      </c>
    </row>
    <row r="2450" spans="1:10" x14ac:dyDescent="0.25">
      <c r="A2450" t="s">
        <v>7622</v>
      </c>
      <c r="B2450" t="s">
        <v>7623</v>
      </c>
      <c r="C2450" s="2">
        <v>46231.583333333336</v>
      </c>
      <c r="D2450" t="s">
        <v>418</v>
      </c>
      <c r="E2450" t="s">
        <v>45</v>
      </c>
      <c r="F2450" t="s">
        <v>267</v>
      </c>
      <c r="G2450" t="s">
        <v>119</v>
      </c>
      <c r="H2450">
        <v>2</v>
      </c>
      <c r="I2450" t="s">
        <v>7624</v>
      </c>
      <c r="J2450" t="s">
        <v>357</v>
      </c>
    </row>
    <row r="2451" spans="1:10" x14ac:dyDescent="0.25">
      <c r="A2451" t="s">
        <v>7625</v>
      </c>
      <c r="B2451" t="s">
        <v>7626</v>
      </c>
      <c r="C2451" s="2">
        <v>46231.583333333336</v>
      </c>
      <c r="D2451" t="s">
        <v>418</v>
      </c>
      <c r="E2451" t="s">
        <v>69</v>
      </c>
      <c r="F2451" t="s">
        <v>229</v>
      </c>
      <c r="G2451" t="s">
        <v>139</v>
      </c>
      <c r="H2451">
        <v>3</v>
      </c>
      <c r="I2451" t="s">
        <v>7627</v>
      </c>
      <c r="J2451" t="s">
        <v>357</v>
      </c>
    </row>
    <row r="2452" spans="1:10" x14ac:dyDescent="0.25">
      <c r="A2452" t="s">
        <v>7628</v>
      </c>
      <c r="B2452" t="s">
        <v>7629</v>
      </c>
      <c r="C2452" s="2">
        <v>46231.583333333336</v>
      </c>
      <c r="D2452" t="s">
        <v>418</v>
      </c>
      <c r="E2452" t="s">
        <v>75</v>
      </c>
      <c r="F2452" t="s">
        <v>230</v>
      </c>
      <c r="G2452" t="s">
        <v>145</v>
      </c>
      <c r="H2452">
        <v>2</v>
      </c>
      <c r="I2452" t="s">
        <v>7630</v>
      </c>
      <c r="J2452" t="s">
        <v>357</v>
      </c>
    </row>
    <row r="2453" spans="1:10" x14ac:dyDescent="0.25">
      <c r="A2453" t="s">
        <v>7631</v>
      </c>
      <c r="B2453" t="s">
        <v>7632</v>
      </c>
      <c r="C2453" s="2">
        <v>46231.583333333336</v>
      </c>
      <c r="D2453" t="s">
        <v>418</v>
      </c>
      <c r="E2453" t="s">
        <v>18</v>
      </c>
      <c r="F2453" t="s">
        <v>260</v>
      </c>
      <c r="G2453" t="s">
        <v>95</v>
      </c>
      <c r="H2453">
        <v>5</v>
      </c>
      <c r="I2453" t="s">
        <v>7633</v>
      </c>
      <c r="J2453" t="s">
        <v>357</v>
      </c>
    </row>
    <row r="2454" spans="1:10" x14ac:dyDescent="0.25">
      <c r="A2454" t="s">
        <v>7634</v>
      </c>
      <c r="B2454" t="s">
        <v>7635</v>
      </c>
      <c r="C2454" s="2">
        <v>46231.583333333336</v>
      </c>
      <c r="D2454" t="s">
        <v>418</v>
      </c>
      <c r="E2454" t="s">
        <v>22</v>
      </c>
      <c r="F2454" t="s">
        <v>233</v>
      </c>
      <c r="G2454" t="s">
        <v>99</v>
      </c>
      <c r="H2454">
        <v>2</v>
      </c>
      <c r="I2454" t="s">
        <v>7636</v>
      </c>
      <c r="J2454" t="s">
        <v>357</v>
      </c>
    </row>
    <row r="2455" spans="1:10" x14ac:dyDescent="0.25">
      <c r="A2455" t="s">
        <v>7637</v>
      </c>
      <c r="B2455" t="s">
        <v>7638</v>
      </c>
      <c r="C2455" s="2">
        <v>46231.583333333336</v>
      </c>
      <c r="D2455" t="s">
        <v>418</v>
      </c>
      <c r="E2455" t="s">
        <v>26</v>
      </c>
      <c r="F2455" t="s">
        <v>248</v>
      </c>
      <c r="G2455" t="s">
        <v>103</v>
      </c>
      <c r="H2455">
        <v>1</v>
      </c>
      <c r="I2455" t="s">
        <v>7639</v>
      </c>
      <c r="J2455" t="s">
        <v>357</v>
      </c>
    </row>
    <row r="2456" spans="1:10" x14ac:dyDescent="0.25">
      <c r="A2456" t="s">
        <v>7640</v>
      </c>
      <c r="B2456" t="s">
        <v>7641</v>
      </c>
      <c r="C2456" s="2">
        <v>46231.583333333336</v>
      </c>
      <c r="D2456" t="s">
        <v>418</v>
      </c>
      <c r="E2456" t="s">
        <v>32</v>
      </c>
      <c r="F2456" t="s">
        <v>251</v>
      </c>
      <c r="G2456" t="s">
        <v>109</v>
      </c>
      <c r="H2456">
        <v>4</v>
      </c>
      <c r="I2456" t="s">
        <v>7642</v>
      </c>
      <c r="J2456" t="s">
        <v>357</v>
      </c>
    </row>
    <row r="2457" spans="1:10" x14ac:dyDescent="0.25">
      <c r="A2457" t="s">
        <v>7643</v>
      </c>
      <c r="B2457" t="s">
        <v>7644</v>
      </c>
      <c r="C2457" s="2">
        <v>46231.583333333336</v>
      </c>
      <c r="D2457" t="s">
        <v>418</v>
      </c>
      <c r="E2457" t="s">
        <v>36</v>
      </c>
      <c r="F2457" t="s">
        <v>252</v>
      </c>
      <c r="G2457" t="s">
        <v>113</v>
      </c>
      <c r="H2457">
        <v>5</v>
      </c>
      <c r="I2457" t="s">
        <v>7645</v>
      </c>
      <c r="J2457" t="s">
        <v>357</v>
      </c>
    </row>
    <row r="2458" spans="1:10" x14ac:dyDescent="0.25">
      <c r="A2458" t="s">
        <v>7646</v>
      </c>
      <c r="B2458" t="s">
        <v>7647</v>
      </c>
      <c r="C2458" s="2">
        <v>46231.583333333336</v>
      </c>
      <c r="D2458" t="s">
        <v>418</v>
      </c>
      <c r="E2458" t="s">
        <v>47</v>
      </c>
      <c r="F2458" t="s">
        <v>238</v>
      </c>
      <c r="G2458" t="s">
        <v>121</v>
      </c>
      <c r="H2458">
        <v>4</v>
      </c>
      <c r="I2458" t="s">
        <v>7648</v>
      </c>
      <c r="J2458" t="s">
        <v>357</v>
      </c>
    </row>
    <row r="2459" spans="1:10" x14ac:dyDescent="0.25">
      <c r="A2459" t="s">
        <v>7649</v>
      </c>
      <c r="B2459" t="s">
        <v>7650</v>
      </c>
      <c r="C2459" s="2">
        <v>46231.583333333336</v>
      </c>
      <c r="D2459" t="s">
        <v>418</v>
      </c>
      <c r="E2459" t="s">
        <v>49</v>
      </c>
      <c r="F2459" t="s">
        <v>253</v>
      </c>
      <c r="G2459" t="s">
        <v>123</v>
      </c>
      <c r="H2459">
        <v>1</v>
      </c>
      <c r="I2459" t="s">
        <v>7651</v>
      </c>
      <c r="J2459" t="s">
        <v>357</v>
      </c>
    </row>
    <row r="2460" spans="1:10" x14ac:dyDescent="0.25">
      <c r="A2460" t="s">
        <v>7652</v>
      </c>
      <c r="B2460" t="s">
        <v>7653</v>
      </c>
      <c r="C2460" s="2">
        <v>46231.583333333336</v>
      </c>
      <c r="D2460" t="s">
        <v>418</v>
      </c>
      <c r="E2460" t="s">
        <v>51</v>
      </c>
      <c r="F2460" t="s">
        <v>209</v>
      </c>
      <c r="G2460" t="s">
        <v>125</v>
      </c>
      <c r="H2460">
        <v>1</v>
      </c>
      <c r="I2460" t="s">
        <v>7654</v>
      </c>
      <c r="J2460" t="s">
        <v>357</v>
      </c>
    </row>
    <row r="2461" spans="1:10" x14ac:dyDescent="0.25">
      <c r="A2461" t="s">
        <v>7655</v>
      </c>
      <c r="B2461" t="s">
        <v>7656</v>
      </c>
      <c r="C2461" s="2">
        <v>46231.583333333336</v>
      </c>
      <c r="D2461" t="s">
        <v>418</v>
      </c>
      <c r="E2461" t="s">
        <v>51</v>
      </c>
      <c r="F2461" t="s">
        <v>168</v>
      </c>
      <c r="G2461" t="s">
        <v>125</v>
      </c>
      <c r="H2461">
        <v>4</v>
      </c>
      <c r="I2461" t="s">
        <v>7654</v>
      </c>
      <c r="J2461" t="s">
        <v>357</v>
      </c>
    </row>
    <row r="2462" spans="1:10" x14ac:dyDescent="0.25">
      <c r="A2462" t="s">
        <v>7657</v>
      </c>
      <c r="B2462" t="s">
        <v>7658</v>
      </c>
      <c r="C2462" s="2">
        <v>46231.583333333336</v>
      </c>
      <c r="D2462" t="s">
        <v>418</v>
      </c>
      <c r="E2462" t="s">
        <v>73</v>
      </c>
      <c r="F2462" t="s">
        <v>177</v>
      </c>
      <c r="G2462" t="s">
        <v>143</v>
      </c>
      <c r="H2462">
        <v>4</v>
      </c>
      <c r="I2462" t="s">
        <v>7659</v>
      </c>
      <c r="J2462" t="s">
        <v>357</v>
      </c>
    </row>
    <row r="2463" spans="1:10" x14ac:dyDescent="0.25">
      <c r="A2463" t="s">
        <v>7660</v>
      </c>
      <c r="B2463" t="s">
        <v>7661</v>
      </c>
      <c r="C2463" s="2">
        <v>46231.583333333336</v>
      </c>
      <c r="D2463" t="s">
        <v>418</v>
      </c>
      <c r="E2463" t="s">
        <v>20</v>
      </c>
      <c r="F2463" t="s">
        <v>245</v>
      </c>
      <c r="G2463" t="s">
        <v>97</v>
      </c>
      <c r="H2463">
        <v>2</v>
      </c>
      <c r="I2463" t="s">
        <v>7662</v>
      </c>
      <c r="J2463" t="s">
        <v>357</v>
      </c>
    </row>
    <row r="2464" spans="1:10" x14ac:dyDescent="0.25">
      <c r="A2464" t="s">
        <v>7663</v>
      </c>
      <c r="B2464" t="s">
        <v>7664</v>
      </c>
      <c r="C2464" s="2">
        <v>46231.583333333336</v>
      </c>
      <c r="D2464" t="s">
        <v>418</v>
      </c>
      <c r="E2464" t="s">
        <v>24</v>
      </c>
      <c r="F2464" t="s">
        <v>263</v>
      </c>
      <c r="G2464" t="s">
        <v>101</v>
      </c>
      <c r="H2464">
        <v>6</v>
      </c>
      <c r="I2464" t="s">
        <v>7665</v>
      </c>
      <c r="J2464" t="s">
        <v>357</v>
      </c>
    </row>
    <row r="2465" spans="1:10" x14ac:dyDescent="0.25">
      <c r="A2465" t="s">
        <v>7666</v>
      </c>
      <c r="B2465" t="s">
        <v>7667</v>
      </c>
      <c r="C2465" s="2">
        <v>46231.583333333336</v>
      </c>
      <c r="D2465" t="s">
        <v>418</v>
      </c>
      <c r="E2465" t="s">
        <v>26</v>
      </c>
      <c r="F2465" t="s">
        <v>248</v>
      </c>
      <c r="G2465" t="s">
        <v>103</v>
      </c>
      <c r="H2465">
        <v>1</v>
      </c>
      <c r="I2465" t="s">
        <v>7668</v>
      </c>
      <c r="J2465" t="s">
        <v>357</v>
      </c>
    </row>
    <row r="2466" spans="1:10" x14ac:dyDescent="0.25">
      <c r="A2466" t="s">
        <v>7669</v>
      </c>
      <c r="B2466" t="s">
        <v>7670</v>
      </c>
      <c r="C2466" s="2">
        <v>46231.583333333336</v>
      </c>
      <c r="D2466" t="s">
        <v>418</v>
      </c>
      <c r="E2466" t="s">
        <v>43</v>
      </c>
      <c r="F2466" t="s">
        <v>116</v>
      </c>
      <c r="G2466" t="s">
        <v>117</v>
      </c>
      <c r="H2466">
        <v>1</v>
      </c>
      <c r="I2466" t="s">
        <v>7671</v>
      </c>
      <c r="J2466" t="s">
        <v>357</v>
      </c>
    </row>
    <row r="2467" spans="1:10" x14ac:dyDescent="0.25">
      <c r="A2467" t="s">
        <v>7672</v>
      </c>
      <c r="B2467" t="s">
        <v>7673</v>
      </c>
      <c r="C2467" s="2">
        <v>46231.583333333336</v>
      </c>
      <c r="D2467" t="s">
        <v>418</v>
      </c>
      <c r="E2467" t="s">
        <v>45</v>
      </c>
      <c r="F2467" t="s">
        <v>267</v>
      </c>
      <c r="G2467" t="s">
        <v>119</v>
      </c>
      <c r="H2467">
        <v>6</v>
      </c>
      <c r="I2467" t="s">
        <v>7674</v>
      </c>
      <c r="J2467" t="s">
        <v>357</v>
      </c>
    </row>
    <row r="2468" spans="1:10" x14ac:dyDescent="0.25">
      <c r="A2468" t="s">
        <v>7675</v>
      </c>
      <c r="B2468" t="s">
        <v>7676</v>
      </c>
      <c r="C2468" s="2">
        <v>46231.583333333336</v>
      </c>
      <c r="D2468" t="s">
        <v>418</v>
      </c>
      <c r="E2468" t="s">
        <v>71</v>
      </c>
      <c r="F2468" t="s">
        <v>212</v>
      </c>
      <c r="G2468" t="s">
        <v>141</v>
      </c>
      <c r="H2468">
        <v>1</v>
      </c>
      <c r="I2468" t="s">
        <v>7677</v>
      </c>
      <c r="J2468" t="s">
        <v>357</v>
      </c>
    </row>
    <row r="2469" spans="1:10" x14ac:dyDescent="0.25">
      <c r="A2469" t="s">
        <v>7678</v>
      </c>
      <c r="B2469" t="s">
        <v>7679</v>
      </c>
      <c r="C2469" s="2">
        <v>46231.583333333336</v>
      </c>
      <c r="D2469" t="s">
        <v>418</v>
      </c>
      <c r="E2469" t="s">
        <v>18</v>
      </c>
      <c r="F2469" t="s">
        <v>260</v>
      </c>
      <c r="G2469" t="s">
        <v>95</v>
      </c>
      <c r="H2469">
        <v>1</v>
      </c>
      <c r="I2469" t="s">
        <v>7680</v>
      </c>
      <c r="J2469" t="s">
        <v>357</v>
      </c>
    </row>
    <row r="2470" spans="1:10" x14ac:dyDescent="0.25">
      <c r="A2470" t="s">
        <v>7681</v>
      </c>
      <c r="B2470" t="s">
        <v>7682</v>
      </c>
      <c r="C2470" s="2">
        <v>46231.583333333336</v>
      </c>
      <c r="D2470" t="s">
        <v>418</v>
      </c>
      <c r="E2470" t="s">
        <v>20</v>
      </c>
      <c r="F2470" t="s">
        <v>245</v>
      </c>
      <c r="G2470" t="s">
        <v>97</v>
      </c>
      <c r="H2470">
        <v>5</v>
      </c>
      <c r="I2470" t="s">
        <v>7683</v>
      </c>
      <c r="J2470" t="s">
        <v>357</v>
      </c>
    </row>
    <row r="2471" spans="1:10" x14ac:dyDescent="0.25">
      <c r="A2471" t="s">
        <v>7684</v>
      </c>
      <c r="B2471" t="s">
        <v>7685</v>
      </c>
      <c r="C2471" s="2">
        <v>46231.583333333336</v>
      </c>
      <c r="D2471" t="s">
        <v>418</v>
      </c>
      <c r="E2471" t="s">
        <v>20</v>
      </c>
      <c r="F2471" t="s">
        <v>261</v>
      </c>
      <c r="G2471" t="s">
        <v>97</v>
      </c>
      <c r="H2471">
        <v>1</v>
      </c>
      <c r="I2471" t="s">
        <v>7683</v>
      </c>
      <c r="J2471" t="s">
        <v>357</v>
      </c>
    </row>
    <row r="2472" spans="1:10" x14ac:dyDescent="0.25">
      <c r="A2472" t="s">
        <v>7686</v>
      </c>
      <c r="B2472" t="s">
        <v>7687</v>
      </c>
      <c r="C2472" s="2">
        <v>46231.583333333336</v>
      </c>
      <c r="D2472" t="s">
        <v>418</v>
      </c>
      <c r="E2472" t="s">
        <v>24</v>
      </c>
      <c r="F2472" t="s">
        <v>263</v>
      </c>
      <c r="G2472" t="s">
        <v>101</v>
      </c>
      <c r="H2472">
        <v>4</v>
      </c>
      <c r="I2472" t="s">
        <v>7688</v>
      </c>
      <c r="J2472" t="s">
        <v>357</v>
      </c>
    </row>
    <row r="2473" spans="1:10" x14ac:dyDescent="0.25">
      <c r="A2473" t="s">
        <v>7689</v>
      </c>
      <c r="B2473" t="s">
        <v>7690</v>
      </c>
      <c r="C2473" s="2">
        <v>46231.583333333336</v>
      </c>
      <c r="D2473" t="s">
        <v>418</v>
      </c>
      <c r="E2473" t="s">
        <v>57</v>
      </c>
      <c r="F2473" t="s">
        <v>255</v>
      </c>
      <c r="G2473" t="s">
        <v>131</v>
      </c>
      <c r="H2473">
        <v>1</v>
      </c>
      <c r="I2473" t="s">
        <v>7691</v>
      </c>
      <c r="J2473" t="s">
        <v>357</v>
      </c>
    </row>
    <row r="2474" spans="1:10" x14ac:dyDescent="0.25">
      <c r="A2474" t="s">
        <v>7692</v>
      </c>
      <c r="B2474" t="s">
        <v>7693</v>
      </c>
      <c r="C2474" s="2">
        <v>46231.583333333336</v>
      </c>
      <c r="D2474" t="s">
        <v>418</v>
      </c>
      <c r="E2474" t="s">
        <v>73</v>
      </c>
      <c r="F2474" t="s">
        <v>177</v>
      </c>
      <c r="G2474" t="s">
        <v>143</v>
      </c>
      <c r="H2474">
        <v>1</v>
      </c>
      <c r="I2474" t="s">
        <v>7694</v>
      </c>
      <c r="J2474" t="s">
        <v>357</v>
      </c>
    </row>
    <row r="2475" spans="1:10" x14ac:dyDescent="0.25">
      <c r="A2475" t="s">
        <v>7695</v>
      </c>
      <c r="B2475" t="s">
        <v>7696</v>
      </c>
      <c r="C2475" s="2">
        <v>46231.583333333336</v>
      </c>
      <c r="D2475" t="s">
        <v>418</v>
      </c>
      <c r="E2475" t="s">
        <v>73</v>
      </c>
      <c r="F2475" t="s">
        <v>213</v>
      </c>
      <c r="G2475" t="s">
        <v>143</v>
      </c>
      <c r="H2475">
        <v>2</v>
      </c>
      <c r="I2475" t="s">
        <v>7694</v>
      </c>
      <c r="J2475" t="s">
        <v>357</v>
      </c>
    </row>
    <row r="2476" spans="1:10" x14ac:dyDescent="0.25">
      <c r="A2476" t="s">
        <v>7697</v>
      </c>
      <c r="B2476" t="s">
        <v>7698</v>
      </c>
      <c r="C2476" s="2">
        <v>46231.583333333336</v>
      </c>
      <c r="D2476" t="s">
        <v>418</v>
      </c>
      <c r="E2476" t="s">
        <v>77</v>
      </c>
      <c r="F2476" t="s">
        <v>200</v>
      </c>
      <c r="G2476" t="s">
        <v>147</v>
      </c>
      <c r="H2476">
        <v>4</v>
      </c>
      <c r="I2476" t="s">
        <v>7699</v>
      </c>
      <c r="J2476" t="s">
        <v>357</v>
      </c>
    </row>
    <row r="2477" spans="1:10" x14ac:dyDescent="0.25">
      <c r="A2477" t="s">
        <v>7700</v>
      </c>
      <c r="B2477" t="s">
        <v>7701</v>
      </c>
      <c r="C2477" s="2">
        <v>46231.583333333336</v>
      </c>
      <c r="D2477" t="s">
        <v>418</v>
      </c>
      <c r="E2477" t="s">
        <v>20</v>
      </c>
      <c r="F2477" t="s">
        <v>261</v>
      </c>
      <c r="G2477" t="s">
        <v>97</v>
      </c>
      <c r="H2477">
        <v>2</v>
      </c>
      <c r="I2477" t="s">
        <v>7702</v>
      </c>
      <c r="J2477" t="s">
        <v>357</v>
      </c>
    </row>
    <row r="2478" spans="1:10" x14ac:dyDescent="0.25">
      <c r="A2478" t="s">
        <v>7703</v>
      </c>
      <c r="B2478" t="s">
        <v>7704</v>
      </c>
      <c r="C2478" s="2">
        <v>46231.583333333336</v>
      </c>
      <c r="D2478" t="s">
        <v>418</v>
      </c>
      <c r="E2478" t="s">
        <v>24</v>
      </c>
      <c r="F2478" t="s">
        <v>263</v>
      </c>
      <c r="G2478" t="s">
        <v>101</v>
      </c>
      <c r="H2478">
        <v>2</v>
      </c>
      <c r="I2478" t="s">
        <v>7705</v>
      </c>
      <c r="J2478" t="s">
        <v>357</v>
      </c>
    </row>
    <row r="2479" spans="1:10" x14ac:dyDescent="0.25">
      <c r="A2479" t="s">
        <v>7706</v>
      </c>
      <c r="B2479" t="s">
        <v>7707</v>
      </c>
      <c r="C2479" s="2">
        <v>46231.583333333336</v>
      </c>
      <c r="D2479" t="s">
        <v>418</v>
      </c>
      <c r="E2479" t="s">
        <v>26</v>
      </c>
      <c r="F2479" t="s">
        <v>248</v>
      </c>
      <c r="G2479" t="s">
        <v>103</v>
      </c>
      <c r="H2479">
        <v>1</v>
      </c>
      <c r="I2479" t="s">
        <v>7708</v>
      </c>
      <c r="J2479" t="s">
        <v>357</v>
      </c>
    </row>
    <row r="2480" spans="1:10" x14ac:dyDescent="0.25">
      <c r="A2480" t="s">
        <v>7709</v>
      </c>
      <c r="B2480" t="s">
        <v>7710</v>
      </c>
      <c r="C2480" s="2">
        <v>46231.583333333336</v>
      </c>
      <c r="D2480" t="s">
        <v>418</v>
      </c>
      <c r="E2480" t="s">
        <v>28</v>
      </c>
      <c r="F2480" t="s">
        <v>104</v>
      </c>
      <c r="G2480" t="s">
        <v>105</v>
      </c>
      <c r="H2480">
        <v>1</v>
      </c>
      <c r="I2480" t="s">
        <v>7711</v>
      </c>
      <c r="J2480" t="s">
        <v>357</v>
      </c>
    </row>
    <row r="2481" spans="1:10" x14ac:dyDescent="0.25">
      <c r="A2481" t="s">
        <v>7712</v>
      </c>
      <c r="B2481" t="s">
        <v>7713</v>
      </c>
      <c r="C2481" s="2">
        <v>46231.583333333336</v>
      </c>
      <c r="D2481" t="s">
        <v>418</v>
      </c>
      <c r="E2481" t="s">
        <v>32</v>
      </c>
      <c r="F2481" t="s">
        <v>251</v>
      </c>
      <c r="G2481" t="s">
        <v>109</v>
      </c>
      <c r="H2481">
        <v>2</v>
      </c>
      <c r="I2481" t="s">
        <v>7714</v>
      </c>
      <c r="J2481" t="s">
        <v>357</v>
      </c>
    </row>
    <row r="2482" spans="1:10" x14ac:dyDescent="0.25">
      <c r="A2482" t="s">
        <v>7715</v>
      </c>
      <c r="B2482" t="s">
        <v>7716</v>
      </c>
      <c r="C2482" s="2">
        <v>46231.583333333336</v>
      </c>
      <c r="D2482" t="s">
        <v>418</v>
      </c>
      <c r="E2482" t="s">
        <v>36</v>
      </c>
      <c r="F2482" t="s">
        <v>252</v>
      </c>
      <c r="G2482" t="s">
        <v>113</v>
      </c>
      <c r="H2482">
        <v>4</v>
      </c>
      <c r="I2482" t="s">
        <v>7717</v>
      </c>
      <c r="J2482" t="s">
        <v>357</v>
      </c>
    </row>
    <row r="2483" spans="1:10" x14ac:dyDescent="0.25">
      <c r="A2483" t="s">
        <v>7718</v>
      </c>
      <c r="B2483" t="s">
        <v>7719</v>
      </c>
      <c r="C2483" s="2">
        <v>46231.583333333336</v>
      </c>
      <c r="D2483" t="s">
        <v>418</v>
      </c>
      <c r="E2483" t="s">
        <v>43</v>
      </c>
      <c r="F2483" t="s">
        <v>116</v>
      </c>
      <c r="G2483" t="s">
        <v>117</v>
      </c>
      <c r="H2483">
        <v>4</v>
      </c>
      <c r="I2483" t="s">
        <v>7720</v>
      </c>
      <c r="J2483" t="s">
        <v>357</v>
      </c>
    </row>
    <row r="2484" spans="1:10" x14ac:dyDescent="0.25">
      <c r="A2484" t="s">
        <v>7721</v>
      </c>
      <c r="B2484" t="s">
        <v>7722</v>
      </c>
      <c r="C2484" s="2">
        <v>46231.583333333336</v>
      </c>
      <c r="D2484" t="s">
        <v>418</v>
      </c>
      <c r="E2484" t="s">
        <v>49</v>
      </c>
      <c r="F2484" t="s">
        <v>253</v>
      </c>
      <c r="G2484" t="s">
        <v>123</v>
      </c>
      <c r="H2484">
        <v>1</v>
      </c>
      <c r="I2484" t="s">
        <v>7723</v>
      </c>
      <c r="J2484" t="s">
        <v>357</v>
      </c>
    </row>
    <row r="2485" spans="1:10" x14ac:dyDescent="0.25">
      <c r="A2485" t="s">
        <v>7724</v>
      </c>
      <c r="B2485" t="s">
        <v>7725</v>
      </c>
      <c r="C2485" s="2">
        <v>46231.583333333336</v>
      </c>
      <c r="D2485" t="s">
        <v>418</v>
      </c>
      <c r="E2485" t="s">
        <v>69</v>
      </c>
      <c r="F2485" t="s">
        <v>229</v>
      </c>
      <c r="G2485" t="s">
        <v>139</v>
      </c>
      <c r="H2485">
        <v>1</v>
      </c>
      <c r="I2485" t="s">
        <v>7726</v>
      </c>
      <c r="J2485" t="s">
        <v>357</v>
      </c>
    </row>
    <row r="2486" spans="1:10" x14ac:dyDescent="0.25">
      <c r="A2486" t="s">
        <v>7727</v>
      </c>
      <c r="B2486" t="s">
        <v>7728</v>
      </c>
      <c r="C2486" s="2">
        <v>46231.583333333336</v>
      </c>
      <c r="D2486" t="s">
        <v>418</v>
      </c>
      <c r="E2486" t="s">
        <v>71</v>
      </c>
      <c r="F2486" t="s">
        <v>212</v>
      </c>
      <c r="G2486" t="s">
        <v>141</v>
      </c>
      <c r="H2486">
        <v>4</v>
      </c>
      <c r="I2486" t="s">
        <v>7729</v>
      </c>
      <c r="J2486" t="s">
        <v>357</v>
      </c>
    </row>
    <row r="2487" spans="1:10" x14ac:dyDescent="0.25">
      <c r="A2487" t="s">
        <v>7730</v>
      </c>
      <c r="B2487" t="s">
        <v>7731</v>
      </c>
      <c r="C2487" s="2">
        <v>46232.583333333336</v>
      </c>
      <c r="D2487" t="s">
        <v>418</v>
      </c>
      <c r="E2487" t="s">
        <v>18</v>
      </c>
      <c r="F2487" t="s">
        <v>260</v>
      </c>
      <c r="G2487" t="s">
        <v>95</v>
      </c>
      <c r="H2487">
        <v>2</v>
      </c>
      <c r="I2487" t="s">
        <v>7732</v>
      </c>
      <c r="J2487" t="s">
        <v>357</v>
      </c>
    </row>
    <row r="2488" spans="1:10" x14ac:dyDescent="0.25">
      <c r="A2488" t="s">
        <v>7733</v>
      </c>
      <c r="B2488" t="s">
        <v>7734</v>
      </c>
      <c r="C2488" s="2">
        <v>46232.583333333336</v>
      </c>
      <c r="D2488" t="s">
        <v>418</v>
      </c>
      <c r="E2488" t="s">
        <v>20</v>
      </c>
      <c r="F2488" t="s">
        <v>261</v>
      </c>
      <c r="G2488" t="s">
        <v>97</v>
      </c>
      <c r="H2488">
        <v>2</v>
      </c>
      <c r="I2488" t="s">
        <v>7735</v>
      </c>
      <c r="J2488" t="s">
        <v>357</v>
      </c>
    </row>
    <row r="2489" spans="1:10" x14ac:dyDescent="0.25">
      <c r="A2489" t="s">
        <v>7736</v>
      </c>
      <c r="B2489" t="s">
        <v>7737</v>
      </c>
      <c r="C2489" s="2">
        <v>46232.583333333336</v>
      </c>
      <c r="D2489" t="s">
        <v>418</v>
      </c>
      <c r="E2489" t="s">
        <v>22</v>
      </c>
      <c r="F2489" t="s">
        <v>233</v>
      </c>
      <c r="G2489" t="s">
        <v>99</v>
      </c>
      <c r="H2489">
        <v>4</v>
      </c>
      <c r="I2489" t="s">
        <v>7738</v>
      </c>
      <c r="J2489" t="s">
        <v>357</v>
      </c>
    </row>
    <row r="2490" spans="1:10" x14ac:dyDescent="0.25">
      <c r="A2490" t="s">
        <v>7739</v>
      </c>
      <c r="B2490" t="s">
        <v>7740</v>
      </c>
      <c r="C2490" s="2">
        <v>46232.583333333336</v>
      </c>
      <c r="D2490" t="s">
        <v>418</v>
      </c>
      <c r="E2490" t="s">
        <v>24</v>
      </c>
      <c r="F2490" t="s">
        <v>263</v>
      </c>
      <c r="G2490" t="s">
        <v>101</v>
      </c>
      <c r="H2490">
        <v>1</v>
      </c>
      <c r="I2490" t="s">
        <v>7741</v>
      </c>
      <c r="J2490" t="s">
        <v>357</v>
      </c>
    </row>
    <row r="2491" spans="1:10" x14ac:dyDescent="0.25">
      <c r="A2491" t="s">
        <v>7742</v>
      </c>
      <c r="B2491" t="s">
        <v>7743</v>
      </c>
      <c r="C2491" s="2">
        <v>46232.583333333336</v>
      </c>
      <c r="D2491" t="s">
        <v>418</v>
      </c>
      <c r="E2491" t="s">
        <v>26</v>
      </c>
      <c r="F2491" t="s">
        <v>248</v>
      </c>
      <c r="G2491" t="s">
        <v>103</v>
      </c>
      <c r="H2491">
        <v>3</v>
      </c>
      <c r="I2491" t="s">
        <v>7744</v>
      </c>
      <c r="J2491" t="s">
        <v>357</v>
      </c>
    </row>
    <row r="2492" spans="1:10" x14ac:dyDescent="0.25">
      <c r="A2492" t="s">
        <v>7745</v>
      </c>
      <c r="B2492" t="s">
        <v>7746</v>
      </c>
      <c r="C2492" s="2">
        <v>46232.583333333336</v>
      </c>
      <c r="D2492" t="s">
        <v>418</v>
      </c>
      <c r="E2492" t="s">
        <v>32</v>
      </c>
      <c r="F2492" t="s">
        <v>251</v>
      </c>
      <c r="G2492" t="s">
        <v>109</v>
      </c>
      <c r="H2492">
        <v>3</v>
      </c>
      <c r="I2492" t="s">
        <v>7747</v>
      </c>
      <c r="J2492" t="s">
        <v>357</v>
      </c>
    </row>
    <row r="2493" spans="1:10" x14ac:dyDescent="0.25">
      <c r="A2493" t="s">
        <v>7748</v>
      </c>
      <c r="B2493" t="s">
        <v>7749</v>
      </c>
      <c r="C2493" s="2">
        <v>46232.583333333336</v>
      </c>
      <c r="D2493" t="s">
        <v>418</v>
      </c>
      <c r="E2493" t="s">
        <v>41</v>
      </c>
      <c r="F2493" t="s">
        <v>224</v>
      </c>
      <c r="G2493" t="s">
        <v>115</v>
      </c>
      <c r="H2493">
        <v>2</v>
      </c>
      <c r="I2493" t="s">
        <v>7750</v>
      </c>
      <c r="J2493" t="s">
        <v>357</v>
      </c>
    </row>
    <row r="2494" spans="1:10" x14ac:dyDescent="0.25">
      <c r="A2494" t="s">
        <v>7751</v>
      </c>
      <c r="B2494" t="s">
        <v>7752</v>
      </c>
      <c r="C2494" s="2">
        <v>46232.583333333336</v>
      </c>
      <c r="D2494" t="s">
        <v>418</v>
      </c>
      <c r="E2494" t="s">
        <v>65</v>
      </c>
      <c r="F2494" t="s">
        <v>228</v>
      </c>
      <c r="G2494" t="s">
        <v>135</v>
      </c>
      <c r="H2494">
        <v>1</v>
      </c>
      <c r="I2494" t="s">
        <v>7753</v>
      </c>
      <c r="J2494" t="s">
        <v>357</v>
      </c>
    </row>
    <row r="2495" spans="1:10" x14ac:dyDescent="0.25">
      <c r="A2495" t="s">
        <v>7754</v>
      </c>
      <c r="B2495" t="s">
        <v>7755</v>
      </c>
      <c r="C2495" s="2">
        <v>46232.583333333336</v>
      </c>
      <c r="D2495" t="s">
        <v>418</v>
      </c>
      <c r="E2495" t="s">
        <v>75</v>
      </c>
      <c r="F2495" t="s">
        <v>230</v>
      </c>
      <c r="G2495" t="s">
        <v>145</v>
      </c>
      <c r="H2495">
        <v>3</v>
      </c>
      <c r="I2495" t="s">
        <v>7756</v>
      </c>
      <c r="J2495" t="s">
        <v>357</v>
      </c>
    </row>
    <row r="2496" spans="1:10" x14ac:dyDescent="0.25">
      <c r="A2496" t="s">
        <v>7757</v>
      </c>
      <c r="B2496" t="s">
        <v>7758</v>
      </c>
      <c r="C2496" s="2">
        <v>46232.583333333336</v>
      </c>
      <c r="D2496" t="s">
        <v>418</v>
      </c>
      <c r="E2496" t="s">
        <v>20</v>
      </c>
      <c r="F2496" t="s">
        <v>261</v>
      </c>
      <c r="G2496" t="s">
        <v>97</v>
      </c>
      <c r="H2496">
        <v>1</v>
      </c>
      <c r="I2496" t="s">
        <v>7759</v>
      </c>
      <c r="J2496" t="s">
        <v>357</v>
      </c>
    </row>
    <row r="2497" spans="1:10" x14ac:dyDescent="0.25">
      <c r="A2497" t="s">
        <v>7760</v>
      </c>
      <c r="B2497" t="s">
        <v>7761</v>
      </c>
      <c r="C2497" s="2">
        <v>46232.583333333336</v>
      </c>
      <c r="D2497" t="s">
        <v>418</v>
      </c>
      <c r="E2497" t="s">
        <v>22</v>
      </c>
      <c r="F2497" t="s">
        <v>233</v>
      </c>
      <c r="G2497" t="s">
        <v>99</v>
      </c>
      <c r="H2497">
        <v>1</v>
      </c>
      <c r="I2497" t="s">
        <v>7762</v>
      </c>
      <c r="J2497" t="s">
        <v>357</v>
      </c>
    </row>
    <row r="2498" spans="1:10" x14ac:dyDescent="0.25">
      <c r="A2498" t="s">
        <v>7763</v>
      </c>
      <c r="B2498" t="s">
        <v>7764</v>
      </c>
      <c r="C2498" s="2">
        <v>46232.583333333336</v>
      </c>
      <c r="D2498" t="s">
        <v>418</v>
      </c>
      <c r="E2498" t="s">
        <v>51</v>
      </c>
      <c r="F2498" t="s">
        <v>168</v>
      </c>
      <c r="G2498" t="s">
        <v>125</v>
      </c>
      <c r="H2498">
        <v>5</v>
      </c>
      <c r="I2498" t="s">
        <v>7765</v>
      </c>
      <c r="J2498" t="s">
        <v>357</v>
      </c>
    </row>
    <row r="2499" spans="1:10" x14ac:dyDescent="0.25">
      <c r="A2499" t="s">
        <v>7766</v>
      </c>
      <c r="B2499" t="s">
        <v>7767</v>
      </c>
      <c r="C2499" s="2">
        <v>46232.583333333336</v>
      </c>
      <c r="D2499" t="s">
        <v>418</v>
      </c>
      <c r="E2499" t="s">
        <v>57</v>
      </c>
      <c r="F2499" t="s">
        <v>255</v>
      </c>
      <c r="G2499" t="s">
        <v>131</v>
      </c>
      <c r="H2499">
        <v>2</v>
      </c>
      <c r="I2499" t="s">
        <v>7768</v>
      </c>
      <c r="J2499" t="s">
        <v>357</v>
      </c>
    </row>
    <row r="2500" spans="1:10" x14ac:dyDescent="0.25">
      <c r="A2500" t="s">
        <v>7769</v>
      </c>
      <c r="B2500" t="s">
        <v>7770</v>
      </c>
      <c r="C2500" s="2">
        <v>46232.583333333336</v>
      </c>
      <c r="D2500" t="s">
        <v>418</v>
      </c>
      <c r="E2500" t="s">
        <v>59</v>
      </c>
      <c r="F2500" t="s">
        <v>227</v>
      </c>
      <c r="G2500" t="s">
        <v>133</v>
      </c>
      <c r="H2500">
        <v>5</v>
      </c>
      <c r="I2500" t="s">
        <v>7771</v>
      </c>
      <c r="J2500" t="s">
        <v>357</v>
      </c>
    </row>
    <row r="2501" spans="1:10" x14ac:dyDescent="0.25">
      <c r="A2501" t="s">
        <v>7772</v>
      </c>
      <c r="B2501" t="s">
        <v>7773</v>
      </c>
      <c r="C2501" s="2">
        <v>46232.583333333336</v>
      </c>
      <c r="D2501" t="s">
        <v>418</v>
      </c>
      <c r="E2501" t="s">
        <v>67</v>
      </c>
      <c r="F2501" t="s">
        <v>196</v>
      </c>
      <c r="G2501" t="s">
        <v>137</v>
      </c>
      <c r="H2501">
        <v>5</v>
      </c>
      <c r="I2501" t="s">
        <v>7774</v>
      </c>
      <c r="J2501" t="s">
        <v>357</v>
      </c>
    </row>
    <row r="2502" spans="1:10" x14ac:dyDescent="0.25">
      <c r="A2502" t="s">
        <v>7775</v>
      </c>
      <c r="B2502" t="s">
        <v>7776</v>
      </c>
      <c r="C2502" s="2">
        <v>46232.583333333336</v>
      </c>
      <c r="D2502" t="s">
        <v>418</v>
      </c>
      <c r="E2502" t="s">
        <v>69</v>
      </c>
      <c r="F2502" t="s">
        <v>229</v>
      </c>
      <c r="G2502" t="s">
        <v>139</v>
      </c>
      <c r="H2502">
        <v>4</v>
      </c>
      <c r="I2502" t="s">
        <v>7777</v>
      </c>
      <c r="J2502" t="s">
        <v>357</v>
      </c>
    </row>
    <row r="2503" spans="1:10" x14ac:dyDescent="0.25">
      <c r="A2503" t="s">
        <v>7778</v>
      </c>
      <c r="B2503" t="s">
        <v>7779</v>
      </c>
      <c r="C2503" s="2">
        <v>46232.583333333336</v>
      </c>
      <c r="D2503" t="s">
        <v>418</v>
      </c>
      <c r="E2503" t="s">
        <v>77</v>
      </c>
      <c r="F2503" t="s">
        <v>200</v>
      </c>
      <c r="G2503" t="s">
        <v>147</v>
      </c>
      <c r="H2503">
        <v>3</v>
      </c>
      <c r="I2503" t="s">
        <v>7780</v>
      </c>
      <c r="J2503" t="s">
        <v>357</v>
      </c>
    </row>
    <row r="2504" spans="1:10" x14ac:dyDescent="0.25">
      <c r="A2504" t="s">
        <v>7781</v>
      </c>
      <c r="B2504" t="s">
        <v>7782</v>
      </c>
      <c r="C2504" s="2">
        <v>46232.583333333336</v>
      </c>
      <c r="D2504" t="s">
        <v>418</v>
      </c>
      <c r="E2504" t="s">
        <v>18</v>
      </c>
      <c r="F2504" t="s">
        <v>260</v>
      </c>
      <c r="G2504" t="s">
        <v>95</v>
      </c>
      <c r="H2504">
        <v>2</v>
      </c>
      <c r="I2504" t="s">
        <v>7783</v>
      </c>
      <c r="J2504" t="s">
        <v>357</v>
      </c>
    </row>
    <row r="2505" spans="1:10" x14ac:dyDescent="0.25">
      <c r="A2505" t="s">
        <v>7784</v>
      </c>
      <c r="B2505" t="s">
        <v>7785</v>
      </c>
      <c r="C2505" s="2">
        <v>46232.583333333336</v>
      </c>
      <c r="D2505" t="s">
        <v>418</v>
      </c>
      <c r="E2505" t="s">
        <v>20</v>
      </c>
      <c r="F2505" t="s">
        <v>261</v>
      </c>
      <c r="G2505" t="s">
        <v>97</v>
      </c>
      <c r="H2505">
        <v>6</v>
      </c>
      <c r="I2505" t="s">
        <v>7786</v>
      </c>
      <c r="J2505" t="s">
        <v>357</v>
      </c>
    </row>
    <row r="2506" spans="1:10" x14ac:dyDescent="0.25">
      <c r="A2506" t="s">
        <v>7787</v>
      </c>
      <c r="B2506" t="s">
        <v>7788</v>
      </c>
      <c r="C2506" s="2">
        <v>46232.583333333336</v>
      </c>
      <c r="D2506" t="s">
        <v>418</v>
      </c>
      <c r="E2506" t="s">
        <v>22</v>
      </c>
      <c r="F2506" t="s">
        <v>233</v>
      </c>
      <c r="G2506" t="s">
        <v>99</v>
      </c>
      <c r="H2506">
        <v>1</v>
      </c>
      <c r="I2506" t="s">
        <v>7789</v>
      </c>
      <c r="J2506" t="s">
        <v>357</v>
      </c>
    </row>
    <row r="2507" spans="1:10" x14ac:dyDescent="0.25">
      <c r="A2507" t="s">
        <v>7790</v>
      </c>
      <c r="B2507" t="s">
        <v>7791</v>
      </c>
      <c r="C2507" s="2">
        <v>46232.583333333336</v>
      </c>
      <c r="D2507" t="s">
        <v>418</v>
      </c>
      <c r="E2507" t="s">
        <v>24</v>
      </c>
      <c r="F2507" t="s">
        <v>263</v>
      </c>
      <c r="G2507" t="s">
        <v>101</v>
      </c>
      <c r="H2507">
        <v>1</v>
      </c>
      <c r="I2507" t="s">
        <v>7792</v>
      </c>
      <c r="J2507" t="s">
        <v>357</v>
      </c>
    </row>
    <row r="2508" spans="1:10" x14ac:dyDescent="0.25">
      <c r="A2508" t="s">
        <v>7793</v>
      </c>
      <c r="B2508" t="s">
        <v>7794</v>
      </c>
      <c r="C2508" s="2">
        <v>46232.583333333336</v>
      </c>
      <c r="D2508" t="s">
        <v>418</v>
      </c>
      <c r="E2508" t="s">
        <v>32</v>
      </c>
      <c r="F2508" t="s">
        <v>251</v>
      </c>
      <c r="G2508" t="s">
        <v>109</v>
      </c>
      <c r="H2508">
        <v>2</v>
      </c>
      <c r="I2508" t="s">
        <v>7795</v>
      </c>
      <c r="J2508" t="s">
        <v>357</v>
      </c>
    </row>
    <row r="2509" spans="1:10" x14ac:dyDescent="0.25">
      <c r="A2509" t="s">
        <v>7796</v>
      </c>
      <c r="B2509" t="s">
        <v>7797</v>
      </c>
      <c r="C2509" s="2">
        <v>46232.583333333336</v>
      </c>
      <c r="D2509" t="s">
        <v>418</v>
      </c>
      <c r="E2509" t="s">
        <v>45</v>
      </c>
      <c r="F2509" t="s">
        <v>267</v>
      </c>
      <c r="G2509" t="s">
        <v>119</v>
      </c>
      <c r="H2509">
        <v>1</v>
      </c>
      <c r="I2509" t="s">
        <v>7798</v>
      </c>
      <c r="J2509" t="s">
        <v>357</v>
      </c>
    </row>
    <row r="2510" spans="1:10" x14ac:dyDescent="0.25">
      <c r="A2510" t="s">
        <v>7799</v>
      </c>
      <c r="B2510" t="s">
        <v>7800</v>
      </c>
      <c r="C2510" s="2">
        <v>46232.583333333336</v>
      </c>
      <c r="D2510" t="s">
        <v>418</v>
      </c>
      <c r="E2510" t="s">
        <v>51</v>
      </c>
      <c r="F2510" t="s">
        <v>168</v>
      </c>
      <c r="G2510" t="s">
        <v>125</v>
      </c>
      <c r="H2510">
        <v>4</v>
      </c>
      <c r="I2510" t="s">
        <v>7801</v>
      </c>
      <c r="J2510" t="s">
        <v>357</v>
      </c>
    </row>
    <row r="2511" spans="1:10" x14ac:dyDescent="0.25">
      <c r="A2511" t="s">
        <v>7802</v>
      </c>
      <c r="B2511" t="s">
        <v>7803</v>
      </c>
      <c r="C2511" s="2">
        <v>46232.583333333336</v>
      </c>
      <c r="D2511" t="s">
        <v>418</v>
      </c>
      <c r="E2511" t="s">
        <v>57</v>
      </c>
      <c r="F2511" t="s">
        <v>255</v>
      </c>
      <c r="G2511" t="s">
        <v>131</v>
      </c>
      <c r="H2511">
        <v>6</v>
      </c>
      <c r="I2511" t="s">
        <v>7804</v>
      </c>
      <c r="J2511" t="s">
        <v>357</v>
      </c>
    </row>
    <row r="2512" spans="1:10" x14ac:dyDescent="0.25">
      <c r="A2512" t="s">
        <v>7805</v>
      </c>
      <c r="B2512" t="s">
        <v>7806</v>
      </c>
      <c r="C2512" s="2">
        <v>46232.583333333336</v>
      </c>
      <c r="D2512" t="s">
        <v>418</v>
      </c>
      <c r="E2512" t="s">
        <v>67</v>
      </c>
      <c r="F2512" t="s">
        <v>196</v>
      </c>
      <c r="G2512" t="s">
        <v>137</v>
      </c>
      <c r="H2512">
        <v>2</v>
      </c>
      <c r="I2512" t="s">
        <v>7807</v>
      </c>
      <c r="J2512" t="s">
        <v>357</v>
      </c>
    </row>
    <row r="2513" spans="1:10" x14ac:dyDescent="0.25">
      <c r="A2513" t="s">
        <v>7808</v>
      </c>
      <c r="B2513" t="s">
        <v>7809</v>
      </c>
      <c r="C2513" s="2">
        <v>46232.583333333336</v>
      </c>
      <c r="D2513" t="s">
        <v>418</v>
      </c>
      <c r="E2513" t="s">
        <v>18</v>
      </c>
      <c r="F2513" t="s">
        <v>260</v>
      </c>
      <c r="G2513" t="s">
        <v>95</v>
      </c>
      <c r="H2513">
        <v>4</v>
      </c>
      <c r="I2513" t="s">
        <v>7810</v>
      </c>
      <c r="J2513" t="s">
        <v>357</v>
      </c>
    </row>
    <row r="2514" spans="1:10" x14ac:dyDescent="0.25">
      <c r="A2514" t="s">
        <v>7811</v>
      </c>
      <c r="B2514" t="s">
        <v>7812</v>
      </c>
      <c r="C2514" s="2">
        <v>46232.583333333336</v>
      </c>
      <c r="D2514" t="s">
        <v>418</v>
      </c>
      <c r="E2514" t="s">
        <v>20</v>
      </c>
      <c r="F2514" t="s">
        <v>261</v>
      </c>
      <c r="G2514" t="s">
        <v>97</v>
      </c>
      <c r="H2514">
        <v>7</v>
      </c>
      <c r="I2514" t="s">
        <v>7813</v>
      </c>
      <c r="J2514" t="s">
        <v>357</v>
      </c>
    </row>
    <row r="2515" spans="1:10" x14ac:dyDescent="0.25">
      <c r="A2515" t="s">
        <v>7814</v>
      </c>
      <c r="B2515" t="s">
        <v>7815</v>
      </c>
      <c r="C2515" s="2">
        <v>46232.583333333336</v>
      </c>
      <c r="D2515" t="s">
        <v>418</v>
      </c>
      <c r="E2515" t="s">
        <v>22</v>
      </c>
      <c r="F2515" t="s">
        <v>233</v>
      </c>
      <c r="G2515" t="s">
        <v>99</v>
      </c>
      <c r="H2515">
        <v>4</v>
      </c>
      <c r="I2515" t="s">
        <v>7816</v>
      </c>
      <c r="J2515" t="s">
        <v>357</v>
      </c>
    </row>
    <row r="2516" spans="1:10" x14ac:dyDescent="0.25">
      <c r="A2516" t="s">
        <v>7817</v>
      </c>
      <c r="B2516" t="s">
        <v>7818</v>
      </c>
      <c r="C2516" s="2">
        <v>46232.583333333336</v>
      </c>
      <c r="D2516" t="s">
        <v>418</v>
      </c>
      <c r="E2516" t="s">
        <v>28</v>
      </c>
      <c r="F2516" t="s">
        <v>104</v>
      </c>
      <c r="G2516" t="s">
        <v>105</v>
      </c>
      <c r="H2516">
        <v>3</v>
      </c>
      <c r="I2516" t="s">
        <v>7819</v>
      </c>
      <c r="J2516" t="s">
        <v>357</v>
      </c>
    </row>
    <row r="2517" spans="1:10" x14ac:dyDescent="0.25">
      <c r="A2517" t="s">
        <v>7820</v>
      </c>
      <c r="B2517" t="s">
        <v>7821</v>
      </c>
      <c r="C2517" s="2">
        <v>46232.583333333336</v>
      </c>
      <c r="D2517" t="s">
        <v>418</v>
      </c>
      <c r="E2517" t="s">
        <v>36</v>
      </c>
      <c r="F2517" t="s">
        <v>252</v>
      </c>
      <c r="G2517" t="s">
        <v>113</v>
      </c>
      <c r="H2517">
        <v>3</v>
      </c>
      <c r="I2517" t="s">
        <v>7822</v>
      </c>
      <c r="J2517" t="s">
        <v>357</v>
      </c>
    </row>
    <row r="2518" spans="1:10" x14ac:dyDescent="0.25">
      <c r="A2518" t="s">
        <v>7823</v>
      </c>
      <c r="B2518" t="s">
        <v>7824</v>
      </c>
      <c r="C2518" s="2">
        <v>46232.583333333336</v>
      </c>
      <c r="D2518" t="s">
        <v>418</v>
      </c>
      <c r="E2518" t="s">
        <v>43</v>
      </c>
      <c r="F2518" t="s">
        <v>116</v>
      </c>
      <c r="G2518" t="s">
        <v>117</v>
      </c>
      <c r="H2518">
        <v>7</v>
      </c>
      <c r="I2518" t="s">
        <v>7825</v>
      </c>
      <c r="J2518" t="s">
        <v>357</v>
      </c>
    </row>
    <row r="2519" spans="1:10" x14ac:dyDescent="0.25">
      <c r="A2519" t="s">
        <v>7826</v>
      </c>
      <c r="B2519" t="s">
        <v>7827</v>
      </c>
      <c r="C2519" s="2">
        <v>46232.583333333336</v>
      </c>
      <c r="D2519" t="s">
        <v>418</v>
      </c>
      <c r="E2519" t="s">
        <v>45</v>
      </c>
      <c r="F2519" t="s">
        <v>267</v>
      </c>
      <c r="G2519" t="s">
        <v>119</v>
      </c>
      <c r="H2519">
        <v>6</v>
      </c>
      <c r="I2519" t="s">
        <v>7828</v>
      </c>
      <c r="J2519" t="s">
        <v>357</v>
      </c>
    </row>
    <row r="2520" spans="1:10" x14ac:dyDescent="0.25">
      <c r="A2520" t="s">
        <v>7829</v>
      </c>
      <c r="B2520" t="s">
        <v>7830</v>
      </c>
      <c r="C2520" s="2">
        <v>46232.583333333336</v>
      </c>
      <c r="D2520" t="s">
        <v>418</v>
      </c>
      <c r="E2520" t="s">
        <v>47</v>
      </c>
      <c r="F2520" t="s">
        <v>238</v>
      </c>
      <c r="G2520" t="s">
        <v>121</v>
      </c>
      <c r="H2520">
        <v>6</v>
      </c>
      <c r="I2520" t="s">
        <v>7831</v>
      </c>
      <c r="J2520" t="s">
        <v>357</v>
      </c>
    </row>
    <row r="2521" spans="1:10" x14ac:dyDescent="0.25">
      <c r="A2521" t="s">
        <v>7832</v>
      </c>
      <c r="B2521" t="s">
        <v>7833</v>
      </c>
      <c r="C2521" s="2">
        <v>46232.583333333336</v>
      </c>
      <c r="D2521" t="s">
        <v>418</v>
      </c>
      <c r="E2521" t="s">
        <v>67</v>
      </c>
      <c r="F2521" t="s">
        <v>196</v>
      </c>
      <c r="G2521" t="s">
        <v>137</v>
      </c>
      <c r="H2521">
        <v>1</v>
      </c>
      <c r="I2521" t="s">
        <v>7834</v>
      </c>
      <c r="J2521" t="s">
        <v>357</v>
      </c>
    </row>
    <row r="2522" spans="1:10" x14ac:dyDescent="0.25">
      <c r="A2522" t="s">
        <v>7835</v>
      </c>
      <c r="B2522" t="s">
        <v>7836</v>
      </c>
      <c r="C2522" s="2">
        <v>46232.583333333336</v>
      </c>
      <c r="D2522" t="s">
        <v>418</v>
      </c>
      <c r="E2522" t="s">
        <v>18</v>
      </c>
      <c r="F2522" t="s">
        <v>260</v>
      </c>
      <c r="G2522" t="s">
        <v>95</v>
      </c>
      <c r="H2522">
        <v>4</v>
      </c>
      <c r="I2522" t="s">
        <v>7837</v>
      </c>
      <c r="J2522" t="s">
        <v>357</v>
      </c>
    </row>
    <row r="2523" spans="1:10" x14ac:dyDescent="0.25">
      <c r="A2523" t="s">
        <v>7838</v>
      </c>
      <c r="B2523" t="s">
        <v>7839</v>
      </c>
      <c r="C2523" s="2">
        <v>46232.583333333336</v>
      </c>
      <c r="D2523" t="s">
        <v>418</v>
      </c>
      <c r="E2523" t="s">
        <v>22</v>
      </c>
      <c r="F2523" t="s">
        <v>233</v>
      </c>
      <c r="G2523" t="s">
        <v>99</v>
      </c>
      <c r="H2523">
        <v>2</v>
      </c>
      <c r="I2523" t="s">
        <v>7840</v>
      </c>
      <c r="J2523" t="s">
        <v>357</v>
      </c>
    </row>
    <row r="2524" spans="1:10" x14ac:dyDescent="0.25">
      <c r="A2524" t="s">
        <v>7841</v>
      </c>
      <c r="B2524" t="s">
        <v>7842</v>
      </c>
      <c r="C2524" s="2">
        <v>46232.583333333336</v>
      </c>
      <c r="D2524" t="s">
        <v>418</v>
      </c>
      <c r="E2524" t="s">
        <v>24</v>
      </c>
      <c r="F2524" t="s">
        <v>263</v>
      </c>
      <c r="G2524" t="s">
        <v>101</v>
      </c>
      <c r="H2524">
        <v>2</v>
      </c>
      <c r="I2524" t="s">
        <v>7843</v>
      </c>
      <c r="J2524" t="s">
        <v>357</v>
      </c>
    </row>
    <row r="2525" spans="1:10" x14ac:dyDescent="0.25">
      <c r="A2525" t="s">
        <v>7844</v>
      </c>
      <c r="B2525" t="s">
        <v>7845</v>
      </c>
      <c r="C2525" s="2">
        <v>46232.583333333336</v>
      </c>
      <c r="D2525" t="s">
        <v>418</v>
      </c>
      <c r="E2525" t="s">
        <v>26</v>
      </c>
      <c r="F2525" t="s">
        <v>248</v>
      </c>
      <c r="G2525" t="s">
        <v>103</v>
      </c>
      <c r="H2525">
        <v>1</v>
      </c>
      <c r="I2525" t="s">
        <v>7846</v>
      </c>
      <c r="J2525" t="s">
        <v>357</v>
      </c>
    </row>
    <row r="2526" spans="1:10" x14ac:dyDescent="0.25">
      <c r="A2526" t="s">
        <v>7847</v>
      </c>
      <c r="B2526" t="s">
        <v>7848</v>
      </c>
      <c r="C2526" s="2">
        <v>46232.583333333336</v>
      </c>
      <c r="D2526" t="s">
        <v>418</v>
      </c>
      <c r="E2526" t="s">
        <v>26</v>
      </c>
      <c r="F2526" t="s">
        <v>264</v>
      </c>
      <c r="G2526" t="s">
        <v>103</v>
      </c>
      <c r="H2526">
        <v>3</v>
      </c>
      <c r="I2526" t="s">
        <v>7846</v>
      </c>
      <c r="J2526" t="s">
        <v>357</v>
      </c>
    </row>
    <row r="2527" spans="1:10" x14ac:dyDescent="0.25">
      <c r="A2527" t="s">
        <v>7849</v>
      </c>
      <c r="B2527" t="s">
        <v>7850</v>
      </c>
      <c r="C2527" s="2">
        <v>46232.583333333336</v>
      </c>
      <c r="D2527" t="s">
        <v>418</v>
      </c>
      <c r="E2527" t="s">
        <v>47</v>
      </c>
      <c r="F2527" t="s">
        <v>238</v>
      </c>
      <c r="G2527" t="s">
        <v>121</v>
      </c>
      <c r="H2527">
        <v>3</v>
      </c>
      <c r="I2527" t="s">
        <v>7851</v>
      </c>
      <c r="J2527" t="s">
        <v>357</v>
      </c>
    </row>
    <row r="2528" spans="1:10" x14ac:dyDescent="0.25">
      <c r="A2528" t="s">
        <v>7852</v>
      </c>
      <c r="B2528" t="s">
        <v>7853</v>
      </c>
      <c r="C2528" s="2">
        <v>46232.583333333336</v>
      </c>
      <c r="D2528" t="s">
        <v>418</v>
      </c>
      <c r="E2528" t="s">
        <v>69</v>
      </c>
      <c r="F2528" t="s">
        <v>229</v>
      </c>
      <c r="G2528" t="s">
        <v>139</v>
      </c>
      <c r="H2528">
        <v>2</v>
      </c>
      <c r="I2528" t="s">
        <v>7854</v>
      </c>
      <c r="J2528" t="s">
        <v>357</v>
      </c>
    </row>
    <row r="2529" spans="1:10" x14ac:dyDescent="0.25">
      <c r="A2529" t="s">
        <v>7855</v>
      </c>
      <c r="B2529" t="s">
        <v>7856</v>
      </c>
      <c r="C2529" s="2">
        <v>46232.583333333336</v>
      </c>
      <c r="D2529" t="s">
        <v>418</v>
      </c>
      <c r="E2529" t="s">
        <v>71</v>
      </c>
      <c r="F2529" t="s">
        <v>212</v>
      </c>
      <c r="G2529" t="s">
        <v>141</v>
      </c>
      <c r="H2529">
        <v>1</v>
      </c>
      <c r="I2529" t="s">
        <v>7857</v>
      </c>
      <c r="J2529" t="s">
        <v>357</v>
      </c>
    </row>
    <row r="2530" spans="1:10" x14ac:dyDescent="0.25">
      <c r="A2530" t="s">
        <v>7858</v>
      </c>
      <c r="B2530" t="s">
        <v>7859</v>
      </c>
      <c r="C2530" s="2">
        <v>46233.583333333336</v>
      </c>
      <c r="D2530" t="s">
        <v>418</v>
      </c>
      <c r="E2530" t="s">
        <v>18</v>
      </c>
      <c r="F2530" t="s">
        <v>260</v>
      </c>
      <c r="G2530" t="s">
        <v>95</v>
      </c>
      <c r="H2530">
        <v>2</v>
      </c>
      <c r="I2530" t="s">
        <v>7860</v>
      </c>
      <c r="J2530" t="s">
        <v>357</v>
      </c>
    </row>
    <row r="2531" spans="1:10" x14ac:dyDescent="0.25">
      <c r="A2531" t="s">
        <v>7861</v>
      </c>
      <c r="B2531" t="s">
        <v>7862</v>
      </c>
      <c r="C2531" s="2">
        <v>46233.583333333336</v>
      </c>
      <c r="D2531" t="s">
        <v>418</v>
      </c>
      <c r="E2531" t="s">
        <v>20</v>
      </c>
      <c r="F2531" t="s">
        <v>261</v>
      </c>
      <c r="G2531" t="s">
        <v>97</v>
      </c>
      <c r="H2531">
        <v>2</v>
      </c>
      <c r="I2531" t="s">
        <v>7863</v>
      </c>
      <c r="J2531" t="s">
        <v>357</v>
      </c>
    </row>
    <row r="2532" spans="1:10" x14ac:dyDescent="0.25">
      <c r="A2532" t="s">
        <v>7864</v>
      </c>
      <c r="B2532" t="s">
        <v>7865</v>
      </c>
      <c r="C2532" s="2">
        <v>46233.583333333336</v>
      </c>
      <c r="D2532" t="s">
        <v>418</v>
      </c>
      <c r="E2532" t="s">
        <v>24</v>
      </c>
      <c r="F2532" t="s">
        <v>263</v>
      </c>
      <c r="G2532" t="s">
        <v>101</v>
      </c>
      <c r="H2532">
        <v>2</v>
      </c>
      <c r="I2532" t="s">
        <v>7866</v>
      </c>
      <c r="J2532" t="s">
        <v>357</v>
      </c>
    </row>
    <row r="2533" spans="1:10" x14ac:dyDescent="0.25">
      <c r="A2533" t="s">
        <v>7867</v>
      </c>
      <c r="B2533" t="s">
        <v>7868</v>
      </c>
      <c r="C2533" s="2">
        <v>46233.583333333336</v>
      </c>
      <c r="D2533" t="s">
        <v>418</v>
      </c>
      <c r="E2533" t="s">
        <v>26</v>
      </c>
      <c r="F2533" t="s">
        <v>264</v>
      </c>
      <c r="G2533" t="s">
        <v>103</v>
      </c>
      <c r="H2533">
        <v>4</v>
      </c>
      <c r="I2533" t="s">
        <v>7869</v>
      </c>
      <c r="J2533" t="s">
        <v>357</v>
      </c>
    </row>
    <row r="2534" spans="1:10" x14ac:dyDescent="0.25">
      <c r="A2534" t="s">
        <v>7870</v>
      </c>
      <c r="B2534" t="s">
        <v>7871</v>
      </c>
      <c r="C2534" s="2">
        <v>46233.583333333336</v>
      </c>
      <c r="D2534" t="s">
        <v>418</v>
      </c>
      <c r="E2534" t="s">
        <v>32</v>
      </c>
      <c r="F2534" t="s">
        <v>251</v>
      </c>
      <c r="G2534" t="s">
        <v>109</v>
      </c>
      <c r="H2534">
        <v>4</v>
      </c>
      <c r="I2534" t="s">
        <v>7872</v>
      </c>
      <c r="J2534" t="s">
        <v>357</v>
      </c>
    </row>
    <row r="2535" spans="1:10" x14ac:dyDescent="0.25">
      <c r="A2535" t="s">
        <v>7873</v>
      </c>
      <c r="B2535" t="s">
        <v>7874</v>
      </c>
      <c r="C2535" s="2">
        <v>46233.583333333336</v>
      </c>
      <c r="D2535" t="s">
        <v>418</v>
      </c>
      <c r="E2535" t="s">
        <v>36</v>
      </c>
      <c r="F2535" t="s">
        <v>252</v>
      </c>
      <c r="G2535" t="s">
        <v>113</v>
      </c>
      <c r="H2535">
        <v>3</v>
      </c>
      <c r="I2535" t="s">
        <v>7875</v>
      </c>
      <c r="J2535" t="s">
        <v>357</v>
      </c>
    </row>
    <row r="2536" spans="1:10" x14ac:dyDescent="0.25">
      <c r="A2536" t="s">
        <v>7876</v>
      </c>
      <c r="B2536" t="s">
        <v>7877</v>
      </c>
      <c r="C2536" s="2">
        <v>46233.583333333336</v>
      </c>
      <c r="D2536" t="s">
        <v>418</v>
      </c>
      <c r="E2536" t="s">
        <v>43</v>
      </c>
      <c r="F2536" t="s">
        <v>116</v>
      </c>
      <c r="G2536" t="s">
        <v>117</v>
      </c>
      <c r="H2536">
        <v>2</v>
      </c>
      <c r="I2536" t="s">
        <v>7878</v>
      </c>
      <c r="J2536" t="s">
        <v>357</v>
      </c>
    </row>
    <row r="2537" spans="1:10" x14ac:dyDescent="0.25">
      <c r="A2537" t="s">
        <v>7879</v>
      </c>
      <c r="B2537" t="s">
        <v>7880</v>
      </c>
      <c r="C2537" s="2">
        <v>46233.583333333336</v>
      </c>
      <c r="D2537" t="s">
        <v>418</v>
      </c>
      <c r="E2537" t="s">
        <v>55</v>
      </c>
      <c r="F2537" t="s">
        <v>170</v>
      </c>
      <c r="G2537" t="s">
        <v>129</v>
      </c>
      <c r="H2537">
        <v>2</v>
      </c>
      <c r="I2537" t="s">
        <v>7881</v>
      </c>
      <c r="J2537" t="s">
        <v>357</v>
      </c>
    </row>
    <row r="2538" spans="1:10" x14ac:dyDescent="0.25">
      <c r="A2538" t="s">
        <v>7882</v>
      </c>
      <c r="B2538" t="s">
        <v>7883</v>
      </c>
      <c r="C2538" s="2">
        <v>46233.583333333336</v>
      </c>
      <c r="D2538" t="s">
        <v>418</v>
      </c>
      <c r="E2538" t="s">
        <v>57</v>
      </c>
      <c r="F2538" t="s">
        <v>255</v>
      </c>
      <c r="G2538" t="s">
        <v>131</v>
      </c>
      <c r="H2538">
        <v>4</v>
      </c>
      <c r="I2538" t="s">
        <v>7884</v>
      </c>
      <c r="J2538" t="s">
        <v>357</v>
      </c>
    </row>
    <row r="2539" spans="1:10" x14ac:dyDescent="0.25">
      <c r="A2539" t="s">
        <v>7885</v>
      </c>
      <c r="B2539" t="s">
        <v>7886</v>
      </c>
      <c r="C2539" s="2">
        <v>46233.583333333336</v>
      </c>
      <c r="D2539" t="s">
        <v>418</v>
      </c>
      <c r="E2539" t="s">
        <v>65</v>
      </c>
      <c r="F2539" t="s">
        <v>228</v>
      </c>
      <c r="G2539" t="s">
        <v>135</v>
      </c>
      <c r="H2539">
        <v>2</v>
      </c>
      <c r="I2539" t="s">
        <v>7887</v>
      </c>
      <c r="J2539" t="s">
        <v>357</v>
      </c>
    </row>
    <row r="2540" spans="1:10" x14ac:dyDescent="0.25">
      <c r="A2540" t="s">
        <v>7888</v>
      </c>
      <c r="B2540" t="s">
        <v>7889</v>
      </c>
      <c r="C2540" s="2">
        <v>46233.583333333336</v>
      </c>
      <c r="D2540" t="s">
        <v>418</v>
      </c>
      <c r="E2540" t="s">
        <v>69</v>
      </c>
      <c r="F2540" t="s">
        <v>229</v>
      </c>
      <c r="G2540" t="s">
        <v>139</v>
      </c>
      <c r="H2540">
        <v>2</v>
      </c>
      <c r="I2540" t="s">
        <v>7890</v>
      </c>
      <c r="J2540" t="s">
        <v>357</v>
      </c>
    </row>
    <row r="2541" spans="1:10" x14ac:dyDescent="0.25">
      <c r="A2541" t="s">
        <v>7891</v>
      </c>
      <c r="B2541" t="s">
        <v>7892</v>
      </c>
      <c r="C2541" s="2">
        <v>46233.583333333336</v>
      </c>
      <c r="D2541" t="s">
        <v>418</v>
      </c>
      <c r="E2541" t="s">
        <v>75</v>
      </c>
      <c r="F2541" t="s">
        <v>230</v>
      </c>
      <c r="G2541" t="s">
        <v>145</v>
      </c>
      <c r="H2541">
        <v>4</v>
      </c>
      <c r="I2541" t="s">
        <v>7893</v>
      </c>
      <c r="J2541" t="s">
        <v>357</v>
      </c>
    </row>
    <row r="2542" spans="1:10" x14ac:dyDescent="0.25">
      <c r="A2542" t="s">
        <v>7894</v>
      </c>
      <c r="B2542" t="s">
        <v>7895</v>
      </c>
      <c r="C2542" s="2">
        <v>46233.583333333336</v>
      </c>
      <c r="D2542" t="s">
        <v>418</v>
      </c>
      <c r="E2542" t="s">
        <v>22</v>
      </c>
      <c r="F2542" t="s">
        <v>233</v>
      </c>
      <c r="G2542" t="s">
        <v>99</v>
      </c>
      <c r="H2542">
        <v>4</v>
      </c>
      <c r="I2542" t="s">
        <v>7896</v>
      </c>
      <c r="J2542" t="s">
        <v>357</v>
      </c>
    </row>
    <row r="2543" spans="1:10" x14ac:dyDescent="0.25">
      <c r="A2543" t="s">
        <v>7897</v>
      </c>
      <c r="B2543" t="s">
        <v>7898</v>
      </c>
      <c r="C2543" s="2">
        <v>46233.583333333336</v>
      </c>
      <c r="D2543" t="s">
        <v>418</v>
      </c>
      <c r="E2543" t="s">
        <v>26</v>
      </c>
      <c r="F2543" t="s">
        <v>264</v>
      </c>
      <c r="G2543" t="s">
        <v>103</v>
      </c>
      <c r="H2543">
        <v>2</v>
      </c>
      <c r="I2543" t="s">
        <v>7899</v>
      </c>
      <c r="J2543" t="s">
        <v>357</v>
      </c>
    </row>
    <row r="2544" spans="1:10" x14ac:dyDescent="0.25">
      <c r="A2544" t="s">
        <v>7900</v>
      </c>
      <c r="B2544" t="s">
        <v>7901</v>
      </c>
      <c r="C2544" s="2">
        <v>46233.583333333336</v>
      </c>
      <c r="D2544" t="s">
        <v>418</v>
      </c>
      <c r="E2544" t="s">
        <v>28</v>
      </c>
      <c r="F2544" t="s">
        <v>104</v>
      </c>
      <c r="G2544" t="s">
        <v>105</v>
      </c>
      <c r="H2544">
        <v>1</v>
      </c>
      <c r="I2544" t="s">
        <v>7902</v>
      </c>
      <c r="J2544" t="s">
        <v>357</v>
      </c>
    </row>
    <row r="2545" spans="1:10" x14ac:dyDescent="0.25">
      <c r="A2545" t="s">
        <v>7903</v>
      </c>
      <c r="B2545" t="s">
        <v>7904</v>
      </c>
      <c r="C2545" s="2">
        <v>46233.583333333336</v>
      </c>
      <c r="D2545" t="s">
        <v>418</v>
      </c>
      <c r="E2545" t="s">
        <v>36</v>
      </c>
      <c r="F2545" t="s">
        <v>252</v>
      </c>
      <c r="G2545" t="s">
        <v>113</v>
      </c>
      <c r="H2545">
        <v>2</v>
      </c>
      <c r="I2545" t="s">
        <v>7905</v>
      </c>
      <c r="J2545" t="s">
        <v>357</v>
      </c>
    </row>
    <row r="2546" spans="1:10" x14ac:dyDescent="0.25">
      <c r="A2546" t="s">
        <v>7906</v>
      </c>
      <c r="B2546" t="s">
        <v>7907</v>
      </c>
      <c r="C2546" s="2">
        <v>46233.583333333336</v>
      </c>
      <c r="D2546" t="s">
        <v>418</v>
      </c>
      <c r="E2546" t="s">
        <v>69</v>
      </c>
      <c r="F2546" t="s">
        <v>229</v>
      </c>
      <c r="G2546" t="s">
        <v>139</v>
      </c>
      <c r="H2546">
        <v>2</v>
      </c>
      <c r="I2546" t="s">
        <v>7908</v>
      </c>
      <c r="J2546" t="s">
        <v>357</v>
      </c>
    </row>
    <row r="2547" spans="1:10" x14ac:dyDescent="0.25">
      <c r="A2547" t="s">
        <v>7909</v>
      </c>
      <c r="B2547" t="s">
        <v>7910</v>
      </c>
      <c r="C2547" s="2">
        <v>46233.583333333336</v>
      </c>
      <c r="D2547" t="s">
        <v>418</v>
      </c>
      <c r="E2547" t="s">
        <v>73</v>
      </c>
      <c r="F2547" t="s">
        <v>213</v>
      </c>
      <c r="G2547" t="s">
        <v>143</v>
      </c>
      <c r="H2547">
        <v>2</v>
      </c>
      <c r="I2547" t="s">
        <v>7911</v>
      </c>
      <c r="J2547" t="s">
        <v>357</v>
      </c>
    </row>
    <row r="2548" spans="1:10" x14ac:dyDescent="0.25">
      <c r="A2548" t="s">
        <v>7912</v>
      </c>
      <c r="B2548" t="s">
        <v>7913</v>
      </c>
      <c r="C2548" s="2">
        <v>46233.583333333336</v>
      </c>
      <c r="D2548" t="s">
        <v>418</v>
      </c>
      <c r="E2548" t="s">
        <v>77</v>
      </c>
      <c r="F2548" t="s">
        <v>200</v>
      </c>
      <c r="G2548" t="s">
        <v>147</v>
      </c>
      <c r="H2548">
        <v>3</v>
      </c>
      <c r="I2548" t="s">
        <v>7914</v>
      </c>
      <c r="J2548" t="s">
        <v>357</v>
      </c>
    </row>
    <row r="2549" spans="1:10" x14ac:dyDescent="0.25">
      <c r="A2549" t="s">
        <v>7915</v>
      </c>
      <c r="B2549" t="s">
        <v>7916</v>
      </c>
      <c r="C2549" s="2">
        <v>46233.583333333336</v>
      </c>
      <c r="D2549" t="s">
        <v>418</v>
      </c>
      <c r="E2549" t="s">
        <v>20</v>
      </c>
      <c r="F2549" t="s">
        <v>261</v>
      </c>
      <c r="G2549" t="s">
        <v>97</v>
      </c>
      <c r="H2549">
        <v>6</v>
      </c>
      <c r="I2549" t="s">
        <v>7917</v>
      </c>
      <c r="J2549" t="s">
        <v>357</v>
      </c>
    </row>
    <row r="2550" spans="1:10" x14ac:dyDescent="0.25">
      <c r="A2550" t="s">
        <v>7918</v>
      </c>
      <c r="B2550" t="s">
        <v>7919</v>
      </c>
      <c r="C2550" s="2">
        <v>46233.583333333336</v>
      </c>
      <c r="D2550" t="s">
        <v>418</v>
      </c>
      <c r="E2550" t="s">
        <v>22</v>
      </c>
      <c r="F2550" t="s">
        <v>233</v>
      </c>
      <c r="G2550" t="s">
        <v>99</v>
      </c>
      <c r="H2550">
        <v>1</v>
      </c>
      <c r="I2550" t="s">
        <v>7920</v>
      </c>
      <c r="J2550" t="s">
        <v>357</v>
      </c>
    </row>
    <row r="2551" spans="1:10" x14ac:dyDescent="0.25">
      <c r="A2551" t="s">
        <v>7921</v>
      </c>
      <c r="B2551" t="s">
        <v>7922</v>
      </c>
      <c r="C2551" s="2">
        <v>46233.583333333336</v>
      </c>
      <c r="D2551" t="s">
        <v>418</v>
      </c>
      <c r="E2551" t="s">
        <v>28</v>
      </c>
      <c r="F2551" t="s">
        <v>104</v>
      </c>
      <c r="G2551" t="s">
        <v>105</v>
      </c>
      <c r="H2551">
        <v>2</v>
      </c>
      <c r="I2551" t="s">
        <v>7923</v>
      </c>
      <c r="J2551" t="s">
        <v>357</v>
      </c>
    </row>
    <row r="2552" spans="1:10" x14ac:dyDescent="0.25">
      <c r="A2552" t="s">
        <v>7924</v>
      </c>
      <c r="B2552" t="s">
        <v>7925</v>
      </c>
      <c r="C2552" s="2">
        <v>46233.583333333336</v>
      </c>
      <c r="D2552" t="s">
        <v>418</v>
      </c>
      <c r="E2552" t="s">
        <v>43</v>
      </c>
      <c r="F2552" t="s">
        <v>116</v>
      </c>
      <c r="G2552" t="s">
        <v>117</v>
      </c>
      <c r="H2552">
        <v>4</v>
      </c>
      <c r="I2552" t="s">
        <v>7926</v>
      </c>
      <c r="J2552" t="s">
        <v>357</v>
      </c>
    </row>
    <row r="2553" spans="1:10" x14ac:dyDescent="0.25">
      <c r="A2553" t="s">
        <v>7927</v>
      </c>
      <c r="B2553" t="s">
        <v>7928</v>
      </c>
      <c r="C2553" s="2">
        <v>46233.583333333336</v>
      </c>
      <c r="D2553" t="s">
        <v>418</v>
      </c>
      <c r="E2553" t="s">
        <v>51</v>
      </c>
      <c r="F2553" t="s">
        <v>168</v>
      </c>
      <c r="G2553" t="s">
        <v>125</v>
      </c>
      <c r="H2553">
        <v>2</v>
      </c>
      <c r="I2553" t="s">
        <v>7929</v>
      </c>
      <c r="J2553" t="s">
        <v>357</v>
      </c>
    </row>
    <row r="2554" spans="1:10" x14ac:dyDescent="0.25">
      <c r="A2554" t="s">
        <v>7930</v>
      </c>
      <c r="B2554" t="s">
        <v>7931</v>
      </c>
      <c r="C2554" s="2">
        <v>46233.583333333336</v>
      </c>
      <c r="D2554" t="s">
        <v>418</v>
      </c>
      <c r="E2554" t="s">
        <v>57</v>
      </c>
      <c r="F2554" t="s">
        <v>255</v>
      </c>
      <c r="G2554" t="s">
        <v>131</v>
      </c>
      <c r="H2554">
        <v>4</v>
      </c>
      <c r="I2554" t="s">
        <v>7932</v>
      </c>
      <c r="J2554" t="s">
        <v>357</v>
      </c>
    </row>
    <row r="2555" spans="1:10" x14ac:dyDescent="0.25">
      <c r="A2555" t="s">
        <v>7933</v>
      </c>
      <c r="B2555" t="s">
        <v>7934</v>
      </c>
      <c r="C2555" s="2">
        <v>46233.583333333336</v>
      </c>
      <c r="D2555" t="s">
        <v>418</v>
      </c>
      <c r="E2555" t="s">
        <v>59</v>
      </c>
      <c r="F2555" t="s">
        <v>227</v>
      </c>
      <c r="G2555" t="s">
        <v>133</v>
      </c>
      <c r="H2555">
        <v>6</v>
      </c>
      <c r="I2555" t="s">
        <v>7935</v>
      </c>
      <c r="J2555" t="s">
        <v>357</v>
      </c>
    </row>
    <row r="2556" spans="1:10" x14ac:dyDescent="0.25">
      <c r="A2556" t="s">
        <v>7936</v>
      </c>
      <c r="B2556" t="s">
        <v>7937</v>
      </c>
      <c r="C2556" s="2">
        <v>46233.583333333336</v>
      </c>
      <c r="D2556" t="s">
        <v>418</v>
      </c>
      <c r="E2556" t="s">
        <v>65</v>
      </c>
      <c r="F2556" t="s">
        <v>228</v>
      </c>
      <c r="G2556" t="s">
        <v>135</v>
      </c>
      <c r="H2556">
        <v>5</v>
      </c>
      <c r="I2556" t="s">
        <v>7938</v>
      </c>
      <c r="J2556" t="s">
        <v>357</v>
      </c>
    </row>
    <row r="2557" spans="1:10" x14ac:dyDescent="0.25">
      <c r="A2557" t="s">
        <v>7939</v>
      </c>
      <c r="B2557" t="s">
        <v>7940</v>
      </c>
      <c r="C2557" s="2">
        <v>46233.583333333336</v>
      </c>
      <c r="D2557" t="s">
        <v>418</v>
      </c>
      <c r="E2557" t="s">
        <v>67</v>
      </c>
      <c r="F2557" t="s">
        <v>196</v>
      </c>
      <c r="G2557" t="s">
        <v>137</v>
      </c>
      <c r="H2557">
        <v>1</v>
      </c>
      <c r="I2557" t="s">
        <v>7941</v>
      </c>
      <c r="J2557" t="s">
        <v>357</v>
      </c>
    </row>
    <row r="2558" spans="1:10" x14ac:dyDescent="0.25">
      <c r="A2558" t="s">
        <v>7942</v>
      </c>
      <c r="B2558" t="s">
        <v>7943</v>
      </c>
      <c r="C2558" s="2">
        <v>46233.583333333336</v>
      </c>
      <c r="D2558" t="s">
        <v>418</v>
      </c>
      <c r="E2558" t="s">
        <v>67</v>
      </c>
      <c r="F2558" t="s">
        <v>242</v>
      </c>
      <c r="G2558" t="s">
        <v>137</v>
      </c>
      <c r="H2558">
        <v>5</v>
      </c>
      <c r="I2558" t="s">
        <v>7941</v>
      </c>
      <c r="J2558" t="s">
        <v>357</v>
      </c>
    </row>
    <row r="2559" spans="1:10" x14ac:dyDescent="0.25">
      <c r="A2559" t="s">
        <v>7944</v>
      </c>
      <c r="B2559" t="s">
        <v>7945</v>
      </c>
      <c r="C2559" s="2">
        <v>46233.583333333336</v>
      </c>
      <c r="D2559" t="s">
        <v>418</v>
      </c>
      <c r="E2559" t="s">
        <v>18</v>
      </c>
      <c r="F2559" t="s">
        <v>260</v>
      </c>
      <c r="G2559" t="s">
        <v>95</v>
      </c>
      <c r="H2559">
        <v>4</v>
      </c>
      <c r="I2559" t="s">
        <v>7946</v>
      </c>
      <c r="J2559" t="s">
        <v>357</v>
      </c>
    </row>
    <row r="2560" spans="1:10" x14ac:dyDescent="0.25">
      <c r="A2560" t="s">
        <v>7947</v>
      </c>
      <c r="B2560" t="s">
        <v>7948</v>
      </c>
      <c r="C2560" s="2">
        <v>46233.583333333336</v>
      </c>
      <c r="D2560" t="s">
        <v>418</v>
      </c>
      <c r="E2560" t="s">
        <v>22</v>
      </c>
      <c r="F2560" t="s">
        <v>262</v>
      </c>
      <c r="G2560" t="s">
        <v>99</v>
      </c>
      <c r="H2560">
        <v>7</v>
      </c>
      <c r="I2560" t="s">
        <v>7949</v>
      </c>
      <c r="J2560" t="s">
        <v>357</v>
      </c>
    </row>
    <row r="2561" spans="1:10" x14ac:dyDescent="0.25">
      <c r="A2561" t="s">
        <v>7950</v>
      </c>
      <c r="B2561" t="s">
        <v>7951</v>
      </c>
      <c r="C2561" s="2">
        <v>46233.583333333336</v>
      </c>
      <c r="D2561" t="s">
        <v>418</v>
      </c>
      <c r="E2561" t="s">
        <v>24</v>
      </c>
      <c r="F2561" t="s">
        <v>263</v>
      </c>
      <c r="G2561" t="s">
        <v>101</v>
      </c>
      <c r="H2561">
        <v>6</v>
      </c>
      <c r="I2561" t="s">
        <v>7952</v>
      </c>
      <c r="J2561" t="s">
        <v>357</v>
      </c>
    </row>
    <row r="2562" spans="1:10" x14ac:dyDescent="0.25">
      <c r="A2562" t="s">
        <v>7953</v>
      </c>
      <c r="B2562" t="s">
        <v>7954</v>
      </c>
      <c r="C2562" s="2">
        <v>46233.583333333336</v>
      </c>
      <c r="D2562" t="s">
        <v>418</v>
      </c>
      <c r="E2562" t="s">
        <v>32</v>
      </c>
      <c r="F2562" t="s">
        <v>251</v>
      </c>
      <c r="G2562" t="s">
        <v>109</v>
      </c>
      <c r="H2562">
        <v>6</v>
      </c>
      <c r="I2562" t="s">
        <v>7955</v>
      </c>
      <c r="J2562" t="s">
        <v>357</v>
      </c>
    </row>
    <row r="2563" spans="1:10" x14ac:dyDescent="0.25">
      <c r="A2563" t="s">
        <v>7956</v>
      </c>
      <c r="B2563" t="s">
        <v>7957</v>
      </c>
      <c r="C2563" s="2">
        <v>46233.583333333336</v>
      </c>
      <c r="D2563" t="s">
        <v>418</v>
      </c>
      <c r="E2563" t="s">
        <v>41</v>
      </c>
      <c r="F2563" t="s">
        <v>224</v>
      </c>
      <c r="G2563" t="s">
        <v>115</v>
      </c>
      <c r="H2563">
        <v>6</v>
      </c>
      <c r="I2563" t="s">
        <v>7958</v>
      </c>
      <c r="J2563" t="s">
        <v>357</v>
      </c>
    </row>
    <row r="2564" spans="1:10" x14ac:dyDescent="0.25">
      <c r="A2564" t="s">
        <v>7959</v>
      </c>
      <c r="B2564" t="s">
        <v>7960</v>
      </c>
      <c r="C2564" s="2">
        <v>46233.583333333336</v>
      </c>
      <c r="D2564" t="s">
        <v>418</v>
      </c>
      <c r="E2564" t="s">
        <v>47</v>
      </c>
      <c r="F2564" t="s">
        <v>238</v>
      </c>
      <c r="G2564" t="s">
        <v>121</v>
      </c>
      <c r="H2564">
        <v>1</v>
      </c>
      <c r="I2564" t="s">
        <v>7961</v>
      </c>
      <c r="J2564" t="s">
        <v>357</v>
      </c>
    </row>
    <row r="2565" spans="1:10" x14ac:dyDescent="0.25">
      <c r="A2565" t="s">
        <v>7962</v>
      </c>
      <c r="B2565" t="s">
        <v>7963</v>
      </c>
      <c r="C2565" s="2">
        <v>46233.583333333336</v>
      </c>
      <c r="D2565" t="s">
        <v>418</v>
      </c>
      <c r="E2565" t="s">
        <v>47</v>
      </c>
      <c r="F2565" t="s">
        <v>190</v>
      </c>
      <c r="G2565" t="s">
        <v>121</v>
      </c>
      <c r="H2565">
        <v>3</v>
      </c>
      <c r="I2565" t="s">
        <v>7961</v>
      </c>
      <c r="J2565" t="s">
        <v>357</v>
      </c>
    </row>
    <row r="2566" spans="1:10" x14ac:dyDescent="0.25">
      <c r="A2566" t="s">
        <v>7964</v>
      </c>
      <c r="B2566" t="s">
        <v>7965</v>
      </c>
      <c r="C2566" s="2">
        <v>46233.583333333336</v>
      </c>
      <c r="D2566" t="s">
        <v>418</v>
      </c>
      <c r="E2566" t="s">
        <v>49</v>
      </c>
      <c r="F2566" t="s">
        <v>253</v>
      </c>
      <c r="G2566" t="s">
        <v>123</v>
      </c>
      <c r="H2566">
        <v>6</v>
      </c>
      <c r="I2566" t="s">
        <v>7966</v>
      </c>
      <c r="J2566" t="s">
        <v>357</v>
      </c>
    </row>
    <row r="2567" spans="1:10" x14ac:dyDescent="0.25">
      <c r="A2567" t="s">
        <v>7967</v>
      </c>
      <c r="B2567" t="s">
        <v>7968</v>
      </c>
      <c r="C2567" s="2">
        <v>46233.583333333336</v>
      </c>
      <c r="D2567" t="s">
        <v>418</v>
      </c>
      <c r="E2567" t="s">
        <v>55</v>
      </c>
      <c r="F2567" t="s">
        <v>170</v>
      </c>
      <c r="G2567" t="s">
        <v>129</v>
      </c>
      <c r="H2567">
        <v>6</v>
      </c>
      <c r="I2567" t="s">
        <v>7969</v>
      </c>
      <c r="J2567" t="s">
        <v>357</v>
      </c>
    </row>
    <row r="2568" spans="1:10" x14ac:dyDescent="0.25">
      <c r="A2568" t="s">
        <v>7970</v>
      </c>
      <c r="B2568" t="s">
        <v>7971</v>
      </c>
      <c r="C2568" s="2">
        <v>46233.583333333336</v>
      </c>
      <c r="D2568" t="s">
        <v>418</v>
      </c>
      <c r="E2568" t="s">
        <v>69</v>
      </c>
      <c r="F2568" t="s">
        <v>229</v>
      </c>
      <c r="G2568" t="s">
        <v>139</v>
      </c>
      <c r="H2568">
        <v>4</v>
      </c>
      <c r="I2568" t="s">
        <v>7972</v>
      </c>
      <c r="J2568" t="s">
        <v>357</v>
      </c>
    </row>
    <row r="2569" spans="1:10" x14ac:dyDescent="0.25">
      <c r="A2569" t="s">
        <v>7973</v>
      </c>
      <c r="B2569" t="s">
        <v>7974</v>
      </c>
      <c r="C2569" s="2">
        <v>46233.583333333336</v>
      </c>
      <c r="D2569" t="s">
        <v>418</v>
      </c>
      <c r="E2569" t="s">
        <v>18</v>
      </c>
      <c r="F2569" t="s">
        <v>260</v>
      </c>
      <c r="G2569" t="s">
        <v>95</v>
      </c>
      <c r="H2569">
        <v>1</v>
      </c>
      <c r="I2569" t="s">
        <v>7975</v>
      </c>
      <c r="J2569" t="s">
        <v>357</v>
      </c>
    </row>
    <row r="2570" spans="1:10" x14ac:dyDescent="0.25">
      <c r="A2570" t="s">
        <v>7976</v>
      </c>
      <c r="B2570" t="s">
        <v>7977</v>
      </c>
      <c r="C2570" s="2">
        <v>46233.583333333336</v>
      </c>
      <c r="D2570" t="s">
        <v>418</v>
      </c>
      <c r="E2570" t="s">
        <v>26</v>
      </c>
      <c r="F2570" t="s">
        <v>264</v>
      </c>
      <c r="G2570" t="s">
        <v>103</v>
      </c>
      <c r="H2570">
        <v>3</v>
      </c>
      <c r="I2570" t="s">
        <v>7978</v>
      </c>
      <c r="J2570" t="s">
        <v>357</v>
      </c>
    </row>
    <row r="2571" spans="1:10" x14ac:dyDescent="0.25">
      <c r="A2571" t="s">
        <v>7979</v>
      </c>
      <c r="B2571" t="s">
        <v>7980</v>
      </c>
      <c r="C2571" s="2">
        <v>46233.583333333336</v>
      </c>
      <c r="D2571" t="s">
        <v>418</v>
      </c>
      <c r="E2571" t="s">
        <v>47</v>
      </c>
      <c r="F2571" t="s">
        <v>190</v>
      </c>
      <c r="G2571" t="s">
        <v>121</v>
      </c>
      <c r="H2571">
        <v>1</v>
      </c>
      <c r="I2571" t="s">
        <v>7981</v>
      </c>
      <c r="J2571" t="s">
        <v>357</v>
      </c>
    </row>
    <row r="2572" spans="1:10" x14ac:dyDescent="0.25">
      <c r="A2572" t="s">
        <v>7982</v>
      </c>
      <c r="B2572" t="s">
        <v>7983</v>
      </c>
      <c r="C2572" s="2">
        <v>46233.583333333336</v>
      </c>
      <c r="D2572" t="s">
        <v>418</v>
      </c>
      <c r="E2572" t="s">
        <v>53</v>
      </c>
      <c r="F2572" t="s">
        <v>169</v>
      </c>
      <c r="G2572" t="s">
        <v>127</v>
      </c>
      <c r="H2572">
        <v>2</v>
      </c>
      <c r="I2572" t="s">
        <v>7984</v>
      </c>
      <c r="J2572" t="s">
        <v>357</v>
      </c>
    </row>
    <row r="2573" spans="1:10" x14ac:dyDescent="0.25">
      <c r="A2573" t="s">
        <v>7985</v>
      </c>
      <c r="B2573" t="s">
        <v>7986</v>
      </c>
      <c r="C2573" s="2">
        <v>46233.583333333336</v>
      </c>
      <c r="D2573" t="s">
        <v>418</v>
      </c>
      <c r="E2573" t="s">
        <v>55</v>
      </c>
      <c r="F2573" t="s">
        <v>170</v>
      </c>
      <c r="G2573" t="s">
        <v>129</v>
      </c>
      <c r="H2573">
        <v>4</v>
      </c>
      <c r="I2573" t="s">
        <v>7987</v>
      </c>
      <c r="J2573" t="s">
        <v>357</v>
      </c>
    </row>
    <row r="2574" spans="1:10" x14ac:dyDescent="0.25">
      <c r="A2574" t="s">
        <v>7988</v>
      </c>
      <c r="B2574" t="s">
        <v>7989</v>
      </c>
      <c r="C2574" s="2">
        <v>46234.583333333336</v>
      </c>
      <c r="D2574" t="s">
        <v>418</v>
      </c>
      <c r="E2574" t="s">
        <v>20</v>
      </c>
      <c r="F2574" t="s">
        <v>261</v>
      </c>
      <c r="G2574" t="s">
        <v>97</v>
      </c>
      <c r="H2574">
        <v>3</v>
      </c>
      <c r="I2574" t="s">
        <v>7990</v>
      </c>
      <c r="J2574" t="s">
        <v>357</v>
      </c>
    </row>
    <row r="2575" spans="1:10" x14ac:dyDescent="0.25">
      <c r="A2575" t="s">
        <v>7991</v>
      </c>
      <c r="B2575" t="s">
        <v>7992</v>
      </c>
      <c r="C2575" s="2">
        <v>46234.583333333336</v>
      </c>
      <c r="D2575" t="s">
        <v>418</v>
      </c>
      <c r="E2575" t="s">
        <v>22</v>
      </c>
      <c r="F2575" t="s">
        <v>262</v>
      </c>
      <c r="G2575" t="s">
        <v>99</v>
      </c>
      <c r="H2575">
        <v>4</v>
      </c>
      <c r="I2575" t="s">
        <v>7993</v>
      </c>
      <c r="J2575" t="s">
        <v>357</v>
      </c>
    </row>
    <row r="2576" spans="1:10" x14ac:dyDescent="0.25">
      <c r="A2576" t="s">
        <v>7994</v>
      </c>
      <c r="B2576" t="s">
        <v>7995</v>
      </c>
      <c r="C2576" s="2">
        <v>46234.583333333336</v>
      </c>
      <c r="D2576" t="s">
        <v>418</v>
      </c>
      <c r="E2576" t="s">
        <v>24</v>
      </c>
      <c r="F2576" t="s">
        <v>263</v>
      </c>
      <c r="G2576" t="s">
        <v>101</v>
      </c>
      <c r="H2576">
        <v>1</v>
      </c>
      <c r="I2576" t="s">
        <v>7996</v>
      </c>
      <c r="J2576" t="s">
        <v>357</v>
      </c>
    </row>
    <row r="2577" spans="1:10" x14ac:dyDescent="0.25">
      <c r="A2577" t="s">
        <v>7997</v>
      </c>
      <c r="B2577" t="s">
        <v>7998</v>
      </c>
      <c r="C2577" s="2">
        <v>46234.583333333336</v>
      </c>
      <c r="D2577" t="s">
        <v>418</v>
      </c>
      <c r="E2577" t="s">
        <v>26</v>
      </c>
      <c r="F2577" t="s">
        <v>264</v>
      </c>
      <c r="G2577" t="s">
        <v>103</v>
      </c>
      <c r="H2577">
        <v>2</v>
      </c>
      <c r="I2577" t="s">
        <v>7999</v>
      </c>
      <c r="J2577" t="s">
        <v>357</v>
      </c>
    </row>
    <row r="2578" spans="1:10" x14ac:dyDescent="0.25">
      <c r="A2578" t="s">
        <v>8000</v>
      </c>
      <c r="B2578" t="s">
        <v>8001</v>
      </c>
      <c r="C2578" s="2">
        <v>46234.583333333336</v>
      </c>
      <c r="D2578" t="s">
        <v>418</v>
      </c>
      <c r="E2578" t="s">
        <v>30</v>
      </c>
      <c r="F2578" t="s">
        <v>250</v>
      </c>
      <c r="G2578" t="s">
        <v>107</v>
      </c>
      <c r="H2578">
        <v>2</v>
      </c>
      <c r="I2578" t="s">
        <v>8002</v>
      </c>
      <c r="J2578" t="s">
        <v>357</v>
      </c>
    </row>
    <row r="2579" spans="1:10" x14ac:dyDescent="0.25">
      <c r="A2579" t="s">
        <v>8003</v>
      </c>
      <c r="B2579" t="s">
        <v>8004</v>
      </c>
      <c r="C2579" s="2">
        <v>46234.583333333336</v>
      </c>
      <c r="D2579" t="s">
        <v>418</v>
      </c>
      <c r="E2579" t="s">
        <v>53</v>
      </c>
      <c r="F2579" t="s">
        <v>169</v>
      </c>
      <c r="G2579" t="s">
        <v>127</v>
      </c>
      <c r="H2579">
        <v>2</v>
      </c>
      <c r="I2579" t="s">
        <v>8005</v>
      </c>
      <c r="J2579" t="s">
        <v>357</v>
      </c>
    </row>
    <row r="2580" spans="1:10" x14ac:dyDescent="0.25">
      <c r="A2580" t="s">
        <v>8006</v>
      </c>
      <c r="B2580" t="s">
        <v>8007</v>
      </c>
      <c r="C2580" s="2">
        <v>46234.583333333336</v>
      </c>
      <c r="D2580" t="s">
        <v>418</v>
      </c>
      <c r="E2580" t="s">
        <v>71</v>
      </c>
      <c r="F2580" t="s">
        <v>212</v>
      </c>
      <c r="G2580" t="s">
        <v>141</v>
      </c>
      <c r="H2580">
        <v>4</v>
      </c>
      <c r="I2580" t="s">
        <v>8008</v>
      </c>
      <c r="J2580" t="s">
        <v>357</v>
      </c>
    </row>
    <row r="2581" spans="1:10" x14ac:dyDescent="0.25">
      <c r="A2581" t="s">
        <v>8009</v>
      </c>
      <c r="B2581" t="s">
        <v>8010</v>
      </c>
      <c r="C2581" s="2">
        <v>46234.583333333336</v>
      </c>
      <c r="D2581" t="s">
        <v>418</v>
      </c>
      <c r="E2581" t="s">
        <v>18</v>
      </c>
      <c r="F2581" t="s">
        <v>260</v>
      </c>
      <c r="G2581" t="s">
        <v>95</v>
      </c>
      <c r="H2581">
        <v>4</v>
      </c>
      <c r="I2581" t="s">
        <v>8011</v>
      </c>
      <c r="J2581" t="s">
        <v>357</v>
      </c>
    </row>
    <row r="2582" spans="1:10" x14ac:dyDescent="0.25">
      <c r="A2582" t="s">
        <v>8012</v>
      </c>
      <c r="B2582" t="s">
        <v>8013</v>
      </c>
      <c r="C2582" s="2">
        <v>46234.583333333336</v>
      </c>
      <c r="D2582" t="s">
        <v>418</v>
      </c>
      <c r="E2582" t="s">
        <v>20</v>
      </c>
      <c r="F2582" t="s">
        <v>261</v>
      </c>
      <c r="G2582" t="s">
        <v>97</v>
      </c>
      <c r="H2582">
        <v>3</v>
      </c>
      <c r="I2582" t="s">
        <v>8014</v>
      </c>
      <c r="J2582" t="s">
        <v>357</v>
      </c>
    </row>
    <row r="2583" spans="1:10" x14ac:dyDescent="0.25">
      <c r="A2583" t="s">
        <v>8015</v>
      </c>
      <c r="B2583" t="s">
        <v>8016</v>
      </c>
      <c r="C2583" s="2">
        <v>46234.583333333336</v>
      </c>
      <c r="D2583" t="s">
        <v>418</v>
      </c>
      <c r="E2583" t="s">
        <v>22</v>
      </c>
      <c r="F2583" t="s">
        <v>262</v>
      </c>
      <c r="G2583" t="s">
        <v>99</v>
      </c>
      <c r="H2583">
        <v>2</v>
      </c>
      <c r="I2583" t="s">
        <v>8017</v>
      </c>
      <c r="J2583" t="s">
        <v>357</v>
      </c>
    </row>
    <row r="2584" spans="1:10" x14ac:dyDescent="0.25">
      <c r="A2584" t="s">
        <v>8018</v>
      </c>
      <c r="B2584" t="s">
        <v>8019</v>
      </c>
      <c r="C2584" s="2">
        <v>46234.583333333336</v>
      </c>
      <c r="D2584" t="s">
        <v>418</v>
      </c>
      <c r="E2584" t="s">
        <v>24</v>
      </c>
      <c r="F2584" t="s">
        <v>263</v>
      </c>
      <c r="G2584" t="s">
        <v>101</v>
      </c>
      <c r="H2584">
        <v>1</v>
      </c>
      <c r="I2584" t="s">
        <v>8020</v>
      </c>
      <c r="J2584" t="s">
        <v>357</v>
      </c>
    </row>
    <row r="2585" spans="1:10" x14ac:dyDescent="0.25">
      <c r="A2585" t="s">
        <v>8021</v>
      </c>
      <c r="B2585" t="s">
        <v>8022</v>
      </c>
      <c r="C2585" s="2">
        <v>46234.583333333336</v>
      </c>
      <c r="D2585" t="s">
        <v>418</v>
      </c>
      <c r="E2585" t="s">
        <v>26</v>
      </c>
      <c r="F2585" t="s">
        <v>264</v>
      </c>
      <c r="G2585" t="s">
        <v>103</v>
      </c>
      <c r="H2585">
        <v>4</v>
      </c>
      <c r="I2585" t="s">
        <v>8023</v>
      </c>
      <c r="J2585" t="s">
        <v>357</v>
      </c>
    </row>
    <row r="2586" spans="1:10" x14ac:dyDescent="0.25">
      <c r="A2586" t="s">
        <v>8024</v>
      </c>
      <c r="B2586" t="s">
        <v>8025</v>
      </c>
      <c r="C2586" s="2">
        <v>46234.583333333336</v>
      </c>
      <c r="D2586" t="s">
        <v>418</v>
      </c>
      <c r="E2586" t="s">
        <v>32</v>
      </c>
      <c r="F2586" t="s">
        <v>251</v>
      </c>
      <c r="G2586" t="s">
        <v>109</v>
      </c>
      <c r="H2586">
        <v>2</v>
      </c>
      <c r="I2586" t="s">
        <v>8026</v>
      </c>
      <c r="J2586" t="s">
        <v>357</v>
      </c>
    </row>
    <row r="2587" spans="1:10" x14ac:dyDescent="0.25">
      <c r="A2587" t="s">
        <v>8027</v>
      </c>
      <c r="B2587" t="s">
        <v>8028</v>
      </c>
      <c r="C2587" s="2">
        <v>46234.583333333336</v>
      </c>
      <c r="D2587" t="s">
        <v>418</v>
      </c>
      <c r="E2587" t="s">
        <v>41</v>
      </c>
      <c r="F2587" t="s">
        <v>224</v>
      </c>
      <c r="G2587" t="s">
        <v>115</v>
      </c>
      <c r="H2587">
        <v>2</v>
      </c>
      <c r="I2587" t="s">
        <v>8029</v>
      </c>
      <c r="J2587" t="s">
        <v>357</v>
      </c>
    </row>
    <row r="2588" spans="1:10" x14ac:dyDescent="0.25">
      <c r="A2588" t="s">
        <v>8030</v>
      </c>
      <c r="B2588" t="s">
        <v>8031</v>
      </c>
      <c r="C2588" s="2">
        <v>46234.583333333336</v>
      </c>
      <c r="D2588" t="s">
        <v>418</v>
      </c>
      <c r="E2588" t="s">
        <v>45</v>
      </c>
      <c r="F2588" t="s">
        <v>267</v>
      </c>
      <c r="G2588" t="s">
        <v>119</v>
      </c>
      <c r="H2588">
        <v>4</v>
      </c>
      <c r="I2588" t="s">
        <v>8032</v>
      </c>
      <c r="J2588" t="s">
        <v>357</v>
      </c>
    </row>
    <row r="2589" spans="1:10" x14ac:dyDescent="0.25">
      <c r="A2589" t="s">
        <v>8033</v>
      </c>
      <c r="B2589" t="s">
        <v>8034</v>
      </c>
      <c r="C2589" s="2">
        <v>46234.583333333336</v>
      </c>
      <c r="D2589" t="s">
        <v>418</v>
      </c>
      <c r="E2589" t="s">
        <v>53</v>
      </c>
      <c r="F2589" t="s">
        <v>169</v>
      </c>
      <c r="G2589" t="s">
        <v>127</v>
      </c>
      <c r="H2589">
        <v>4</v>
      </c>
      <c r="I2589" t="s">
        <v>8035</v>
      </c>
      <c r="J2589" t="s">
        <v>357</v>
      </c>
    </row>
    <row r="2590" spans="1:10" x14ac:dyDescent="0.25">
      <c r="A2590" t="s">
        <v>8036</v>
      </c>
      <c r="B2590" t="s">
        <v>8037</v>
      </c>
      <c r="C2590" s="2">
        <v>46234.583333333336</v>
      </c>
      <c r="D2590" t="s">
        <v>418</v>
      </c>
      <c r="E2590" t="s">
        <v>57</v>
      </c>
      <c r="F2590" t="s">
        <v>255</v>
      </c>
      <c r="G2590" t="s">
        <v>131</v>
      </c>
      <c r="H2590">
        <v>4</v>
      </c>
      <c r="I2590" t="s">
        <v>8038</v>
      </c>
      <c r="J2590" t="s">
        <v>357</v>
      </c>
    </row>
    <row r="2591" spans="1:10" x14ac:dyDescent="0.25">
      <c r="A2591" t="s">
        <v>8039</v>
      </c>
      <c r="B2591" t="s">
        <v>8040</v>
      </c>
      <c r="C2591" s="2">
        <v>46234.583333333336</v>
      </c>
      <c r="D2591" t="s">
        <v>418</v>
      </c>
      <c r="E2591" t="s">
        <v>65</v>
      </c>
      <c r="F2591" t="s">
        <v>228</v>
      </c>
      <c r="G2591" t="s">
        <v>135</v>
      </c>
      <c r="H2591">
        <v>1</v>
      </c>
      <c r="I2591" t="s">
        <v>8041</v>
      </c>
      <c r="J2591" t="s">
        <v>357</v>
      </c>
    </row>
    <row r="2592" spans="1:10" x14ac:dyDescent="0.25">
      <c r="A2592" t="s">
        <v>8042</v>
      </c>
      <c r="B2592" t="s">
        <v>8043</v>
      </c>
      <c r="C2592" s="2">
        <v>46234.583333333336</v>
      </c>
      <c r="D2592" t="s">
        <v>418</v>
      </c>
      <c r="E2592" t="s">
        <v>69</v>
      </c>
      <c r="F2592" t="s">
        <v>229</v>
      </c>
      <c r="G2592" t="s">
        <v>139</v>
      </c>
      <c r="H2592">
        <v>4</v>
      </c>
      <c r="I2592" t="s">
        <v>8044</v>
      </c>
      <c r="J2592" t="s">
        <v>357</v>
      </c>
    </row>
    <row r="2593" spans="1:10" x14ac:dyDescent="0.25">
      <c r="A2593" t="s">
        <v>8045</v>
      </c>
      <c r="B2593" t="s">
        <v>8046</v>
      </c>
      <c r="C2593" s="2">
        <v>46234.583333333336</v>
      </c>
      <c r="D2593" t="s">
        <v>418</v>
      </c>
      <c r="E2593" t="s">
        <v>18</v>
      </c>
      <c r="F2593" t="s">
        <v>260</v>
      </c>
      <c r="G2593" t="s">
        <v>95</v>
      </c>
      <c r="H2593">
        <v>4</v>
      </c>
      <c r="I2593" t="s">
        <v>8047</v>
      </c>
      <c r="J2593" t="s">
        <v>357</v>
      </c>
    </row>
    <row r="2594" spans="1:10" x14ac:dyDescent="0.25">
      <c r="A2594" t="s">
        <v>8048</v>
      </c>
      <c r="B2594" t="s">
        <v>8049</v>
      </c>
      <c r="C2594" s="2">
        <v>46234.583333333336</v>
      </c>
      <c r="D2594" t="s">
        <v>418</v>
      </c>
      <c r="E2594" t="s">
        <v>20</v>
      </c>
      <c r="F2594" t="s">
        <v>261</v>
      </c>
      <c r="G2594" t="s">
        <v>97</v>
      </c>
      <c r="H2594">
        <v>5</v>
      </c>
      <c r="I2594" t="s">
        <v>8050</v>
      </c>
      <c r="J2594" t="s">
        <v>357</v>
      </c>
    </row>
    <row r="2595" spans="1:10" x14ac:dyDescent="0.25">
      <c r="A2595" t="s">
        <v>8051</v>
      </c>
      <c r="B2595" t="s">
        <v>8052</v>
      </c>
      <c r="C2595" s="2">
        <v>46234.583333333336</v>
      </c>
      <c r="D2595" t="s">
        <v>418</v>
      </c>
      <c r="E2595" t="s">
        <v>22</v>
      </c>
      <c r="F2595" t="s">
        <v>262</v>
      </c>
      <c r="G2595" t="s">
        <v>99</v>
      </c>
      <c r="H2595">
        <v>1</v>
      </c>
      <c r="I2595" t="s">
        <v>8053</v>
      </c>
      <c r="J2595" t="s">
        <v>357</v>
      </c>
    </row>
    <row r="2596" spans="1:10" x14ac:dyDescent="0.25">
      <c r="A2596" t="s">
        <v>8054</v>
      </c>
      <c r="B2596" t="s">
        <v>8055</v>
      </c>
      <c r="C2596" s="2">
        <v>46234.583333333336</v>
      </c>
      <c r="D2596" t="s">
        <v>418</v>
      </c>
      <c r="E2596" t="s">
        <v>24</v>
      </c>
      <c r="F2596" t="s">
        <v>263</v>
      </c>
      <c r="G2596" t="s">
        <v>101</v>
      </c>
      <c r="H2596">
        <v>1</v>
      </c>
      <c r="I2596" t="s">
        <v>8056</v>
      </c>
      <c r="J2596" t="s">
        <v>357</v>
      </c>
    </row>
    <row r="2597" spans="1:10" x14ac:dyDescent="0.25">
      <c r="A2597" t="s">
        <v>8057</v>
      </c>
      <c r="B2597" t="s">
        <v>8058</v>
      </c>
      <c r="C2597" s="2">
        <v>46234.583333333336</v>
      </c>
      <c r="D2597" t="s">
        <v>418</v>
      </c>
      <c r="E2597" t="s">
        <v>26</v>
      </c>
      <c r="F2597" t="s">
        <v>264</v>
      </c>
      <c r="G2597" t="s">
        <v>103</v>
      </c>
      <c r="H2597">
        <v>2</v>
      </c>
      <c r="I2597" t="s">
        <v>8059</v>
      </c>
      <c r="J2597" t="s">
        <v>357</v>
      </c>
    </row>
    <row r="2598" spans="1:10" x14ac:dyDescent="0.25">
      <c r="A2598" t="s">
        <v>8060</v>
      </c>
      <c r="B2598" t="s">
        <v>8061</v>
      </c>
      <c r="C2598" s="2">
        <v>46234.583333333336</v>
      </c>
      <c r="D2598" t="s">
        <v>418</v>
      </c>
      <c r="E2598" t="s">
        <v>32</v>
      </c>
      <c r="F2598" t="s">
        <v>251</v>
      </c>
      <c r="G2598" t="s">
        <v>109</v>
      </c>
      <c r="H2598">
        <v>4</v>
      </c>
      <c r="I2598" t="s">
        <v>8062</v>
      </c>
      <c r="J2598" t="s">
        <v>357</v>
      </c>
    </row>
    <row r="2599" spans="1:10" x14ac:dyDescent="0.25">
      <c r="A2599" t="s">
        <v>8063</v>
      </c>
      <c r="B2599" t="s">
        <v>8064</v>
      </c>
      <c r="C2599" s="2">
        <v>46234.583333333336</v>
      </c>
      <c r="D2599" t="s">
        <v>418</v>
      </c>
      <c r="E2599" t="s">
        <v>36</v>
      </c>
      <c r="F2599" t="s">
        <v>252</v>
      </c>
      <c r="G2599" t="s">
        <v>113</v>
      </c>
      <c r="H2599">
        <v>6</v>
      </c>
      <c r="I2599" t="s">
        <v>8065</v>
      </c>
      <c r="J2599" t="s">
        <v>357</v>
      </c>
    </row>
    <row r="2600" spans="1:10" x14ac:dyDescent="0.25">
      <c r="A2600" t="s">
        <v>8066</v>
      </c>
      <c r="B2600" t="s">
        <v>8067</v>
      </c>
      <c r="C2600" s="2">
        <v>46234.583333333336</v>
      </c>
      <c r="D2600" t="s">
        <v>418</v>
      </c>
      <c r="E2600" t="s">
        <v>49</v>
      </c>
      <c r="F2600" t="s">
        <v>253</v>
      </c>
      <c r="G2600" t="s">
        <v>123</v>
      </c>
      <c r="H2600">
        <v>1</v>
      </c>
      <c r="I2600" t="s">
        <v>8068</v>
      </c>
      <c r="J2600" t="s">
        <v>357</v>
      </c>
    </row>
    <row r="2601" spans="1:10" x14ac:dyDescent="0.25">
      <c r="A2601" t="s">
        <v>8069</v>
      </c>
      <c r="B2601" t="s">
        <v>8070</v>
      </c>
      <c r="C2601" s="2">
        <v>46234.583333333336</v>
      </c>
      <c r="D2601" t="s">
        <v>418</v>
      </c>
      <c r="E2601" t="s">
        <v>53</v>
      </c>
      <c r="F2601" t="s">
        <v>169</v>
      </c>
      <c r="G2601" t="s">
        <v>127</v>
      </c>
      <c r="H2601">
        <v>2</v>
      </c>
      <c r="I2601" t="s">
        <v>8071</v>
      </c>
      <c r="J2601" t="s">
        <v>357</v>
      </c>
    </row>
    <row r="2602" spans="1:10" x14ac:dyDescent="0.25">
      <c r="A2602" t="s">
        <v>8072</v>
      </c>
      <c r="B2602" t="s">
        <v>8073</v>
      </c>
      <c r="C2602" s="2">
        <v>46234.583333333336</v>
      </c>
      <c r="D2602" t="s">
        <v>418</v>
      </c>
      <c r="E2602" t="s">
        <v>59</v>
      </c>
      <c r="F2602" t="s">
        <v>227</v>
      </c>
      <c r="G2602" t="s">
        <v>133</v>
      </c>
      <c r="H2602">
        <v>2</v>
      </c>
      <c r="I2602" t="s">
        <v>8074</v>
      </c>
      <c r="J2602" t="s">
        <v>357</v>
      </c>
    </row>
    <row r="2603" spans="1:10" x14ac:dyDescent="0.25">
      <c r="A2603" t="s">
        <v>8075</v>
      </c>
      <c r="B2603" t="s">
        <v>8076</v>
      </c>
      <c r="C2603" s="2">
        <v>46234.583333333336</v>
      </c>
      <c r="D2603" t="s">
        <v>418</v>
      </c>
      <c r="E2603" t="s">
        <v>65</v>
      </c>
      <c r="F2603" t="s">
        <v>228</v>
      </c>
      <c r="G2603" t="s">
        <v>135</v>
      </c>
      <c r="H2603">
        <v>6</v>
      </c>
      <c r="I2603" t="s">
        <v>8077</v>
      </c>
      <c r="J2603" t="s">
        <v>357</v>
      </c>
    </row>
    <row r="2604" spans="1:10" x14ac:dyDescent="0.25">
      <c r="A2604" t="s">
        <v>8078</v>
      </c>
      <c r="B2604" t="s">
        <v>8079</v>
      </c>
      <c r="C2604" s="2">
        <v>46234.583333333336</v>
      </c>
      <c r="D2604" t="s">
        <v>418</v>
      </c>
      <c r="E2604" t="s">
        <v>71</v>
      </c>
      <c r="F2604" t="s">
        <v>212</v>
      </c>
      <c r="G2604" t="s">
        <v>141</v>
      </c>
      <c r="H2604">
        <v>2</v>
      </c>
      <c r="I2604" t="s">
        <v>8080</v>
      </c>
      <c r="J2604" t="s">
        <v>357</v>
      </c>
    </row>
    <row r="2605" spans="1:10" x14ac:dyDescent="0.25">
      <c r="A2605" t="s">
        <v>8081</v>
      </c>
      <c r="B2605" t="s">
        <v>8082</v>
      </c>
      <c r="C2605" s="2">
        <v>46234.583333333336</v>
      </c>
      <c r="D2605" t="s">
        <v>418</v>
      </c>
      <c r="E2605" t="s">
        <v>20</v>
      </c>
      <c r="F2605" t="s">
        <v>261</v>
      </c>
      <c r="G2605" t="s">
        <v>97</v>
      </c>
      <c r="H2605">
        <v>6</v>
      </c>
      <c r="I2605" t="s">
        <v>8083</v>
      </c>
      <c r="J2605" t="s">
        <v>357</v>
      </c>
    </row>
    <row r="2606" spans="1:10" x14ac:dyDescent="0.25">
      <c r="A2606" t="s">
        <v>8084</v>
      </c>
      <c r="B2606" t="s">
        <v>8085</v>
      </c>
      <c r="C2606" s="2">
        <v>46234.583333333336</v>
      </c>
      <c r="D2606" t="s">
        <v>418</v>
      </c>
      <c r="E2606" t="s">
        <v>22</v>
      </c>
      <c r="F2606" t="s">
        <v>262</v>
      </c>
      <c r="G2606" t="s">
        <v>99</v>
      </c>
      <c r="H2606">
        <v>3</v>
      </c>
      <c r="I2606" t="s">
        <v>8086</v>
      </c>
      <c r="J2606" t="s">
        <v>357</v>
      </c>
    </row>
    <row r="2607" spans="1:10" x14ac:dyDescent="0.25">
      <c r="A2607" t="s">
        <v>8087</v>
      </c>
      <c r="B2607" t="s">
        <v>8088</v>
      </c>
      <c r="C2607" s="2">
        <v>46234.583333333336</v>
      </c>
      <c r="D2607" t="s">
        <v>418</v>
      </c>
      <c r="E2607" t="s">
        <v>24</v>
      </c>
      <c r="F2607" t="s">
        <v>263</v>
      </c>
      <c r="G2607" t="s">
        <v>101</v>
      </c>
      <c r="H2607">
        <v>7</v>
      </c>
      <c r="I2607" t="s">
        <v>8089</v>
      </c>
      <c r="J2607" t="s">
        <v>357</v>
      </c>
    </row>
    <row r="2608" spans="1:10" x14ac:dyDescent="0.25">
      <c r="A2608" t="s">
        <v>8090</v>
      </c>
      <c r="B2608" t="s">
        <v>8091</v>
      </c>
      <c r="C2608" s="2">
        <v>46234.583333333336</v>
      </c>
      <c r="D2608" t="s">
        <v>418</v>
      </c>
      <c r="E2608" t="s">
        <v>26</v>
      </c>
      <c r="F2608" t="s">
        <v>264</v>
      </c>
      <c r="G2608" t="s">
        <v>103</v>
      </c>
      <c r="H2608">
        <v>3</v>
      </c>
      <c r="I2608" t="s">
        <v>8092</v>
      </c>
      <c r="J2608" t="s">
        <v>357</v>
      </c>
    </row>
    <row r="2609" spans="1:10" x14ac:dyDescent="0.25">
      <c r="A2609" t="s">
        <v>8093</v>
      </c>
      <c r="B2609" t="s">
        <v>8094</v>
      </c>
      <c r="C2609" s="2">
        <v>46234.583333333336</v>
      </c>
      <c r="D2609" t="s">
        <v>418</v>
      </c>
      <c r="E2609" t="s">
        <v>28</v>
      </c>
      <c r="F2609" t="s">
        <v>104</v>
      </c>
      <c r="G2609" t="s">
        <v>105</v>
      </c>
      <c r="H2609">
        <v>4</v>
      </c>
      <c r="I2609" t="s">
        <v>8095</v>
      </c>
      <c r="J2609" t="s">
        <v>357</v>
      </c>
    </row>
    <row r="2610" spans="1:10" x14ac:dyDescent="0.25">
      <c r="A2610" t="s">
        <v>8096</v>
      </c>
      <c r="B2610" t="s">
        <v>8097</v>
      </c>
      <c r="C2610" s="2">
        <v>46234.583333333336</v>
      </c>
      <c r="D2610" t="s">
        <v>418</v>
      </c>
      <c r="E2610" t="s">
        <v>30</v>
      </c>
      <c r="F2610" t="s">
        <v>250</v>
      </c>
      <c r="G2610" t="s">
        <v>107</v>
      </c>
      <c r="H2610">
        <v>4</v>
      </c>
      <c r="I2610" t="s">
        <v>8098</v>
      </c>
      <c r="J2610" t="s">
        <v>357</v>
      </c>
    </row>
    <row r="2611" spans="1:10" x14ac:dyDescent="0.25">
      <c r="A2611" t="s">
        <v>8099</v>
      </c>
      <c r="B2611" t="s">
        <v>8100</v>
      </c>
      <c r="C2611" s="2">
        <v>46234.583333333336</v>
      </c>
      <c r="D2611" t="s">
        <v>418</v>
      </c>
      <c r="E2611" t="s">
        <v>32</v>
      </c>
      <c r="F2611" t="s">
        <v>251</v>
      </c>
      <c r="G2611" t="s">
        <v>109</v>
      </c>
      <c r="H2611">
        <v>3</v>
      </c>
      <c r="I2611" t="s">
        <v>8101</v>
      </c>
      <c r="J2611" t="s">
        <v>357</v>
      </c>
    </row>
    <row r="2612" spans="1:10" x14ac:dyDescent="0.25">
      <c r="A2612" t="s">
        <v>8102</v>
      </c>
      <c r="B2612" t="s">
        <v>8103</v>
      </c>
      <c r="C2612" s="2">
        <v>46234.583333333336</v>
      </c>
      <c r="D2612" t="s">
        <v>418</v>
      </c>
      <c r="E2612" t="s">
        <v>41</v>
      </c>
      <c r="F2612" t="s">
        <v>224</v>
      </c>
      <c r="G2612" t="s">
        <v>115</v>
      </c>
      <c r="H2612">
        <v>1</v>
      </c>
      <c r="I2612" t="s">
        <v>8104</v>
      </c>
      <c r="J2612" t="s">
        <v>357</v>
      </c>
    </row>
    <row r="2613" spans="1:10" x14ac:dyDescent="0.25">
      <c r="A2613" t="s">
        <v>8105</v>
      </c>
      <c r="B2613" t="s">
        <v>8106</v>
      </c>
      <c r="C2613" s="2">
        <v>46234.583333333336</v>
      </c>
      <c r="D2613" t="s">
        <v>418</v>
      </c>
      <c r="E2613" t="s">
        <v>47</v>
      </c>
      <c r="F2613" t="s">
        <v>190</v>
      </c>
      <c r="G2613" t="s">
        <v>121</v>
      </c>
      <c r="H2613">
        <v>6</v>
      </c>
      <c r="I2613" t="s">
        <v>8107</v>
      </c>
      <c r="J2613" t="s">
        <v>357</v>
      </c>
    </row>
    <row r="2614" spans="1:10" x14ac:dyDescent="0.25">
      <c r="A2614" t="s">
        <v>8108</v>
      </c>
      <c r="B2614" t="s">
        <v>8109</v>
      </c>
      <c r="C2614" s="2">
        <v>46234.583333333336</v>
      </c>
      <c r="D2614" t="s">
        <v>418</v>
      </c>
      <c r="E2614" t="s">
        <v>51</v>
      </c>
      <c r="F2614" t="s">
        <v>168</v>
      </c>
      <c r="G2614" t="s">
        <v>125</v>
      </c>
      <c r="H2614">
        <v>6</v>
      </c>
      <c r="I2614" t="s">
        <v>8110</v>
      </c>
      <c r="J2614" t="s">
        <v>357</v>
      </c>
    </row>
    <row r="2615" spans="1:10" x14ac:dyDescent="0.25">
      <c r="A2615" t="s">
        <v>8111</v>
      </c>
      <c r="B2615" t="s">
        <v>8112</v>
      </c>
      <c r="C2615" s="2">
        <v>46234.583333333336</v>
      </c>
      <c r="D2615" t="s">
        <v>418</v>
      </c>
      <c r="E2615" t="s">
        <v>53</v>
      </c>
      <c r="F2615" t="s">
        <v>169</v>
      </c>
      <c r="G2615" t="s">
        <v>127</v>
      </c>
      <c r="H2615">
        <v>1</v>
      </c>
      <c r="I2615" t="s">
        <v>8113</v>
      </c>
      <c r="J2615" t="s">
        <v>357</v>
      </c>
    </row>
    <row r="2616" spans="1:10" x14ac:dyDescent="0.25">
      <c r="A2616" t="s">
        <v>8114</v>
      </c>
      <c r="B2616" t="s">
        <v>8115</v>
      </c>
      <c r="C2616" s="2">
        <v>46234.583333333336</v>
      </c>
      <c r="D2616" t="s">
        <v>418</v>
      </c>
      <c r="E2616" t="s">
        <v>55</v>
      </c>
      <c r="F2616" t="s">
        <v>170</v>
      </c>
      <c r="G2616" t="s">
        <v>129</v>
      </c>
      <c r="H2616">
        <v>1</v>
      </c>
      <c r="I2616" t="s">
        <v>8116</v>
      </c>
      <c r="J2616" t="s">
        <v>357</v>
      </c>
    </row>
    <row r="2617" spans="1:10" x14ac:dyDescent="0.25">
      <c r="A2617" t="s">
        <v>8117</v>
      </c>
      <c r="B2617" t="s">
        <v>8118</v>
      </c>
      <c r="C2617" s="2">
        <v>46234.583333333336</v>
      </c>
      <c r="D2617" t="s">
        <v>418</v>
      </c>
      <c r="E2617" t="s">
        <v>73</v>
      </c>
      <c r="F2617" t="s">
        <v>213</v>
      </c>
      <c r="G2617" t="s">
        <v>143</v>
      </c>
      <c r="H2617">
        <v>3</v>
      </c>
      <c r="I2617" t="s">
        <v>8119</v>
      </c>
      <c r="J2617" t="s">
        <v>357</v>
      </c>
    </row>
    <row r="2618" spans="1:10" x14ac:dyDescent="0.25">
      <c r="A2618" t="s">
        <v>8120</v>
      </c>
      <c r="B2618" t="s">
        <v>8121</v>
      </c>
      <c r="C2618" s="2">
        <v>46234.583333333336</v>
      </c>
      <c r="D2618" t="s">
        <v>418</v>
      </c>
      <c r="E2618" t="s">
        <v>18</v>
      </c>
      <c r="F2618" t="s">
        <v>260</v>
      </c>
      <c r="G2618" t="s">
        <v>95</v>
      </c>
      <c r="H2618">
        <v>2</v>
      </c>
      <c r="I2618" t="s">
        <v>8122</v>
      </c>
      <c r="J2618" t="s">
        <v>357</v>
      </c>
    </row>
    <row r="2619" spans="1:10" x14ac:dyDescent="0.25">
      <c r="A2619" t="s">
        <v>8123</v>
      </c>
      <c r="B2619" t="s">
        <v>8124</v>
      </c>
      <c r="C2619" s="2">
        <v>46234.583333333336</v>
      </c>
      <c r="D2619" t="s">
        <v>418</v>
      </c>
      <c r="E2619" t="s">
        <v>22</v>
      </c>
      <c r="F2619" t="s">
        <v>262</v>
      </c>
      <c r="G2619" t="s">
        <v>99</v>
      </c>
      <c r="H2619">
        <v>4</v>
      </c>
      <c r="I2619" t="s">
        <v>8125</v>
      </c>
      <c r="J2619" t="s">
        <v>357</v>
      </c>
    </row>
    <row r="2620" spans="1:10" x14ac:dyDescent="0.25">
      <c r="A2620" t="s">
        <v>8126</v>
      </c>
      <c r="B2620" t="s">
        <v>8127</v>
      </c>
      <c r="C2620" s="2">
        <v>46234.583333333336</v>
      </c>
      <c r="D2620" t="s">
        <v>418</v>
      </c>
      <c r="E2620" t="s">
        <v>24</v>
      </c>
      <c r="F2620" t="s">
        <v>263</v>
      </c>
      <c r="G2620" t="s">
        <v>101</v>
      </c>
      <c r="H2620">
        <v>1</v>
      </c>
      <c r="I2620" t="s">
        <v>8128</v>
      </c>
      <c r="J2620" t="s">
        <v>357</v>
      </c>
    </row>
    <row r="2621" spans="1:10" x14ac:dyDescent="0.25">
      <c r="A2621" t="s">
        <v>8129</v>
      </c>
      <c r="B2621" t="s">
        <v>8130</v>
      </c>
      <c r="C2621" s="2">
        <v>46234.583333333336</v>
      </c>
      <c r="D2621" t="s">
        <v>418</v>
      </c>
      <c r="E2621" t="s">
        <v>28</v>
      </c>
      <c r="F2621" t="s">
        <v>104</v>
      </c>
      <c r="G2621" t="s">
        <v>105</v>
      </c>
      <c r="H2621">
        <v>4</v>
      </c>
      <c r="I2621" t="s">
        <v>8131</v>
      </c>
      <c r="J2621" t="s">
        <v>357</v>
      </c>
    </row>
    <row r="2622" spans="1:10" x14ac:dyDescent="0.25">
      <c r="A2622" t="s">
        <v>8132</v>
      </c>
      <c r="B2622" t="s">
        <v>8133</v>
      </c>
      <c r="C2622" s="2">
        <v>46234.583333333336</v>
      </c>
      <c r="D2622" t="s">
        <v>418</v>
      </c>
      <c r="E2622" t="s">
        <v>45</v>
      </c>
      <c r="F2622" t="s">
        <v>267</v>
      </c>
      <c r="G2622" t="s">
        <v>119</v>
      </c>
      <c r="H2622">
        <v>4</v>
      </c>
      <c r="I2622" t="s">
        <v>8134</v>
      </c>
      <c r="J2622" t="s">
        <v>357</v>
      </c>
    </row>
    <row r="2623" spans="1:10" x14ac:dyDescent="0.25">
      <c r="A2623" t="s">
        <v>8135</v>
      </c>
      <c r="B2623" t="s">
        <v>8136</v>
      </c>
      <c r="C2623" s="2">
        <v>46234.583333333336</v>
      </c>
      <c r="D2623" t="s">
        <v>418</v>
      </c>
      <c r="E2623" t="s">
        <v>49</v>
      </c>
      <c r="F2623" t="s">
        <v>253</v>
      </c>
      <c r="G2623" t="s">
        <v>123</v>
      </c>
      <c r="H2623">
        <v>1</v>
      </c>
      <c r="I2623" t="s">
        <v>8137</v>
      </c>
      <c r="J2623" t="s">
        <v>357</v>
      </c>
    </row>
    <row r="2624" spans="1:10" x14ac:dyDescent="0.25">
      <c r="A2624" t="s">
        <v>8138</v>
      </c>
      <c r="B2624" t="s">
        <v>8139</v>
      </c>
      <c r="C2624" s="2">
        <v>46234.583333333336</v>
      </c>
      <c r="D2624" t="s">
        <v>418</v>
      </c>
      <c r="E2624" t="s">
        <v>55</v>
      </c>
      <c r="F2624" t="s">
        <v>170</v>
      </c>
      <c r="G2624" t="s">
        <v>129</v>
      </c>
      <c r="H2624">
        <v>1</v>
      </c>
      <c r="I2624" t="s">
        <v>8140</v>
      </c>
      <c r="J2624" t="s">
        <v>357</v>
      </c>
    </row>
    <row r="2625" spans="1:10" x14ac:dyDescent="0.25">
      <c r="A2625" t="s">
        <v>8141</v>
      </c>
      <c r="B2625" t="s">
        <v>8142</v>
      </c>
      <c r="C2625" s="2">
        <v>46234.583333333336</v>
      </c>
      <c r="D2625" t="s">
        <v>418</v>
      </c>
      <c r="E2625" t="s">
        <v>55</v>
      </c>
      <c r="F2625" t="s">
        <v>240</v>
      </c>
      <c r="G2625" t="s">
        <v>129</v>
      </c>
      <c r="H2625">
        <v>2</v>
      </c>
      <c r="I2625" t="s">
        <v>8140</v>
      </c>
      <c r="J2625" t="s">
        <v>357</v>
      </c>
    </row>
    <row r="2626" spans="1:10" x14ac:dyDescent="0.25">
      <c r="A2626" t="s">
        <v>8143</v>
      </c>
      <c r="B2626" t="s">
        <v>8144</v>
      </c>
      <c r="C2626" s="2">
        <v>46234.583333333336</v>
      </c>
      <c r="D2626" t="s">
        <v>418</v>
      </c>
      <c r="E2626" t="s">
        <v>59</v>
      </c>
      <c r="F2626" t="s">
        <v>227</v>
      </c>
      <c r="G2626" t="s">
        <v>133</v>
      </c>
      <c r="H2626">
        <v>2</v>
      </c>
      <c r="I2626" t="s">
        <v>8145</v>
      </c>
      <c r="J2626" t="s">
        <v>357</v>
      </c>
    </row>
    <row r="2627" spans="1:10" x14ac:dyDescent="0.25">
      <c r="A2627" t="s">
        <v>8146</v>
      </c>
      <c r="B2627" t="s">
        <v>8147</v>
      </c>
      <c r="C2627" s="2">
        <v>46234.583333333336</v>
      </c>
      <c r="D2627" t="s">
        <v>418</v>
      </c>
      <c r="E2627" t="s">
        <v>67</v>
      </c>
      <c r="F2627" t="s">
        <v>242</v>
      </c>
      <c r="G2627" t="s">
        <v>137</v>
      </c>
      <c r="H2627">
        <v>4</v>
      </c>
      <c r="I2627" t="s">
        <v>8148</v>
      </c>
      <c r="J2627" t="s">
        <v>357</v>
      </c>
    </row>
    <row r="2628" spans="1:10" x14ac:dyDescent="0.25">
      <c r="A2628" t="s">
        <v>8149</v>
      </c>
      <c r="B2628" t="s">
        <v>8150</v>
      </c>
      <c r="C2628" s="2">
        <v>46235.583333333336</v>
      </c>
      <c r="D2628" t="s">
        <v>418</v>
      </c>
      <c r="E2628" t="s">
        <v>20</v>
      </c>
      <c r="F2628" t="s">
        <v>261</v>
      </c>
      <c r="G2628" t="s">
        <v>97</v>
      </c>
      <c r="H2628">
        <v>1</v>
      </c>
      <c r="I2628" t="s">
        <v>8151</v>
      </c>
      <c r="J2628" t="s">
        <v>357</v>
      </c>
    </row>
    <row r="2629" spans="1:10" x14ac:dyDescent="0.25">
      <c r="A2629" t="s">
        <v>8152</v>
      </c>
      <c r="B2629" t="s">
        <v>8153</v>
      </c>
      <c r="C2629" s="2">
        <v>46235.583333333336</v>
      </c>
      <c r="D2629" t="s">
        <v>418</v>
      </c>
      <c r="E2629" t="s">
        <v>24</v>
      </c>
      <c r="F2629" t="s">
        <v>263</v>
      </c>
      <c r="G2629" t="s">
        <v>101</v>
      </c>
      <c r="H2629">
        <v>3</v>
      </c>
      <c r="I2629" t="s">
        <v>8154</v>
      </c>
      <c r="J2629" t="s">
        <v>357</v>
      </c>
    </row>
    <row r="2630" spans="1:10" x14ac:dyDescent="0.25">
      <c r="A2630" t="s">
        <v>8155</v>
      </c>
      <c r="B2630" t="s">
        <v>8156</v>
      </c>
      <c r="C2630" s="2">
        <v>46235.583333333336</v>
      </c>
      <c r="D2630" t="s">
        <v>418</v>
      </c>
      <c r="E2630" t="s">
        <v>30</v>
      </c>
      <c r="F2630" t="s">
        <v>250</v>
      </c>
      <c r="G2630" t="s">
        <v>107</v>
      </c>
      <c r="H2630">
        <v>4</v>
      </c>
      <c r="I2630" t="s">
        <v>8157</v>
      </c>
      <c r="J2630" t="s">
        <v>357</v>
      </c>
    </row>
    <row r="2631" spans="1:10" x14ac:dyDescent="0.25">
      <c r="A2631" t="s">
        <v>8158</v>
      </c>
      <c r="B2631" t="s">
        <v>8159</v>
      </c>
      <c r="C2631" s="2">
        <v>46235.583333333336</v>
      </c>
      <c r="D2631" t="s">
        <v>418</v>
      </c>
      <c r="E2631" t="s">
        <v>41</v>
      </c>
      <c r="F2631" t="s">
        <v>224</v>
      </c>
      <c r="G2631" t="s">
        <v>115</v>
      </c>
      <c r="H2631">
        <v>3</v>
      </c>
      <c r="I2631" t="s">
        <v>8160</v>
      </c>
      <c r="J2631" t="s">
        <v>357</v>
      </c>
    </row>
    <row r="2632" spans="1:10" x14ac:dyDescent="0.25">
      <c r="A2632" t="s">
        <v>8161</v>
      </c>
      <c r="B2632" t="s">
        <v>8162</v>
      </c>
      <c r="C2632" s="2">
        <v>46235.583333333336</v>
      </c>
      <c r="D2632" t="s">
        <v>418</v>
      </c>
      <c r="E2632" t="s">
        <v>45</v>
      </c>
      <c r="F2632" t="s">
        <v>267</v>
      </c>
      <c r="G2632" t="s">
        <v>119</v>
      </c>
      <c r="H2632">
        <v>4</v>
      </c>
      <c r="I2632" t="s">
        <v>8163</v>
      </c>
      <c r="J2632" t="s">
        <v>357</v>
      </c>
    </row>
    <row r="2633" spans="1:10" x14ac:dyDescent="0.25">
      <c r="A2633" t="s">
        <v>8164</v>
      </c>
      <c r="B2633" t="s">
        <v>8165</v>
      </c>
      <c r="C2633" s="2">
        <v>46235.583333333336</v>
      </c>
      <c r="D2633" t="s">
        <v>418</v>
      </c>
      <c r="E2633" t="s">
        <v>53</v>
      </c>
      <c r="F2633" t="s">
        <v>169</v>
      </c>
      <c r="G2633" t="s">
        <v>127</v>
      </c>
      <c r="H2633">
        <v>4</v>
      </c>
      <c r="I2633" t="s">
        <v>8166</v>
      </c>
      <c r="J2633" t="s">
        <v>357</v>
      </c>
    </row>
    <row r="2634" spans="1:10" x14ac:dyDescent="0.25">
      <c r="A2634" t="s">
        <v>8167</v>
      </c>
      <c r="B2634" t="s">
        <v>8168</v>
      </c>
      <c r="C2634" s="2">
        <v>46235.583333333336</v>
      </c>
      <c r="D2634" t="s">
        <v>418</v>
      </c>
      <c r="E2634" t="s">
        <v>55</v>
      </c>
      <c r="F2634" t="s">
        <v>240</v>
      </c>
      <c r="G2634" t="s">
        <v>129</v>
      </c>
      <c r="H2634">
        <v>5</v>
      </c>
      <c r="I2634" t="s">
        <v>8169</v>
      </c>
      <c r="J2634" t="s">
        <v>357</v>
      </c>
    </row>
    <row r="2635" spans="1:10" x14ac:dyDescent="0.25">
      <c r="A2635" t="s">
        <v>8170</v>
      </c>
      <c r="B2635" t="s">
        <v>8171</v>
      </c>
      <c r="C2635" s="2">
        <v>46235.583333333336</v>
      </c>
      <c r="D2635" t="s">
        <v>418</v>
      </c>
      <c r="E2635" t="s">
        <v>65</v>
      </c>
      <c r="F2635" t="s">
        <v>228</v>
      </c>
      <c r="G2635" t="s">
        <v>135</v>
      </c>
      <c r="H2635">
        <v>4</v>
      </c>
      <c r="I2635" t="s">
        <v>8172</v>
      </c>
      <c r="J2635" t="s">
        <v>357</v>
      </c>
    </row>
    <row r="2636" spans="1:10" x14ac:dyDescent="0.25">
      <c r="A2636" t="s">
        <v>8173</v>
      </c>
      <c r="B2636" t="s">
        <v>8174</v>
      </c>
      <c r="C2636" s="2">
        <v>46235.583333333336</v>
      </c>
      <c r="D2636" t="s">
        <v>418</v>
      </c>
      <c r="E2636" t="s">
        <v>77</v>
      </c>
      <c r="F2636" t="s">
        <v>200</v>
      </c>
      <c r="G2636" t="s">
        <v>147</v>
      </c>
      <c r="H2636">
        <v>2</v>
      </c>
      <c r="I2636" t="s">
        <v>8175</v>
      </c>
      <c r="J2636" t="s">
        <v>357</v>
      </c>
    </row>
    <row r="2637" spans="1:10" x14ac:dyDescent="0.25">
      <c r="A2637" t="s">
        <v>8176</v>
      </c>
      <c r="B2637" t="s">
        <v>8177</v>
      </c>
      <c r="C2637" s="2">
        <v>46235.583333333336</v>
      </c>
      <c r="D2637" t="s">
        <v>418</v>
      </c>
      <c r="E2637" t="s">
        <v>77</v>
      </c>
      <c r="F2637" t="s">
        <v>243</v>
      </c>
      <c r="G2637" t="s">
        <v>147</v>
      </c>
      <c r="H2637">
        <v>3</v>
      </c>
      <c r="I2637" t="s">
        <v>8175</v>
      </c>
      <c r="J2637" t="s">
        <v>357</v>
      </c>
    </row>
    <row r="2638" spans="1:10" x14ac:dyDescent="0.25">
      <c r="A2638" t="s">
        <v>8178</v>
      </c>
      <c r="B2638" t="s">
        <v>8179</v>
      </c>
      <c r="C2638" s="2">
        <v>46235.583333333336</v>
      </c>
      <c r="D2638" t="s">
        <v>418</v>
      </c>
      <c r="E2638" t="s">
        <v>24</v>
      </c>
      <c r="F2638" t="s">
        <v>263</v>
      </c>
      <c r="G2638" t="s">
        <v>101</v>
      </c>
      <c r="H2638">
        <v>3</v>
      </c>
      <c r="I2638" t="s">
        <v>8180</v>
      </c>
      <c r="J2638" t="s">
        <v>357</v>
      </c>
    </row>
    <row r="2639" spans="1:10" x14ac:dyDescent="0.25">
      <c r="A2639" t="s">
        <v>8181</v>
      </c>
      <c r="B2639" t="s">
        <v>8182</v>
      </c>
      <c r="C2639" s="2">
        <v>46235.583333333336</v>
      </c>
      <c r="D2639" t="s">
        <v>418</v>
      </c>
      <c r="E2639" t="s">
        <v>26</v>
      </c>
      <c r="F2639" t="s">
        <v>264</v>
      </c>
      <c r="G2639" t="s">
        <v>103</v>
      </c>
      <c r="H2639">
        <v>4</v>
      </c>
      <c r="I2639" t="s">
        <v>8183</v>
      </c>
      <c r="J2639" t="s">
        <v>357</v>
      </c>
    </row>
    <row r="2640" spans="1:10" x14ac:dyDescent="0.25">
      <c r="A2640" t="s">
        <v>8184</v>
      </c>
      <c r="B2640" t="s">
        <v>8185</v>
      </c>
      <c r="C2640" s="2">
        <v>46235.583333333336</v>
      </c>
      <c r="D2640" t="s">
        <v>418</v>
      </c>
      <c r="E2640" t="s">
        <v>28</v>
      </c>
      <c r="F2640" t="s">
        <v>104</v>
      </c>
      <c r="G2640" t="s">
        <v>105</v>
      </c>
      <c r="H2640">
        <v>6</v>
      </c>
      <c r="I2640" t="s">
        <v>8186</v>
      </c>
      <c r="J2640" t="s">
        <v>357</v>
      </c>
    </row>
    <row r="2641" spans="1:10" x14ac:dyDescent="0.25">
      <c r="A2641" t="s">
        <v>8187</v>
      </c>
      <c r="B2641" t="s">
        <v>8188</v>
      </c>
      <c r="C2641" s="2">
        <v>46235.583333333336</v>
      </c>
      <c r="D2641" t="s">
        <v>418</v>
      </c>
      <c r="E2641" t="s">
        <v>30</v>
      </c>
      <c r="F2641" t="s">
        <v>250</v>
      </c>
      <c r="G2641" t="s">
        <v>107</v>
      </c>
      <c r="H2641">
        <v>5</v>
      </c>
      <c r="I2641" t="s">
        <v>8189</v>
      </c>
      <c r="J2641" t="s">
        <v>357</v>
      </c>
    </row>
    <row r="2642" spans="1:10" x14ac:dyDescent="0.25">
      <c r="A2642" t="s">
        <v>8190</v>
      </c>
      <c r="B2642" t="s">
        <v>8191</v>
      </c>
      <c r="C2642" s="2">
        <v>46235.583333333336</v>
      </c>
      <c r="D2642" t="s">
        <v>418</v>
      </c>
      <c r="E2642" t="s">
        <v>36</v>
      </c>
      <c r="F2642" t="s">
        <v>252</v>
      </c>
      <c r="G2642" t="s">
        <v>113</v>
      </c>
      <c r="H2642">
        <v>4</v>
      </c>
      <c r="I2642" t="s">
        <v>8192</v>
      </c>
      <c r="J2642" t="s">
        <v>357</v>
      </c>
    </row>
    <row r="2643" spans="1:10" x14ac:dyDescent="0.25">
      <c r="A2643" t="s">
        <v>8193</v>
      </c>
      <c r="B2643" t="s">
        <v>8194</v>
      </c>
      <c r="C2643" s="2">
        <v>46235.583333333336</v>
      </c>
      <c r="D2643" t="s">
        <v>418</v>
      </c>
      <c r="E2643" t="s">
        <v>43</v>
      </c>
      <c r="F2643" t="s">
        <v>116</v>
      </c>
      <c r="G2643" t="s">
        <v>117</v>
      </c>
      <c r="H2643">
        <v>3</v>
      </c>
      <c r="I2643" t="s">
        <v>8195</v>
      </c>
      <c r="J2643" t="s">
        <v>357</v>
      </c>
    </row>
    <row r="2644" spans="1:10" x14ac:dyDescent="0.25">
      <c r="A2644" t="s">
        <v>8196</v>
      </c>
      <c r="B2644" t="s">
        <v>8197</v>
      </c>
      <c r="C2644" s="2">
        <v>46235.583333333336</v>
      </c>
      <c r="D2644" t="s">
        <v>418</v>
      </c>
      <c r="E2644" t="s">
        <v>55</v>
      </c>
      <c r="F2644" t="s">
        <v>240</v>
      </c>
      <c r="G2644" t="s">
        <v>129</v>
      </c>
      <c r="H2644">
        <v>6</v>
      </c>
      <c r="I2644" t="s">
        <v>8198</v>
      </c>
      <c r="J2644" t="s">
        <v>357</v>
      </c>
    </row>
    <row r="2645" spans="1:10" x14ac:dyDescent="0.25">
      <c r="A2645" t="s">
        <v>8199</v>
      </c>
      <c r="B2645" t="s">
        <v>8200</v>
      </c>
      <c r="C2645" s="2">
        <v>46235.583333333336</v>
      </c>
      <c r="D2645" t="s">
        <v>418</v>
      </c>
      <c r="E2645" t="s">
        <v>57</v>
      </c>
      <c r="F2645" t="s">
        <v>255</v>
      </c>
      <c r="G2645" t="s">
        <v>131</v>
      </c>
      <c r="H2645">
        <v>3</v>
      </c>
      <c r="I2645" t="s">
        <v>8201</v>
      </c>
      <c r="J2645" t="s">
        <v>357</v>
      </c>
    </row>
    <row r="2646" spans="1:10" x14ac:dyDescent="0.25">
      <c r="A2646" t="s">
        <v>8202</v>
      </c>
      <c r="B2646" t="s">
        <v>8203</v>
      </c>
      <c r="C2646" s="2">
        <v>46235.583333333336</v>
      </c>
      <c r="D2646" t="s">
        <v>418</v>
      </c>
      <c r="E2646" t="s">
        <v>59</v>
      </c>
      <c r="F2646" t="s">
        <v>227</v>
      </c>
      <c r="G2646" t="s">
        <v>133</v>
      </c>
      <c r="H2646">
        <v>6</v>
      </c>
      <c r="I2646" t="s">
        <v>8204</v>
      </c>
      <c r="J2646" t="s">
        <v>357</v>
      </c>
    </row>
    <row r="2647" spans="1:10" x14ac:dyDescent="0.25">
      <c r="A2647" t="s">
        <v>8205</v>
      </c>
      <c r="B2647" t="s">
        <v>8206</v>
      </c>
      <c r="C2647" s="2">
        <v>46235.583333333336</v>
      </c>
      <c r="D2647" t="s">
        <v>418</v>
      </c>
      <c r="E2647" t="s">
        <v>67</v>
      </c>
      <c r="F2647" t="s">
        <v>242</v>
      </c>
      <c r="G2647" t="s">
        <v>137</v>
      </c>
      <c r="H2647">
        <v>4</v>
      </c>
      <c r="I2647" t="s">
        <v>8207</v>
      </c>
      <c r="J2647" t="s">
        <v>357</v>
      </c>
    </row>
    <row r="2648" spans="1:10" x14ac:dyDescent="0.25">
      <c r="A2648" t="s">
        <v>8208</v>
      </c>
      <c r="B2648" t="s">
        <v>8209</v>
      </c>
      <c r="C2648" s="2">
        <v>46235.583333333336</v>
      </c>
      <c r="D2648" t="s">
        <v>418</v>
      </c>
      <c r="E2648" t="s">
        <v>77</v>
      </c>
      <c r="F2648" t="s">
        <v>243</v>
      </c>
      <c r="G2648" t="s">
        <v>147</v>
      </c>
      <c r="H2648">
        <v>4</v>
      </c>
      <c r="I2648" t="s">
        <v>8210</v>
      </c>
      <c r="J2648" t="s">
        <v>357</v>
      </c>
    </row>
    <row r="2649" spans="1:10" x14ac:dyDescent="0.25">
      <c r="A2649" t="s">
        <v>8211</v>
      </c>
      <c r="B2649" t="s">
        <v>8212</v>
      </c>
      <c r="C2649" s="2">
        <v>46235.583333333336</v>
      </c>
      <c r="D2649" t="s">
        <v>418</v>
      </c>
      <c r="E2649" t="s">
        <v>18</v>
      </c>
      <c r="F2649" t="s">
        <v>260</v>
      </c>
      <c r="G2649" t="s">
        <v>95</v>
      </c>
      <c r="H2649">
        <v>2</v>
      </c>
      <c r="I2649" t="s">
        <v>8213</v>
      </c>
      <c r="J2649" t="s">
        <v>357</v>
      </c>
    </row>
    <row r="2650" spans="1:10" x14ac:dyDescent="0.25">
      <c r="A2650" t="s">
        <v>8214</v>
      </c>
      <c r="B2650" t="s">
        <v>8215</v>
      </c>
      <c r="C2650" s="2">
        <v>46235.583333333336</v>
      </c>
      <c r="D2650" t="s">
        <v>418</v>
      </c>
      <c r="E2650" t="s">
        <v>22</v>
      </c>
      <c r="F2650" t="s">
        <v>262</v>
      </c>
      <c r="G2650" t="s">
        <v>99</v>
      </c>
      <c r="H2650">
        <v>2</v>
      </c>
      <c r="I2650" t="s">
        <v>8216</v>
      </c>
      <c r="J2650" t="s">
        <v>357</v>
      </c>
    </row>
    <row r="2651" spans="1:10" x14ac:dyDescent="0.25">
      <c r="A2651" t="s">
        <v>8217</v>
      </c>
      <c r="B2651" t="s">
        <v>8218</v>
      </c>
      <c r="C2651" s="2">
        <v>46235.583333333336</v>
      </c>
      <c r="D2651" t="s">
        <v>418</v>
      </c>
      <c r="E2651" t="s">
        <v>24</v>
      </c>
      <c r="F2651" t="s">
        <v>263</v>
      </c>
      <c r="G2651" t="s">
        <v>101</v>
      </c>
      <c r="H2651">
        <v>2</v>
      </c>
      <c r="I2651" t="s">
        <v>8219</v>
      </c>
      <c r="J2651" t="s">
        <v>357</v>
      </c>
    </row>
    <row r="2652" spans="1:10" x14ac:dyDescent="0.25">
      <c r="A2652" t="s">
        <v>8220</v>
      </c>
      <c r="B2652" t="s">
        <v>8221</v>
      </c>
      <c r="C2652" s="2">
        <v>46235.583333333336</v>
      </c>
      <c r="D2652" t="s">
        <v>418</v>
      </c>
      <c r="E2652" t="s">
        <v>20</v>
      </c>
      <c r="F2652" t="s">
        <v>261</v>
      </c>
      <c r="G2652" t="s">
        <v>97</v>
      </c>
      <c r="H2652">
        <v>5</v>
      </c>
      <c r="I2652" t="s">
        <v>8222</v>
      </c>
      <c r="J2652" t="s">
        <v>357</v>
      </c>
    </row>
    <row r="2653" spans="1:10" x14ac:dyDescent="0.25">
      <c r="A2653" t="s">
        <v>8223</v>
      </c>
      <c r="B2653" t="s">
        <v>8224</v>
      </c>
      <c r="C2653" s="2">
        <v>46235.583333333336</v>
      </c>
      <c r="D2653" t="s">
        <v>418</v>
      </c>
      <c r="E2653" t="s">
        <v>22</v>
      </c>
      <c r="F2653" t="s">
        <v>262</v>
      </c>
      <c r="G2653" t="s">
        <v>99</v>
      </c>
      <c r="H2653">
        <v>5</v>
      </c>
      <c r="I2653" t="s">
        <v>8225</v>
      </c>
      <c r="J2653" t="s">
        <v>357</v>
      </c>
    </row>
    <row r="2654" spans="1:10" x14ac:dyDescent="0.25">
      <c r="A2654" t="s">
        <v>8226</v>
      </c>
      <c r="B2654" t="s">
        <v>8227</v>
      </c>
      <c r="C2654" s="2">
        <v>46235.583333333336</v>
      </c>
      <c r="D2654" t="s">
        <v>418</v>
      </c>
      <c r="E2654" t="s">
        <v>24</v>
      </c>
      <c r="F2654" t="s">
        <v>263</v>
      </c>
      <c r="G2654" t="s">
        <v>101</v>
      </c>
      <c r="H2654">
        <v>5</v>
      </c>
      <c r="I2654" t="s">
        <v>8228</v>
      </c>
      <c r="J2654" t="s">
        <v>357</v>
      </c>
    </row>
    <row r="2655" spans="1:10" x14ac:dyDescent="0.25">
      <c r="A2655" t="s">
        <v>8229</v>
      </c>
      <c r="B2655" t="s">
        <v>8230</v>
      </c>
      <c r="C2655" s="2">
        <v>46235.583333333336</v>
      </c>
      <c r="D2655" t="s">
        <v>418</v>
      </c>
      <c r="E2655" t="s">
        <v>26</v>
      </c>
      <c r="F2655" t="s">
        <v>264</v>
      </c>
      <c r="G2655" t="s">
        <v>103</v>
      </c>
      <c r="H2655">
        <v>5</v>
      </c>
      <c r="I2655" t="s">
        <v>8231</v>
      </c>
      <c r="J2655" t="s">
        <v>357</v>
      </c>
    </row>
    <row r="2656" spans="1:10" x14ac:dyDescent="0.25">
      <c r="A2656" t="s">
        <v>8232</v>
      </c>
      <c r="B2656" t="s">
        <v>8233</v>
      </c>
      <c r="C2656" s="2">
        <v>46235.583333333336</v>
      </c>
      <c r="D2656" t="s">
        <v>418</v>
      </c>
      <c r="E2656" t="s">
        <v>51</v>
      </c>
      <c r="F2656" t="s">
        <v>168</v>
      </c>
      <c r="G2656" t="s">
        <v>125</v>
      </c>
      <c r="H2656">
        <v>5</v>
      </c>
      <c r="I2656" t="s">
        <v>8234</v>
      </c>
      <c r="J2656" t="s">
        <v>357</v>
      </c>
    </row>
    <row r="2657" spans="1:10" x14ac:dyDescent="0.25">
      <c r="A2657" t="s">
        <v>8235</v>
      </c>
      <c r="B2657" t="s">
        <v>8236</v>
      </c>
      <c r="C2657" s="2">
        <v>46235.583333333336</v>
      </c>
      <c r="D2657" t="s">
        <v>418</v>
      </c>
      <c r="E2657" t="s">
        <v>53</v>
      </c>
      <c r="F2657" t="s">
        <v>169</v>
      </c>
      <c r="G2657" t="s">
        <v>127</v>
      </c>
      <c r="H2657">
        <v>5</v>
      </c>
      <c r="I2657" t="s">
        <v>8237</v>
      </c>
      <c r="J2657" t="s">
        <v>357</v>
      </c>
    </row>
    <row r="2658" spans="1:10" x14ac:dyDescent="0.25">
      <c r="A2658" t="s">
        <v>8238</v>
      </c>
      <c r="B2658" t="s">
        <v>8239</v>
      </c>
      <c r="C2658" s="2">
        <v>46235.583333333336</v>
      </c>
      <c r="D2658" t="s">
        <v>418</v>
      </c>
      <c r="E2658" t="s">
        <v>53</v>
      </c>
      <c r="F2658" t="s">
        <v>126</v>
      </c>
      <c r="G2658" t="s">
        <v>127</v>
      </c>
      <c r="H2658">
        <v>4</v>
      </c>
      <c r="I2658" t="s">
        <v>8237</v>
      </c>
      <c r="J2658" t="s">
        <v>357</v>
      </c>
    </row>
    <row r="2659" spans="1:10" x14ac:dyDescent="0.25">
      <c r="A2659" t="s">
        <v>8240</v>
      </c>
      <c r="B2659" t="s">
        <v>8241</v>
      </c>
      <c r="C2659" s="2">
        <v>46235.583333333336</v>
      </c>
      <c r="D2659" t="s">
        <v>418</v>
      </c>
      <c r="E2659" t="s">
        <v>57</v>
      </c>
      <c r="F2659" t="s">
        <v>255</v>
      </c>
      <c r="G2659" t="s">
        <v>131</v>
      </c>
      <c r="H2659">
        <v>5</v>
      </c>
      <c r="I2659" t="s">
        <v>8242</v>
      </c>
      <c r="J2659" t="s">
        <v>357</v>
      </c>
    </row>
    <row r="2660" spans="1:10" x14ac:dyDescent="0.25">
      <c r="A2660" t="s">
        <v>8243</v>
      </c>
      <c r="B2660" t="s">
        <v>8244</v>
      </c>
      <c r="C2660" s="2">
        <v>46235.583333333336</v>
      </c>
      <c r="D2660" t="s">
        <v>418</v>
      </c>
      <c r="E2660" t="s">
        <v>67</v>
      </c>
      <c r="F2660" t="s">
        <v>242</v>
      </c>
      <c r="G2660" t="s">
        <v>137</v>
      </c>
      <c r="H2660">
        <v>4</v>
      </c>
      <c r="I2660" t="s">
        <v>8245</v>
      </c>
      <c r="J2660" t="s">
        <v>357</v>
      </c>
    </row>
    <row r="2661" spans="1:10" x14ac:dyDescent="0.25">
      <c r="A2661" t="s">
        <v>8246</v>
      </c>
      <c r="B2661" t="s">
        <v>8247</v>
      </c>
      <c r="C2661" s="2">
        <v>46235.583333333336</v>
      </c>
      <c r="D2661" t="s">
        <v>418</v>
      </c>
      <c r="E2661" t="s">
        <v>73</v>
      </c>
      <c r="F2661" t="s">
        <v>213</v>
      </c>
      <c r="G2661" t="s">
        <v>143</v>
      </c>
      <c r="H2661">
        <v>7</v>
      </c>
      <c r="I2661" t="s">
        <v>8248</v>
      </c>
      <c r="J2661" t="s">
        <v>357</v>
      </c>
    </row>
    <row r="2662" spans="1:10" x14ac:dyDescent="0.25">
      <c r="A2662" t="s">
        <v>8249</v>
      </c>
      <c r="B2662" t="s">
        <v>8250</v>
      </c>
      <c r="C2662" s="2">
        <v>46235.583333333336</v>
      </c>
      <c r="D2662" t="s">
        <v>418</v>
      </c>
      <c r="E2662" t="s">
        <v>77</v>
      </c>
      <c r="F2662" t="s">
        <v>243</v>
      </c>
      <c r="G2662" t="s">
        <v>147</v>
      </c>
      <c r="H2662">
        <v>5</v>
      </c>
      <c r="I2662" t="s">
        <v>8251</v>
      </c>
      <c r="J2662" t="s">
        <v>357</v>
      </c>
    </row>
    <row r="2663" spans="1:10" x14ac:dyDescent="0.25">
      <c r="A2663" t="s">
        <v>8252</v>
      </c>
      <c r="B2663" t="s">
        <v>8253</v>
      </c>
      <c r="C2663" s="2">
        <v>46235.583333333336</v>
      </c>
      <c r="D2663" t="s">
        <v>418</v>
      </c>
      <c r="E2663" t="s">
        <v>18</v>
      </c>
      <c r="F2663" t="s">
        <v>260</v>
      </c>
      <c r="G2663" t="s">
        <v>95</v>
      </c>
      <c r="H2663">
        <v>6</v>
      </c>
      <c r="I2663" t="s">
        <v>8254</v>
      </c>
      <c r="J2663" t="s">
        <v>357</v>
      </c>
    </row>
    <row r="2664" spans="1:10" x14ac:dyDescent="0.25">
      <c r="A2664" t="s">
        <v>8255</v>
      </c>
      <c r="B2664" t="s">
        <v>8256</v>
      </c>
      <c r="C2664" s="2">
        <v>46235.583333333336</v>
      </c>
      <c r="D2664" t="s">
        <v>418</v>
      </c>
      <c r="E2664" t="s">
        <v>20</v>
      </c>
      <c r="F2664" t="s">
        <v>261</v>
      </c>
      <c r="G2664" t="s">
        <v>97</v>
      </c>
      <c r="H2664">
        <v>6</v>
      </c>
      <c r="I2664" t="s">
        <v>8257</v>
      </c>
      <c r="J2664" t="s">
        <v>357</v>
      </c>
    </row>
    <row r="2665" spans="1:10" x14ac:dyDescent="0.25">
      <c r="A2665" t="s">
        <v>8258</v>
      </c>
      <c r="B2665" t="s">
        <v>8259</v>
      </c>
      <c r="C2665" s="2">
        <v>46235.583333333336</v>
      </c>
      <c r="D2665" t="s">
        <v>418</v>
      </c>
      <c r="E2665" t="s">
        <v>22</v>
      </c>
      <c r="F2665" t="s">
        <v>262</v>
      </c>
      <c r="G2665" t="s">
        <v>99</v>
      </c>
      <c r="H2665">
        <v>5</v>
      </c>
      <c r="I2665" t="s">
        <v>8260</v>
      </c>
      <c r="J2665" t="s">
        <v>357</v>
      </c>
    </row>
    <row r="2666" spans="1:10" x14ac:dyDescent="0.25">
      <c r="A2666" t="s">
        <v>8261</v>
      </c>
      <c r="B2666" t="s">
        <v>8262</v>
      </c>
      <c r="C2666" s="2">
        <v>46235.583333333336</v>
      </c>
      <c r="D2666" t="s">
        <v>418</v>
      </c>
      <c r="E2666" t="s">
        <v>24</v>
      </c>
      <c r="F2666" t="s">
        <v>263</v>
      </c>
      <c r="G2666" t="s">
        <v>101</v>
      </c>
      <c r="H2666">
        <v>1</v>
      </c>
      <c r="I2666" t="s">
        <v>8263</v>
      </c>
      <c r="J2666" t="s">
        <v>357</v>
      </c>
    </row>
    <row r="2667" spans="1:10" x14ac:dyDescent="0.25">
      <c r="A2667" t="s">
        <v>8264</v>
      </c>
      <c r="B2667" t="s">
        <v>8265</v>
      </c>
      <c r="C2667" s="2">
        <v>46235.583333333336</v>
      </c>
      <c r="D2667" t="s">
        <v>418</v>
      </c>
      <c r="E2667" t="s">
        <v>28</v>
      </c>
      <c r="F2667" t="s">
        <v>104</v>
      </c>
      <c r="G2667" t="s">
        <v>105</v>
      </c>
      <c r="H2667">
        <v>1</v>
      </c>
      <c r="I2667" t="s">
        <v>8266</v>
      </c>
      <c r="J2667" t="s">
        <v>357</v>
      </c>
    </row>
    <row r="2668" spans="1:10" x14ac:dyDescent="0.25">
      <c r="A2668" t="s">
        <v>8267</v>
      </c>
      <c r="B2668" t="s">
        <v>8268</v>
      </c>
      <c r="C2668" s="2">
        <v>46235.583333333336</v>
      </c>
      <c r="D2668" t="s">
        <v>418</v>
      </c>
      <c r="E2668" t="s">
        <v>28</v>
      </c>
      <c r="F2668" t="s">
        <v>249</v>
      </c>
      <c r="G2668" t="s">
        <v>105</v>
      </c>
      <c r="H2668">
        <v>3</v>
      </c>
      <c r="I2668" t="s">
        <v>8266</v>
      </c>
      <c r="J2668" t="s">
        <v>357</v>
      </c>
    </row>
    <row r="2669" spans="1:10" x14ac:dyDescent="0.25">
      <c r="A2669" t="s">
        <v>8269</v>
      </c>
      <c r="B2669" t="s">
        <v>8270</v>
      </c>
      <c r="C2669" s="2">
        <v>46235.583333333336</v>
      </c>
      <c r="D2669" t="s">
        <v>418</v>
      </c>
      <c r="E2669" t="s">
        <v>30</v>
      </c>
      <c r="F2669" t="s">
        <v>250</v>
      </c>
      <c r="G2669" t="s">
        <v>107</v>
      </c>
      <c r="H2669">
        <v>2</v>
      </c>
      <c r="I2669" t="s">
        <v>8271</v>
      </c>
      <c r="J2669" t="s">
        <v>357</v>
      </c>
    </row>
    <row r="2670" spans="1:10" x14ac:dyDescent="0.25">
      <c r="A2670" t="s">
        <v>8272</v>
      </c>
      <c r="B2670" t="s">
        <v>8273</v>
      </c>
      <c r="C2670" s="2">
        <v>46235.583333333336</v>
      </c>
      <c r="D2670" t="s">
        <v>418</v>
      </c>
      <c r="E2670" t="s">
        <v>47</v>
      </c>
      <c r="F2670" t="s">
        <v>190</v>
      </c>
      <c r="G2670" t="s">
        <v>121</v>
      </c>
      <c r="H2670">
        <v>4</v>
      </c>
      <c r="I2670" t="s">
        <v>8274</v>
      </c>
      <c r="J2670" t="s">
        <v>357</v>
      </c>
    </row>
    <row r="2671" spans="1:10" x14ac:dyDescent="0.25">
      <c r="A2671" t="s">
        <v>8275</v>
      </c>
      <c r="B2671" t="s">
        <v>8276</v>
      </c>
      <c r="C2671" s="2">
        <v>46235.583333333336</v>
      </c>
      <c r="D2671" t="s">
        <v>418</v>
      </c>
      <c r="E2671" t="s">
        <v>59</v>
      </c>
      <c r="F2671" t="s">
        <v>227</v>
      </c>
      <c r="G2671" t="s">
        <v>133</v>
      </c>
      <c r="H2671">
        <v>5</v>
      </c>
      <c r="I2671" t="s">
        <v>8277</v>
      </c>
      <c r="J2671" t="s">
        <v>357</v>
      </c>
    </row>
    <row r="2672" spans="1:10" x14ac:dyDescent="0.25">
      <c r="A2672" t="s">
        <v>8278</v>
      </c>
      <c r="B2672" t="s">
        <v>8279</v>
      </c>
      <c r="C2672" s="2">
        <v>46235.583333333336</v>
      </c>
      <c r="D2672" t="s">
        <v>418</v>
      </c>
      <c r="E2672" t="s">
        <v>65</v>
      </c>
      <c r="F2672" t="s">
        <v>228</v>
      </c>
      <c r="G2672" t="s">
        <v>135</v>
      </c>
      <c r="H2672">
        <v>2</v>
      </c>
      <c r="I2672" t="s">
        <v>8280</v>
      </c>
      <c r="J2672" t="s">
        <v>357</v>
      </c>
    </row>
    <row r="2673" spans="1:10" x14ac:dyDescent="0.25">
      <c r="A2673" t="s">
        <v>8281</v>
      </c>
      <c r="B2673" t="s">
        <v>8282</v>
      </c>
      <c r="C2673" s="2">
        <v>46235.583333333336</v>
      </c>
      <c r="D2673" t="s">
        <v>418</v>
      </c>
      <c r="E2673" t="s">
        <v>65</v>
      </c>
      <c r="F2673" t="s">
        <v>241</v>
      </c>
      <c r="G2673" t="s">
        <v>135</v>
      </c>
      <c r="H2673">
        <v>2</v>
      </c>
      <c r="I2673" t="s">
        <v>8280</v>
      </c>
      <c r="J2673" t="s">
        <v>357</v>
      </c>
    </row>
    <row r="2674" spans="1:10" x14ac:dyDescent="0.25">
      <c r="A2674" t="s">
        <v>8283</v>
      </c>
      <c r="B2674" t="s">
        <v>8284</v>
      </c>
      <c r="C2674" s="2">
        <v>46235.583333333336</v>
      </c>
      <c r="D2674" t="s">
        <v>418</v>
      </c>
      <c r="E2674" t="s">
        <v>67</v>
      </c>
      <c r="F2674" t="s">
        <v>242</v>
      </c>
      <c r="G2674" t="s">
        <v>137</v>
      </c>
      <c r="H2674">
        <v>4</v>
      </c>
      <c r="I2674" t="s">
        <v>8285</v>
      </c>
      <c r="J2674" t="s">
        <v>357</v>
      </c>
    </row>
    <row r="2675" spans="1:10" x14ac:dyDescent="0.25">
      <c r="A2675" t="s">
        <v>8286</v>
      </c>
      <c r="B2675" t="s">
        <v>8287</v>
      </c>
      <c r="C2675" s="2">
        <v>46235.583333333336</v>
      </c>
      <c r="D2675" t="s">
        <v>418</v>
      </c>
      <c r="E2675" t="s">
        <v>73</v>
      </c>
      <c r="F2675" t="s">
        <v>213</v>
      </c>
      <c r="G2675" t="s">
        <v>143</v>
      </c>
      <c r="H2675">
        <v>1</v>
      </c>
      <c r="I2675" t="s">
        <v>8288</v>
      </c>
      <c r="J2675" t="s">
        <v>357</v>
      </c>
    </row>
    <row r="2676" spans="1:10" x14ac:dyDescent="0.25">
      <c r="A2676" t="s">
        <v>8289</v>
      </c>
      <c r="B2676" t="s">
        <v>8290</v>
      </c>
      <c r="C2676" s="2">
        <v>46236.583333333336</v>
      </c>
      <c r="D2676" t="s">
        <v>418</v>
      </c>
      <c r="E2676" t="s">
        <v>18</v>
      </c>
      <c r="F2676" t="s">
        <v>260</v>
      </c>
      <c r="G2676" t="s">
        <v>95</v>
      </c>
      <c r="H2676">
        <v>1</v>
      </c>
      <c r="I2676" t="s">
        <v>8291</v>
      </c>
      <c r="J2676" t="s">
        <v>357</v>
      </c>
    </row>
    <row r="2677" spans="1:10" x14ac:dyDescent="0.25">
      <c r="A2677" t="s">
        <v>8292</v>
      </c>
      <c r="B2677" t="s">
        <v>8293</v>
      </c>
      <c r="C2677" s="2">
        <v>46236.583333333336</v>
      </c>
      <c r="D2677" t="s">
        <v>418</v>
      </c>
      <c r="E2677" t="s">
        <v>24</v>
      </c>
      <c r="F2677" t="s">
        <v>263</v>
      </c>
      <c r="G2677" t="s">
        <v>101</v>
      </c>
      <c r="H2677">
        <v>1</v>
      </c>
      <c r="I2677" t="s">
        <v>8294</v>
      </c>
      <c r="J2677" t="s">
        <v>357</v>
      </c>
    </row>
    <row r="2678" spans="1:10" x14ac:dyDescent="0.25">
      <c r="A2678" t="s">
        <v>8295</v>
      </c>
      <c r="B2678" t="s">
        <v>8296</v>
      </c>
      <c r="C2678" s="2">
        <v>46236.583333333336</v>
      </c>
      <c r="D2678" t="s">
        <v>418</v>
      </c>
      <c r="E2678" t="s">
        <v>32</v>
      </c>
      <c r="F2678" t="s">
        <v>251</v>
      </c>
      <c r="G2678" t="s">
        <v>109</v>
      </c>
      <c r="H2678">
        <v>2</v>
      </c>
      <c r="I2678" t="s">
        <v>8297</v>
      </c>
      <c r="J2678" t="s">
        <v>357</v>
      </c>
    </row>
    <row r="2679" spans="1:10" x14ac:dyDescent="0.25">
      <c r="A2679" t="s">
        <v>8298</v>
      </c>
      <c r="B2679" t="s">
        <v>8299</v>
      </c>
      <c r="C2679" s="2">
        <v>46236.583333333336</v>
      </c>
      <c r="D2679" t="s">
        <v>418</v>
      </c>
      <c r="E2679" t="s">
        <v>43</v>
      </c>
      <c r="F2679" t="s">
        <v>116</v>
      </c>
      <c r="G2679" t="s">
        <v>117</v>
      </c>
      <c r="H2679">
        <v>4</v>
      </c>
      <c r="I2679" t="s">
        <v>8300</v>
      </c>
      <c r="J2679" t="s">
        <v>357</v>
      </c>
    </row>
    <row r="2680" spans="1:10" x14ac:dyDescent="0.25">
      <c r="A2680" t="s">
        <v>8301</v>
      </c>
      <c r="B2680" t="s">
        <v>8302</v>
      </c>
      <c r="C2680" s="2">
        <v>46236.583333333336</v>
      </c>
      <c r="D2680" t="s">
        <v>418</v>
      </c>
      <c r="E2680" t="s">
        <v>45</v>
      </c>
      <c r="F2680" t="s">
        <v>267</v>
      </c>
      <c r="G2680" t="s">
        <v>119</v>
      </c>
      <c r="H2680">
        <v>2</v>
      </c>
      <c r="I2680" t="s">
        <v>8303</v>
      </c>
      <c r="J2680" t="s">
        <v>357</v>
      </c>
    </row>
    <row r="2681" spans="1:10" x14ac:dyDescent="0.25">
      <c r="A2681" t="s">
        <v>8304</v>
      </c>
      <c r="B2681" t="s">
        <v>8305</v>
      </c>
      <c r="C2681" s="2">
        <v>46236.583333333336</v>
      </c>
      <c r="D2681" t="s">
        <v>418</v>
      </c>
      <c r="E2681" t="s">
        <v>47</v>
      </c>
      <c r="F2681" t="s">
        <v>190</v>
      </c>
      <c r="G2681" t="s">
        <v>121</v>
      </c>
      <c r="H2681">
        <v>4</v>
      </c>
      <c r="I2681" t="s">
        <v>8306</v>
      </c>
      <c r="J2681" t="s">
        <v>357</v>
      </c>
    </row>
    <row r="2682" spans="1:10" x14ac:dyDescent="0.25">
      <c r="A2682" t="s">
        <v>8307</v>
      </c>
      <c r="B2682" t="s">
        <v>8308</v>
      </c>
      <c r="C2682" s="2">
        <v>46236.583333333336</v>
      </c>
      <c r="D2682" t="s">
        <v>418</v>
      </c>
      <c r="E2682" t="s">
        <v>55</v>
      </c>
      <c r="F2682" t="s">
        <v>240</v>
      </c>
      <c r="G2682" t="s">
        <v>129</v>
      </c>
      <c r="H2682">
        <v>2</v>
      </c>
      <c r="I2682" t="s">
        <v>8309</v>
      </c>
      <c r="J2682" t="s">
        <v>357</v>
      </c>
    </row>
    <row r="2683" spans="1:10" x14ac:dyDescent="0.25">
      <c r="A2683" t="s">
        <v>8310</v>
      </c>
      <c r="B2683" t="s">
        <v>8311</v>
      </c>
      <c r="C2683" s="2">
        <v>46236.583333333336</v>
      </c>
      <c r="D2683" t="s">
        <v>418</v>
      </c>
      <c r="E2683" t="s">
        <v>57</v>
      </c>
      <c r="F2683" t="s">
        <v>255</v>
      </c>
      <c r="G2683" t="s">
        <v>131</v>
      </c>
      <c r="H2683">
        <v>1</v>
      </c>
      <c r="I2683" t="s">
        <v>8312</v>
      </c>
      <c r="J2683" t="s">
        <v>357</v>
      </c>
    </row>
    <row r="2684" spans="1:10" x14ac:dyDescent="0.25">
      <c r="A2684" t="s">
        <v>8313</v>
      </c>
      <c r="B2684" t="s">
        <v>8314</v>
      </c>
      <c r="C2684" s="2">
        <v>46236.583333333336</v>
      </c>
      <c r="D2684" t="s">
        <v>418</v>
      </c>
      <c r="E2684" t="s">
        <v>59</v>
      </c>
      <c r="F2684" t="s">
        <v>227</v>
      </c>
      <c r="G2684" t="s">
        <v>133</v>
      </c>
      <c r="H2684">
        <v>5</v>
      </c>
      <c r="I2684" t="s">
        <v>8315</v>
      </c>
      <c r="J2684" t="s">
        <v>357</v>
      </c>
    </row>
    <row r="2685" spans="1:10" x14ac:dyDescent="0.25">
      <c r="A2685" t="s">
        <v>8316</v>
      </c>
      <c r="B2685" t="s">
        <v>8317</v>
      </c>
      <c r="C2685" s="2">
        <v>46236.583333333336</v>
      </c>
      <c r="D2685" t="s">
        <v>418</v>
      </c>
      <c r="E2685" t="s">
        <v>69</v>
      </c>
      <c r="F2685" t="s">
        <v>229</v>
      </c>
      <c r="G2685" t="s">
        <v>139</v>
      </c>
      <c r="H2685">
        <v>4</v>
      </c>
      <c r="I2685" t="s">
        <v>8318</v>
      </c>
      <c r="J2685" t="s">
        <v>357</v>
      </c>
    </row>
    <row r="2686" spans="1:10" x14ac:dyDescent="0.25">
      <c r="A2686" t="s">
        <v>8319</v>
      </c>
      <c r="B2686" t="s">
        <v>8320</v>
      </c>
      <c r="C2686" s="2">
        <v>46236.583333333336</v>
      </c>
      <c r="D2686" t="s">
        <v>418</v>
      </c>
      <c r="E2686" t="s">
        <v>73</v>
      </c>
      <c r="F2686" t="s">
        <v>213</v>
      </c>
      <c r="G2686" t="s">
        <v>143</v>
      </c>
      <c r="H2686">
        <v>3</v>
      </c>
      <c r="I2686" t="s">
        <v>8321</v>
      </c>
      <c r="J2686" t="s">
        <v>357</v>
      </c>
    </row>
    <row r="2687" spans="1:10" x14ac:dyDescent="0.25">
      <c r="A2687" t="s">
        <v>8322</v>
      </c>
      <c r="B2687" t="s">
        <v>8323</v>
      </c>
      <c r="C2687" s="2">
        <v>46236.583333333336</v>
      </c>
      <c r="D2687" t="s">
        <v>418</v>
      </c>
      <c r="E2687" t="s">
        <v>18</v>
      </c>
      <c r="F2687" t="s">
        <v>260</v>
      </c>
      <c r="G2687" t="s">
        <v>95</v>
      </c>
      <c r="H2687">
        <v>5</v>
      </c>
      <c r="I2687" t="s">
        <v>8324</v>
      </c>
      <c r="J2687" t="s">
        <v>357</v>
      </c>
    </row>
    <row r="2688" spans="1:10" x14ac:dyDescent="0.25">
      <c r="A2688" t="s">
        <v>8325</v>
      </c>
      <c r="B2688" t="s">
        <v>8326</v>
      </c>
      <c r="C2688" s="2">
        <v>46236.583333333336</v>
      </c>
      <c r="D2688" t="s">
        <v>418</v>
      </c>
      <c r="E2688" t="s">
        <v>22</v>
      </c>
      <c r="F2688" t="s">
        <v>262</v>
      </c>
      <c r="G2688" t="s">
        <v>99</v>
      </c>
      <c r="H2688">
        <v>4</v>
      </c>
      <c r="I2688" t="s">
        <v>8327</v>
      </c>
      <c r="J2688" t="s">
        <v>357</v>
      </c>
    </row>
    <row r="2689" spans="1:10" x14ac:dyDescent="0.25">
      <c r="A2689" t="s">
        <v>8328</v>
      </c>
      <c r="B2689" t="s">
        <v>8329</v>
      </c>
      <c r="C2689" s="2">
        <v>46236.583333333336</v>
      </c>
      <c r="D2689" t="s">
        <v>418</v>
      </c>
      <c r="E2689" t="s">
        <v>24</v>
      </c>
      <c r="F2689" t="s">
        <v>263</v>
      </c>
      <c r="G2689" t="s">
        <v>101</v>
      </c>
      <c r="H2689">
        <v>6</v>
      </c>
      <c r="I2689" t="s">
        <v>8330</v>
      </c>
      <c r="J2689" t="s">
        <v>357</v>
      </c>
    </row>
    <row r="2690" spans="1:10" x14ac:dyDescent="0.25">
      <c r="A2690" t="s">
        <v>8331</v>
      </c>
      <c r="B2690" t="s">
        <v>8332</v>
      </c>
      <c r="C2690" s="2">
        <v>46236.583333333336</v>
      </c>
      <c r="D2690" t="s">
        <v>418</v>
      </c>
      <c r="E2690" t="s">
        <v>26</v>
      </c>
      <c r="F2690" t="s">
        <v>264</v>
      </c>
      <c r="G2690" t="s">
        <v>103</v>
      </c>
      <c r="H2690">
        <v>6</v>
      </c>
      <c r="I2690" t="s">
        <v>8333</v>
      </c>
      <c r="J2690" t="s">
        <v>357</v>
      </c>
    </row>
    <row r="2691" spans="1:10" x14ac:dyDescent="0.25">
      <c r="A2691" t="s">
        <v>8334</v>
      </c>
      <c r="B2691" t="s">
        <v>8335</v>
      </c>
      <c r="C2691" s="2">
        <v>46236.583333333336</v>
      </c>
      <c r="D2691" t="s">
        <v>418</v>
      </c>
      <c r="E2691" t="s">
        <v>30</v>
      </c>
      <c r="F2691" t="s">
        <v>250</v>
      </c>
      <c r="G2691" t="s">
        <v>107</v>
      </c>
      <c r="H2691">
        <v>1</v>
      </c>
      <c r="I2691" t="s">
        <v>8336</v>
      </c>
      <c r="J2691" t="s">
        <v>357</v>
      </c>
    </row>
    <row r="2692" spans="1:10" x14ac:dyDescent="0.25">
      <c r="A2692" t="s">
        <v>8337</v>
      </c>
      <c r="B2692" t="s">
        <v>8338</v>
      </c>
      <c r="C2692" s="2">
        <v>46236.583333333336</v>
      </c>
      <c r="D2692" t="s">
        <v>418</v>
      </c>
      <c r="E2692" t="s">
        <v>36</v>
      </c>
      <c r="F2692" t="s">
        <v>252</v>
      </c>
      <c r="G2692" t="s">
        <v>113</v>
      </c>
      <c r="H2692">
        <v>3</v>
      </c>
      <c r="I2692" t="s">
        <v>8339</v>
      </c>
      <c r="J2692" t="s">
        <v>357</v>
      </c>
    </row>
    <row r="2693" spans="1:10" x14ac:dyDescent="0.25">
      <c r="A2693" t="s">
        <v>8340</v>
      </c>
      <c r="B2693" t="s">
        <v>8341</v>
      </c>
      <c r="C2693" s="2">
        <v>46236.583333333336</v>
      </c>
      <c r="D2693" t="s">
        <v>418</v>
      </c>
      <c r="E2693" t="s">
        <v>43</v>
      </c>
      <c r="F2693" t="s">
        <v>116</v>
      </c>
      <c r="G2693" t="s">
        <v>117</v>
      </c>
      <c r="H2693">
        <v>5</v>
      </c>
      <c r="I2693" t="s">
        <v>8342</v>
      </c>
      <c r="J2693" t="s">
        <v>357</v>
      </c>
    </row>
    <row r="2694" spans="1:10" x14ac:dyDescent="0.25">
      <c r="A2694" t="s">
        <v>8343</v>
      </c>
      <c r="B2694" t="s">
        <v>8344</v>
      </c>
      <c r="C2694" s="2">
        <v>46236.583333333336</v>
      </c>
      <c r="D2694" t="s">
        <v>418</v>
      </c>
      <c r="E2694" t="s">
        <v>49</v>
      </c>
      <c r="F2694" t="s">
        <v>253</v>
      </c>
      <c r="G2694" t="s">
        <v>123</v>
      </c>
      <c r="H2694">
        <v>4</v>
      </c>
      <c r="I2694" t="s">
        <v>8345</v>
      </c>
      <c r="J2694" t="s">
        <v>357</v>
      </c>
    </row>
    <row r="2695" spans="1:10" x14ac:dyDescent="0.25">
      <c r="A2695" t="s">
        <v>8346</v>
      </c>
      <c r="B2695" t="s">
        <v>8347</v>
      </c>
      <c r="C2695" s="2">
        <v>46236.583333333336</v>
      </c>
      <c r="D2695" t="s">
        <v>418</v>
      </c>
      <c r="E2695" t="s">
        <v>67</v>
      </c>
      <c r="F2695" t="s">
        <v>242</v>
      </c>
      <c r="G2695" t="s">
        <v>137</v>
      </c>
      <c r="H2695">
        <v>4</v>
      </c>
      <c r="I2695" t="s">
        <v>8348</v>
      </c>
      <c r="J2695" t="s">
        <v>357</v>
      </c>
    </row>
    <row r="2696" spans="1:10" x14ac:dyDescent="0.25">
      <c r="A2696" t="s">
        <v>8349</v>
      </c>
      <c r="B2696" t="s">
        <v>8350</v>
      </c>
      <c r="C2696" s="2">
        <v>46236.583333333336</v>
      </c>
      <c r="D2696" t="s">
        <v>418</v>
      </c>
      <c r="E2696" t="s">
        <v>69</v>
      </c>
      <c r="F2696" t="s">
        <v>229</v>
      </c>
      <c r="G2696" t="s">
        <v>139</v>
      </c>
      <c r="H2696">
        <v>3</v>
      </c>
      <c r="I2696" t="s">
        <v>8351</v>
      </c>
      <c r="J2696" t="s">
        <v>357</v>
      </c>
    </row>
    <row r="2697" spans="1:10" x14ac:dyDescent="0.25">
      <c r="A2697" t="s">
        <v>8352</v>
      </c>
      <c r="B2697" t="s">
        <v>8353</v>
      </c>
      <c r="C2697" s="2">
        <v>46236.583333333336</v>
      </c>
      <c r="D2697" t="s">
        <v>418</v>
      </c>
      <c r="E2697" t="s">
        <v>77</v>
      </c>
      <c r="F2697" t="s">
        <v>243</v>
      </c>
      <c r="G2697" t="s">
        <v>147</v>
      </c>
      <c r="H2697">
        <v>6</v>
      </c>
      <c r="I2697" t="s">
        <v>8354</v>
      </c>
      <c r="J2697" t="s">
        <v>357</v>
      </c>
    </row>
    <row r="2698" spans="1:10" x14ac:dyDescent="0.25">
      <c r="A2698" t="s">
        <v>8355</v>
      </c>
      <c r="B2698" t="s">
        <v>8356</v>
      </c>
      <c r="C2698" s="2">
        <v>46236.583333333336</v>
      </c>
      <c r="D2698" t="s">
        <v>418</v>
      </c>
      <c r="E2698" t="s">
        <v>20</v>
      </c>
      <c r="F2698" t="s">
        <v>261</v>
      </c>
      <c r="G2698" t="s">
        <v>97</v>
      </c>
      <c r="H2698">
        <v>3</v>
      </c>
      <c r="I2698" t="s">
        <v>8357</v>
      </c>
      <c r="J2698" t="s">
        <v>357</v>
      </c>
    </row>
    <row r="2699" spans="1:10" x14ac:dyDescent="0.25">
      <c r="A2699" t="s">
        <v>8358</v>
      </c>
      <c r="B2699" t="s">
        <v>8359</v>
      </c>
      <c r="C2699" s="2">
        <v>46236.583333333336</v>
      </c>
      <c r="D2699" t="s">
        <v>418</v>
      </c>
      <c r="E2699" t="s">
        <v>22</v>
      </c>
      <c r="F2699" t="s">
        <v>262</v>
      </c>
      <c r="G2699" t="s">
        <v>99</v>
      </c>
      <c r="H2699">
        <v>3</v>
      </c>
      <c r="I2699" t="s">
        <v>8360</v>
      </c>
      <c r="J2699" t="s">
        <v>357</v>
      </c>
    </row>
    <row r="2700" spans="1:10" x14ac:dyDescent="0.25">
      <c r="A2700" t="s">
        <v>8361</v>
      </c>
      <c r="B2700" t="s">
        <v>8362</v>
      </c>
      <c r="C2700" s="2">
        <v>46236.583333333336</v>
      </c>
      <c r="D2700" t="s">
        <v>418</v>
      </c>
      <c r="E2700" t="s">
        <v>26</v>
      </c>
      <c r="F2700" t="s">
        <v>264</v>
      </c>
      <c r="G2700" t="s">
        <v>103</v>
      </c>
      <c r="H2700">
        <v>8</v>
      </c>
      <c r="I2700" t="s">
        <v>8363</v>
      </c>
      <c r="J2700" t="s">
        <v>357</v>
      </c>
    </row>
    <row r="2701" spans="1:10" x14ac:dyDescent="0.25">
      <c r="A2701" t="s">
        <v>8364</v>
      </c>
      <c r="B2701" t="s">
        <v>8365</v>
      </c>
      <c r="C2701" s="2">
        <v>46236.583333333336</v>
      </c>
      <c r="D2701" t="s">
        <v>418</v>
      </c>
      <c r="E2701" t="s">
        <v>45</v>
      </c>
      <c r="F2701" t="s">
        <v>267</v>
      </c>
      <c r="G2701" t="s">
        <v>119</v>
      </c>
      <c r="H2701">
        <v>3</v>
      </c>
      <c r="I2701" t="s">
        <v>8366</v>
      </c>
      <c r="J2701" t="s">
        <v>357</v>
      </c>
    </row>
    <row r="2702" spans="1:10" x14ac:dyDescent="0.25">
      <c r="A2702" t="s">
        <v>8367</v>
      </c>
      <c r="B2702" t="s">
        <v>8368</v>
      </c>
      <c r="C2702" s="2">
        <v>46236.583333333336</v>
      </c>
      <c r="D2702" t="s">
        <v>418</v>
      </c>
      <c r="E2702" t="s">
        <v>47</v>
      </c>
      <c r="F2702" t="s">
        <v>190</v>
      </c>
      <c r="G2702" t="s">
        <v>121</v>
      </c>
      <c r="H2702">
        <v>6</v>
      </c>
      <c r="I2702" t="s">
        <v>8369</v>
      </c>
      <c r="J2702" t="s">
        <v>357</v>
      </c>
    </row>
    <row r="2703" spans="1:10" x14ac:dyDescent="0.25">
      <c r="A2703" t="s">
        <v>8370</v>
      </c>
      <c r="B2703" t="s">
        <v>8371</v>
      </c>
      <c r="C2703" s="2">
        <v>46236.583333333336</v>
      </c>
      <c r="D2703" t="s">
        <v>418</v>
      </c>
      <c r="E2703" t="s">
        <v>51</v>
      </c>
      <c r="F2703" t="s">
        <v>168</v>
      </c>
      <c r="G2703" t="s">
        <v>125</v>
      </c>
      <c r="H2703">
        <v>5</v>
      </c>
      <c r="I2703" t="s">
        <v>8372</v>
      </c>
      <c r="J2703" t="s">
        <v>357</v>
      </c>
    </row>
    <row r="2704" spans="1:10" x14ac:dyDescent="0.25">
      <c r="A2704" t="s">
        <v>8373</v>
      </c>
      <c r="B2704" t="s">
        <v>8374</v>
      </c>
      <c r="C2704" s="2">
        <v>46236.583333333336</v>
      </c>
      <c r="D2704" t="s">
        <v>418</v>
      </c>
      <c r="E2704" t="s">
        <v>55</v>
      </c>
      <c r="F2704" t="s">
        <v>240</v>
      </c>
      <c r="G2704" t="s">
        <v>129</v>
      </c>
      <c r="H2704">
        <v>2</v>
      </c>
      <c r="I2704" t="s">
        <v>8375</v>
      </c>
      <c r="J2704" t="s">
        <v>357</v>
      </c>
    </row>
    <row r="2705" spans="1:10" x14ac:dyDescent="0.25">
      <c r="A2705" t="s">
        <v>8376</v>
      </c>
      <c r="B2705" t="s">
        <v>8377</v>
      </c>
      <c r="C2705" s="2">
        <v>46236.583333333336</v>
      </c>
      <c r="D2705" t="s">
        <v>418</v>
      </c>
      <c r="E2705" t="s">
        <v>69</v>
      </c>
      <c r="F2705" t="s">
        <v>229</v>
      </c>
      <c r="G2705" t="s">
        <v>139</v>
      </c>
      <c r="H2705">
        <v>5</v>
      </c>
      <c r="I2705" t="s">
        <v>8378</v>
      </c>
      <c r="J2705" t="s">
        <v>357</v>
      </c>
    </row>
    <row r="2706" spans="1:10" x14ac:dyDescent="0.25">
      <c r="A2706" t="s">
        <v>8379</v>
      </c>
      <c r="B2706" t="s">
        <v>8380</v>
      </c>
      <c r="C2706" s="2">
        <v>46236.583333333336</v>
      </c>
      <c r="D2706" t="s">
        <v>418</v>
      </c>
      <c r="E2706" t="s">
        <v>18</v>
      </c>
      <c r="F2706" t="s">
        <v>260</v>
      </c>
      <c r="G2706" t="s">
        <v>95</v>
      </c>
      <c r="H2706">
        <v>4</v>
      </c>
      <c r="I2706" t="s">
        <v>8381</v>
      </c>
      <c r="J2706" t="s">
        <v>357</v>
      </c>
    </row>
    <row r="2707" spans="1:10" x14ac:dyDescent="0.25">
      <c r="A2707" t="s">
        <v>8382</v>
      </c>
      <c r="B2707" t="s">
        <v>8383</v>
      </c>
      <c r="C2707" s="2">
        <v>46236.583333333336</v>
      </c>
      <c r="D2707" t="s">
        <v>418</v>
      </c>
      <c r="E2707" t="s">
        <v>22</v>
      </c>
      <c r="F2707" t="s">
        <v>262</v>
      </c>
      <c r="G2707" t="s">
        <v>99</v>
      </c>
      <c r="H2707">
        <v>9</v>
      </c>
      <c r="I2707" t="s">
        <v>8384</v>
      </c>
      <c r="J2707" t="s">
        <v>357</v>
      </c>
    </row>
    <row r="2708" spans="1:10" x14ac:dyDescent="0.25">
      <c r="A2708" t="s">
        <v>8385</v>
      </c>
      <c r="B2708" t="s">
        <v>8386</v>
      </c>
      <c r="C2708" s="2">
        <v>46236.583333333336</v>
      </c>
      <c r="D2708" t="s">
        <v>418</v>
      </c>
      <c r="E2708" t="s">
        <v>24</v>
      </c>
      <c r="F2708" t="s">
        <v>263</v>
      </c>
      <c r="G2708" t="s">
        <v>101</v>
      </c>
      <c r="H2708">
        <v>2</v>
      </c>
      <c r="I2708" t="s">
        <v>8387</v>
      </c>
      <c r="J2708" t="s">
        <v>357</v>
      </c>
    </row>
    <row r="2709" spans="1:10" x14ac:dyDescent="0.25">
      <c r="A2709" t="s">
        <v>8388</v>
      </c>
      <c r="B2709" t="s">
        <v>8389</v>
      </c>
      <c r="C2709" s="2">
        <v>46236.583333333336</v>
      </c>
      <c r="D2709" t="s">
        <v>418</v>
      </c>
      <c r="E2709" t="s">
        <v>36</v>
      </c>
      <c r="F2709" t="s">
        <v>252</v>
      </c>
      <c r="G2709" t="s">
        <v>113</v>
      </c>
      <c r="H2709">
        <v>4</v>
      </c>
      <c r="I2709" t="s">
        <v>8390</v>
      </c>
      <c r="J2709" t="s">
        <v>357</v>
      </c>
    </row>
    <row r="2710" spans="1:10" x14ac:dyDescent="0.25">
      <c r="A2710" t="s">
        <v>8391</v>
      </c>
      <c r="B2710" t="s">
        <v>8392</v>
      </c>
      <c r="C2710" s="2">
        <v>46236.583333333336</v>
      </c>
      <c r="D2710" t="s">
        <v>418</v>
      </c>
      <c r="E2710" t="s">
        <v>43</v>
      </c>
      <c r="F2710" t="s">
        <v>116</v>
      </c>
      <c r="G2710" t="s">
        <v>117</v>
      </c>
      <c r="H2710">
        <v>3</v>
      </c>
      <c r="I2710" t="s">
        <v>8393</v>
      </c>
      <c r="J2710" t="s">
        <v>357</v>
      </c>
    </row>
    <row r="2711" spans="1:10" x14ac:dyDescent="0.25">
      <c r="A2711" t="s">
        <v>8394</v>
      </c>
      <c r="B2711" t="s">
        <v>8395</v>
      </c>
      <c r="C2711" s="2">
        <v>46236.583333333336</v>
      </c>
      <c r="D2711" t="s">
        <v>418</v>
      </c>
      <c r="E2711" t="s">
        <v>43</v>
      </c>
      <c r="F2711" t="s">
        <v>266</v>
      </c>
      <c r="G2711" t="s">
        <v>117</v>
      </c>
      <c r="H2711">
        <v>2</v>
      </c>
      <c r="I2711" t="s">
        <v>8393</v>
      </c>
      <c r="J2711" t="s">
        <v>357</v>
      </c>
    </row>
    <row r="2712" spans="1:10" x14ac:dyDescent="0.25">
      <c r="A2712" t="s">
        <v>8396</v>
      </c>
      <c r="B2712" t="s">
        <v>8397</v>
      </c>
      <c r="C2712" s="2">
        <v>46236.583333333336</v>
      </c>
      <c r="D2712" t="s">
        <v>418</v>
      </c>
      <c r="E2712" t="s">
        <v>47</v>
      </c>
      <c r="F2712" t="s">
        <v>190</v>
      </c>
      <c r="G2712" t="s">
        <v>121</v>
      </c>
      <c r="H2712">
        <v>4</v>
      </c>
      <c r="I2712" t="s">
        <v>8398</v>
      </c>
      <c r="J2712" t="s">
        <v>357</v>
      </c>
    </row>
    <row r="2713" spans="1:10" x14ac:dyDescent="0.25">
      <c r="A2713" t="s">
        <v>8399</v>
      </c>
      <c r="B2713" t="s">
        <v>8400</v>
      </c>
      <c r="C2713" s="2">
        <v>46236.583333333336</v>
      </c>
      <c r="D2713" t="s">
        <v>418</v>
      </c>
      <c r="E2713" t="s">
        <v>49</v>
      </c>
      <c r="F2713" t="s">
        <v>253</v>
      </c>
      <c r="G2713" t="s">
        <v>123</v>
      </c>
      <c r="H2713">
        <v>5</v>
      </c>
      <c r="I2713" t="s">
        <v>8401</v>
      </c>
      <c r="J2713" t="s">
        <v>357</v>
      </c>
    </row>
    <row r="2714" spans="1:10" x14ac:dyDescent="0.25">
      <c r="A2714" t="s">
        <v>8402</v>
      </c>
      <c r="B2714" t="s">
        <v>8403</v>
      </c>
      <c r="C2714" s="2">
        <v>46236.583333333336</v>
      </c>
      <c r="D2714" t="s">
        <v>418</v>
      </c>
      <c r="E2714" t="s">
        <v>51</v>
      </c>
      <c r="F2714" t="s">
        <v>168</v>
      </c>
      <c r="G2714" t="s">
        <v>125</v>
      </c>
      <c r="H2714">
        <v>4</v>
      </c>
      <c r="I2714" t="s">
        <v>8404</v>
      </c>
      <c r="J2714" t="s">
        <v>357</v>
      </c>
    </row>
    <row r="2715" spans="1:10" x14ac:dyDescent="0.25">
      <c r="A2715" t="s">
        <v>8405</v>
      </c>
      <c r="B2715" t="s">
        <v>8406</v>
      </c>
      <c r="C2715" s="2">
        <v>46236.583333333336</v>
      </c>
      <c r="D2715" t="s">
        <v>418</v>
      </c>
      <c r="E2715" t="s">
        <v>57</v>
      </c>
      <c r="F2715" t="s">
        <v>255</v>
      </c>
      <c r="G2715" t="s">
        <v>131</v>
      </c>
      <c r="H2715">
        <v>4</v>
      </c>
      <c r="I2715" t="s">
        <v>8407</v>
      </c>
      <c r="J2715" t="s">
        <v>357</v>
      </c>
    </row>
    <row r="2716" spans="1:10" x14ac:dyDescent="0.25">
      <c r="A2716" t="s">
        <v>8408</v>
      </c>
      <c r="B2716" t="s">
        <v>8409</v>
      </c>
      <c r="C2716" s="2">
        <v>46236.583333333336</v>
      </c>
      <c r="D2716" t="s">
        <v>418</v>
      </c>
      <c r="E2716" t="s">
        <v>22</v>
      </c>
      <c r="F2716" t="s">
        <v>262</v>
      </c>
      <c r="G2716" t="s">
        <v>99</v>
      </c>
      <c r="H2716">
        <v>1</v>
      </c>
      <c r="I2716" t="s">
        <v>8410</v>
      </c>
      <c r="J2716" t="s">
        <v>357</v>
      </c>
    </row>
    <row r="2717" spans="1:10" x14ac:dyDescent="0.25">
      <c r="A2717" t="s">
        <v>8411</v>
      </c>
      <c r="B2717" t="s">
        <v>8412</v>
      </c>
      <c r="C2717" s="2">
        <v>46236.583333333336</v>
      </c>
      <c r="D2717" t="s">
        <v>418</v>
      </c>
      <c r="E2717" t="s">
        <v>24</v>
      </c>
      <c r="F2717" t="s">
        <v>263</v>
      </c>
      <c r="G2717" t="s">
        <v>101</v>
      </c>
      <c r="H2717">
        <v>5</v>
      </c>
      <c r="I2717" t="s">
        <v>8413</v>
      </c>
      <c r="J2717" t="s">
        <v>357</v>
      </c>
    </row>
    <row r="2718" spans="1:10" x14ac:dyDescent="0.25">
      <c r="A2718" t="s">
        <v>8414</v>
      </c>
      <c r="B2718" t="s">
        <v>8415</v>
      </c>
      <c r="C2718" s="2">
        <v>46236.583333333336</v>
      </c>
      <c r="D2718" t="s">
        <v>418</v>
      </c>
      <c r="E2718" t="s">
        <v>26</v>
      </c>
      <c r="F2718" t="s">
        <v>264</v>
      </c>
      <c r="G2718" t="s">
        <v>103</v>
      </c>
      <c r="H2718">
        <v>1</v>
      </c>
      <c r="I2718" t="s">
        <v>8416</v>
      </c>
      <c r="J2718" t="s">
        <v>357</v>
      </c>
    </row>
    <row r="2719" spans="1:10" x14ac:dyDescent="0.25">
      <c r="A2719" t="s">
        <v>8417</v>
      </c>
      <c r="B2719" t="s">
        <v>8418</v>
      </c>
      <c r="C2719" s="2">
        <v>46236.583333333336</v>
      </c>
      <c r="D2719" t="s">
        <v>418</v>
      </c>
      <c r="E2719" t="s">
        <v>32</v>
      </c>
      <c r="F2719" t="s">
        <v>251</v>
      </c>
      <c r="G2719" t="s">
        <v>109</v>
      </c>
      <c r="H2719">
        <v>6</v>
      </c>
      <c r="I2719" t="s">
        <v>8419</v>
      </c>
      <c r="J2719" t="s">
        <v>357</v>
      </c>
    </row>
    <row r="2720" spans="1:10" x14ac:dyDescent="0.25">
      <c r="A2720" t="s">
        <v>8420</v>
      </c>
      <c r="B2720" t="s">
        <v>8421</v>
      </c>
      <c r="C2720" s="2">
        <v>46236.583333333336</v>
      </c>
      <c r="D2720" t="s">
        <v>418</v>
      </c>
      <c r="E2720" t="s">
        <v>47</v>
      </c>
      <c r="F2720" t="s">
        <v>190</v>
      </c>
      <c r="G2720" t="s">
        <v>121</v>
      </c>
      <c r="H2720">
        <v>4</v>
      </c>
      <c r="I2720" t="s">
        <v>8422</v>
      </c>
      <c r="J2720" t="s">
        <v>357</v>
      </c>
    </row>
    <row r="2721" spans="1:10" x14ac:dyDescent="0.25">
      <c r="A2721" t="s">
        <v>8423</v>
      </c>
      <c r="B2721" t="s">
        <v>8424</v>
      </c>
      <c r="C2721" s="2">
        <v>46236.583333333336</v>
      </c>
      <c r="D2721" t="s">
        <v>418</v>
      </c>
      <c r="E2721" t="s">
        <v>55</v>
      </c>
      <c r="F2721" t="s">
        <v>240</v>
      </c>
      <c r="G2721" t="s">
        <v>129</v>
      </c>
      <c r="H2721">
        <v>5</v>
      </c>
      <c r="I2721" t="s">
        <v>8425</v>
      </c>
      <c r="J2721" t="s">
        <v>357</v>
      </c>
    </row>
    <row r="2722" spans="1:10" x14ac:dyDescent="0.25">
      <c r="A2722" t="s">
        <v>8426</v>
      </c>
      <c r="B2722" t="s">
        <v>8427</v>
      </c>
      <c r="C2722" s="2">
        <v>46237.583333333336</v>
      </c>
      <c r="D2722" t="s">
        <v>418</v>
      </c>
      <c r="E2722" t="s">
        <v>22</v>
      </c>
      <c r="F2722" t="s">
        <v>262</v>
      </c>
      <c r="G2722" t="s">
        <v>99</v>
      </c>
      <c r="H2722">
        <v>3</v>
      </c>
      <c r="I2722" t="s">
        <v>8428</v>
      </c>
      <c r="J2722" t="s">
        <v>357</v>
      </c>
    </row>
    <row r="2723" spans="1:10" x14ac:dyDescent="0.25">
      <c r="A2723" t="s">
        <v>8429</v>
      </c>
      <c r="B2723" t="s">
        <v>8430</v>
      </c>
      <c r="C2723" s="2">
        <v>46237.583333333336</v>
      </c>
      <c r="D2723" t="s">
        <v>418</v>
      </c>
      <c r="E2723" t="s">
        <v>24</v>
      </c>
      <c r="F2723" t="s">
        <v>263</v>
      </c>
      <c r="G2723" t="s">
        <v>101</v>
      </c>
      <c r="H2723">
        <v>4</v>
      </c>
      <c r="I2723" t="s">
        <v>8431</v>
      </c>
      <c r="J2723" t="s">
        <v>357</v>
      </c>
    </row>
    <row r="2724" spans="1:10" x14ac:dyDescent="0.25">
      <c r="A2724" t="s">
        <v>8432</v>
      </c>
      <c r="B2724" t="s">
        <v>8433</v>
      </c>
      <c r="C2724" s="2">
        <v>46237.583333333336</v>
      </c>
      <c r="D2724" t="s">
        <v>418</v>
      </c>
      <c r="E2724" t="s">
        <v>26</v>
      </c>
      <c r="F2724" t="s">
        <v>264</v>
      </c>
      <c r="G2724" t="s">
        <v>103</v>
      </c>
      <c r="H2724">
        <v>2</v>
      </c>
      <c r="I2724" t="s">
        <v>8434</v>
      </c>
      <c r="J2724" t="s">
        <v>357</v>
      </c>
    </row>
    <row r="2725" spans="1:10" x14ac:dyDescent="0.25">
      <c r="A2725" t="s">
        <v>8435</v>
      </c>
      <c r="B2725" t="s">
        <v>8436</v>
      </c>
      <c r="C2725" s="2">
        <v>46237.583333333336</v>
      </c>
      <c r="D2725" t="s">
        <v>418</v>
      </c>
      <c r="E2725" t="s">
        <v>32</v>
      </c>
      <c r="F2725" t="s">
        <v>251</v>
      </c>
      <c r="G2725" t="s">
        <v>109</v>
      </c>
      <c r="H2725">
        <v>2</v>
      </c>
      <c r="I2725" t="s">
        <v>8437</v>
      </c>
      <c r="J2725" t="s">
        <v>357</v>
      </c>
    </row>
    <row r="2726" spans="1:10" x14ac:dyDescent="0.25">
      <c r="A2726" t="s">
        <v>8438</v>
      </c>
      <c r="B2726" t="s">
        <v>8439</v>
      </c>
      <c r="C2726" s="2">
        <v>46237.583333333336</v>
      </c>
      <c r="D2726" t="s">
        <v>418</v>
      </c>
      <c r="E2726" t="s">
        <v>47</v>
      </c>
      <c r="F2726" t="s">
        <v>190</v>
      </c>
      <c r="G2726" t="s">
        <v>121</v>
      </c>
      <c r="H2726">
        <v>4</v>
      </c>
      <c r="I2726" t="s">
        <v>8440</v>
      </c>
      <c r="J2726" t="s">
        <v>357</v>
      </c>
    </row>
    <row r="2727" spans="1:10" x14ac:dyDescent="0.25">
      <c r="A2727" t="s">
        <v>8441</v>
      </c>
      <c r="B2727" t="s">
        <v>8442</v>
      </c>
      <c r="C2727" s="2">
        <v>46237.583333333336</v>
      </c>
      <c r="D2727" t="s">
        <v>418</v>
      </c>
      <c r="E2727" t="s">
        <v>51</v>
      </c>
      <c r="F2727" t="s">
        <v>168</v>
      </c>
      <c r="G2727" t="s">
        <v>125</v>
      </c>
      <c r="H2727">
        <v>1</v>
      </c>
      <c r="I2727" t="s">
        <v>8443</v>
      </c>
      <c r="J2727" t="s">
        <v>357</v>
      </c>
    </row>
    <row r="2728" spans="1:10" x14ac:dyDescent="0.25">
      <c r="A2728" t="s">
        <v>8444</v>
      </c>
      <c r="B2728" t="s">
        <v>8445</v>
      </c>
      <c r="C2728" s="2">
        <v>46237.583333333336</v>
      </c>
      <c r="D2728" t="s">
        <v>418</v>
      </c>
      <c r="E2728" t="s">
        <v>65</v>
      </c>
      <c r="F2728" t="s">
        <v>241</v>
      </c>
      <c r="G2728" t="s">
        <v>135</v>
      </c>
      <c r="H2728">
        <v>3</v>
      </c>
      <c r="I2728" t="s">
        <v>8446</v>
      </c>
      <c r="J2728" t="s">
        <v>357</v>
      </c>
    </row>
    <row r="2729" spans="1:10" x14ac:dyDescent="0.25">
      <c r="A2729" t="s">
        <v>8447</v>
      </c>
      <c r="B2729" t="s">
        <v>8448</v>
      </c>
      <c r="C2729" s="2">
        <v>46237.583333333336</v>
      </c>
      <c r="D2729" t="s">
        <v>418</v>
      </c>
      <c r="E2729" t="s">
        <v>73</v>
      </c>
      <c r="F2729" t="s">
        <v>213</v>
      </c>
      <c r="G2729" t="s">
        <v>143</v>
      </c>
      <c r="H2729">
        <v>2</v>
      </c>
      <c r="I2729" t="s">
        <v>8449</v>
      </c>
      <c r="J2729" t="s">
        <v>357</v>
      </c>
    </row>
    <row r="2730" spans="1:10" x14ac:dyDescent="0.25">
      <c r="A2730" t="s">
        <v>8450</v>
      </c>
      <c r="B2730" t="s">
        <v>8451</v>
      </c>
      <c r="C2730" s="2">
        <v>46237.583333333336</v>
      </c>
      <c r="D2730" t="s">
        <v>418</v>
      </c>
      <c r="E2730" t="s">
        <v>20</v>
      </c>
      <c r="F2730" t="s">
        <v>261</v>
      </c>
      <c r="G2730" t="s">
        <v>97</v>
      </c>
      <c r="H2730">
        <v>3</v>
      </c>
      <c r="I2730" t="s">
        <v>8452</v>
      </c>
      <c r="J2730" t="s">
        <v>357</v>
      </c>
    </row>
    <row r="2731" spans="1:10" x14ac:dyDescent="0.25">
      <c r="A2731" t="s">
        <v>8453</v>
      </c>
      <c r="B2731" t="s">
        <v>8454</v>
      </c>
      <c r="C2731" s="2">
        <v>46237.583333333336</v>
      </c>
      <c r="D2731" t="s">
        <v>418</v>
      </c>
      <c r="E2731" t="s">
        <v>22</v>
      </c>
      <c r="F2731" t="s">
        <v>262</v>
      </c>
      <c r="G2731" t="s">
        <v>99</v>
      </c>
      <c r="H2731">
        <v>4</v>
      </c>
      <c r="I2731" t="s">
        <v>8455</v>
      </c>
      <c r="J2731" t="s">
        <v>357</v>
      </c>
    </row>
    <row r="2732" spans="1:10" x14ac:dyDescent="0.25">
      <c r="A2732" t="s">
        <v>8456</v>
      </c>
      <c r="B2732" t="s">
        <v>8457</v>
      </c>
      <c r="C2732" s="2">
        <v>46237.583333333336</v>
      </c>
      <c r="D2732" t="s">
        <v>418</v>
      </c>
      <c r="E2732" t="s">
        <v>24</v>
      </c>
      <c r="F2732" t="s">
        <v>263</v>
      </c>
      <c r="G2732" t="s">
        <v>101</v>
      </c>
      <c r="H2732">
        <v>4</v>
      </c>
      <c r="I2732" t="s">
        <v>8458</v>
      </c>
      <c r="J2732" t="s">
        <v>357</v>
      </c>
    </row>
    <row r="2733" spans="1:10" x14ac:dyDescent="0.25">
      <c r="A2733" t="s">
        <v>8459</v>
      </c>
      <c r="B2733" t="s">
        <v>8460</v>
      </c>
      <c r="C2733" s="2">
        <v>46237.583333333336</v>
      </c>
      <c r="D2733" t="s">
        <v>418</v>
      </c>
      <c r="E2733" t="s">
        <v>32</v>
      </c>
      <c r="F2733" t="s">
        <v>251</v>
      </c>
      <c r="G2733" t="s">
        <v>109</v>
      </c>
      <c r="H2733">
        <v>4</v>
      </c>
      <c r="I2733" t="s">
        <v>8461</v>
      </c>
      <c r="J2733" t="s">
        <v>357</v>
      </c>
    </row>
    <row r="2734" spans="1:10" x14ac:dyDescent="0.25">
      <c r="A2734" t="s">
        <v>8462</v>
      </c>
      <c r="B2734" t="s">
        <v>8463</v>
      </c>
      <c r="C2734" s="2">
        <v>46237.583333333336</v>
      </c>
      <c r="D2734" t="s">
        <v>418</v>
      </c>
      <c r="E2734" t="s">
        <v>36</v>
      </c>
      <c r="F2734" t="s">
        <v>252</v>
      </c>
      <c r="G2734" t="s">
        <v>113</v>
      </c>
      <c r="H2734">
        <v>1</v>
      </c>
      <c r="I2734" t="s">
        <v>8464</v>
      </c>
      <c r="J2734" t="s">
        <v>357</v>
      </c>
    </row>
    <row r="2735" spans="1:10" x14ac:dyDescent="0.25">
      <c r="A2735" t="s">
        <v>8465</v>
      </c>
      <c r="B2735" t="s">
        <v>8466</v>
      </c>
      <c r="C2735" s="2">
        <v>46237.583333333336</v>
      </c>
      <c r="D2735" t="s">
        <v>418</v>
      </c>
      <c r="E2735" t="s">
        <v>45</v>
      </c>
      <c r="F2735" t="s">
        <v>267</v>
      </c>
      <c r="G2735" t="s">
        <v>119</v>
      </c>
      <c r="H2735">
        <v>3</v>
      </c>
      <c r="I2735" t="s">
        <v>8467</v>
      </c>
      <c r="J2735" t="s">
        <v>357</v>
      </c>
    </row>
    <row r="2736" spans="1:10" x14ac:dyDescent="0.25">
      <c r="A2736" t="s">
        <v>8468</v>
      </c>
      <c r="B2736" t="s">
        <v>8469</v>
      </c>
      <c r="C2736" s="2">
        <v>46237.583333333336</v>
      </c>
      <c r="D2736" t="s">
        <v>418</v>
      </c>
      <c r="E2736" t="s">
        <v>51</v>
      </c>
      <c r="F2736" t="s">
        <v>168</v>
      </c>
      <c r="G2736" t="s">
        <v>125</v>
      </c>
      <c r="H2736">
        <v>3</v>
      </c>
      <c r="I2736" t="s">
        <v>8470</v>
      </c>
      <c r="J2736" t="s">
        <v>357</v>
      </c>
    </row>
    <row r="2737" spans="1:10" x14ac:dyDescent="0.25">
      <c r="A2737" t="s">
        <v>8471</v>
      </c>
      <c r="B2737" t="s">
        <v>8472</v>
      </c>
      <c r="C2737" s="2">
        <v>46237.583333333336</v>
      </c>
      <c r="D2737" t="s">
        <v>418</v>
      </c>
      <c r="E2737" t="s">
        <v>53</v>
      </c>
      <c r="F2737" t="s">
        <v>126</v>
      </c>
      <c r="G2737" t="s">
        <v>127</v>
      </c>
      <c r="H2737">
        <v>1</v>
      </c>
      <c r="I2737" t="s">
        <v>8473</v>
      </c>
      <c r="J2737" t="s">
        <v>357</v>
      </c>
    </row>
    <row r="2738" spans="1:10" x14ac:dyDescent="0.25">
      <c r="A2738" t="s">
        <v>8474</v>
      </c>
      <c r="B2738" t="s">
        <v>8475</v>
      </c>
      <c r="C2738" s="2">
        <v>46237.583333333336</v>
      </c>
      <c r="D2738" t="s">
        <v>418</v>
      </c>
      <c r="E2738" t="s">
        <v>55</v>
      </c>
      <c r="F2738" t="s">
        <v>240</v>
      </c>
      <c r="G2738" t="s">
        <v>129</v>
      </c>
      <c r="H2738">
        <v>3</v>
      </c>
      <c r="I2738" t="s">
        <v>8476</v>
      </c>
      <c r="J2738" t="s">
        <v>357</v>
      </c>
    </row>
    <row r="2739" spans="1:10" x14ac:dyDescent="0.25">
      <c r="A2739" t="s">
        <v>8477</v>
      </c>
      <c r="B2739" t="s">
        <v>8478</v>
      </c>
      <c r="C2739" s="2">
        <v>46237.583333333336</v>
      </c>
      <c r="D2739" t="s">
        <v>418</v>
      </c>
      <c r="E2739" t="s">
        <v>65</v>
      </c>
      <c r="F2739" t="s">
        <v>241</v>
      </c>
      <c r="G2739" t="s">
        <v>135</v>
      </c>
      <c r="H2739">
        <v>2</v>
      </c>
      <c r="I2739" t="s">
        <v>8479</v>
      </c>
      <c r="J2739" t="s">
        <v>357</v>
      </c>
    </row>
    <row r="2740" spans="1:10" x14ac:dyDescent="0.25">
      <c r="A2740" t="s">
        <v>8480</v>
      </c>
      <c r="B2740" t="s">
        <v>8481</v>
      </c>
      <c r="C2740" s="2">
        <v>46237.583333333336</v>
      </c>
      <c r="D2740" t="s">
        <v>418</v>
      </c>
      <c r="E2740" t="s">
        <v>67</v>
      </c>
      <c r="F2740" t="s">
        <v>242</v>
      </c>
      <c r="G2740" t="s">
        <v>137</v>
      </c>
      <c r="H2740">
        <v>1</v>
      </c>
      <c r="I2740" t="s">
        <v>8482</v>
      </c>
      <c r="J2740" t="s">
        <v>357</v>
      </c>
    </row>
    <row r="2741" spans="1:10" x14ac:dyDescent="0.25">
      <c r="A2741" t="s">
        <v>8483</v>
      </c>
      <c r="B2741" t="s">
        <v>8484</v>
      </c>
      <c r="C2741" s="2">
        <v>46237.583333333336</v>
      </c>
      <c r="D2741" t="s">
        <v>418</v>
      </c>
      <c r="E2741" t="s">
        <v>75</v>
      </c>
      <c r="F2741" t="s">
        <v>230</v>
      </c>
      <c r="G2741" t="s">
        <v>145</v>
      </c>
      <c r="H2741">
        <v>2</v>
      </c>
      <c r="I2741" t="s">
        <v>8485</v>
      </c>
      <c r="J2741" t="s">
        <v>357</v>
      </c>
    </row>
    <row r="2742" spans="1:10" x14ac:dyDescent="0.25">
      <c r="A2742" t="s">
        <v>8486</v>
      </c>
      <c r="B2742" t="s">
        <v>8487</v>
      </c>
      <c r="C2742" s="2">
        <v>46237.583333333336</v>
      </c>
      <c r="D2742" t="s">
        <v>418</v>
      </c>
      <c r="E2742" t="s">
        <v>18</v>
      </c>
      <c r="F2742" t="s">
        <v>260</v>
      </c>
      <c r="G2742" t="s">
        <v>95</v>
      </c>
      <c r="H2742">
        <v>2</v>
      </c>
      <c r="I2742" t="s">
        <v>8488</v>
      </c>
      <c r="J2742" t="s">
        <v>357</v>
      </c>
    </row>
    <row r="2743" spans="1:10" x14ac:dyDescent="0.25">
      <c r="A2743" t="s">
        <v>8489</v>
      </c>
      <c r="B2743" t="s">
        <v>8490</v>
      </c>
      <c r="C2743" s="2">
        <v>46237.583333333336</v>
      </c>
      <c r="D2743" t="s">
        <v>418</v>
      </c>
      <c r="E2743" t="s">
        <v>20</v>
      </c>
      <c r="F2743" t="s">
        <v>261</v>
      </c>
      <c r="G2743" t="s">
        <v>97</v>
      </c>
      <c r="H2743">
        <v>5</v>
      </c>
      <c r="I2743" t="s">
        <v>8491</v>
      </c>
      <c r="J2743" t="s">
        <v>357</v>
      </c>
    </row>
    <row r="2744" spans="1:10" x14ac:dyDescent="0.25">
      <c r="A2744" t="s">
        <v>8492</v>
      </c>
      <c r="B2744" t="s">
        <v>8493</v>
      </c>
      <c r="C2744" s="2">
        <v>46237.583333333336</v>
      </c>
      <c r="D2744" t="s">
        <v>418</v>
      </c>
      <c r="E2744" t="s">
        <v>24</v>
      </c>
      <c r="F2744" t="s">
        <v>263</v>
      </c>
      <c r="G2744" t="s">
        <v>101</v>
      </c>
      <c r="H2744">
        <v>6</v>
      </c>
      <c r="I2744" t="s">
        <v>8494</v>
      </c>
      <c r="J2744" t="s">
        <v>357</v>
      </c>
    </row>
    <row r="2745" spans="1:10" x14ac:dyDescent="0.25">
      <c r="A2745" t="s">
        <v>8495</v>
      </c>
      <c r="B2745" t="s">
        <v>8496</v>
      </c>
      <c r="C2745" s="2">
        <v>46237.583333333336</v>
      </c>
      <c r="D2745" t="s">
        <v>418</v>
      </c>
      <c r="E2745" t="s">
        <v>26</v>
      </c>
      <c r="F2745" t="s">
        <v>264</v>
      </c>
      <c r="G2745" t="s">
        <v>103</v>
      </c>
      <c r="H2745">
        <v>4</v>
      </c>
      <c r="I2745" t="s">
        <v>8497</v>
      </c>
      <c r="J2745" t="s">
        <v>357</v>
      </c>
    </row>
    <row r="2746" spans="1:10" x14ac:dyDescent="0.25">
      <c r="A2746" t="s">
        <v>8498</v>
      </c>
      <c r="B2746" t="s">
        <v>8499</v>
      </c>
      <c r="C2746" s="2">
        <v>46237.583333333336</v>
      </c>
      <c r="D2746" t="s">
        <v>418</v>
      </c>
      <c r="E2746" t="s">
        <v>49</v>
      </c>
      <c r="F2746" t="s">
        <v>253</v>
      </c>
      <c r="G2746" t="s">
        <v>123</v>
      </c>
      <c r="H2746">
        <v>6</v>
      </c>
      <c r="I2746" t="s">
        <v>8500</v>
      </c>
      <c r="J2746" t="s">
        <v>357</v>
      </c>
    </row>
    <row r="2747" spans="1:10" x14ac:dyDescent="0.25">
      <c r="A2747" t="s">
        <v>8501</v>
      </c>
      <c r="B2747" t="s">
        <v>8502</v>
      </c>
      <c r="C2747" s="2">
        <v>46237.583333333336</v>
      </c>
      <c r="D2747" t="s">
        <v>418</v>
      </c>
      <c r="E2747" t="s">
        <v>51</v>
      </c>
      <c r="F2747" t="s">
        <v>168</v>
      </c>
      <c r="G2747" t="s">
        <v>125</v>
      </c>
      <c r="H2747">
        <v>4</v>
      </c>
      <c r="I2747" t="s">
        <v>8503</v>
      </c>
      <c r="J2747" t="s">
        <v>357</v>
      </c>
    </row>
    <row r="2748" spans="1:10" x14ac:dyDescent="0.25">
      <c r="A2748" t="s">
        <v>8504</v>
      </c>
      <c r="B2748" t="s">
        <v>8505</v>
      </c>
      <c r="C2748" s="2">
        <v>46237.583333333336</v>
      </c>
      <c r="D2748" t="s">
        <v>418</v>
      </c>
      <c r="E2748" t="s">
        <v>53</v>
      </c>
      <c r="F2748" t="s">
        <v>126</v>
      </c>
      <c r="G2748" t="s">
        <v>127</v>
      </c>
      <c r="H2748">
        <v>1</v>
      </c>
      <c r="I2748" t="s">
        <v>8506</v>
      </c>
      <c r="J2748" t="s">
        <v>357</v>
      </c>
    </row>
    <row r="2749" spans="1:10" x14ac:dyDescent="0.25">
      <c r="A2749" t="s">
        <v>8507</v>
      </c>
      <c r="B2749" t="s">
        <v>8508</v>
      </c>
      <c r="C2749" s="2">
        <v>46237.583333333336</v>
      </c>
      <c r="D2749" t="s">
        <v>418</v>
      </c>
      <c r="E2749" t="s">
        <v>55</v>
      </c>
      <c r="F2749" t="s">
        <v>240</v>
      </c>
      <c r="G2749" t="s">
        <v>129</v>
      </c>
      <c r="H2749">
        <v>4</v>
      </c>
      <c r="I2749" t="s">
        <v>8509</v>
      </c>
      <c r="J2749" t="s">
        <v>357</v>
      </c>
    </row>
    <row r="2750" spans="1:10" x14ac:dyDescent="0.25">
      <c r="A2750" t="s">
        <v>8510</v>
      </c>
      <c r="B2750" t="s">
        <v>8511</v>
      </c>
      <c r="C2750" s="2">
        <v>46237.583333333336</v>
      </c>
      <c r="D2750" t="s">
        <v>418</v>
      </c>
      <c r="E2750" t="s">
        <v>69</v>
      </c>
      <c r="F2750" t="s">
        <v>229</v>
      </c>
      <c r="G2750" t="s">
        <v>139</v>
      </c>
      <c r="H2750">
        <v>4</v>
      </c>
      <c r="I2750" t="s">
        <v>8512</v>
      </c>
      <c r="J2750" t="s">
        <v>357</v>
      </c>
    </row>
    <row r="2751" spans="1:10" x14ac:dyDescent="0.25">
      <c r="A2751" t="s">
        <v>8513</v>
      </c>
      <c r="B2751" t="s">
        <v>8514</v>
      </c>
      <c r="C2751" s="2">
        <v>46237.583333333336</v>
      </c>
      <c r="D2751" t="s">
        <v>418</v>
      </c>
      <c r="E2751" t="s">
        <v>20</v>
      </c>
      <c r="F2751" t="s">
        <v>261</v>
      </c>
      <c r="G2751" t="s">
        <v>97</v>
      </c>
      <c r="H2751">
        <v>5</v>
      </c>
      <c r="I2751" t="s">
        <v>8515</v>
      </c>
      <c r="J2751" t="s">
        <v>357</v>
      </c>
    </row>
    <row r="2752" spans="1:10" x14ac:dyDescent="0.25">
      <c r="A2752" t="s">
        <v>8516</v>
      </c>
      <c r="B2752" t="s">
        <v>8517</v>
      </c>
      <c r="C2752" s="2">
        <v>46237.583333333336</v>
      </c>
      <c r="D2752" t="s">
        <v>418</v>
      </c>
      <c r="E2752" t="s">
        <v>22</v>
      </c>
      <c r="F2752" t="s">
        <v>262</v>
      </c>
      <c r="G2752" t="s">
        <v>99</v>
      </c>
      <c r="H2752">
        <v>7</v>
      </c>
      <c r="I2752" t="s">
        <v>8518</v>
      </c>
      <c r="J2752" t="s">
        <v>357</v>
      </c>
    </row>
    <row r="2753" spans="1:10" x14ac:dyDescent="0.25">
      <c r="A2753" t="s">
        <v>8519</v>
      </c>
      <c r="B2753" t="s">
        <v>8520</v>
      </c>
      <c r="C2753" s="2">
        <v>46237.583333333336</v>
      </c>
      <c r="D2753" t="s">
        <v>418</v>
      </c>
      <c r="E2753" t="s">
        <v>30</v>
      </c>
      <c r="F2753" t="s">
        <v>250</v>
      </c>
      <c r="G2753" t="s">
        <v>107</v>
      </c>
      <c r="H2753">
        <v>4</v>
      </c>
      <c r="I2753" t="s">
        <v>8521</v>
      </c>
      <c r="J2753" t="s">
        <v>357</v>
      </c>
    </row>
    <row r="2754" spans="1:10" x14ac:dyDescent="0.25">
      <c r="A2754" t="s">
        <v>8522</v>
      </c>
      <c r="B2754" t="s">
        <v>8523</v>
      </c>
      <c r="C2754" s="2">
        <v>46237.583333333336</v>
      </c>
      <c r="D2754" t="s">
        <v>418</v>
      </c>
      <c r="E2754" t="s">
        <v>32</v>
      </c>
      <c r="F2754" t="s">
        <v>251</v>
      </c>
      <c r="G2754" t="s">
        <v>109</v>
      </c>
      <c r="H2754">
        <v>6</v>
      </c>
      <c r="I2754" t="s">
        <v>8524</v>
      </c>
      <c r="J2754" t="s">
        <v>357</v>
      </c>
    </row>
    <row r="2755" spans="1:10" x14ac:dyDescent="0.25">
      <c r="A2755" t="s">
        <v>8525</v>
      </c>
      <c r="B2755" t="s">
        <v>8526</v>
      </c>
      <c r="C2755" s="2">
        <v>46237.583333333336</v>
      </c>
      <c r="D2755" t="s">
        <v>418</v>
      </c>
      <c r="E2755" t="s">
        <v>36</v>
      </c>
      <c r="F2755" t="s">
        <v>252</v>
      </c>
      <c r="G2755" t="s">
        <v>113</v>
      </c>
      <c r="H2755">
        <v>7</v>
      </c>
      <c r="I2755" t="s">
        <v>8527</v>
      </c>
      <c r="J2755" t="s">
        <v>357</v>
      </c>
    </row>
    <row r="2756" spans="1:10" x14ac:dyDescent="0.25">
      <c r="A2756" t="s">
        <v>8528</v>
      </c>
      <c r="B2756" t="s">
        <v>8529</v>
      </c>
      <c r="C2756" s="2">
        <v>46237.583333333336</v>
      </c>
      <c r="D2756" t="s">
        <v>418</v>
      </c>
      <c r="E2756" t="s">
        <v>55</v>
      </c>
      <c r="F2756" t="s">
        <v>240</v>
      </c>
      <c r="G2756" t="s">
        <v>129</v>
      </c>
      <c r="H2756">
        <v>7</v>
      </c>
      <c r="I2756" t="s">
        <v>8530</v>
      </c>
      <c r="J2756" t="s">
        <v>357</v>
      </c>
    </row>
    <row r="2757" spans="1:10" x14ac:dyDescent="0.25">
      <c r="A2757" t="s">
        <v>8531</v>
      </c>
      <c r="B2757" t="s">
        <v>8532</v>
      </c>
      <c r="C2757" s="2">
        <v>46237.583333333336</v>
      </c>
      <c r="D2757" t="s">
        <v>418</v>
      </c>
      <c r="E2757" t="s">
        <v>57</v>
      </c>
      <c r="F2757" t="s">
        <v>255</v>
      </c>
      <c r="G2757" t="s">
        <v>131</v>
      </c>
      <c r="H2757">
        <v>7</v>
      </c>
      <c r="I2757" t="s">
        <v>8533</v>
      </c>
      <c r="J2757" t="s">
        <v>357</v>
      </c>
    </row>
    <row r="2758" spans="1:10" x14ac:dyDescent="0.25">
      <c r="A2758" t="s">
        <v>8534</v>
      </c>
      <c r="B2758" t="s">
        <v>8535</v>
      </c>
      <c r="C2758" s="2">
        <v>46237.583333333336</v>
      </c>
      <c r="D2758" t="s">
        <v>418</v>
      </c>
      <c r="E2758" t="s">
        <v>73</v>
      </c>
      <c r="F2758" t="s">
        <v>213</v>
      </c>
      <c r="G2758" t="s">
        <v>143</v>
      </c>
      <c r="H2758">
        <v>1</v>
      </c>
      <c r="I2758" t="s">
        <v>8536</v>
      </c>
      <c r="J2758" t="s">
        <v>357</v>
      </c>
    </row>
    <row r="2759" spans="1:10" x14ac:dyDescent="0.25">
      <c r="A2759" t="s">
        <v>8537</v>
      </c>
      <c r="B2759" t="s">
        <v>8538</v>
      </c>
      <c r="C2759" s="2">
        <v>46237.583333333336</v>
      </c>
      <c r="D2759" t="s">
        <v>418</v>
      </c>
      <c r="E2759" t="s">
        <v>22</v>
      </c>
      <c r="F2759" t="s">
        <v>262</v>
      </c>
      <c r="G2759" t="s">
        <v>99</v>
      </c>
      <c r="H2759">
        <v>2</v>
      </c>
      <c r="I2759" t="s">
        <v>8539</v>
      </c>
      <c r="J2759" t="s">
        <v>357</v>
      </c>
    </row>
    <row r="2760" spans="1:10" x14ac:dyDescent="0.25">
      <c r="A2760" t="s">
        <v>8540</v>
      </c>
      <c r="B2760" t="s">
        <v>8541</v>
      </c>
      <c r="C2760" s="2">
        <v>46237.583333333336</v>
      </c>
      <c r="D2760" t="s">
        <v>418</v>
      </c>
      <c r="E2760" t="s">
        <v>24</v>
      </c>
      <c r="F2760" t="s">
        <v>263</v>
      </c>
      <c r="G2760" t="s">
        <v>101</v>
      </c>
      <c r="H2760">
        <v>3</v>
      </c>
      <c r="I2760" t="s">
        <v>8542</v>
      </c>
      <c r="J2760" t="s">
        <v>357</v>
      </c>
    </row>
    <row r="2761" spans="1:10" x14ac:dyDescent="0.25">
      <c r="A2761" t="s">
        <v>8543</v>
      </c>
      <c r="B2761" t="s">
        <v>8544</v>
      </c>
      <c r="C2761" s="2">
        <v>46237.583333333336</v>
      </c>
      <c r="D2761" t="s">
        <v>418</v>
      </c>
      <c r="E2761" t="s">
        <v>26</v>
      </c>
      <c r="F2761" t="s">
        <v>264</v>
      </c>
      <c r="G2761" t="s">
        <v>103</v>
      </c>
      <c r="H2761">
        <v>4</v>
      </c>
      <c r="I2761" t="s">
        <v>8545</v>
      </c>
      <c r="J2761" t="s">
        <v>357</v>
      </c>
    </row>
    <row r="2762" spans="1:10" x14ac:dyDescent="0.25">
      <c r="A2762" t="s">
        <v>8546</v>
      </c>
      <c r="B2762" t="s">
        <v>8547</v>
      </c>
      <c r="C2762" s="2">
        <v>46237.583333333336</v>
      </c>
      <c r="D2762" t="s">
        <v>418</v>
      </c>
      <c r="E2762" t="s">
        <v>30</v>
      </c>
      <c r="F2762" t="s">
        <v>250</v>
      </c>
      <c r="G2762" t="s">
        <v>107</v>
      </c>
      <c r="H2762">
        <v>1</v>
      </c>
      <c r="I2762" t="s">
        <v>8548</v>
      </c>
      <c r="J2762" t="s">
        <v>357</v>
      </c>
    </row>
    <row r="2763" spans="1:10" x14ac:dyDescent="0.25">
      <c r="A2763" t="s">
        <v>8549</v>
      </c>
      <c r="B2763" t="s">
        <v>8550</v>
      </c>
      <c r="C2763" s="2">
        <v>46237.583333333336</v>
      </c>
      <c r="D2763" t="s">
        <v>418</v>
      </c>
      <c r="E2763" t="s">
        <v>32</v>
      </c>
      <c r="F2763" t="s">
        <v>251</v>
      </c>
      <c r="G2763" t="s">
        <v>109</v>
      </c>
      <c r="H2763">
        <v>2</v>
      </c>
      <c r="I2763" t="s">
        <v>8551</v>
      </c>
      <c r="J2763" t="s">
        <v>357</v>
      </c>
    </row>
    <row r="2764" spans="1:10" x14ac:dyDescent="0.25">
      <c r="A2764" t="s">
        <v>8552</v>
      </c>
      <c r="B2764" t="s">
        <v>8553</v>
      </c>
      <c r="C2764" s="2">
        <v>46237.583333333336</v>
      </c>
      <c r="D2764" t="s">
        <v>418</v>
      </c>
      <c r="E2764" t="s">
        <v>32</v>
      </c>
      <c r="F2764" t="s">
        <v>222</v>
      </c>
      <c r="G2764" t="s">
        <v>109</v>
      </c>
      <c r="H2764">
        <v>2</v>
      </c>
      <c r="I2764" t="s">
        <v>8551</v>
      </c>
      <c r="J2764" t="s">
        <v>357</v>
      </c>
    </row>
    <row r="2765" spans="1:10" x14ac:dyDescent="0.25">
      <c r="A2765" t="s">
        <v>8554</v>
      </c>
      <c r="B2765" t="s">
        <v>8555</v>
      </c>
      <c r="C2765" s="2">
        <v>46237.583333333336</v>
      </c>
      <c r="D2765" t="s">
        <v>418</v>
      </c>
      <c r="E2765" t="s">
        <v>47</v>
      </c>
      <c r="F2765" t="s">
        <v>190</v>
      </c>
      <c r="G2765" t="s">
        <v>121</v>
      </c>
      <c r="H2765">
        <v>4</v>
      </c>
      <c r="I2765" t="s">
        <v>8556</v>
      </c>
      <c r="J2765" t="s">
        <v>357</v>
      </c>
    </row>
    <row r="2766" spans="1:10" x14ac:dyDescent="0.25">
      <c r="A2766" t="s">
        <v>8557</v>
      </c>
      <c r="B2766" t="s">
        <v>8558</v>
      </c>
      <c r="C2766" s="2">
        <v>46237.583333333336</v>
      </c>
      <c r="D2766" t="s">
        <v>418</v>
      </c>
      <c r="E2766" t="s">
        <v>55</v>
      </c>
      <c r="F2766" t="s">
        <v>240</v>
      </c>
      <c r="G2766" t="s">
        <v>129</v>
      </c>
      <c r="H2766">
        <v>1</v>
      </c>
      <c r="I2766" t="s">
        <v>8559</v>
      </c>
      <c r="J2766" t="s">
        <v>357</v>
      </c>
    </row>
    <row r="2767" spans="1:10" x14ac:dyDescent="0.25">
      <c r="A2767" t="s">
        <v>8560</v>
      </c>
      <c r="B2767" t="s">
        <v>8561</v>
      </c>
      <c r="C2767" s="2">
        <v>46237.583333333336</v>
      </c>
      <c r="D2767" t="s">
        <v>418</v>
      </c>
      <c r="E2767" t="s">
        <v>59</v>
      </c>
      <c r="F2767" t="s">
        <v>227</v>
      </c>
      <c r="G2767" t="s">
        <v>133</v>
      </c>
      <c r="H2767">
        <v>3</v>
      </c>
      <c r="I2767" t="s">
        <v>8562</v>
      </c>
      <c r="J2767" t="s">
        <v>357</v>
      </c>
    </row>
    <row r="2768" spans="1:10" x14ac:dyDescent="0.25">
      <c r="A2768" t="s">
        <v>8563</v>
      </c>
      <c r="B2768" t="s">
        <v>8564</v>
      </c>
      <c r="C2768" s="2">
        <v>46237.583333333336</v>
      </c>
      <c r="D2768" t="s">
        <v>418</v>
      </c>
      <c r="E2768" t="s">
        <v>65</v>
      </c>
      <c r="F2768" t="s">
        <v>241</v>
      </c>
      <c r="G2768" t="s">
        <v>135</v>
      </c>
      <c r="H2768">
        <v>4</v>
      </c>
      <c r="I2768" t="s">
        <v>8565</v>
      </c>
      <c r="J2768" t="s">
        <v>357</v>
      </c>
    </row>
    <row r="2769" spans="1:10" x14ac:dyDescent="0.25">
      <c r="A2769" t="s">
        <v>8566</v>
      </c>
      <c r="B2769" t="s">
        <v>8567</v>
      </c>
      <c r="C2769" s="2">
        <v>46238.333333333336</v>
      </c>
      <c r="D2769" t="s">
        <v>1412</v>
      </c>
      <c r="E2769" t="s">
        <v>11</v>
      </c>
      <c r="F2769" t="s">
        <v>274</v>
      </c>
      <c r="G2769" t="s">
        <v>92</v>
      </c>
      <c r="H2769">
        <v>88</v>
      </c>
      <c r="I2769" t="s">
        <v>357</v>
      </c>
      <c r="J2769" t="s">
        <v>8568</v>
      </c>
    </row>
    <row r="2770" spans="1:10" x14ac:dyDescent="0.25">
      <c r="A2770" t="s">
        <v>8569</v>
      </c>
      <c r="B2770" t="s">
        <v>8570</v>
      </c>
      <c r="C2770" s="2">
        <v>46238.333333333336</v>
      </c>
      <c r="D2770" t="s">
        <v>1412</v>
      </c>
      <c r="E2770" t="s">
        <v>18</v>
      </c>
      <c r="F2770" t="s">
        <v>275</v>
      </c>
      <c r="G2770" t="s">
        <v>95</v>
      </c>
      <c r="H2770">
        <v>90</v>
      </c>
      <c r="I2770" t="s">
        <v>357</v>
      </c>
      <c r="J2770" t="s">
        <v>8571</v>
      </c>
    </row>
    <row r="2771" spans="1:10" x14ac:dyDescent="0.25">
      <c r="A2771" t="s">
        <v>8572</v>
      </c>
      <c r="B2771" t="s">
        <v>8573</v>
      </c>
      <c r="C2771" s="2">
        <v>46238.333333333336</v>
      </c>
      <c r="D2771" t="s">
        <v>1412</v>
      </c>
      <c r="E2771" t="s">
        <v>20</v>
      </c>
      <c r="F2771" t="s">
        <v>276</v>
      </c>
      <c r="G2771" t="s">
        <v>97</v>
      </c>
      <c r="H2771">
        <v>68</v>
      </c>
      <c r="I2771" t="s">
        <v>357</v>
      </c>
      <c r="J2771" t="s">
        <v>8574</v>
      </c>
    </row>
    <row r="2772" spans="1:10" x14ac:dyDescent="0.25">
      <c r="A2772" t="s">
        <v>8575</v>
      </c>
      <c r="B2772" t="s">
        <v>8576</v>
      </c>
      <c r="C2772" s="2">
        <v>46238.333333333336</v>
      </c>
      <c r="D2772" t="s">
        <v>1412</v>
      </c>
      <c r="E2772" t="s">
        <v>22</v>
      </c>
      <c r="F2772" t="s">
        <v>277</v>
      </c>
      <c r="G2772" t="s">
        <v>99</v>
      </c>
      <c r="H2772">
        <v>84</v>
      </c>
      <c r="I2772" t="s">
        <v>357</v>
      </c>
      <c r="J2772" t="s">
        <v>8577</v>
      </c>
    </row>
    <row r="2773" spans="1:10" x14ac:dyDescent="0.25">
      <c r="A2773" t="s">
        <v>8578</v>
      </c>
      <c r="B2773" t="s">
        <v>8579</v>
      </c>
      <c r="C2773" s="2">
        <v>46238.333333333336</v>
      </c>
      <c r="D2773" t="s">
        <v>1412</v>
      </c>
      <c r="E2773" t="s">
        <v>24</v>
      </c>
      <c r="F2773" t="s">
        <v>278</v>
      </c>
      <c r="G2773" t="s">
        <v>101</v>
      </c>
      <c r="H2773">
        <v>74</v>
      </c>
      <c r="I2773" t="s">
        <v>357</v>
      </c>
      <c r="J2773" t="s">
        <v>8580</v>
      </c>
    </row>
    <row r="2774" spans="1:10" x14ac:dyDescent="0.25">
      <c r="A2774" t="s">
        <v>8581</v>
      </c>
      <c r="B2774" t="s">
        <v>8582</v>
      </c>
      <c r="C2774" s="2">
        <v>46238.333333333336</v>
      </c>
      <c r="D2774" t="s">
        <v>1412</v>
      </c>
      <c r="E2774" t="s">
        <v>26</v>
      </c>
      <c r="F2774" t="s">
        <v>279</v>
      </c>
      <c r="G2774" t="s">
        <v>103</v>
      </c>
      <c r="H2774">
        <v>65</v>
      </c>
      <c r="I2774" t="s">
        <v>357</v>
      </c>
      <c r="J2774" t="s">
        <v>8583</v>
      </c>
    </row>
    <row r="2775" spans="1:10" x14ac:dyDescent="0.25">
      <c r="A2775" t="s">
        <v>8584</v>
      </c>
      <c r="B2775" t="s">
        <v>8585</v>
      </c>
      <c r="C2775" s="2">
        <v>46238.333333333336</v>
      </c>
      <c r="D2775" t="s">
        <v>1412</v>
      </c>
      <c r="E2775" t="s">
        <v>32</v>
      </c>
      <c r="F2775" t="s">
        <v>280</v>
      </c>
      <c r="G2775" t="s">
        <v>109</v>
      </c>
      <c r="H2775">
        <v>78</v>
      </c>
      <c r="I2775" t="s">
        <v>357</v>
      </c>
      <c r="J2775" t="s">
        <v>8586</v>
      </c>
    </row>
    <row r="2776" spans="1:10" x14ac:dyDescent="0.25">
      <c r="A2776" t="s">
        <v>8587</v>
      </c>
      <c r="B2776" t="s">
        <v>8588</v>
      </c>
      <c r="C2776" s="2">
        <v>46238.333333333336</v>
      </c>
      <c r="D2776" t="s">
        <v>1412</v>
      </c>
      <c r="E2776" t="s">
        <v>36</v>
      </c>
      <c r="F2776" t="s">
        <v>281</v>
      </c>
      <c r="G2776" t="s">
        <v>113</v>
      </c>
      <c r="H2776">
        <v>85</v>
      </c>
      <c r="I2776" t="s">
        <v>357</v>
      </c>
      <c r="J2776" t="s">
        <v>8589</v>
      </c>
    </row>
    <row r="2777" spans="1:10" x14ac:dyDescent="0.25">
      <c r="A2777" t="s">
        <v>8590</v>
      </c>
      <c r="B2777" t="s">
        <v>8591</v>
      </c>
      <c r="C2777" s="2">
        <v>46238.333333333336</v>
      </c>
      <c r="D2777" t="s">
        <v>1412</v>
      </c>
      <c r="E2777" t="s">
        <v>47</v>
      </c>
      <c r="F2777" t="s">
        <v>282</v>
      </c>
      <c r="G2777" t="s">
        <v>121</v>
      </c>
      <c r="H2777">
        <v>100</v>
      </c>
      <c r="I2777" t="s">
        <v>357</v>
      </c>
      <c r="J2777" t="s">
        <v>8592</v>
      </c>
    </row>
    <row r="2778" spans="1:10" x14ac:dyDescent="0.25">
      <c r="A2778" t="s">
        <v>8593</v>
      </c>
      <c r="B2778" t="s">
        <v>8594</v>
      </c>
      <c r="C2778" s="2">
        <v>46238.333333333336</v>
      </c>
      <c r="D2778" t="s">
        <v>1412</v>
      </c>
      <c r="E2778" t="s">
        <v>59</v>
      </c>
      <c r="F2778" t="s">
        <v>283</v>
      </c>
      <c r="G2778" t="s">
        <v>133</v>
      </c>
      <c r="H2778">
        <v>97</v>
      </c>
      <c r="I2778" t="s">
        <v>357</v>
      </c>
      <c r="J2778" t="s">
        <v>8595</v>
      </c>
    </row>
    <row r="2779" spans="1:10" x14ac:dyDescent="0.25">
      <c r="A2779" t="s">
        <v>8596</v>
      </c>
      <c r="B2779" t="s">
        <v>8597</v>
      </c>
      <c r="C2779" s="2">
        <v>46238.333333333336</v>
      </c>
      <c r="D2779" t="s">
        <v>1412</v>
      </c>
      <c r="E2779" t="s">
        <v>65</v>
      </c>
      <c r="F2779" t="s">
        <v>284</v>
      </c>
      <c r="G2779" t="s">
        <v>135</v>
      </c>
      <c r="H2779">
        <v>68</v>
      </c>
      <c r="I2779" t="s">
        <v>357</v>
      </c>
      <c r="J2779" t="s">
        <v>8598</v>
      </c>
    </row>
    <row r="2780" spans="1:10" x14ac:dyDescent="0.25">
      <c r="A2780" t="s">
        <v>8599</v>
      </c>
      <c r="B2780" t="s">
        <v>8600</v>
      </c>
      <c r="C2780" s="2">
        <v>46238.583333333336</v>
      </c>
      <c r="D2780" t="s">
        <v>418</v>
      </c>
      <c r="E2780" t="s">
        <v>11</v>
      </c>
      <c r="F2780" t="s">
        <v>274</v>
      </c>
      <c r="G2780" t="s">
        <v>92</v>
      </c>
      <c r="H2780">
        <v>4</v>
      </c>
      <c r="I2780" t="s">
        <v>8601</v>
      </c>
      <c r="J2780" t="s">
        <v>357</v>
      </c>
    </row>
    <row r="2781" spans="1:10" x14ac:dyDescent="0.25">
      <c r="A2781" t="s">
        <v>8602</v>
      </c>
      <c r="B2781" t="s">
        <v>8603</v>
      </c>
      <c r="C2781" s="2">
        <v>46238.583333333336</v>
      </c>
      <c r="D2781" t="s">
        <v>418</v>
      </c>
      <c r="E2781" t="s">
        <v>22</v>
      </c>
      <c r="F2781" t="s">
        <v>262</v>
      </c>
      <c r="G2781" t="s">
        <v>99</v>
      </c>
      <c r="H2781">
        <v>2</v>
      </c>
      <c r="I2781" t="s">
        <v>8604</v>
      </c>
      <c r="J2781" t="s">
        <v>357</v>
      </c>
    </row>
    <row r="2782" spans="1:10" x14ac:dyDescent="0.25">
      <c r="A2782" t="s">
        <v>8605</v>
      </c>
      <c r="B2782" t="s">
        <v>8606</v>
      </c>
      <c r="C2782" s="2">
        <v>46238.583333333336</v>
      </c>
      <c r="D2782" t="s">
        <v>418</v>
      </c>
      <c r="E2782" t="s">
        <v>24</v>
      </c>
      <c r="F2782" t="s">
        <v>278</v>
      </c>
      <c r="G2782" t="s">
        <v>101</v>
      </c>
      <c r="H2782">
        <v>1</v>
      </c>
      <c r="I2782" t="s">
        <v>8607</v>
      </c>
      <c r="J2782" t="s">
        <v>357</v>
      </c>
    </row>
    <row r="2783" spans="1:10" x14ac:dyDescent="0.25">
      <c r="A2783" t="s">
        <v>8608</v>
      </c>
      <c r="B2783" t="s">
        <v>8609</v>
      </c>
      <c r="C2783" s="2">
        <v>46238.583333333336</v>
      </c>
      <c r="D2783" t="s">
        <v>418</v>
      </c>
      <c r="E2783" t="s">
        <v>26</v>
      </c>
      <c r="F2783" t="s">
        <v>264</v>
      </c>
      <c r="G2783" t="s">
        <v>103</v>
      </c>
      <c r="H2783">
        <v>2</v>
      </c>
      <c r="I2783" t="s">
        <v>8610</v>
      </c>
      <c r="J2783" t="s">
        <v>357</v>
      </c>
    </row>
    <row r="2784" spans="1:10" x14ac:dyDescent="0.25">
      <c r="A2784" t="s">
        <v>8611</v>
      </c>
      <c r="B2784" t="s">
        <v>8612</v>
      </c>
      <c r="C2784" s="2">
        <v>46238.583333333336</v>
      </c>
      <c r="D2784" t="s">
        <v>418</v>
      </c>
      <c r="E2784" t="s">
        <v>36</v>
      </c>
      <c r="F2784" t="s">
        <v>252</v>
      </c>
      <c r="G2784" t="s">
        <v>113</v>
      </c>
      <c r="H2784">
        <v>1</v>
      </c>
      <c r="I2784" t="s">
        <v>8613</v>
      </c>
      <c r="J2784" t="s">
        <v>357</v>
      </c>
    </row>
    <row r="2785" spans="1:10" x14ac:dyDescent="0.25">
      <c r="A2785" t="s">
        <v>8614</v>
      </c>
      <c r="B2785" t="s">
        <v>8615</v>
      </c>
      <c r="C2785" s="2">
        <v>46238.583333333336</v>
      </c>
      <c r="D2785" t="s">
        <v>418</v>
      </c>
      <c r="E2785" t="s">
        <v>43</v>
      </c>
      <c r="F2785" t="s">
        <v>266</v>
      </c>
      <c r="G2785" t="s">
        <v>117</v>
      </c>
      <c r="H2785">
        <v>4</v>
      </c>
      <c r="I2785" t="s">
        <v>8616</v>
      </c>
      <c r="J2785" t="s">
        <v>357</v>
      </c>
    </row>
    <row r="2786" spans="1:10" x14ac:dyDescent="0.25">
      <c r="A2786" t="s">
        <v>8617</v>
      </c>
      <c r="B2786" t="s">
        <v>8618</v>
      </c>
      <c r="C2786" s="2">
        <v>46238.583333333336</v>
      </c>
      <c r="D2786" t="s">
        <v>418</v>
      </c>
      <c r="E2786" t="s">
        <v>49</v>
      </c>
      <c r="F2786" t="s">
        <v>253</v>
      </c>
      <c r="G2786" t="s">
        <v>123</v>
      </c>
      <c r="H2786">
        <v>4</v>
      </c>
      <c r="I2786" t="s">
        <v>8619</v>
      </c>
      <c r="J2786" t="s">
        <v>357</v>
      </c>
    </row>
    <row r="2787" spans="1:10" x14ac:dyDescent="0.25">
      <c r="A2787" t="s">
        <v>8620</v>
      </c>
      <c r="B2787" t="s">
        <v>8621</v>
      </c>
      <c r="C2787" s="2">
        <v>46238.583333333336</v>
      </c>
      <c r="D2787" t="s">
        <v>418</v>
      </c>
      <c r="E2787" t="s">
        <v>67</v>
      </c>
      <c r="F2787" t="s">
        <v>242</v>
      </c>
      <c r="G2787" t="s">
        <v>137</v>
      </c>
      <c r="H2787">
        <v>1</v>
      </c>
      <c r="I2787" t="s">
        <v>8622</v>
      </c>
      <c r="J2787" t="s">
        <v>357</v>
      </c>
    </row>
    <row r="2788" spans="1:10" x14ac:dyDescent="0.25">
      <c r="A2788" t="s">
        <v>8623</v>
      </c>
      <c r="B2788" t="s">
        <v>8624</v>
      </c>
      <c r="C2788" s="2">
        <v>46238.583333333336</v>
      </c>
      <c r="D2788" t="s">
        <v>418</v>
      </c>
      <c r="E2788" t="s">
        <v>75</v>
      </c>
      <c r="F2788" t="s">
        <v>230</v>
      </c>
      <c r="G2788" t="s">
        <v>145</v>
      </c>
      <c r="H2788">
        <v>2</v>
      </c>
      <c r="I2788" t="s">
        <v>8625</v>
      </c>
      <c r="J2788" t="s">
        <v>357</v>
      </c>
    </row>
    <row r="2789" spans="1:10" x14ac:dyDescent="0.25">
      <c r="A2789" t="s">
        <v>8626</v>
      </c>
      <c r="B2789" t="s">
        <v>8627</v>
      </c>
      <c r="C2789" s="2">
        <v>46238.583333333336</v>
      </c>
      <c r="D2789" t="s">
        <v>418</v>
      </c>
      <c r="E2789" t="s">
        <v>77</v>
      </c>
      <c r="F2789" t="s">
        <v>243</v>
      </c>
      <c r="G2789" t="s">
        <v>147</v>
      </c>
      <c r="H2789">
        <v>1</v>
      </c>
      <c r="I2789" t="s">
        <v>8628</v>
      </c>
      <c r="J2789" t="s">
        <v>357</v>
      </c>
    </row>
    <row r="2790" spans="1:10" x14ac:dyDescent="0.25">
      <c r="A2790" t="s">
        <v>8629</v>
      </c>
      <c r="B2790" t="s">
        <v>8630</v>
      </c>
      <c r="C2790" s="2">
        <v>46238.583333333336</v>
      </c>
      <c r="D2790" t="s">
        <v>418</v>
      </c>
      <c r="E2790" t="s">
        <v>20</v>
      </c>
      <c r="F2790" t="s">
        <v>276</v>
      </c>
      <c r="G2790" t="s">
        <v>97</v>
      </c>
      <c r="H2790">
        <v>5</v>
      </c>
      <c r="I2790" t="s">
        <v>8631</v>
      </c>
      <c r="J2790" t="s">
        <v>357</v>
      </c>
    </row>
    <row r="2791" spans="1:10" x14ac:dyDescent="0.25">
      <c r="A2791" t="s">
        <v>8632</v>
      </c>
      <c r="B2791" t="s">
        <v>8633</v>
      </c>
      <c r="C2791" s="2">
        <v>46238.583333333336</v>
      </c>
      <c r="D2791" t="s">
        <v>418</v>
      </c>
      <c r="E2791" t="s">
        <v>47</v>
      </c>
      <c r="F2791" t="s">
        <v>190</v>
      </c>
      <c r="G2791" t="s">
        <v>121</v>
      </c>
      <c r="H2791">
        <v>5</v>
      </c>
      <c r="I2791" t="s">
        <v>8634</v>
      </c>
      <c r="J2791" t="s">
        <v>357</v>
      </c>
    </row>
    <row r="2792" spans="1:10" x14ac:dyDescent="0.25">
      <c r="A2792" t="s">
        <v>8635</v>
      </c>
      <c r="B2792" t="s">
        <v>8636</v>
      </c>
      <c r="C2792" s="2">
        <v>46238.583333333336</v>
      </c>
      <c r="D2792" t="s">
        <v>418</v>
      </c>
      <c r="E2792" t="s">
        <v>49</v>
      </c>
      <c r="F2792" t="s">
        <v>253</v>
      </c>
      <c r="G2792" t="s">
        <v>123</v>
      </c>
      <c r="H2792">
        <v>4</v>
      </c>
      <c r="I2792" t="s">
        <v>8637</v>
      </c>
      <c r="J2792" t="s">
        <v>357</v>
      </c>
    </row>
    <row r="2793" spans="1:10" x14ac:dyDescent="0.25">
      <c r="A2793" t="s">
        <v>8638</v>
      </c>
      <c r="B2793" t="s">
        <v>8639</v>
      </c>
      <c r="C2793" s="2">
        <v>46238.583333333336</v>
      </c>
      <c r="D2793" t="s">
        <v>418</v>
      </c>
      <c r="E2793" t="s">
        <v>53</v>
      </c>
      <c r="F2793" t="s">
        <v>126</v>
      </c>
      <c r="G2793" t="s">
        <v>127</v>
      </c>
      <c r="H2793">
        <v>5</v>
      </c>
      <c r="I2793" t="s">
        <v>8640</v>
      </c>
      <c r="J2793" t="s">
        <v>357</v>
      </c>
    </row>
    <row r="2794" spans="1:10" x14ac:dyDescent="0.25">
      <c r="A2794" t="s">
        <v>8641</v>
      </c>
      <c r="B2794" t="s">
        <v>8642</v>
      </c>
      <c r="C2794" s="2">
        <v>46238.583333333336</v>
      </c>
      <c r="D2794" t="s">
        <v>418</v>
      </c>
      <c r="E2794" t="s">
        <v>11</v>
      </c>
      <c r="F2794" t="s">
        <v>274</v>
      </c>
      <c r="G2794" t="s">
        <v>92</v>
      </c>
      <c r="H2794">
        <v>2</v>
      </c>
      <c r="I2794" t="s">
        <v>8643</v>
      </c>
      <c r="J2794" t="s">
        <v>357</v>
      </c>
    </row>
    <row r="2795" spans="1:10" x14ac:dyDescent="0.25">
      <c r="A2795" t="s">
        <v>8644</v>
      </c>
      <c r="B2795" t="s">
        <v>8645</v>
      </c>
      <c r="C2795" s="2">
        <v>46238.583333333336</v>
      </c>
      <c r="D2795" t="s">
        <v>418</v>
      </c>
      <c r="E2795" t="s">
        <v>20</v>
      </c>
      <c r="F2795" t="s">
        <v>276</v>
      </c>
      <c r="G2795" t="s">
        <v>97</v>
      </c>
      <c r="H2795">
        <v>5</v>
      </c>
      <c r="I2795" t="s">
        <v>8646</v>
      </c>
      <c r="J2795" t="s">
        <v>357</v>
      </c>
    </row>
    <row r="2796" spans="1:10" x14ac:dyDescent="0.25">
      <c r="A2796" t="s">
        <v>8647</v>
      </c>
      <c r="B2796" t="s">
        <v>8648</v>
      </c>
      <c r="C2796" s="2">
        <v>46238.583333333336</v>
      </c>
      <c r="D2796" t="s">
        <v>418</v>
      </c>
      <c r="E2796" t="s">
        <v>22</v>
      </c>
      <c r="F2796" t="s">
        <v>262</v>
      </c>
      <c r="G2796" t="s">
        <v>99</v>
      </c>
      <c r="H2796">
        <v>2</v>
      </c>
      <c r="I2796" t="s">
        <v>8649</v>
      </c>
      <c r="J2796" t="s">
        <v>357</v>
      </c>
    </row>
    <row r="2797" spans="1:10" x14ac:dyDescent="0.25">
      <c r="A2797" t="s">
        <v>8650</v>
      </c>
      <c r="B2797" t="s">
        <v>8651</v>
      </c>
      <c r="C2797" s="2">
        <v>46238.583333333336</v>
      </c>
      <c r="D2797" t="s">
        <v>418</v>
      </c>
      <c r="E2797" t="s">
        <v>26</v>
      </c>
      <c r="F2797" t="s">
        <v>264</v>
      </c>
      <c r="G2797" t="s">
        <v>103</v>
      </c>
      <c r="H2797">
        <v>5</v>
      </c>
      <c r="I2797" t="s">
        <v>8652</v>
      </c>
      <c r="J2797" t="s">
        <v>357</v>
      </c>
    </row>
    <row r="2798" spans="1:10" x14ac:dyDescent="0.25">
      <c r="A2798" t="s">
        <v>8653</v>
      </c>
      <c r="B2798" t="s">
        <v>8654</v>
      </c>
      <c r="C2798" s="2">
        <v>46238.583333333336</v>
      </c>
      <c r="D2798" t="s">
        <v>418</v>
      </c>
      <c r="E2798" t="s">
        <v>45</v>
      </c>
      <c r="F2798" t="s">
        <v>267</v>
      </c>
      <c r="G2798" t="s">
        <v>119</v>
      </c>
      <c r="H2798">
        <v>2</v>
      </c>
      <c r="I2798" t="s">
        <v>8655</v>
      </c>
      <c r="J2798" t="s">
        <v>357</v>
      </c>
    </row>
    <row r="2799" spans="1:10" x14ac:dyDescent="0.25">
      <c r="A2799" t="s">
        <v>8656</v>
      </c>
      <c r="B2799" t="s">
        <v>8657</v>
      </c>
      <c r="C2799" s="2">
        <v>46238.583333333336</v>
      </c>
      <c r="D2799" t="s">
        <v>418</v>
      </c>
      <c r="E2799" t="s">
        <v>47</v>
      </c>
      <c r="F2799" t="s">
        <v>190</v>
      </c>
      <c r="G2799" t="s">
        <v>121</v>
      </c>
      <c r="H2799">
        <v>1</v>
      </c>
      <c r="I2799" t="s">
        <v>8658</v>
      </c>
      <c r="J2799" t="s">
        <v>357</v>
      </c>
    </row>
    <row r="2800" spans="1:10" x14ac:dyDescent="0.25">
      <c r="A2800" t="s">
        <v>8659</v>
      </c>
      <c r="B2800" t="s">
        <v>8660</v>
      </c>
      <c r="C2800" s="2">
        <v>46238.583333333336</v>
      </c>
      <c r="D2800" t="s">
        <v>418</v>
      </c>
      <c r="E2800" t="s">
        <v>49</v>
      </c>
      <c r="F2800" t="s">
        <v>253</v>
      </c>
      <c r="G2800" t="s">
        <v>123</v>
      </c>
      <c r="H2800">
        <v>5</v>
      </c>
      <c r="I2800" t="s">
        <v>8661</v>
      </c>
      <c r="J2800" t="s">
        <v>357</v>
      </c>
    </row>
    <row r="2801" spans="1:10" x14ac:dyDescent="0.25">
      <c r="A2801" t="s">
        <v>8662</v>
      </c>
      <c r="B2801" t="s">
        <v>8663</v>
      </c>
      <c r="C2801" s="2">
        <v>46238.583333333336</v>
      </c>
      <c r="D2801" t="s">
        <v>418</v>
      </c>
      <c r="E2801" t="s">
        <v>51</v>
      </c>
      <c r="F2801" t="s">
        <v>168</v>
      </c>
      <c r="G2801" t="s">
        <v>125</v>
      </c>
      <c r="H2801">
        <v>5</v>
      </c>
      <c r="I2801" t="s">
        <v>8664</v>
      </c>
      <c r="J2801" t="s">
        <v>357</v>
      </c>
    </row>
    <row r="2802" spans="1:10" x14ac:dyDescent="0.25">
      <c r="A2802" t="s">
        <v>8665</v>
      </c>
      <c r="B2802" t="s">
        <v>8666</v>
      </c>
      <c r="C2802" s="2">
        <v>46238.583333333336</v>
      </c>
      <c r="D2802" t="s">
        <v>418</v>
      </c>
      <c r="E2802" t="s">
        <v>55</v>
      </c>
      <c r="F2802" t="s">
        <v>240</v>
      </c>
      <c r="G2802" t="s">
        <v>129</v>
      </c>
      <c r="H2802">
        <v>1</v>
      </c>
      <c r="I2802" t="s">
        <v>8667</v>
      </c>
      <c r="J2802" t="s">
        <v>357</v>
      </c>
    </row>
    <row r="2803" spans="1:10" x14ac:dyDescent="0.25">
      <c r="A2803" t="s">
        <v>8668</v>
      </c>
      <c r="B2803" t="s">
        <v>8669</v>
      </c>
      <c r="C2803" s="2">
        <v>46238.583333333336</v>
      </c>
      <c r="D2803" t="s">
        <v>418</v>
      </c>
      <c r="E2803" t="s">
        <v>59</v>
      </c>
      <c r="F2803" t="s">
        <v>227</v>
      </c>
      <c r="G2803" t="s">
        <v>133</v>
      </c>
      <c r="H2803">
        <v>6</v>
      </c>
      <c r="I2803" t="s">
        <v>8670</v>
      </c>
      <c r="J2803" t="s">
        <v>357</v>
      </c>
    </row>
    <row r="2804" spans="1:10" x14ac:dyDescent="0.25">
      <c r="A2804" t="s">
        <v>8671</v>
      </c>
      <c r="B2804" t="s">
        <v>8672</v>
      </c>
      <c r="C2804" s="2">
        <v>46238.583333333336</v>
      </c>
      <c r="D2804" t="s">
        <v>418</v>
      </c>
      <c r="E2804" t="s">
        <v>71</v>
      </c>
      <c r="F2804" t="s">
        <v>212</v>
      </c>
      <c r="G2804" t="s">
        <v>141</v>
      </c>
      <c r="H2804">
        <v>4</v>
      </c>
      <c r="I2804" t="s">
        <v>8673</v>
      </c>
      <c r="J2804" t="s">
        <v>357</v>
      </c>
    </row>
    <row r="2805" spans="1:10" x14ac:dyDescent="0.25">
      <c r="A2805" t="s">
        <v>8674</v>
      </c>
      <c r="B2805" t="s">
        <v>8675</v>
      </c>
      <c r="C2805" s="2">
        <v>46238.583333333336</v>
      </c>
      <c r="D2805" t="s">
        <v>418</v>
      </c>
      <c r="E2805" t="s">
        <v>20</v>
      </c>
      <c r="F2805" t="s">
        <v>276</v>
      </c>
      <c r="G2805" t="s">
        <v>97</v>
      </c>
      <c r="H2805">
        <v>7</v>
      </c>
      <c r="I2805" t="s">
        <v>8676</v>
      </c>
      <c r="J2805" t="s">
        <v>357</v>
      </c>
    </row>
    <row r="2806" spans="1:10" x14ac:dyDescent="0.25">
      <c r="A2806" t="s">
        <v>8677</v>
      </c>
      <c r="B2806" t="s">
        <v>8678</v>
      </c>
      <c r="C2806" s="2">
        <v>46238.583333333336</v>
      </c>
      <c r="D2806" t="s">
        <v>418</v>
      </c>
      <c r="E2806" t="s">
        <v>22</v>
      </c>
      <c r="F2806" t="s">
        <v>262</v>
      </c>
      <c r="G2806" t="s">
        <v>99</v>
      </c>
      <c r="H2806">
        <v>3</v>
      </c>
      <c r="I2806" t="s">
        <v>8679</v>
      </c>
      <c r="J2806" t="s">
        <v>357</v>
      </c>
    </row>
    <row r="2807" spans="1:10" x14ac:dyDescent="0.25">
      <c r="A2807" t="s">
        <v>8680</v>
      </c>
      <c r="B2807" t="s">
        <v>8681</v>
      </c>
      <c r="C2807" s="2">
        <v>46238.583333333336</v>
      </c>
      <c r="D2807" t="s">
        <v>418</v>
      </c>
      <c r="E2807" t="s">
        <v>26</v>
      </c>
      <c r="F2807" t="s">
        <v>264</v>
      </c>
      <c r="G2807" t="s">
        <v>103</v>
      </c>
      <c r="H2807">
        <v>4</v>
      </c>
      <c r="I2807" t="s">
        <v>8682</v>
      </c>
      <c r="J2807" t="s">
        <v>357</v>
      </c>
    </row>
    <row r="2808" spans="1:10" x14ac:dyDescent="0.25">
      <c r="A2808" t="s">
        <v>8683</v>
      </c>
      <c r="B2808" t="s">
        <v>8684</v>
      </c>
      <c r="C2808" s="2">
        <v>46238.583333333336</v>
      </c>
      <c r="D2808" t="s">
        <v>418</v>
      </c>
      <c r="E2808" t="s">
        <v>28</v>
      </c>
      <c r="F2808" t="s">
        <v>249</v>
      </c>
      <c r="G2808" t="s">
        <v>105</v>
      </c>
      <c r="H2808">
        <v>7</v>
      </c>
      <c r="I2808" t="s">
        <v>8685</v>
      </c>
      <c r="J2808" t="s">
        <v>357</v>
      </c>
    </row>
    <row r="2809" spans="1:10" x14ac:dyDescent="0.25">
      <c r="A2809" t="s">
        <v>8686</v>
      </c>
      <c r="B2809" t="s">
        <v>8687</v>
      </c>
      <c r="C2809" s="2">
        <v>46238.583333333336</v>
      </c>
      <c r="D2809" t="s">
        <v>418</v>
      </c>
      <c r="E2809" t="s">
        <v>36</v>
      </c>
      <c r="F2809" t="s">
        <v>252</v>
      </c>
      <c r="G2809" t="s">
        <v>113</v>
      </c>
      <c r="H2809">
        <v>6</v>
      </c>
      <c r="I2809" t="s">
        <v>8688</v>
      </c>
      <c r="J2809" t="s">
        <v>357</v>
      </c>
    </row>
    <row r="2810" spans="1:10" x14ac:dyDescent="0.25">
      <c r="A2810" t="s">
        <v>8689</v>
      </c>
      <c r="B2810" t="s">
        <v>8690</v>
      </c>
      <c r="C2810" s="2">
        <v>46238.583333333336</v>
      </c>
      <c r="D2810" t="s">
        <v>418</v>
      </c>
      <c r="E2810" t="s">
        <v>47</v>
      </c>
      <c r="F2810" t="s">
        <v>190</v>
      </c>
      <c r="G2810" t="s">
        <v>121</v>
      </c>
      <c r="H2810">
        <v>4</v>
      </c>
      <c r="I2810" t="s">
        <v>8691</v>
      </c>
      <c r="J2810" t="s">
        <v>357</v>
      </c>
    </row>
    <row r="2811" spans="1:10" x14ac:dyDescent="0.25">
      <c r="A2811" t="s">
        <v>8692</v>
      </c>
      <c r="B2811" t="s">
        <v>8693</v>
      </c>
      <c r="C2811" s="2">
        <v>46238.583333333336</v>
      </c>
      <c r="D2811" t="s">
        <v>418</v>
      </c>
      <c r="E2811" t="s">
        <v>57</v>
      </c>
      <c r="F2811" t="s">
        <v>255</v>
      </c>
      <c r="G2811" t="s">
        <v>131</v>
      </c>
      <c r="H2811">
        <v>6</v>
      </c>
      <c r="I2811" t="s">
        <v>8694</v>
      </c>
      <c r="J2811" t="s">
        <v>357</v>
      </c>
    </row>
    <row r="2812" spans="1:10" x14ac:dyDescent="0.25">
      <c r="A2812" t="s">
        <v>8695</v>
      </c>
      <c r="B2812" t="s">
        <v>8696</v>
      </c>
      <c r="C2812" s="2">
        <v>46238.583333333336</v>
      </c>
      <c r="D2812" t="s">
        <v>418</v>
      </c>
      <c r="E2812" t="s">
        <v>65</v>
      </c>
      <c r="F2812" t="s">
        <v>241</v>
      </c>
      <c r="G2812" t="s">
        <v>135</v>
      </c>
      <c r="H2812">
        <v>6</v>
      </c>
      <c r="I2812" t="s">
        <v>8697</v>
      </c>
      <c r="J2812" t="s">
        <v>357</v>
      </c>
    </row>
    <row r="2813" spans="1:10" x14ac:dyDescent="0.25">
      <c r="A2813" t="s">
        <v>8698</v>
      </c>
      <c r="B2813" t="s">
        <v>8699</v>
      </c>
      <c r="C2813" s="2">
        <v>46238.583333333336</v>
      </c>
      <c r="D2813" t="s">
        <v>418</v>
      </c>
      <c r="E2813" t="s">
        <v>71</v>
      </c>
      <c r="F2813" t="s">
        <v>212</v>
      </c>
      <c r="G2813" t="s">
        <v>141</v>
      </c>
      <c r="H2813">
        <v>6</v>
      </c>
      <c r="I2813" t="s">
        <v>8700</v>
      </c>
      <c r="J2813" t="s">
        <v>357</v>
      </c>
    </row>
    <row r="2814" spans="1:10" x14ac:dyDescent="0.25">
      <c r="A2814" t="s">
        <v>8701</v>
      </c>
      <c r="B2814" t="s">
        <v>8702</v>
      </c>
      <c r="C2814" s="2">
        <v>46238.583333333336</v>
      </c>
      <c r="D2814" t="s">
        <v>418</v>
      </c>
      <c r="E2814" t="s">
        <v>75</v>
      </c>
      <c r="F2814" t="s">
        <v>230</v>
      </c>
      <c r="G2814" t="s">
        <v>145</v>
      </c>
      <c r="H2814">
        <v>7</v>
      </c>
      <c r="I2814" t="s">
        <v>8703</v>
      </c>
      <c r="J2814" t="s">
        <v>357</v>
      </c>
    </row>
    <row r="2815" spans="1:10" x14ac:dyDescent="0.25">
      <c r="A2815" t="s">
        <v>8704</v>
      </c>
      <c r="B2815" t="s">
        <v>8705</v>
      </c>
      <c r="C2815" s="2">
        <v>46238.583333333336</v>
      </c>
      <c r="D2815" t="s">
        <v>418</v>
      </c>
      <c r="E2815" t="s">
        <v>77</v>
      </c>
      <c r="F2815" t="s">
        <v>243</v>
      </c>
      <c r="G2815" t="s">
        <v>147</v>
      </c>
      <c r="H2815">
        <v>4</v>
      </c>
      <c r="I2815" t="s">
        <v>8706</v>
      </c>
      <c r="J2815" t="s">
        <v>357</v>
      </c>
    </row>
    <row r="2816" spans="1:10" x14ac:dyDescent="0.25">
      <c r="A2816" t="s">
        <v>8707</v>
      </c>
      <c r="B2816" t="s">
        <v>8708</v>
      </c>
      <c r="C2816" s="2">
        <v>46238.583333333336</v>
      </c>
      <c r="D2816" t="s">
        <v>418</v>
      </c>
      <c r="E2816" t="s">
        <v>11</v>
      </c>
      <c r="F2816" t="s">
        <v>274</v>
      </c>
      <c r="G2816" t="s">
        <v>92</v>
      </c>
      <c r="H2816">
        <v>4</v>
      </c>
      <c r="I2816" t="s">
        <v>8709</v>
      </c>
      <c r="J2816" t="s">
        <v>357</v>
      </c>
    </row>
    <row r="2817" spans="1:10" x14ac:dyDescent="0.25">
      <c r="A2817" t="s">
        <v>8710</v>
      </c>
      <c r="B2817" t="s">
        <v>8711</v>
      </c>
      <c r="C2817" s="2">
        <v>46238.583333333336</v>
      </c>
      <c r="D2817" t="s">
        <v>418</v>
      </c>
      <c r="E2817" t="s">
        <v>18</v>
      </c>
      <c r="F2817" t="s">
        <v>260</v>
      </c>
      <c r="G2817" t="s">
        <v>95</v>
      </c>
      <c r="H2817">
        <v>4</v>
      </c>
      <c r="I2817" t="s">
        <v>8712</v>
      </c>
      <c r="J2817" t="s">
        <v>357</v>
      </c>
    </row>
    <row r="2818" spans="1:10" x14ac:dyDescent="0.25">
      <c r="A2818" t="s">
        <v>8713</v>
      </c>
      <c r="B2818" t="s">
        <v>8714</v>
      </c>
      <c r="C2818" s="2">
        <v>46238.583333333336</v>
      </c>
      <c r="D2818" t="s">
        <v>418</v>
      </c>
      <c r="E2818" t="s">
        <v>20</v>
      </c>
      <c r="F2818" t="s">
        <v>276</v>
      </c>
      <c r="G2818" t="s">
        <v>97</v>
      </c>
      <c r="H2818">
        <v>1</v>
      </c>
      <c r="I2818" t="s">
        <v>8715</v>
      </c>
      <c r="J2818" t="s">
        <v>357</v>
      </c>
    </row>
    <row r="2819" spans="1:10" x14ac:dyDescent="0.25">
      <c r="A2819" t="s">
        <v>8716</v>
      </c>
      <c r="B2819" t="s">
        <v>8717</v>
      </c>
      <c r="C2819" s="2">
        <v>46238.583333333336</v>
      </c>
      <c r="D2819" t="s">
        <v>418</v>
      </c>
      <c r="E2819" t="s">
        <v>24</v>
      </c>
      <c r="F2819" t="s">
        <v>278</v>
      </c>
      <c r="G2819" t="s">
        <v>101</v>
      </c>
      <c r="H2819">
        <v>1</v>
      </c>
      <c r="I2819" t="s">
        <v>8718</v>
      </c>
      <c r="J2819" t="s">
        <v>357</v>
      </c>
    </row>
    <row r="2820" spans="1:10" x14ac:dyDescent="0.25">
      <c r="A2820" t="s">
        <v>8719</v>
      </c>
      <c r="B2820" t="s">
        <v>8720</v>
      </c>
      <c r="C2820" s="2">
        <v>46238.583333333336</v>
      </c>
      <c r="D2820" t="s">
        <v>418</v>
      </c>
      <c r="E2820" t="s">
        <v>26</v>
      </c>
      <c r="F2820" t="s">
        <v>264</v>
      </c>
      <c r="G2820" t="s">
        <v>103</v>
      </c>
      <c r="H2820">
        <v>1</v>
      </c>
      <c r="I2820" t="s">
        <v>8721</v>
      </c>
      <c r="J2820" t="s">
        <v>357</v>
      </c>
    </row>
    <row r="2821" spans="1:10" x14ac:dyDescent="0.25">
      <c r="A2821" t="s">
        <v>8722</v>
      </c>
      <c r="B2821" t="s">
        <v>8723</v>
      </c>
      <c r="C2821" s="2">
        <v>46238.583333333336</v>
      </c>
      <c r="D2821" t="s">
        <v>418</v>
      </c>
      <c r="E2821" t="s">
        <v>41</v>
      </c>
      <c r="F2821" t="s">
        <v>224</v>
      </c>
      <c r="G2821" t="s">
        <v>115</v>
      </c>
      <c r="H2821">
        <v>4</v>
      </c>
      <c r="I2821" t="s">
        <v>8724</v>
      </c>
      <c r="J2821" t="s">
        <v>357</v>
      </c>
    </row>
    <row r="2822" spans="1:10" x14ac:dyDescent="0.25">
      <c r="A2822" t="s">
        <v>8725</v>
      </c>
      <c r="B2822" t="s">
        <v>8726</v>
      </c>
      <c r="C2822" s="2">
        <v>46238.583333333336</v>
      </c>
      <c r="D2822" t="s">
        <v>418</v>
      </c>
      <c r="E2822" t="s">
        <v>45</v>
      </c>
      <c r="F2822" t="s">
        <v>267</v>
      </c>
      <c r="G2822" t="s">
        <v>119</v>
      </c>
      <c r="H2822">
        <v>3</v>
      </c>
      <c r="I2822" t="s">
        <v>8727</v>
      </c>
      <c r="J2822" t="s">
        <v>357</v>
      </c>
    </row>
    <row r="2823" spans="1:10" x14ac:dyDescent="0.25">
      <c r="A2823" t="s">
        <v>8728</v>
      </c>
      <c r="B2823" t="s">
        <v>8729</v>
      </c>
      <c r="C2823" s="2">
        <v>46238.583333333336</v>
      </c>
      <c r="D2823" t="s">
        <v>418</v>
      </c>
      <c r="E2823" t="s">
        <v>65</v>
      </c>
      <c r="F2823" t="s">
        <v>241</v>
      </c>
      <c r="G2823" t="s">
        <v>135</v>
      </c>
      <c r="H2823">
        <v>1</v>
      </c>
      <c r="I2823" t="s">
        <v>8730</v>
      </c>
      <c r="J2823" t="s">
        <v>357</v>
      </c>
    </row>
    <row r="2824" spans="1:10" x14ac:dyDescent="0.25">
      <c r="A2824" t="s">
        <v>8731</v>
      </c>
      <c r="B2824" t="s">
        <v>8732</v>
      </c>
      <c r="C2824" s="2">
        <v>46238.583333333336</v>
      </c>
      <c r="D2824" t="s">
        <v>418</v>
      </c>
      <c r="E2824" t="s">
        <v>73</v>
      </c>
      <c r="F2824" t="s">
        <v>213</v>
      </c>
      <c r="G2824" t="s">
        <v>143</v>
      </c>
      <c r="H2824">
        <v>4</v>
      </c>
      <c r="I2824" t="s">
        <v>8733</v>
      </c>
      <c r="J2824" t="s">
        <v>357</v>
      </c>
    </row>
    <row r="2825" spans="1:10" x14ac:dyDescent="0.25">
      <c r="A2825" t="s">
        <v>8734</v>
      </c>
      <c r="B2825" t="s">
        <v>8735</v>
      </c>
      <c r="C2825" s="2">
        <v>46238.583333333336</v>
      </c>
      <c r="D2825" t="s">
        <v>418</v>
      </c>
      <c r="E2825" t="s">
        <v>75</v>
      </c>
      <c r="F2825" t="s">
        <v>230</v>
      </c>
      <c r="G2825" t="s">
        <v>145</v>
      </c>
      <c r="H2825">
        <v>4</v>
      </c>
      <c r="I2825" t="s">
        <v>8736</v>
      </c>
      <c r="J2825" t="s">
        <v>357</v>
      </c>
    </row>
    <row r="2826" spans="1:10" x14ac:dyDescent="0.25">
      <c r="A2826" t="s">
        <v>8737</v>
      </c>
      <c r="B2826" t="s">
        <v>8738</v>
      </c>
      <c r="C2826" s="2">
        <v>46239.583333333336</v>
      </c>
      <c r="D2826" t="s">
        <v>418</v>
      </c>
      <c r="E2826" t="s">
        <v>18</v>
      </c>
      <c r="F2826" t="s">
        <v>260</v>
      </c>
      <c r="G2826" t="s">
        <v>95</v>
      </c>
      <c r="H2826">
        <v>1</v>
      </c>
      <c r="I2826" t="s">
        <v>8739</v>
      </c>
      <c r="J2826" t="s">
        <v>357</v>
      </c>
    </row>
    <row r="2827" spans="1:10" x14ac:dyDescent="0.25">
      <c r="A2827" t="s">
        <v>8740</v>
      </c>
      <c r="B2827" t="s">
        <v>8741</v>
      </c>
      <c r="C2827" s="2">
        <v>46239.583333333336</v>
      </c>
      <c r="D2827" t="s">
        <v>418</v>
      </c>
      <c r="E2827" t="s">
        <v>18</v>
      </c>
      <c r="F2827" t="s">
        <v>275</v>
      </c>
      <c r="G2827" t="s">
        <v>95</v>
      </c>
      <c r="H2827">
        <v>1</v>
      </c>
      <c r="I2827" t="s">
        <v>8739</v>
      </c>
      <c r="J2827" t="s">
        <v>357</v>
      </c>
    </row>
    <row r="2828" spans="1:10" x14ac:dyDescent="0.25">
      <c r="A2828" t="s">
        <v>8742</v>
      </c>
      <c r="B2828" t="s">
        <v>8743</v>
      </c>
      <c r="C2828" s="2">
        <v>46239.583333333336</v>
      </c>
      <c r="D2828" t="s">
        <v>418</v>
      </c>
      <c r="E2828" t="s">
        <v>20</v>
      </c>
      <c r="F2828" t="s">
        <v>276</v>
      </c>
      <c r="G2828" t="s">
        <v>97</v>
      </c>
      <c r="H2828">
        <v>4</v>
      </c>
      <c r="I2828" t="s">
        <v>8744</v>
      </c>
      <c r="J2828" t="s">
        <v>357</v>
      </c>
    </row>
    <row r="2829" spans="1:10" x14ac:dyDescent="0.25">
      <c r="A2829" t="s">
        <v>8745</v>
      </c>
      <c r="B2829" t="s">
        <v>8746</v>
      </c>
      <c r="C2829" s="2">
        <v>46239.583333333336</v>
      </c>
      <c r="D2829" t="s">
        <v>418</v>
      </c>
      <c r="E2829" t="s">
        <v>24</v>
      </c>
      <c r="F2829" t="s">
        <v>278</v>
      </c>
      <c r="G2829" t="s">
        <v>101</v>
      </c>
      <c r="H2829">
        <v>2</v>
      </c>
      <c r="I2829" t="s">
        <v>8747</v>
      </c>
      <c r="J2829" t="s">
        <v>357</v>
      </c>
    </row>
    <row r="2830" spans="1:10" x14ac:dyDescent="0.25">
      <c r="A2830" t="s">
        <v>8748</v>
      </c>
      <c r="B2830" t="s">
        <v>8749</v>
      </c>
      <c r="C2830" s="2">
        <v>46239.583333333336</v>
      </c>
      <c r="D2830" t="s">
        <v>418</v>
      </c>
      <c r="E2830" t="s">
        <v>26</v>
      </c>
      <c r="F2830" t="s">
        <v>264</v>
      </c>
      <c r="G2830" t="s">
        <v>103</v>
      </c>
      <c r="H2830">
        <v>2</v>
      </c>
      <c r="I2830" t="s">
        <v>8750</v>
      </c>
      <c r="J2830" t="s">
        <v>357</v>
      </c>
    </row>
    <row r="2831" spans="1:10" x14ac:dyDescent="0.25">
      <c r="A2831" t="s">
        <v>8751</v>
      </c>
      <c r="B2831" t="s">
        <v>8752</v>
      </c>
      <c r="C2831" s="2">
        <v>46239.583333333336</v>
      </c>
      <c r="D2831" t="s">
        <v>418</v>
      </c>
      <c r="E2831" t="s">
        <v>28</v>
      </c>
      <c r="F2831" t="s">
        <v>249</v>
      </c>
      <c r="G2831" t="s">
        <v>105</v>
      </c>
      <c r="H2831">
        <v>2</v>
      </c>
      <c r="I2831" t="s">
        <v>8753</v>
      </c>
      <c r="J2831" t="s">
        <v>357</v>
      </c>
    </row>
    <row r="2832" spans="1:10" x14ac:dyDescent="0.25">
      <c r="A2832" t="s">
        <v>8754</v>
      </c>
      <c r="B2832" t="s">
        <v>8755</v>
      </c>
      <c r="C2832" s="2">
        <v>46239.583333333336</v>
      </c>
      <c r="D2832" t="s">
        <v>418</v>
      </c>
      <c r="E2832" t="s">
        <v>30</v>
      </c>
      <c r="F2832" t="s">
        <v>250</v>
      </c>
      <c r="G2832" t="s">
        <v>107</v>
      </c>
      <c r="H2832">
        <v>2</v>
      </c>
      <c r="I2832" t="s">
        <v>8756</v>
      </c>
      <c r="J2832" t="s">
        <v>357</v>
      </c>
    </row>
    <row r="2833" spans="1:10" x14ac:dyDescent="0.25">
      <c r="A2833" t="s">
        <v>8757</v>
      </c>
      <c r="B2833" t="s">
        <v>8758</v>
      </c>
      <c r="C2833" s="2">
        <v>46239.583333333336</v>
      </c>
      <c r="D2833" t="s">
        <v>418</v>
      </c>
      <c r="E2833" t="s">
        <v>32</v>
      </c>
      <c r="F2833" t="s">
        <v>222</v>
      </c>
      <c r="G2833" t="s">
        <v>109</v>
      </c>
      <c r="H2833">
        <v>2</v>
      </c>
      <c r="I2833" t="s">
        <v>8759</v>
      </c>
      <c r="J2833" t="s">
        <v>357</v>
      </c>
    </row>
    <row r="2834" spans="1:10" x14ac:dyDescent="0.25">
      <c r="A2834" t="s">
        <v>8760</v>
      </c>
      <c r="B2834" t="s">
        <v>8761</v>
      </c>
      <c r="C2834" s="2">
        <v>46239.583333333336</v>
      </c>
      <c r="D2834" t="s">
        <v>418</v>
      </c>
      <c r="E2834" t="s">
        <v>43</v>
      </c>
      <c r="F2834" t="s">
        <v>266</v>
      </c>
      <c r="G2834" t="s">
        <v>117</v>
      </c>
      <c r="H2834">
        <v>4</v>
      </c>
      <c r="I2834" t="s">
        <v>8762</v>
      </c>
      <c r="J2834" t="s">
        <v>357</v>
      </c>
    </row>
    <row r="2835" spans="1:10" x14ac:dyDescent="0.25">
      <c r="A2835" t="s">
        <v>8763</v>
      </c>
      <c r="B2835" t="s">
        <v>8764</v>
      </c>
      <c r="C2835" s="2">
        <v>46239.583333333336</v>
      </c>
      <c r="D2835" t="s">
        <v>418</v>
      </c>
      <c r="E2835" t="s">
        <v>45</v>
      </c>
      <c r="F2835" t="s">
        <v>267</v>
      </c>
      <c r="G2835" t="s">
        <v>119</v>
      </c>
      <c r="H2835">
        <v>4</v>
      </c>
      <c r="I2835" t="s">
        <v>8765</v>
      </c>
      <c r="J2835" t="s">
        <v>357</v>
      </c>
    </row>
    <row r="2836" spans="1:10" x14ac:dyDescent="0.25">
      <c r="A2836" t="s">
        <v>8766</v>
      </c>
      <c r="B2836" t="s">
        <v>8767</v>
      </c>
      <c r="C2836" s="2">
        <v>46239.583333333336</v>
      </c>
      <c r="D2836" t="s">
        <v>418</v>
      </c>
      <c r="E2836" t="s">
        <v>47</v>
      </c>
      <c r="F2836" t="s">
        <v>190</v>
      </c>
      <c r="G2836" t="s">
        <v>121</v>
      </c>
      <c r="H2836">
        <v>2</v>
      </c>
      <c r="I2836" t="s">
        <v>8768</v>
      </c>
      <c r="J2836" t="s">
        <v>357</v>
      </c>
    </row>
    <row r="2837" spans="1:10" x14ac:dyDescent="0.25">
      <c r="A2837" t="s">
        <v>8769</v>
      </c>
      <c r="B2837" t="s">
        <v>8770</v>
      </c>
      <c r="C2837" s="2">
        <v>46239.583333333336</v>
      </c>
      <c r="D2837" t="s">
        <v>418</v>
      </c>
      <c r="E2837" t="s">
        <v>53</v>
      </c>
      <c r="F2837" t="s">
        <v>126</v>
      </c>
      <c r="G2837" t="s">
        <v>127</v>
      </c>
      <c r="H2837">
        <v>1</v>
      </c>
      <c r="I2837" t="s">
        <v>8771</v>
      </c>
      <c r="J2837" t="s">
        <v>357</v>
      </c>
    </row>
    <row r="2838" spans="1:10" x14ac:dyDescent="0.25">
      <c r="A2838" t="s">
        <v>8772</v>
      </c>
      <c r="B2838" t="s">
        <v>8773</v>
      </c>
      <c r="C2838" s="2">
        <v>46239.583333333336</v>
      </c>
      <c r="D2838" t="s">
        <v>418</v>
      </c>
      <c r="E2838" t="s">
        <v>67</v>
      </c>
      <c r="F2838" t="s">
        <v>242</v>
      </c>
      <c r="G2838" t="s">
        <v>137</v>
      </c>
      <c r="H2838">
        <v>2</v>
      </c>
      <c r="I2838" t="s">
        <v>8774</v>
      </c>
      <c r="J2838" t="s">
        <v>357</v>
      </c>
    </row>
    <row r="2839" spans="1:10" x14ac:dyDescent="0.25">
      <c r="A2839" t="s">
        <v>8775</v>
      </c>
      <c r="B2839" t="s">
        <v>8776</v>
      </c>
      <c r="C2839" s="2">
        <v>46239.583333333336</v>
      </c>
      <c r="D2839" t="s">
        <v>418</v>
      </c>
      <c r="E2839" t="s">
        <v>71</v>
      </c>
      <c r="F2839" t="s">
        <v>212</v>
      </c>
      <c r="G2839" t="s">
        <v>141</v>
      </c>
      <c r="H2839">
        <v>2</v>
      </c>
      <c r="I2839" t="s">
        <v>8777</v>
      </c>
      <c r="J2839" t="s">
        <v>357</v>
      </c>
    </row>
    <row r="2840" spans="1:10" x14ac:dyDescent="0.25">
      <c r="A2840" t="s">
        <v>8778</v>
      </c>
      <c r="B2840" t="s">
        <v>8779</v>
      </c>
      <c r="C2840" s="2">
        <v>46239.583333333336</v>
      </c>
      <c r="D2840" t="s">
        <v>418</v>
      </c>
      <c r="E2840" t="s">
        <v>20</v>
      </c>
      <c r="F2840" t="s">
        <v>276</v>
      </c>
      <c r="G2840" t="s">
        <v>97</v>
      </c>
      <c r="H2840">
        <v>2</v>
      </c>
      <c r="I2840" t="s">
        <v>8780</v>
      </c>
      <c r="J2840" t="s">
        <v>357</v>
      </c>
    </row>
    <row r="2841" spans="1:10" x14ac:dyDescent="0.25">
      <c r="A2841" t="s">
        <v>8781</v>
      </c>
      <c r="B2841" t="s">
        <v>8782</v>
      </c>
      <c r="C2841" s="2">
        <v>46239.583333333336</v>
      </c>
      <c r="D2841" t="s">
        <v>418</v>
      </c>
      <c r="E2841" t="s">
        <v>22</v>
      </c>
      <c r="F2841" t="s">
        <v>262</v>
      </c>
      <c r="G2841" t="s">
        <v>99</v>
      </c>
      <c r="H2841">
        <v>4</v>
      </c>
      <c r="I2841" t="s">
        <v>8783</v>
      </c>
      <c r="J2841" t="s">
        <v>357</v>
      </c>
    </row>
    <row r="2842" spans="1:10" x14ac:dyDescent="0.25">
      <c r="A2842" t="s">
        <v>8784</v>
      </c>
      <c r="B2842" t="s">
        <v>8785</v>
      </c>
      <c r="C2842" s="2">
        <v>46239.583333333336</v>
      </c>
      <c r="D2842" t="s">
        <v>418</v>
      </c>
      <c r="E2842" t="s">
        <v>24</v>
      </c>
      <c r="F2842" t="s">
        <v>278</v>
      </c>
      <c r="G2842" t="s">
        <v>101</v>
      </c>
      <c r="H2842">
        <v>1</v>
      </c>
      <c r="I2842" t="s">
        <v>8786</v>
      </c>
      <c r="J2842" t="s">
        <v>357</v>
      </c>
    </row>
    <row r="2843" spans="1:10" x14ac:dyDescent="0.25">
      <c r="A2843" t="s">
        <v>8787</v>
      </c>
      <c r="B2843" t="s">
        <v>8788</v>
      </c>
      <c r="C2843" s="2">
        <v>46239.583333333336</v>
      </c>
      <c r="D2843" t="s">
        <v>418</v>
      </c>
      <c r="E2843" t="s">
        <v>26</v>
      </c>
      <c r="F2843" t="s">
        <v>264</v>
      </c>
      <c r="G2843" t="s">
        <v>103</v>
      </c>
      <c r="H2843">
        <v>1</v>
      </c>
      <c r="I2843" t="s">
        <v>8789</v>
      </c>
      <c r="J2843" t="s">
        <v>357</v>
      </c>
    </row>
    <row r="2844" spans="1:10" x14ac:dyDescent="0.25">
      <c r="A2844" t="s">
        <v>8790</v>
      </c>
      <c r="B2844" t="s">
        <v>8791</v>
      </c>
      <c r="C2844" s="2">
        <v>46239.583333333336</v>
      </c>
      <c r="D2844" t="s">
        <v>418</v>
      </c>
      <c r="E2844" t="s">
        <v>30</v>
      </c>
      <c r="F2844" t="s">
        <v>250</v>
      </c>
      <c r="G2844" t="s">
        <v>107</v>
      </c>
      <c r="H2844">
        <v>3</v>
      </c>
      <c r="I2844" t="s">
        <v>8792</v>
      </c>
      <c r="J2844" t="s">
        <v>357</v>
      </c>
    </row>
    <row r="2845" spans="1:10" x14ac:dyDescent="0.25">
      <c r="A2845" t="s">
        <v>8793</v>
      </c>
      <c r="B2845" t="s">
        <v>8794</v>
      </c>
      <c r="C2845" s="2">
        <v>46239.583333333336</v>
      </c>
      <c r="D2845" t="s">
        <v>418</v>
      </c>
      <c r="E2845" t="s">
        <v>45</v>
      </c>
      <c r="F2845" t="s">
        <v>267</v>
      </c>
      <c r="G2845" t="s">
        <v>119</v>
      </c>
      <c r="H2845">
        <v>4</v>
      </c>
      <c r="I2845" t="s">
        <v>8795</v>
      </c>
      <c r="J2845" t="s">
        <v>357</v>
      </c>
    </row>
    <row r="2846" spans="1:10" x14ac:dyDescent="0.25">
      <c r="A2846" t="s">
        <v>8796</v>
      </c>
      <c r="B2846" t="s">
        <v>8797</v>
      </c>
      <c r="C2846" s="2">
        <v>46239.583333333336</v>
      </c>
      <c r="D2846" t="s">
        <v>418</v>
      </c>
      <c r="E2846" t="s">
        <v>51</v>
      </c>
      <c r="F2846" t="s">
        <v>168</v>
      </c>
      <c r="G2846" t="s">
        <v>125</v>
      </c>
      <c r="H2846">
        <v>1</v>
      </c>
      <c r="I2846" t="s">
        <v>8798</v>
      </c>
      <c r="J2846" t="s">
        <v>357</v>
      </c>
    </row>
    <row r="2847" spans="1:10" x14ac:dyDescent="0.25">
      <c r="A2847" t="s">
        <v>8799</v>
      </c>
      <c r="B2847" t="s">
        <v>8800</v>
      </c>
      <c r="C2847" s="2">
        <v>46239.583333333336</v>
      </c>
      <c r="D2847" t="s">
        <v>418</v>
      </c>
      <c r="E2847" t="s">
        <v>53</v>
      </c>
      <c r="F2847" t="s">
        <v>126</v>
      </c>
      <c r="G2847" t="s">
        <v>127</v>
      </c>
      <c r="H2847">
        <v>1</v>
      </c>
      <c r="I2847" t="s">
        <v>8801</v>
      </c>
      <c r="J2847" t="s">
        <v>357</v>
      </c>
    </row>
    <row r="2848" spans="1:10" x14ac:dyDescent="0.25">
      <c r="A2848" t="s">
        <v>8802</v>
      </c>
      <c r="B2848" t="s">
        <v>8803</v>
      </c>
      <c r="C2848" s="2">
        <v>46239.583333333336</v>
      </c>
      <c r="D2848" t="s">
        <v>418</v>
      </c>
      <c r="E2848" t="s">
        <v>55</v>
      </c>
      <c r="F2848" t="s">
        <v>240</v>
      </c>
      <c r="G2848" t="s">
        <v>129</v>
      </c>
      <c r="H2848">
        <v>2</v>
      </c>
      <c r="I2848" t="s">
        <v>8804</v>
      </c>
      <c r="J2848" t="s">
        <v>357</v>
      </c>
    </row>
    <row r="2849" spans="1:10" x14ac:dyDescent="0.25">
      <c r="A2849" t="s">
        <v>8805</v>
      </c>
      <c r="B2849" t="s">
        <v>8806</v>
      </c>
      <c r="C2849" s="2">
        <v>46239.583333333336</v>
      </c>
      <c r="D2849" t="s">
        <v>418</v>
      </c>
      <c r="E2849" t="s">
        <v>59</v>
      </c>
      <c r="F2849" t="s">
        <v>227</v>
      </c>
      <c r="G2849" t="s">
        <v>133</v>
      </c>
      <c r="H2849">
        <v>1</v>
      </c>
      <c r="I2849" t="s">
        <v>8807</v>
      </c>
      <c r="J2849" t="s">
        <v>357</v>
      </c>
    </row>
    <row r="2850" spans="1:10" x14ac:dyDescent="0.25">
      <c r="A2850" t="s">
        <v>8808</v>
      </c>
      <c r="B2850" t="s">
        <v>8809</v>
      </c>
      <c r="C2850" s="2">
        <v>46239.583333333336</v>
      </c>
      <c r="D2850" t="s">
        <v>418</v>
      </c>
      <c r="E2850" t="s">
        <v>71</v>
      </c>
      <c r="F2850" t="s">
        <v>212</v>
      </c>
      <c r="G2850" t="s">
        <v>141</v>
      </c>
      <c r="H2850">
        <v>2</v>
      </c>
      <c r="I2850" t="s">
        <v>8810</v>
      </c>
      <c r="J2850" t="s">
        <v>357</v>
      </c>
    </row>
    <row r="2851" spans="1:10" x14ac:dyDescent="0.25">
      <c r="A2851" t="s">
        <v>8811</v>
      </c>
      <c r="B2851" t="s">
        <v>8812</v>
      </c>
      <c r="C2851" s="2">
        <v>46239.583333333336</v>
      </c>
      <c r="D2851" t="s">
        <v>418</v>
      </c>
      <c r="E2851" t="s">
        <v>75</v>
      </c>
      <c r="F2851" t="s">
        <v>230</v>
      </c>
      <c r="G2851" t="s">
        <v>145</v>
      </c>
      <c r="H2851">
        <v>1</v>
      </c>
      <c r="I2851" t="s">
        <v>8813</v>
      </c>
      <c r="J2851" t="s">
        <v>357</v>
      </c>
    </row>
    <row r="2852" spans="1:10" x14ac:dyDescent="0.25">
      <c r="A2852" t="s">
        <v>8814</v>
      </c>
      <c r="B2852" t="s">
        <v>8815</v>
      </c>
      <c r="C2852" s="2">
        <v>46239.583333333336</v>
      </c>
      <c r="D2852" t="s">
        <v>418</v>
      </c>
      <c r="E2852" t="s">
        <v>11</v>
      </c>
      <c r="F2852" t="s">
        <v>274</v>
      </c>
      <c r="G2852" t="s">
        <v>92</v>
      </c>
      <c r="H2852">
        <v>5</v>
      </c>
      <c r="I2852" t="s">
        <v>8816</v>
      </c>
      <c r="J2852" t="s">
        <v>357</v>
      </c>
    </row>
    <row r="2853" spans="1:10" x14ac:dyDescent="0.25">
      <c r="A2853" t="s">
        <v>8817</v>
      </c>
      <c r="B2853" t="s">
        <v>8818</v>
      </c>
      <c r="C2853" s="2">
        <v>46239.583333333336</v>
      </c>
      <c r="D2853" t="s">
        <v>418</v>
      </c>
      <c r="E2853" t="s">
        <v>20</v>
      </c>
      <c r="F2853" t="s">
        <v>276</v>
      </c>
      <c r="G2853" t="s">
        <v>97</v>
      </c>
      <c r="H2853">
        <v>4</v>
      </c>
      <c r="I2853" t="s">
        <v>8819</v>
      </c>
      <c r="J2853" t="s">
        <v>357</v>
      </c>
    </row>
    <row r="2854" spans="1:10" x14ac:dyDescent="0.25">
      <c r="A2854" t="s">
        <v>8820</v>
      </c>
      <c r="B2854" t="s">
        <v>8821</v>
      </c>
      <c r="C2854" s="2">
        <v>46239.583333333336</v>
      </c>
      <c r="D2854" t="s">
        <v>418</v>
      </c>
      <c r="E2854" t="s">
        <v>24</v>
      </c>
      <c r="F2854" t="s">
        <v>278</v>
      </c>
      <c r="G2854" t="s">
        <v>101</v>
      </c>
      <c r="H2854">
        <v>1</v>
      </c>
      <c r="I2854" t="s">
        <v>8822</v>
      </c>
      <c r="J2854" t="s">
        <v>357</v>
      </c>
    </row>
    <row r="2855" spans="1:10" x14ac:dyDescent="0.25">
      <c r="A2855" t="s">
        <v>8823</v>
      </c>
      <c r="B2855" t="s">
        <v>8824</v>
      </c>
      <c r="C2855" s="2">
        <v>46239.583333333336</v>
      </c>
      <c r="D2855" t="s">
        <v>418</v>
      </c>
      <c r="E2855" t="s">
        <v>26</v>
      </c>
      <c r="F2855" t="s">
        <v>264</v>
      </c>
      <c r="G2855" t="s">
        <v>103</v>
      </c>
      <c r="H2855">
        <v>5</v>
      </c>
      <c r="I2855" t="s">
        <v>8825</v>
      </c>
      <c r="J2855" t="s">
        <v>357</v>
      </c>
    </row>
    <row r="2856" spans="1:10" x14ac:dyDescent="0.25">
      <c r="A2856" t="s">
        <v>8826</v>
      </c>
      <c r="B2856" t="s">
        <v>8827</v>
      </c>
      <c r="C2856" s="2">
        <v>46239.583333333336</v>
      </c>
      <c r="D2856" t="s">
        <v>418</v>
      </c>
      <c r="E2856" t="s">
        <v>30</v>
      </c>
      <c r="F2856" t="s">
        <v>250</v>
      </c>
      <c r="G2856" t="s">
        <v>107</v>
      </c>
      <c r="H2856">
        <v>6</v>
      </c>
      <c r="I2856" t="s">
        <v>8828</v>
      </c>
      <c r="J2856" t="s">
        <v>357</v>
      </c>
    </row>
    <row r="2857" spans="1:10" x14ac:dyDescent="0.25">
      <c r="A2857" t="s">
        <v>8829</v>
      </c>
      <c r="B2857" t="s">
        <v>8830</v>
      </c>
      <c r="C2857" s="2">
        <v>46239.583333333336</v>
      </c>
      <c r="D2857" t="s">
        <v>418</v>
      </c>
      <c r="E2857" t="s">
        <v>36</v>
      </c>
      <c r="F2857" t="s">
        <v>252</v>
      </c>
      <c r="G2857" t="s">
        <v>113</v>
      </c>
      <c r="H2857">
        <v>6</v>
      </c>
      <c r="I2857" t="s">
        <v>8831</v>
      </c>
      <c r="J2857" t="s">
        <v>357</v>
      </c>
    </row>
    <row r="2858" spans="1:10" x14ac:dyDescent="0.25">
      <c r="A2858" t="s">
        <v>8832</v>
      </c>
      <c r="B2858" t="s">
        <v>8833</v>
      </c>
      <c r="C2858" s="2">
        <v>46239.583333333336</v>
      </c>
      <c r="D2858" t="s">
        <v>418</v>
      </c>
      <c r="E2858" t="s">
        <v>51</v>
      </c>
      <c r="F2858" t="s">
        <v>168</v>
      </c>
      <c r="G2858" t="s">
        <v>125</v>
      </c>
      <c r="H2858">
        <v>4</v>
      </c>
      <c r="I2858" t="s">
        <v>8834</v>
      </c>
      <c r="J2858" t="s">
        <v>357</v>
      </c>
    </row>
    <row r="2859" spans="1:10" x14ac:dyDescent="0.25">
      <c r="A2859" t="s">
        <v>8835</v>
      </c>
      <c r="B2859" t="s">
        <v>8836</v>
      </c>
      <c r="C2859" s="2">
        <v>46239.583333333336</v>
      </c>
      <c r="D2859" t="s">
        <v>418</v>
      </c>
      <c r="E2859" t="s">
        <v>53</v>
      </c>
      <c r="F2859" t="s">
        <v>126</v>
      </c>
      <c r="G2859" t="s">
        <v>127</v>
      </c>
      <c r="H2859">
        <v>4</v>
      </c>
      <c r="I2859" t="s">
        <v>8837</v>
      </c>
      <c r="J2859" t="s">
        <v>357</v>
      </c>
    </row>
    <row r="2860" spans="1:10" x14ac:dyDescent="0.25">
      <c r="A2860" t="s">
        <v>8838</v>
      </c>
      <c r="B2860" t="s">
        <v>8839</v>
      </c>
      <c r="C2860" s="2">
        <v>46239.583333333336</v>
      </c>
      <c r="D2860" t="s">
        <v>418</v>
      </c>
      <c r="E2860" t="s">
        <v>67</v>
      </c>
      <c r="F2860" t="s">
        <v>242</v>
      </c>
      <c r="G2860" t="s">
        <v>137</v>
      </c>
      <c r="H2860">
        <v>4</v>
      </c>
      <c r="I2860" t="s">
        <v>8840</v>
      </c>
      <c r="J2860" t="s">
        <v>357</v>
      </c>
    </row>
    <row r="2861" spans="1:10" x14ac:dyDescent="0.25">
      <c r="A2861" t="s">
        <v>8841</v>
      </c>
      <c r="B2861" t="s">
        <v>8842</v>
      </c>
      <c r="C2861" s="2">
        <v>46239.583333333336</v>
      </c>
      <c r="D2861" t="s">
        <v>418</v>
      </c>
      <c r="E2861" t="s">
        <v>73</v>
      </c>
      <c r="F2861" t="s">
        <v>213</v>
      </c>
      <c r="G2861" t="s">
        <v>143</v>
      </c>
      <c r="H2861">
        <v>6</v>
      </c>
      <c r="I2861" t="s">
        <v>8843</v>
      </c>
      <c r="J2861" t="s">
        <v>357</v>
      </c>
    </row>
    <row r="2862" spans="1:10" x14ac:dyDescent="0.25">
      <c r="A2862" t="s">
        <v>8844</v>
      </c>
      <c r="B2862" t="s">
        <v>8845</v>
      </c>
      <c r="C2862" s="2">
        <v>46239.583333333336</v>
      </c>
      <c r="D2862" t="s">
        <v>418</v>
      </c>
      <c r="E2862" t="s">
        <v>11</v>
      </c>
      <c r="F2862" t="s">
        <v>274</v>
      </c>
      <c r="G2862" t="s">
        <v>92</v>
      </c>
      <c r="H2862">
        <v>4</v>
      </c>
      <c r="I2862" t="s">
        <v>8846</v>
      </c>
      <c r="J2862" t="s">
        <v>357</v>
      </c>
    </row>
    <row r="2863" spans="1:10" x14ac:dyDescent="0.25">
      <c r="A2863" t="s">
        <v>8847</v>
      </c>
      <c r="B2863" t="s">
        <v>8848</v>
      </c>
      <c r="C2863" s="2">
        <v>46239.583333333336</v>
      </c>
      <c r="D2863" t="s">
        <v>418</v>
      </c>
      <c r="E2863" t="s">
        <v>18</v>
      </c>
      <c r="F2863" t="s">
        <v>275</v>
      </c>
      <c r="G2863" t="s">
        <v>95</v>
      </c>
      <c r="H2863">
        <v>3</v>
      </c>
      <c r="I2863" t="s">
        <v>8849</v>
      </c>
      <c r="J2863" t="s">
        <v>357</v>
      </c>
    </row>
    <row r="2864" spans="1:10" x14ac:dyDescent="0.25">
      <c r="A2864" t="s">
        <v>8850</v>
      </c>
      <c r="B2864" t="s">
        <v>8851</v>
      </c>
      <c r="C2864" s="2">
        <v>46239.583333333336</v>
      </c>
      <c r="D2864" t="s">
        <v>418</v>
      </c>
      <c r="E2864" t="s">
        <v>20</v>
      </c>
      <c r="F2864" t="s">
        <v>276</v>
      </c>
      <c r="G2864" t="s">
        <v>97</v>
      </c>
      <c r="H2864">
        <v>7</v>
      </c>
      <c r="I2864" t="s">
        <v>8852</v>
      </c>
      <c r="J2864" t="s">
        <v>357</v>
      </c>
    </row>
    <row r="2865" spans="1:10" x14ac:dyDescent="0.25">
      <c r="A2865" t="s">
        <v>8853</v>
      </c>
      <c r="B2865" t="s">
        <v>8854</v>
      </c>
      <c r="C2865" s="2">
        <v>46239.583333333336</v>
      </c>
      <c r="D2865" t="s">
        <v>418</v>
      </c>
      <c r="E2865" t="s">
        <v>22</v>
      </c>
      <c r="F2865" t="s">
        <v>262</v>
      </c>
      <c r="G2865" t="s">
        <v>99</v>
      </c>
      <c r="H2865">
        <v>2</v>
      </c>
      <c r="I2865" t="s">
        <v>8855</v>
      </c>
      <c r="J2865" t="s">
        <v>357</v>
      </c>
    </row>
    <row r="2866" spans="1:10" x14ac:dyDescent="0.25">
      <c r="A2866" t="s">
        <v>8856</v>
      </c>
      <c r="B2866" t="s">
        <v>8857</v>
      </c>
      <c r="C2866" s="2">
        <v>46239.583333333336</v>
      </c>
      <c r="D2866" t="s">
        <v>418</v>
      </c>
      <c r="E2866" t="s">
        <v>22</v>
      </c>
      <c r="F2866" t="s">
        <v>277</v>
      </c>
      <c r="G2866" t="s">
        <v>99</v>
      </c>
      <c r="H2866">
        <v>1</v>
      </c>
      <c r="I2866" t="s">
        <v>8855</v>
      </c>
      <c r="J2866" t="s">
        <v>357</v>
      </c>
    </row>
    <row r="2867" spans="1:10" x14ac:dyDescent="0.25">
      <c r="A2867" t="s">
        <v>8858</v>
      </c>
      <c r="B2867" t="s">
        <v>8859</v>
      </c>
      <c r="C2867" s="2">
        <v>46239.583333333336</v>
      </c>
      <c r="D2867" t="s">
        <v>418</v>
      </c>
      <c r="E2867" t="s">
        <v>24</v>
      </c>
      <c r="F2867" t="s">
        <v>278</v>
      </c>
      <c r="G2867" t="s">
        <v>101</v>
      </c>
      <c r="H2867">
        <v>1</v>
      </c>
      <c r="I2867" t="s">
        <v>8860</v>
      </c>
      <c r="J2867" t="s">
        <v>357</v>
      </c>
    </row>
    <row r="2868" spans="1:10" x14ac:dyDescent="0.25">
      <c r="A2868" t="s">
        <v>8861</v>
      </c>
      <c r="B2868" t="s">
        <v>8862</v>
      </c>
      <c r="C2868" s="2">
        <v>46239.583333333336</v>
      </c>
      <c r="D2868" t="s">
        <v>418</v>
      </c>
      <c r="E2868" t="s">
        <v>32</v>
      </c>
      <c r="F2868" t="s">
        <v>222</v>
      </c>
      <c r="G2868" t="s">
        <v>109</v>
      </c>
      <c r="H2868">
        <v>7</v>
      </c>
      <c r="I2868" t="s">
        <v>8863</v>
      </c>
      <c r="J2868" t="s">
        <v>357</v>
      </c>
    </row>
    <row r="2869" spans="1:10" x14ac:dyDescent="0.25">
      <c r="A2869" t="s">
        <v>8864</v>
      </c>
      <c r="B2869" t="s">
        <v>8865</v>
      </c>
      <c r="C2869" s="2">
        <v>46239.583333333336</v>
      </c>
      <c r="D2869" t="s">
        <v>418</v>
      </c>
      <c r="E2869" t="s">
        <v>47</v>
      </c>
      <c r="F2869" t="s">
        <v>190</v>
      </c>
      <c r="G2869" t="s">
        <v>121</v>
      </c>
      <c r="H2869">
        <v>1</v>
      </c>
      <c r="I2869" t="s">
        <v>8866</v>
      </c>
      <c r="J2869" t="s">
        <v>357</v>
      </c>
    </row>
    <row r="2870" spans="1:10" x14ac:dyDescent="0.25">
      <c r="A2870" t="s">
        <v>8867</v>
      </c>
      <c r="B2870" t="s">
        <v>8868</v>
      </c>
      <c r="C2870" s="2">
        <v>46239.583333333336</v>
      </c>
      <c r="D2870" t="s">
        <v>418</v>
      </c>
      <c r="E2870" t="s">
        <v>65</v>
      </c>
      <c r="F2870" t="s">
        <v>241</v>
      </c>
      <c r="G2870" t="s">
        <v>135</v>
      </c>
      <c r="H2870">
        <v>4</v>
      </c>
      <c r="I2870" t="s">
        <v>8869</v>
      </c>
      <c r="J2870" t="s">
        <v>357</v>
      </c>
    </row>
    <row r="2871" spans="1:10" x14ac:dyDescent="0.25">
      <c r="A2871" t="s">
        <v>8870</v>
      </c>
      <c r="B2871" t="s">
        <v>8871</v>
      </c>
      <c r="C2871" s="2">
        <v>46239.583333333336</v>
      </c>
      <c r="D2871" t="s">
        <v>418</v>
      </c>
      <c r="E2871" t="s">
        <v>18</v>
      </c>
      <c r="F2871" t="s">
        <v>275</v>
      </c>
      <c r="G2871" t="s">
        <v>95</v>
      </c>
      <c r="H2871">
        <v>1</v>
      </c>
      <c r="I2871" t="s">
        <v>8872</v>
      </c>
      <c r="J2871" t="s">
        <v>357</v>
      </c>
    </row>
    <row r="2872" spans="1:10" x14ac:dyDescent="0.25">
      <c r="A2872" t="s">
        <v>8873</v>
      </c>
      <c r="B2872" t="s">
        <v>8874</v>
      </c>
      <c r="C2872" s="2">
        <v>46239.583333333336</v>
      </c>
      <c r="D2872" t="s">
        <v>418</v>
      </c>
      <c r="E2872" t="s">
        <v>20</v>
      </c>
      <c r="F2872" t="s">
        <v>276</v>
      </c>
      <c r="G2872" t="s">
        <v>97</v>
      </c>
      <c r="H2872">
        <v>3</v>
      </c>
      <c r="I2872" t="s">
        <v>8875</v>
      </c>
      <c r="J2872" t="s">
        <v>357</v>
      </c>
    </row>
    <row r="2873" spans="1:10" x14ac:dyDescent="0.25">
      <c r="A2873" t="s">
        <v>8876</v>
      </c>
      <c r="B2873" t="s">
        <v>8877</v>
      </c>
      <c r="C2873" s="2">
        <v>46239.583333333336</v>
      </c>
      <c r="D2873" t="s">
        <v>418</v>
      </c>
      <c r="E2873" t="s">
        <v>24</v>
      </c>
      <c r="F2873" t="s">
        <v>278</v>
      </c>
      <c r="G2873" t="s">
        <v>101</v>
      </c>
      <c r="H2873">
        <v>4</v>
      </c>
      <c r="I2873" t="s">
        <v>8878</v>
      </c>
      <c r="J2873" t="s">
        <v>357</v>
      </c>
    </row>
    <row r="2874" spans="1:10" x14ac:dyDescent="0.25">
      <c r="A2874" t="s">
        <v>8879</v>
      </c>
      <c r="B2874" t="s">
        <v>8880</v>
      </c>
      <c r="C2874" s="2">
        <v>46239.583333333336</v>
      </c>
      <c r="D2874" t="s">
        <v>418</v>
      </c>
      <c r="E2874" t="s">
        <v>26</v>
      </c>
      <c r="F2874" t="s">
        <v>264</v>
      </c>
      <c r="G2874" t="s">
        <v>103</v>
      </c>
      <c r="H2874">
        <v>4</v>
      </c>
      <c r="I2874" t="s">
        <v>8881</v>
      </c>
      <c r="J2874" t="s">
        <v>357</v>
      </c>
    </row>
    <row r="2875" spans="1:10" x14ac:dyDescent="0.25">
      <c r="A2875" t="s">
        <v>8882</v>
      </c>
      <c r="B2875" t="s">
        <v>8883</v>
      </c>
      <c r="C2875" s="2">
        <v>46239.583333333336</v>
      </c>
      <c r="D2875" t="s">
        <v>418</v>
      </c>
      <c r="E2875" t="s">
        <v>41</v>
      </c>
      <c r="F2875" t="s">
        <v>224</v>
      </c>
      <c r="G2875" t="s">
        <v>115</v>
      </c>
      <c r="H2875">
        <v>2</v>
      </c>
      <c r="I2875" t="s">
        <v>8884</v>
      </c>
      <c r="J2875" t="s">
        <v>357</v>
      </c>
    </row>
    <row r="2876" spans="1:10" x14ac:dyDescent="0.25">
      <c r="A2876" t="s">
        <v>8885</v>
      </c>
      <c r="B2876" t="s">
        <v>8886</v>
      </c>
      <c r="C2876" s="2">
        <v>46239.583333333336</v>
      </c>
      <c r="D2876" t="s">
        <v>418</v>
      </c>
      <c r="E2876" t="s">
        <v>47</v>
      </c>
      <c r="F2876" t="s">
        <v>190</v>
      </c>
      <c r="G2876" t="s">
        <v>121</v>
      </c>
      <c r="H2876">
        <v>4</v>
      </c>
      <c r="I2876" t="s">
        <v>8887</v>
      </c>
      <c r="J2876" t="s">
        <v>357</v>
      </c>
    </row>
    <row r="2877" spans="1:10" x14ac:dyDescent="0.25">
      <c r="A2877" t="s">
        <v>8888</v>
      </c>
      <c r="B2877" t="s">
        <v>8889</v>
      </c>
      <c r="C2877" s="2">
        <v>46239.583333333336</v>
      </c>
      <c r="D2877" t="s">
        <v>418</v>
      </c>
      <c r="E2877" t="s">
        <v>71</v>
      </c>
      <c r="F2877" t="s">
        <v>212</v>
      </c>
      <c r="G2877" t="s">
        <v>141</v>
      </c>
      <c r="H2877">
        <v>3</v>
      </c>
      <c r="I2877" t="s">
        <v>8890</v>
      </c>
      <c r="J2877" t="s">
        <v>357</v>
      </c>
    </row>
    <row r="2878" spans="1:10" x14ac:dyDescent="0.25">
      <c r="A2878" t="s">
        <v>8891</v>
      </c>
      <c r="B2878" t="s">
        <v>8892</v>
      </c>
      <c r="C2878" s="2">
        <v>46240.583333333336</v>
      </c>
      <c r="D2878" t="s">
        <v>418</v>
      </c>
      <c r="E2878" t="s">
        <v>11</v>
      </c>
      <c r="F2878" t="s">
        <v>274</v>
      </c>
      <c r="G2878" t="s">
        <v>92</v>
      </c>
      <c r="H2878">
        <v>3</v>
      </c>
      <c r="I2878" t="s">
        <v>8893</v>
      </c>
      <c r="J2878" t="s">
        <v>357</v>
      </c>
    </row>
    <row r="2879" spans="1:10" x14ac:dyDescent="0.25">
      <c r="A2879" t="s">
        <v>8894</v>
      </c>
      <c r="B2879" t="s">
        <v>8895</v>
      </c>
      <c r="C2879" s="2">
        <v>46240.583333333336</v>
      </c>
      <c r="D2879" t="s">
        <v>418</v>
      </c>
      <c r="E2879" t="s">
        <v>18</v>
      </c>
      <c r="F2879" t="s">
        <v>275</v>
      </c>
      <c r="G2879" t="s">
        <v>95</v>
      </c>
      <c r="H2879">
        <v>3</v>
      </c>
      <c r="I2879" t="s">
        <v>8896</v>
      </c>
      <c r="J2879" t="s">
        <v>357</v>
      </c>
    </row>
    <row r="2880" spans="1:10" x14ac:dyDescent="0.25">
      <c r="A2880" t="s">
        <v>8897</v>
      </c>
      <c r="B2880" t="s">
        <v>8898</v>
      </c>
      <c r="C2880" s="2">
        <v>46240.583333333336</v>
      </c>
      <c r="D2880" t="s">
        <v>418</v>
      </c>
      <c r="E2880" t="s">
        <v>22</v>
      </c>
      <c r="F2880" t="s">
        <v>277</v>
      </c>
      <c r="G2880" t="s">
        <v>99</v>
      </c>
      <c r="H2880">
        <v>4</v>
      </c>
      <c r="I2880" t="s">
        <v>8899</v>
      </c>
      <c r="J2880" t="s">
        <v>357</v>
      </c>
    </row>
    <row r="2881" spans="1:10" x14ac:dyDescent="0.25">
      <c r="A2881" t="s">
        <v>8900</v>
      </c>
      <c r="B2881" t="s">
        <v>8901</v>
      </c>
      <c r="C2881" s="2">
        <v>46240.583333333336</v>
      </c>
      <c r="D2881" t="s">
        <v>418</v>
      </c>
      <c r="E2881" t="s">
        <v>24</v>
      </c>
      <c r="F2881" t="s">
        <v>278</v>
      </c>
      <c r="G2881" t="s">
        <v>101</v>
      </c>
      <c r="H2881">
        <v>4</v>
      </c>
      <c r="I2881" t="s">
        <v>8902</v>
      </c>
      <c r="J2881" t="s">
        <v>357</v>
      </c>
    </row>
    <row r="2882" spans="1:10" x14ac:dyDescent="0.25">
      <c r="A2882" t="s">
        <v>8903</v>
      </c>
      <c r="B2882" t="s">
        <v>8904</v>
      </c>
      <c r="C2882" s="2">
        <v>46240.583333333336</v>
      </c>
      <c r="D2882" t="s">
        <v>418</v>
      </c>
      <c r="E2882" t="s">
        <v>26</v>
      </c>
      <c r="F2882" t="s">
        <v>264</v>
      </c>
      <c r="G2882" t="s">
        <v>103</v>
      </c>
      <c r="H2882">
        <v>1</v>
      </c>
      <c r="I2882" t="s">
        <v>8905</v>
      </c>
      <c r="J2882" t="s">
        <v>357</v>
      </c>
    </row>
    <row r="2883" spans="1:10" x14ac:dyDescent="0.25">
      <c r="A2883" t="s">
        <v>8906</v>
      </c>
      <c r="B2883" t="s">
        <v>8907</v>
      </c>
      <c r="C2883" s="2">
        <v>46240.583333333336</v>
      </c>
      <c r="D2883" t="s">
        <v>418</v>
      </c>
      <c r="E2883" t="s">
        <v>36</v>
      </c>
      <c r="F2883" t="s">
        <v>252</v>
      </c>
      <c r="G2883" t="s">
        <v>113</v>
      </c>
      <c r="H2883">
        <v>3</v>
      </c>
      <c r="I2883" t="s">
        <v>8908</v>
      </c>
      <c r="J2883" t="s">
        <v>357</v>
      </c>
    </row>
    <row r="2884" spans="1:10" x14ac:dyDescent="0.25">
      <c r="A2884" t="s">
        <v>8909</v>
      </c>
      <c r="B2884" t="s">
        <v>8910</v>
      </c>
      <c r="C2884" s="2">
        <v>46240.583333333336</v>
      </c>
      <c r="D2884" t="s">
        <v>418</v>
      </c>
      <c r="E2884" t="s">
        <v>43</v>
      </c>
      <c r="F2884" t="s">
        <v>266</v>
      </c>
      <c r="G2884" t="s">
        <v>117</v>
      </c>
      <c r="H2884">
        <v>2</v>
      </c>
      <c r="I2884" t="s">
        <v>8911</v>
      </c>
      <c r="J2884" t="s">
        <v>357</v>
      </c>
    </row>
    <row r="2885" spans="1:10" x14ac:dyDescent="0.25">
      <c r="A2885" t="s">
        <v>8912</v>
      </c>
      <c r="B2885" t="s">
        <v>8913</v>
      </c>
      <c r="C2885" s="2">
        <v>46240.583333333336</v>
      </c>
      <c r="D2885" t="s">
        <v>418</v>
      </c>
      <c r="E2885" t="s">
        <v>49</v>
      </c>
      <c r="F2885" t="s">
        <v>253</v>
      </c>
      <c r="G2885" t="s">
        <v>123</v>
      </c>
      <c r="H2885">
        <v>4</v>
      </c>
      <c r="I2885" t="s">
        <v>8914</v>
      </c>
      <c r="J2885" t="s">
        <v>357</v>
      </c>
    </row>
    <row r="2886" spans="1:10" x14ac:dyDescent="0.25">
      <c r="A2886" t="s">
        <v>8915</v>
      </c>
      <c r="B2886" t="s">
        <v>8916</v>
      </c>
      <c r="C2886" s="2">
        <v>46240.583333333336</v>
      </c>
      <c r="D2886" t="s">
        <v>418</v>
      </c>
      <c r="E2886" t="s">
        <v>53</v>
      </c>
      <c r="F2886" t="s">
        <v>126</v>
      </c>
      <c r="G2886" t="s">
        <v>127</v>
      </c>
      <c r="H2886">
        <v>1</v>
      </c>
      <c r="I2886" t="s">
        <v>8917</v>
      </c>
      <c r="J2886" t="s">
        <v>357</v>
      </c>
    </row>
    <row r="2887" spans="1:10" x14ac:dyDescent="0.25">
      <c r="A2887" t="s">
        <v>8918</v>
      </c>
      <c r="B2887" t="s">
        <v>8919</v>
      </c>
      <c r="C2887" s="2">
        <v>46240.583333333336</v>
      </c>
      <c r="D2887" t="s">
        <v>418</v>
      </c>
      <c r="E2887" t="s">
        <v>57</v>
      </c>
      <c r="F2887" t="s">
        <v>255</v>
      </c>
      <c r="G2887" t="s">
        <v>131</v>
      </c>
      <c r="H2887">
        <v>3</v>
      </c>
      <c r="I2887" t="s">
        <v>8920</v>
      </c>
      <c r="J2887" t="s">
        <v>357</v>
      </c>
    </row>
    <row r="2888" spans="1:10" x14ac:dyDescent="0.25">
      <c r="A2888" t="s">
        <v>8921</v>
      </c>
      <c r="B2888" t="s">
        <v>8922</v>
      </c>
      <c r="C2888" s="2">
        <v>46240.583333333336</v>
      </c>
      <c r="D2888" t="s">
        <v>418</v>
      </c>
      <c r="E2888" t="s">
        <v>67</v>
      </c>
      <c r="F2888" t="s">
        <v>242</v>
      </c>
      <c r="G2888" t="s">
        <v>137</v>
      </c>
      <c r="H2888">
        <v>2</v>
      </c>
      <c r="I2888" t="s">
        <v>8923</v>
      </c>
      <c r="J2888" t="s">
        <v>357</v>
      </c>
    </row>
    <row r="2889" spans="1:10" x14ac:dyDescent="0.25">
      <c r="A2889" t="s">
        <v>8924</v>
      </c>
      <c r="B2889" t="s">
        <v>8925</v>
      </c>
      <c r="C2889" s="2">
        <v>46240.583333333336</v>
      </c>
      <c r="D2889" t="s">
        <v>418</v>
      </c>
      <c r="E2889" t="s">
        <v>73</v>
      </c>
      <c r="F2889" t="s">
        <v>213</v>
      </c>
      <c r="G2889" t="s">
        <v>143</v>
      </c>
      <c r="H2889">
        <v>4</v>
      </c>
      <c r="I2889" t="s">
        <v>8926</v>
      </c>
      <c r="J2889" t="s">
        <v>357</v>
      </c>
    </row>
    <row r="2890" spans="1:10" x14ac:dyDescent="0.25">
      <c r="A2890" t="s">
        <v>8927</v>
      </c>
      <c r="B2890" t="s">
        <v>8928</v>
      </c>
      <c r="C2890" s="2">
        <v>46240.583333333336</v>
      </c>
      <c r="D2890" t="s">
        <v>418</v>
      </c>
      <c r="E2890" t="s">
        <v>77</v>
      </c>
      <c r="F2890" t="s">
        <v>243</v>
      </c>
      <c r="G2890" t="s">
        <v>147</v>
      </c>
      <c r="H2890">
        <v>3</v>
      </c>
      <c r="I2890" t="s">
        <v>8929</v>
      </c>
      <c r="J2890" t="s">
        <v>357</v>
      </c>
    </row>
    <row r="2891" spans="1:10" x14ac:dyDescent="0.25">
      <c r="A2891" t="s">
        <v>8930</v>
      </c>
      <c r="B2891" t="s">
        <v>8931</v>
      </c>
      <c r="C2891" s="2">
        <v>46240.583333333336</v>
      </c>
      <c r="D2891" t="s">
        <v>418</v>
      </c>
      <c r="E2891" t="s">
        <v>11</v>
      </c>
      <c r="F2891" t="s">
        <v>274</v>
      </c>
      <c r="G2891" t="s">
        <v>92</v>
      </c>
      <c r="H2891">
        <v>4</v>
      </c>
      <c r="I2891" t="s">
        <v>8932</v>
      </c>
      <c r="J2891" t="s">
        <v>357</v>
      </c>
    </row>
    <row r="2892" spans="1:10" x14ac:dyDescent="0.25">
      <c r="A2892" t="s">
        <v>8933</v>
      </c>
      <c r="B2892" t="s">
        <v>8934</v>
      </c>
      <c r="C2892" s="2">
        <v>46240.583333333336</v>
      </c>
      <c r="D2892" t="s">
        <v>418</v>
      </c>
      <c r="E2892" t="s">
        <v>18</v>
      </c>
      <c r="F2892" t="s">
        <v>275</v>
      </c>
      <c r="G2892" t="s">
        <v>95</v>
      </c>
      <c r="H2892">
        <v>5</v>
      </c>
      <c r="I2892" t="s">
        <v>8935</v>
      </c>
      <c r="J2892" t="s">
        <v>357</v>
      </c>
    </row>
    <row r="2893" spans="1:10" x14ac:dyDescent="0.25">
      <c r="A2893" t="s">
        <v>8936</v>
      </c>
      <c r="B2893" t="s">
        <v>8937</v>
      </c>
      <c r="C2893" s="2">
        <v>46240.583333333336</v>
      </c>
      <c r="D2893" t="s">
        <v>418</v>
      </c>
      <c r="E2893" t="s">
        <v>20</v>
      </c>
      <c r="F2893" t="s">
        <v>276</v>
      </c>
      <c r="G2893" t="s">
        <v>97</v>
      </c>
      <c r="H2893">
        <v>5</v>
      </c>
      <c r="I2893" t="s">
        <v>8938</v>
      </c>
      <c r="J2893" t="s">
        <v>357</v>
      </c>
    </row>
    <row r="2894" spans="1:10" x14ac:dyDescent="0.25">
      <c r="A2894" t="s">
        <v>8939</v>
      </c>
      <c r="B2894" t="s">
        <v>8940</v>
      </c>
      <c r="C2894" s="2">
        <v>46240.583333333336</v>
      </c>
      <c r="D2894" t="s">
        <v>418</v>
      </c>
      <c r="E2894" t="s">
        <v>22</v>
      </c>
      <c r="F2894" t="s">
        <v>277</v>
      </c>
      <c r="G2894" t="s">
        <v>99</v>
      </c>
      <c r="H2894">
        <v>4</v>
      </c>
      <c r="I2894" t="s">
        <v>8941</v>
      </c>
      <c r="J2894" t="s">
        <v>357</v>
      </c>
    </row>
    <row r="2895" spans="1:10" x14ac:dyDescent="0.25">
      <c r="A2895" t="s">
        <v>8942</v>
      </c>
      <c r="B2895" t="s">
        <v>8943</v>
      </c>
      <c r="C2895" s="2">
        <v>46240.583333333336</v>
      </c>
      <c r="D2895" t="s">
        <v>418</v>
      </c>
      <c r="E2895" t="s">
        <v>24</v>
      </c>
      <c r="F2895" t="s">
        <v>278</v>
      </c>
      <c r="G2895" t="s">
        <v>101</v>
      </c>
      <c r="H2895">
        <v>5</v>
      </c>
      <c r="I2895" t="s">
        <v>8944</v>
      </c>
      <c r="J2895" t="s">
        <v>357</v>
      </c>
    </row>
    <row r="2896" spans="1:10" x14ac:dyDescent="0.25">
      <c r="A2896" t="s">
        <v>8945</v>
      </c>
      <c r="B2896" t="s">
        <v>8946</v>
      </c>
      <c r="C2896" s="2">
        <v>46240.583333333336</v>
      </c>
      <c r="D2896" t="s">
        <v>418</v>
      </c>
      <c r="E2896" t="s">
        <v>32</v>
      </c>
      <c r="F2896" t="s">
        <v>222</v>
      </c>
      <c r="G2896" t="s">
        <v>109</v>
      </c>
      <c r="H2896">
        <v>2</v>
      </c>
      <c r="I2896" t="s">
        <v>8947</v>
      </c>
      <c r="J2896" t="s">
        <v>357</v>
      </c>
    </row>
    <row r="2897" spans="1:10" x14ac:dyDescent="0.25">
      <c r="A2897" t="s">
        <v>8948</v>
      </c>
      <c r="B2897" t="s">
        <v>8949</v>
      </c>
      <c r="C2897" s="2">
        <v>46240.583333333336</v>
      </c>
      <c r="D2897" t="s">
        <v>418</v>
      </c>
      <c r="E2897" t="s">
        <v>41</v>
      </c>
      <c r="F2897" t="s">
        <v>224</v>
      </c>
      <c r="G2897" t="s">
        <v>115</v>
      </c>
      <c r="H2897">
        <v>5</v>
      </c>
      <c r="I2897" t="s">
        <v>8950</v>
      </c>
      <c r="J2897" t="s">
        <v>357</v>
      </c>
    </row>
    <row r="2898" spans="1:10" x14ac:dyDescent="0.25">
      <c r="A2898" t="s">
        <v>8951</v>
      </c>
      <c r="B2898" t="s">
        <v>8952</v>
      </c>
      <c r="C2898" s="2">
        <v>46240.583333333336</v>
      </c>
      <c r="D2898" t="s">
        <v>418</v>
      </c>
      <c r="E2898" t="s">
        <v>53</v>
      </c>
      <c r="F2898" t="s">
        <v>126</v>
      </c>
      <c r="G2898" t="s">
        <v>127</v>
      </c>
      <c r="H2898">
        <v>1</v>
      </c>
      <c r="I2898" t="s">
        <v>8953</v>
      </c>
      <c r="J2898" t="s">
        <v>357</v>
      </c>
    </row>
    <row r="2899" spans="1:10" x14ac:dyDescent="0.25">
      <c r="A2899" t="s">
        <v>8954</v>
      </c>
      <c r="B2899" t="s">
        <v>8955</v>
      </c>
      <c r="C2899" s="2">
        <v>46240.583333333336</v>
      </c>
      <c r="D2899" t="s">
        <v>418</v>
      </c>
      <c r="E2899" t="s">
        <v>69</v>
      </c>
      <c r="F2899" t="s">
        <v>229</v>
      </c>
      <c r="G2899" t="s">
        <v>139</v>
      </c>
      <c r="H2899">
        <v>3</v>
      </c>
      <c r="I2899" t="s">
        <v>8956</v>
      </c>
      <c r="J2899" t="s">
        <v>357</v>
      </c>
    </row>
    <row r="2900" spans="1:10" x14ac:dyDescent="0.25">
      <c r="A2900" t="s">
        <v>8957</v>
      </c>
      <c r="B2900" t="s">
        <v>8958</v>
      </c>
      <c r="C2900" s="2">
        <v>46240.583333333336</v>
      </c>
      <c r="D2900" t="s">
        <v>418</v>
      </c>
      <c r="E2900" t="s">
        <v>71</v>
      </c>
      <c r="F2900" t="s">
        <v>212</v>
      </c>
      <c r="G2900" t="s">
        <v>141</v>
      </c>
      <c r="H2900">
        <v>2</v>
      </c>
      <c r="I2900" t="s">
        <v>8959</v>
      </c>
      <c r="J2900" t="s">
        <v>357</v>
      </c>
    </row>
    <row r="2901" spans="1:10" x14ac:dyDescent="0.25">
      <c r="A2901" t="s">
        <v>8960</v>
      </c>
      <c r="B2901" t="s">
        <v>8961</v>
      </c>
      <c r="C2901" s="2">
        <v>46240.583333333336</v>
      </c>
      <c r="D2901" t="s">
        <v>418</v>
      </c>
      <c r="E2901" t="s">
        <v>73</v>
      </c>
      <c r="F2901" t="s">
        <v>213</v>
      </c>
      <c r="G2901" t="s">
        <v>143</v>
      </c>
      <c r="H2901">
        <v>5</v>
      </c>
      <c r="I2901" t="s">
        <v>8962</v>
      </c>
      <c r="J2901" t="s">
        <v>357</v>
      </c>
    </row>
    <row r="2902" spans="1:10" x14ac:dyDescent="0.25">
      <c r="A2902" t="s">
        <v>8963</v>
      </c>
      <c r="B2902" t="s">
        <v>8964</v>
      </c>
      <c r="C2902" s="2">
        <v>46240.583333333336</v>
      </c>
      <c r="D2902" t="s">
        <v>418</v>
      </c>
      <c r="E2902" t="s">
        <v>11</v>
      </c>
      <c r="F2902" t="s">
        <v>274</v>
      </c>
      <c r="G2902" t="s">
        <v>92</v>
      </c>
      <c r="H2902">
        <v>1</v>
      </c>
      <c r="I2902" t="s">
        <v>8965</v>
      </c>
      <c r="J2902" t="s">
        <v>357</v>
      </c>
    </row>
    <row r="2903" spans="1:10" x14ac:dyDescent="0.25">
      <c r="A2903" t="s">
        <v>8966</v>
      </c>
      <c r="B2903" t="s">
        <v>8967</v>
      </c>
      <c r="C2903" s="2">
        <v>46240.583333333336</v>
      </c>
      <c r="D2903" t="s">
        <v>418</v>
      </c>
      <c r="E2903" t="s">
        <v>22</v>
      </c>
      <c r="F2903" t="s">
        <v>277</v>
      </c>
      <c r="G2903" t="s">
        <v>99</v>
      </c>
      <c r="H2903">
        <v>4</v>
      </c>
      <c r="I2903" t="s">
        <v>8968</v>
      </c>
      <c r="J2903" t="s">
        <v>357</v>
      </c>
    </row>
    <row r="2904" spans="1:10" x14ac:dyDescent="0.25">
      <c r="A2904" t="s">
        <v>8969</v>
      </c>
      <c r="B2904" t="s">
        <v>8970</v>
      </c>
      <c r="C2904" s="2">
        <v>46240.583333333336</v>
      </c>
      <c r="D2904" t="s">
        <v>418</v>
      </c>
      <c r="E2904" t="s">
        <v>24</v>
      </c>
      <c r="F2904" t="s">
        <v>278</v>
      </c>
      <c r="G2904" t="s">
        <v>101</v>
      </c>
      <c r="H2904">
        <v>6</v>
      </c>
      <c r="I2904" t="s">
        <v>8971</v>
      </c>
      <c r="J2904" t="s">
        <v>357</v>
      </c>
    </row>
    <row r="2905" spans="1:10" x14ac:dyDescent="0.25">
      <c r="A2905" t="s">
        <v>8972</v>
      </c>
      <c r="B2905" t="s">
        <v>8973</v>
      </c>
      <c r="C2905" s="2">
        <v>46240.583333333336</v>
      </c>
      <c r="D2905" t="s">
        <v>418</v>
      </c>
      <c r="E2905" t="s">
        <v>26</v>
      </c>
      <c r="F2905" t="s">
        <v>264</v>
      </c>
      <c r="G2905" t="s">
        <v>103</v>
      </c>
      <c r="H2905">
        <v>1</v>
      </c>
      <c r="I2905" t="s">
        <v>8974</v>
      </c>
      <c r="J2905" t="s">
        <v>357</v>
      </c>
    </row>
    <row r="2906" spans="1:10" x14ac:dyDescent="0.25">
      <c r="A2906" t="s">
        <v>8975</v>
      </c>
      <c r="B2906" t="s">
        <v>8976</v>
      </c>
      <c r="C2906" s="2">
        <v>46240.583333333336</v>
      </c>
      <c r="D2906" t="s">
        <v>418</v>
      </c>
      <c r="E2906" t="s">
        <v>26</v>
      </c>
      <c r="F2906" t="s">
        <v>279</v>
      </c>
      <c r="G2906" t="s">
        <v>103</v>
      </c>
      <c r="H2906">
        <v>3</v>
      </c>
      <c r="I2906" t="s">
        <v>8974</v>
      </c>
      <c r="J2906" t="s">
        <v>357</v>
      </c>
    </row>
    <row r="2907" spans="1:10" x14ac:dyDescent="0.25">
      <c r="A2907" t="s">
        <v>8977</v>
      </c>
      <c r="B2907" t="s">
        <v>8978</v>
      </c>
      <c r="C2907" s="2">
        <v>46240.583333333336</v>
      </c>
      <c r="D2907" t="s">
        <v>418</v>
      </c>
      <c r="E2907" t="s">
        <v>28</v>
      </c>
      <c r="F2907" t="s">
        <v>249</v>
      </c>
      <c r="G2907" t="s">
        <v>105</v>
      </c>
      <c r="H2907">
        <v>1</v>
      </c>
      <c r="I2907" t="s">
        <v>8979</v>
      </c>
      <c r="J2907" t="s">
        <v>357</v>
      </c>
    </row>
    <row r="2908" spans="1:10" x14ac:dyDescent="0.25">
      <c r="A2908" t="s">
        <v>8980</v>
      </c>
      <c r="B2908" t="s">
        <v>8981</v>
      </c>
      <c r="C2908" s="2">
        <v>46240.583333333336</v>
      </c>
      <c r="D2908" t="s">
        <v>418</v>
      </c>
      <c r="E2908" t="s">
        <v>30</v>
      </c>
      <c r="F2908" t="s">
        <v>250</v>
      </c>
      <c r="G2908" t="s">
        <v>107</v>
      </c>
      <c r="H2908">
        <v>2</v>
      </c>
      <c r="I2908" t="s">
        <v>8982</v>
      </c>
      <c r="J2908" t="s">
        <v>357</v>
      </c>
    </row>
    <row r="2909" spans="1:10" x14ac:dyDescent="0.25">
      <c r="A2909" t="s">
        <v>8983</v>
      </c>
      <c r="B2909" t="s">
        <v>8984</v>
      </c>
      <c r="C2909" s="2">
        <v>46240.583333333336</v>
      </c>
      <c r="D2909" t="s">
        <v>418</v>
      </c>
      <c r="E2909" t="s">
        <v>41</v>
      </c>
      <c r="F2909" t="s">
        <v>224</v>
      </c>
      <c r="G2909" t="s">
        <v>115</v>
      </c>
      <c r="H2909">
        <v>5</v>
      </c>
      <c r="I2909" t="s">
        <v>8985</v>
      </c>
      <c r="J2909" t="s">
        <v>357</v>
      </c>
    </row>
    <row r="2910" spans="1:10" x14ac:dyDescent="0.25">
      <c r="A2910" t="s">
        <v>8986</v>
      </c>
      <c r="B2910" t="s">
        <v>8987</v>
      </c>
      <c r="C2910" s="2">
        <v>46240.583333333336</v>
      </c>
      <c r="D2910" t="s">
        <v>418</v>
      </c>
      <c r="E2910" t="s">
        <v>51</v>
      </c>
      <c r="F2910" t="s">
        <v>168</v>
      </c>
      <c r="G2910" t="s">
        <v>125</v>
      </c>
      <c r="H2910">
        <v>2</v>
      </c>
      <c r="I2910" t="s">
        <v>8988</v>
      </c>
      <c r="J2910" t="s">
        <v>357</v>
      </c>
    </row>
    <row r="2911" spans="1:10" x14ac:dyDescent="0.25">
      <c r="A2911" t="s">
        <v>8989</v>
      </c>
      <c r="B2911" t="s">
        <v>8990</v>
      </c>
      <c r="C2911" s="2">
        <v>46240.583333333336</v>
      </c>
      <c r="D2911" t="s">
        <v>418</v>
      </c>
      <c r="E2911" t="s">
        <v>55</v>
      </c>
      <c r="F2911" t="s">
        <v>240</v>
      </c>
      <c r="G2911" t="s">
        <v>129</v>
      </c>
      <c r="H2911">
        <v>5</v>
      </c>
      <c r="I2911" t="s">
        <v>8991</v>
      </c>
      <c r="J2911" t="s">
        <v>357</v>
      </c>
    </row>
    <row r="2912" spans="1:10" x14ac:dyDescent="0.25">
      <c r="A2912" t="s">
        <v>8992</v>
      </c>
      <c r="B2912" t="s">
        <v>8993</v>
      </c>
      <c r="C2912" s="2">
        <v>46240.583333333336</v>
      </c>
      <c r="D2912" t="s">
        <v>418</v>
      </c>
      <c r="E2912" t="s">
        <v>67</v>
      </c>
      <c r="F2912" t="s">
        <v>242</v>
      </c>
      <c r="G2912" t="s">
        <v>137</v>
      </c>
      <c r="H2912">
        <v>1</v>
      </c>
      <c r="I2912" t="s">
        <v>8994</v>
      </c>
      <c r="J2912" t="s">
        <v>357</v>
      </c>
    </row>
    <row r="2913" spans="1:10" x14ac:dyDescent="0.25">
      <c r="A2913" t="s">
        <v>8995</v>
      </c>
      <c r="B2913" t="s">
        <v>8996</v>
      </c>
      <c r="C2913" s="2">
        <v>46240.583333333336</v>
      </c>
      <c r="D2913" t="s">
        <v>418</v>
      </c>
      <c r="E2913" t="s">
        <v>69</v>
      </c>
      <c r="F2913" t="s">
        <v>229</v>
      </c>
      <c r="G2913" t="s">
        <v>139</v>
      </c>
      <c r="H2913">
        <v>4</v>
      </c>
      <c r="I2913" t="s">
        <v>8997</v>
      </c>
      <c r="J2913" t="s">
        <v>357</v>
      </c>
    </row>
    <row r="2914" spans="1:10" x14ac:dyDescent="0.25">
      <c r="A2914" t="s">
        <v>8998</v>
      </c>
      <c r="B2914" t="s">
        <v>8999</v>
      </c>
      <c r="C2914" s="2">
        <v>46240.583333333336</v>
      </c>
      <c r="D2914" t="s">
        <v>418</v>
      </c>
      <c r="E2914" t="s">
        <v>75</v>
      </c>
      <c r="F2914" t="s">
        <v>230</v>
      </c>
      <c r="G2914" t="s">
        <v>145</v>
      </c>
      <c r="H2914">
        <v>1</v>
      </c>
      <c r="I2914" t="s">
        <v>9000</v>
      </c>
      <c r="J2914" t="s">
        <v>357</v>
      </c>
    </row>
    <row r="2915" spans="1:10" x14ac:dyDescent="0.25">
      <c r="A2915" t="s">
        <v>9001</v>
      </c>
      <c r="B2915" t="s">
        <v>9002</v>
      </c>
      <c r="C2915" s="2">
        <v>46240.583333333336</v>
      </c>
      <c r="D2915" t="s">
        <v>418</v>
      </c>
      <c r="E2915" t="s">
        <v>22</v>
      </c>
      <c r="F2915" t="s">
        <v>277</v>
      </c>
      <c r="G2915" t="s">
        <v>99</v>
      </c>
      <c r="H2915">
        <v>4</v>
      </c>
      <c r="I2915" t="s">
        <v>9003</v>
      </c>
      <c r="J2915" t="s">
        <v>357</v>
      </c>
    </row>
    <row r="2916" spans="1:10" x14ac:dyDescent="0.25">
      <c r="A2916" t="s">
        <v>9004</v>
      </c>
      <c r="B2916" t="s">
        <v>9005</v>
      </c>
      <c r="C2916" s="2">
        <v>46240.583333333336</v>
      </c>
      <c r="D2916" t="s">
        <v>418</v>
      </c>
      <c r="E2916" t="s">
        <v>24</v>
      </c>
      <c r="F2916" t="s">
        <v>278</v>
      </c>
      <c r="G2916" t="s">
        <v>101</v>
      </c>
      <c r="H2916">
        <v>1</v>
      </c>
      <c r="I2916" t="s">
        <v>9006</v>
      </c>
      <c r="J2916" t="s">
        <v>357</v>
      </c>
    </row>
    <row r="2917" spans="1:10" x14ac:dyDescent="0.25">
      <c r="A2917" t="s">
        <v>9007</v>
      </c>
      <c r="B2917" t="s">
        <v>9008</v>
      </c>
      <c r="C2917" s="2">
        <v>46240.583333333336</v>
      </c>
      <c r="D2917" t="s">
        <v>418</v>
      </c>
      <c r="E2917" t="s">
        <v>36</v>
      </c>
      <c r="F2917" t="s">
        <v>252</v>
      </c>
      <c r="G2917" t="s">
        <v>113</v>
      </c>
      <c r="H2917">
        <v>6</v>
      </c>
      <c r="I2917" t="s">
        <v>9009</v>
      </c>
      <c r="J2917" t="s">
        <v>357</v>
      </c>
    </row>
    <row r="2918" spans="1:10" x14ac:dyDescent="0.25">
      <c r="A2918" t="s">
        <v>9010</v>
      </c>
      <c r="B2918" t="s">
        <v>9011</v>
      </c>
      <c r="C2918" s="2">
        <v>46240.583333333336</v>
      </c>
      <c r="D2918" t="s">
        <v>418</v>
      </c>
      <c r="E2918" t="s">
        <v>47</v>
      </c>
      <c r="F2918" t="s">
        <v>190</v>
      </c>
      <c r="G2918" t="s">
        <v>121</v>
      </c>
      <c r="H2918">
        <v>4</v>
      </c>
      <c r="I2918" t="s">
        <v>9012</v>
      </c>
      <c r="J2918" t="s">
        <v>357</v>
      </c>
    </row>
    <row r="2919" spans="1:10" x14ac:dyDescent="0.25">
      <c r="A2919" t="s">
        <v>9013</v>
      </c>
      <c r="B2919" t="s">
        <v>9014</v>
      </c>
      <c r="C2919" s="2">
        <v>46240.583333333336</v>
      </c>
      <c r="D2919" t="s">
        <v>418</v>
      </c>
      <c r="E2919" t="s">
        <v>53</v>
      </c>
      <c r="F2919" t="s">
        <v>126</v>
      </c>
      <c r="G2919" t="s">
        <v>127</v>
      </c>
      <c r="H2919">
        <v>6</v>
      </c>
      <c r="I2919" t="s">
        <v>9015</v>
      </c>
      <c r="J2919" t="s">
        <v>357</v>
      </c>
    </row>
    <row r="2920" spans="1:10" x14ac:dyDescent="0.25">
      <c r="A2920" t="s">
        <v>9016</v>
      </c>
      <c r="B2920" t="s">
        <v>9017</v>
      </c>
      <c r="C2920" s="2">
        <v>46240.583333333336</v>
      </c>
      <c r="D2920" t="s">
        <v>418</v>
      </c>
      <c r="E2920" t="s">
        <v>11</v>
      </c>
      <c r="F2920" t="s">
        <v>274</v>
      </c>
      <c r="G2920" t="s">
        <v>92</v>
      </c>
      <c r="H2920">
        <v>3</v>
      </c>
      <c r="I2920" t="s">
        <v>9018</v>
      </c>
      <c r="J2920" t="s">
        <v>357</v>
      </c>
    </row>
    <row r="2921" spans="1:10" x14ac:dyDescent="0.25">
      <c r="A2921" t="s">
        <v>9019</v>
      </c>
      <c r="B2921" t="s">
        <v>9020</v>
      </c>
      <c r="C2921" s="2">
        <v>46240.583333333336</v>
      </c>
      <c r="D2921" t="s">
        <v>418</v>
      </c>
      <c r="E2921" t="s">
        <v>18</v>
      </c>
      <c r="F2921" t="s">
        <v>275</v>
      </c>
      <c r="G2921" t="s">
        <v>95</v>
      </c>
      <c r="H2921">
        <v>2</v>
      </c>
      <c r="I2921" t="s">
        <v>9021</v>
      </c>
      <c r="J2921" t="s">
        <v>357</v>
      </c>
    </row>
    <row r="2922" spans="1:10" x14ac:dyDescent="0.25">
      <c r="A2922" t="s">
        <v>9022</v>
      </c>
      <c r="B2922" t="s">
        <v>9023</v>
      </c>
      <c r="C2922" s="2">
        <v>46240.583333333336</v>
      </c>
      <c r="D2922" t="s">
        <v>418</v>
      </c>
      <c r="E2922" t="s">
        <v>20</v>
      </c>
      <c r="F2922" t="s">
        <v>276</v>
      </c>
      <c r="G2922" t="s">
        <v>97</v>
      </c>
      <c r="H2922">
        <v>4</v>
      </c>
      <c r="I2922" t="s">
        <v>9024</v>
      </c>
      <c r="J2922" t="s">
        <v>357</v>
      </c>
    </row>
    <row r="2923" spans="1:10" x14ac:dyDescent="0.25">
      <c r="A2923" t="s">
        <v>9025</v>
      </c>
      <c r="B2923" t="s">
        <v>9026</v>
      </c>
      <c r="C2923" s="2">
        <v>46240.583333333336</v>
      </c>
      <c r="D2923" t="s">
        <v>418</v>
      </c>
      <c r="E2923" t="s">
        <v>22</v>
      </c>
      <c r="F2923" t="s">
        <v>277</v>
      </c>
      <c r="G2923" t="s">
        <v>99</v>
      </c>
      <c r="H2923">
        <v>2</v>
      </c>
      <c r="I2923" t="s">
        <v>9027</v>
      </c>
      <c r="J2923" t="s">
        <v>357</v>
      </c>
    </row>
    <row r="2924" spans="1:10" x14ac:dyDescent="0.25">
      <c r="A2924" t="s">
        <v>9028</v>
      </c>
      <c r="B2924" t="s">
        <v>9029</v>
      </c>
      <c r="C2924" s="2">
        <v>46240.583333333336</v>
      </c>
      <c r="D2924" t="s">
        <v>418</v>
      </c>
      <c r="E2924" t="s">
        <v>41</v>
      </c>
      <c r="F2924" t="s">
        <v>224</v>
      </c>
      <c r="G2924" t="s">
        <v>115</v>
      </c>
      <c r="H2924">
        <v>3</v>
      </c>
      <c r="I2924" t="s">
        <v>9030</v>
      </c>
      <c r="J2924" t="s">
        <v>357</v>
      </c>
    </row>
    <row r="2925" spans="1:10" x14ac:dyDescent="0.25">
      <c r="A2925" t="s">
        <v>9031</v>
      </c>
      <c r="B2925" t="s">
        <v>9032</v>
      </c>
      <c r="C2925" s="2">
        <v>46240.583333333336</v>
      </c>
      <c r="D2925" t="s">
        <v>418</v>
      </c>
      <c r="E2925" t="s">
        <v>47</v>
      </c>
      <c r="F2925" t="s">
        <v>190</v>
      </c>
      <c r="G2925" t="s">
        <v>121</v>
      </c>
      <c r="H2925">
        <v>4</v>
      </c>
      <c r="I2925" t="s">
        <v>9033</v>
      </c>
      <c r="J2925" t="s">
        <v>357</v>
      </c>
    </row>
    <row r="2926" spans="1:10" x14ac:dyDescent="0.25">
      <c r="A2926" t="s">
        <v>9034</v>
      </c>
      <c r="B2926" t="s">
        <v>9035</v>
      </c>
      <c r="C2926" s="2">
        <v>46240.583333333336</v>
      </c>
      <c r="D2926" t="s">
        <v>418</v>
      </c>
      <c r="E2926" t="s">
        <v>57</v>
      </c>
      <c r="F2926" t="s">
        <v>255</v>
      </c>
      <c r="G2926" t="s">
        <v>131</v>
      </c>
      <c r="H2926">
        <v>1</v>
      </c>
      <c r="I2926" t="s">
        <v>9036</v>
      </c>
      <c r="J2926" t="s">
        <v>357</v>
      </c>
    </row>
    <row r="2927" spans="1:10" x14ac:dyDescent="0.25">
      <c r="A2927" t="s">
        <v>9037</v>
      </c>
      <c r="B2927" t="s">
        <v>9038</v>
      </c>
      <c r="C2927" s="2">
        <v>46240.583333333336</v>
      </c>
      <c r="D2927" t="s">
        <v>418</v>
      </c>
      <c r="E2927" t="s">
        <v>67</v>
      </c>
      <c r="F2927" t="s">
        <v>242</v>
      </c>
      <c r="G2927" t="s">
        <v>137</v>
      </c>
      <c r="H2927">
        <v>2</v>
      </c>
      <c r="I2927" t="s">
        <v>9039</v>
      </c>
      <c r="J2927" t="s">
        <v>357</v>
      </c>
    </row>
    <row r="2928" spans="1:10" x14ac:dyDescent="0.25">
      <c r="A2928" t="s">
        <v>9040</v>
      </c>
      <c r="B2928" t="s">
        <v>9041</v>
      </c>
      <c r="C2928" s="2">
        <v>46241.583333333336</v>
      </c>
      <c r="D2928" t="s">
        <v>418</v>
      </c>
      <c r="E2928" t="s">
        <v>18</v>
      </c>
      <c r="F2928" t="s">
        <v>275</v>
      </c>
      <c r="G2928" t="s">
        <v>95</v>
      </c>
      <c r="H2928">
        <v>2</v>
      </c>
      <c r="I2928" t="s">
        <v>9042</v>
      </c>
      <c r="J2928" t="s">
        <v>357</v>
      </c>
    </row>
    <row r="2929" spans="1:10" x14ac:dyDescent="0.25">
      <c r="A2929" t="s">
        <v>9043</v>
      </c>
      <c r="B2929" t="s">
        <v>9044</v>
      </c>
      <c r="C2929" s="2">
        <v>46241.583333333336</v>
      </c>
      <c r="D2929" t="s">
        <v>418</v>
      </c>
      <c r="E2929" t="s">
        <v>22</v>
      </c>
      <c r="F2929" t="s">
        <v>277</v>
      </c>
      <c r="G2929" t="s">
        <v>99</v>
      </c>
      <c r="H2929">
        <v>1</v>
      </c>
      <c r="I2929" t="s">
        <v>9045</v>
      </c>
      <c r="J2929" t="s">
        <v>357</v>
      </c>
    </row>
    <row r="2930" spans="1:10" x14ac:dyDescent="0.25">
      <c r="A2930" t="s">
        <v>9046</v>
      </c>
      <c r="B2930" t="s">
        <v>9047</v>
      </c>
      <c r="C2930" s="2">
        <v>46241.583333333336</v>
      </c>
      <c r="D2930" t="s">
        <v>418</v>
      </c>
      <c r="E2930" t="s">
        <v>30</v>
      </c>
      <c r="F2930" t="s">
        <v>250</v>
      </c>
      <c r="G2930" t="s">
        <v>107</v>
      </c>
      <c r="H2930">
        <v>3</v>
      </c>
      <c r="I2930" t="s">
        <v>9048</v>
      </c>
      <c r="J2930" t="s">
        <v>357</v>
      </c>
    </row>
    <row r="2931" spans="1:10" x14ac:dyDescent="0.25">
      <c r="A2931" t="s">
        <v>9049</v>
      </c>
      <c r="B2931" t="s">
        <v>9050</v>
      </c>
      <c r="C2931" s="2">
        <v>46241.583333333336</v>
      </c>
      <c r="D2931" t="s">
        <v>418</v>
      </c>
      <c r="E2931" t="s">
        <v>51</v>
      </c>
      <c r="F2931" t="s">
        <v>168</v>
      </c>
      <c r="G2931" t="s">
        <v>125</v>
      </c>
      <c r="H2931">
        <v>4</v>
      </c>
      <c r="I2931" t="s">
        <v>9051</v>
      </c>
      <c r="J2931" t="s">
        <v>357</v>
      </c>
    </row>
    <row r="2932" spans="1:10" x14ac:dyDescent="0.25">
      <c r="A2932" t="s">
        <v>9052</v>
      </c>
      <c r="B2932" t="s">
        <v>9053</v>
      </c>
      <c r="C2932" s="2">
        <v>46241.583333333336</v>
      </c>
      <c r="D2932" t="s">
        <v>418</v>
      </c>
      <c r="E2932" t="s">
        <v>55</v>
      </c>
      <c r="F2932" t="s">
        <v>240</v>
      </c>
      <c r="G2932" t="s">
        <v>129</v>
      </c>
      <c r="H2932">
        <v>1</v>
      </c>
      <c r="I2932" t="s">
        <v>9054</v>
      </c>
      <c r="J2932" t="s">
        <v>357</v>
      </c>
    </row>
    <row r="2933" spans="1:10" x14ac:dyDescent="0.25">
      <c r="A2933" t="s">
        <v>9055</v>
      </c>
      <c r="B2933" t="s">
        <v>9056</v>
      </c>
      <c r="C2933" s="2">
        <v>46241.583333333336</v>
      </c>
      <c r="D2933" t="s">
        <v>418</v>
      </c>
      <c r="E2933" t="s">
        <v>65</v>
      </c>
      <c r="F2933" t="s">
        <v>241</v>
      </c>
      <c r="G2933" t="s">
        <v>135</v>
      </c>
      <c r="H2933">
        <v>3</v>
      </c>
      <c r="I2933" t="s">
        <v>9057</v>
      </c>
      <c r="J2933" t="s">
        <v>357</v>
      </c>
    </row>
    <row r="2934" spans="1:10" x14ac:dyDescent="0.25">
      <c r="A2934" t="s">
        <v>9058</v>
      </c>
      <c r="B2934" t="s">
        <v>9059</v>
      </c>
      <c r="C2934" s="2">
        <v>46241.583333333336</v>
      </c>
      <c r="D2934" t="s">
        <v>418</v>
      </c>
      <c r="E2934" t="s">
        <v>67</v>
      </c>
      <c r="F2934" t="s">
        <v>242</v>
      </c>
      <c r="G2934" t="s">
        <v>137</v>
      </c>
      <c r="H2934">
        <v>3</v>
      </c>
      <c r="I2934" t="s">
        <v>9060</v>
      </c>
      <c r="J2934" t="s">
        <v>357</v>
      </c>
    </row>
    <row r="2935" spans="1:10" x14ac:dyDescent="0.25">
      <c r="A2935" t="s">
        <v>9061</v>
      </c>
      <c r="B2935" t="s">
        <v>9062</v>
      </c>
      <c r="C2935" s="2">
        <v>46241.583333333336</v>
      </c>
      <c r="D2935" t="s">
        <v>418</v>
      </c>
      <c r="E2935" t="s">
        <v>69</v>
      </c>
      <c r="F2935" t="s">
        <v>229</v>
      </c>
      <c r="G2935" t="s">
        <v>139</v>
      </c>
      <c r="H2935">
        <v>4</v>
      </c>
      <c r="I2935" t="s">
        <v>9063</v>
      </c>
      <c r="J2935" t="s">
        <v>357</v>
      </c>
    </row>
    <row r="2936" spans="1:10" x14ac:dyDescent="0.25">
      <c r="A2936" t="s">
        <v>9064</v>
      </c>
      <c r="B2936" t="s">
        <v>9065</v>
      </c>
      <c r="C2936" s="2">
        <v>46241.583333333336</v>
      </c>
      <c r="D2936" t="s">
        <v>418</v>
      </c>
      <c r="E2936" t="s">
        <v>11</v>
      </c>
      <c r="F2936" t="s">
        <v>274</v>
      </c>
      <c r="G2936" t="s">
        <v>92</v>
      </c>
      <c r="H2936">
        <v>4</v>
      </c>
      <c r="I2936" t="s">
        <v>9066</v>
      </c>
      <c r="J2936" t="s">
        <v>357</v>
      </c>
    </row>
    <row r="2937" spans="1:10" x14ac:dyDescent="0.25">
      <c r="A2937" t="s">
        <v>9067</v>
      </c>
      <c r="B2937" t="s">
        <v>9068</v>
      </c>
      <c r="C2937" s="2">
        <v>46241.583333333336</v>
      </c>
      <c r="D2937" t="s">
        <v>418</v>
      </c>
      <c r="E2937" t="s">
        <v>18</v>
      </c>
      <c r="F2937" t="s">
        <v>275</v>
      </c>
      <c r="G2937" t="s">
        <v>95</v>
      </c>
      <c r="H2937">
        <v>1</v>
      </c>
      <c r="I2937" t="s">
        <v>9069</v>
      </c>
      <c r="J2937" t="s">
        <v>357</v>
      </c>
    </row>
    <row r="2938" spans="1:10" x14ac:dyDescent="0.25">
      <c r="A2938" t="s">
        <v>9070</v>
      </c>
      <c r="B2938" t="s">
        <v>9071</v>
      </c>
      <c r="C2938" s="2">
        <v>46241.583333333336</v>
      </c>
      <c r="D2938" t="s">
        <v>418</v>
      </c>
      <c r="E2938" t="s">
        <v>26</v>
      </c>
      <c r="F2938" t="s">
        <v>279</v>
      </c>
      <c r="G2938" t="s">
        <v>103</v>
      </c>
      <c r="H2938">
        <v>1</v>
      </c>
      <c r="I2938" t="s">
        <v>9072</v>
      </c>
      <c r="J2938" t="s">
        <v>357</v>
      </c>
    </row>
    <row r="2939" spans="1:10" x14ac:dyDescent="0.25">
      <c r="A2939" t="s">
        <v>9073</v>
      </c>
      <c r="B2939" t="s">
        <v>9074</v>
      </c>
      <c r="C2939" s="2">
        <v>46241.583333333336</v>
      </c>
      <c r="D2939" t="s">
        <v>418</v>
      </c>
      <c r="E2939" t="s">
        <v>28</v>
      </c>
      <c r="F2939" t="s">
        <v>249</v>
      </c>
      <c r="G2939" t="s">
        <v>105</v>
      </c>
      <c r="H2939">
        <v>3</v>
      </c>
      <c r="I2939" t="s">
        <v>9075</v>
      </c>
      <c r="J2939" t="s">
        <v>357</v>
      </c>
    </row>
    <row r="2940" spans="1:10" x14ac:dyDescent="0.25">
      <c r="A2940" t="s">
        <v>9076</v>
      </c>
      <c r="B2940" t="s">
        <v>9077</v>
      </c>
      <c r="C2940" s="2">
        <v>46241.583333333336</v>
      </c>
      <c r="D2940" t="s">
        <v>418</v>
      </c>
      <c r="E2940" t="s">
        <v>32</v>
      </c>
      <c r="F2940" t="s">
        <v>222</v>
      </c>
      <c r="G2940" t="s">
        <v>109</v>
      </c>
      <c r="H2940">
        <v>3</v>
      </c>
      <c r="I2940" t="s">
        <v>9078</v>
      </c>
      <c r="J2940" t="s">
        <v>357</v>
      </c>
    </row>
    <row r="2941" spans="1:10" x14ac:dyDescent="0.25">
      <c r="A2941" t="s">
        <v>9079</v>
      </c>
      <c r="B2941" t="s">
        <v>9080</v>
      </c>
      <c r="C2941" s="2">
        <v>46241.583333333336</v>
      </c>
      <c r="D2941" t="s">
        <v>418</v>
      </c>
      <c r="E2941" t="s">
        <v>36</v>
      </c>
      <c r="F2941" t="s">
        <v>187</v>
      </c>
      <c r="G2941" t="s">
        <v>113</v>
      </c>
      <c r="H2941">
        <v>1</v>
      </c>
      <c r="I2941" t="s">
        <v>9081</v>
      </c>
      <c r="J2941" t="s">
        <v>357</v>
      </c>
    </row>
    <row r="2942" spans="1:10" x14ac:dyDescent="0.25">
      <c r="A2942" t="s">
        <v>9082</v>
      </c>
      <c r="B2942" t="s">
        <v>9083</v>
      </c>
      <c r="C2942" s="2">
        <v>46241.583333333336</v>
      </c>
      <c r="D2942" t="s">
        <v>418</v>
      </c>
      <c r="E2942" t="s">
        <v>41</v>
      </c>
      <c r="F2942" t="s">
        <v>224</v>
      </c>
      <c r="G2942" t="s">
        <v>115</v>
      </c>
      <c r="H2942">
        <v>1</v>
      </c>
      <c r="I2942" t="s">
        <v>9084</v>
      </c>
      <c r="J2942" t="s">
        <v>357</v>
      </c>
    </row>
    <row r="2943" spans="1:10" x14ac:dyDescent="0.25">
      <c r="A2943" t="s">
        <v>9085</v>
      </c>
      <c r="B2943" t="s">
        <v>9086</v>
      </c>
      <c r="C2943" s="2">
        <v>46241.583333333336</v>
      </c>
      <c r="D2943" t="s">
        <v>418</v>
      </c>
      <c r="E2943" t="s">
        <v>41</v>
      </c>
      <c r="F2943" t="s">
        <v>265</v>
      </c>
      <c r="G2943" t="s">
        <v>115</v>
      </c>
      <c r="H2943">
        <v>1</v>
      </c>
      <c r="I2943" t="s">
        <v>9084</v>
      </c>
      <c r="J2943" t="s">
        <v>357</v>
      </c>
    </row>
    <row r="2944" spans="1:10" x14ac:dyDescent="0.25">
      <c r="A2944" t="s">
        <v>9087</v>
      </c>
      <c r="B2944" t="s">
        <v>9088</v>
      </c>
      <c r="C2944" s="2">
        <v>46241.583333333336</v>
      </c>
      <c r="D2944" t="s">
        <v>418</v>
      </c>
      <c r="E2944" t="s">
        <v>43</v>
      </c>
      <c r="F2944" t="s">
        <v>266</v>
      </c>
      <c r="G2944" t="s">
        <v>117</v>
      </c>
      <c r="H2944">
        <v>5</v>
      </c>
      <c r="I2944" t="s">
        <v>9089</v>
      </c>
      <c r="J2944" t="s">
        <v>357</v>
      </c>
    </row>
    <row r="2945" spans="1:10" x14ac:dyDescent="0.25">
      <c r="A2945" t="s">
        <v>9090</v>
      </c>
      <c r="B2945" t="s">
        <v>9091</v>
      </c>
      <c r="C2945" s="2">
        <v>46241.583333333336</v>
      </c>
      <c r="D2945" t="s">
        <v>418</v>
      </c>
      <c r="E2945" t="s">
        <v>47</v>
      </c>
      <c r="F2945" t="s">
        <v>190</v>
      </c>
      <c r="G2945" t="s">
        <v>121</v>
      </c>
      <c r="H2945">
        <v>3</v>
      </c>
      <c r="I2945" t="s">
        <v>9092</v>
      </c>
      <c r="J2945" t="s">
        <v>357</v>
      </c>
    </row>
    <row r="2946" spans="1:10" x14ac:dyDescent="0.25">
      <c r="A2946" t="s">
        <v>9093</v>
      </c>
      <c r="B2946" t="s">
        <v>9094</v>
      </c>
      <c r="C2946" s="2">
        <v>46241.583333333336</v>
      </c>
      <c r="D2946" t="s">
        <v>418</v>
      </c>
      <c r="E2946" t="s">
        <v>49</v>
      </c>
      <c r="F2946" t="s">
        <v>253</v>
      </c>
      <c r="G2946" t="s">
        <v>123</v>
      </c>
      <c r="H2946">
        <v>4</v>
      </c>
      <c r="I2946" t="s">
        <v>9095</v>
      </c>
      <c r="J2946" t="s">
        <v>357</v>
      </c>
    </row>
    <row r="2947" spans="1:10" x14ac:dyDescent="0.25">
      <c r="A2947" t="s">
        <v>9096</v>
      </c>
      <c r="B2947" t="s">
        <v>9097</v>
      </c>
      <c r="C2947" s="2">
        <v>46241.583333333336</v>
      </c>
      <c r="D2947" t="s">
        <v>418</v>
      </c>
      <c r="E2947" t="s">
        <v>59</v>
      </c>
      <c r="F2947" t="s">
        <v>227</v>
      </c>
      <c r="G2947" t="s">
        <v>133</v>
      </c>
      <c r="H2947">
        <v>3</v>
      </c>
      <c r="I2947" t="s">
        <v>9098</v>
      </c>
      <c r="J2947" t="s">
        <v>357</v>
      </c>
    </row>
    <row r="2948" spans="1:10" x14ac:dyDescent="0.25">
      <c r="A2948" t="s">
        <v>9099</v>
      </c>
      <c r="B2948" t="s">
        <v>9100</v>
      </c>
      <c r="C2948" s="2">
        <v>46241.583333333336</v>
      </c>
      <c r="D2948" t="s">
        <v>418</v>
      </c>
      <c r="E2948" t="s">
        <v>67</v>
      </c>
      <c r="F2948" t="s">
        <v>242</v>
      </c>
      <c r="G2948" t="s">
        <v>137</v>
      </c>
      <c r="H2948">
        <v>1</v>
      </c>
      <c r="I2948" t="s">
        <v>9101</v>
      </c>
      <c r="J2948" t="s">
        <v>357</v>
      </c>
    </row>
    <row r="2949" spans="1:10" x14ac:dyDescent="0.25">
      <c r="A2949" t="s">
        <v>9102</v>
      </c>
      <c r="B2949" t="s">
        <v>9103</v>
      </c>
      <c r="C2949" s="2">
        <v>46241.583333333336</v>
      </c>
      <c r="D2949" t="s">
        <v>418</v>
      </c>
      <c r="E2949" t="s">
        <v>18</v>
      </c>
      <c r="F2949" t="s">
        <v>275</v>
      </c>
      <c r="G2949" t="s">
        <v>95</v>
      </c>
      <c r="H2949">
        <v>1</v>
      </c>
      <c r="I2949" t="s">
        <v>9104</v>
      </c>
      <c r="J2949" t="s">
        <v>357</v>
      </c>
    </row>
    <row r="2950" spans="1:10" x14ac:dyDescent="0.25">
      <c r="A2950" t="s">
        <v>9105</v>
      </c>
      <c r="B2950" t="s">
        <v>9106</v>
      </c>
      <c r="C2950" s="2">
        <v>46241.583333333336</v>
      </c>
      <c r="D2950" t="s">
        <v>418</v>
      </c>
      <c r="E2950" t="s">
        <v>20</v>
      </c>
      <c r="F2950" t="s">
        <v>276</v>
      </c>
      <c r="G2950" t="s">
        <v>97</v>
      </c>
      <c r="H2950">
        <v>6</v>
      </c>
      <c r="I2950" t="s">
        <v>9107</v>
      </c>
      <c r="J2950" t="s">
        <v>357</v>
      </c>
    </row>
    <row r="2951" spans="1:10" x14ac:dyDescent="0.25">
      <c r="A2951" t="s">
        <v>9108</v>
      </c>
      <c r="B2951" t="s">
        <v>9109</v>
      </c>
      <c r="C2951" s="2">
        <v>46241.583333333336</v>
      </c>
      <c r="D2951" t="s">
        <v>418</v>
      </c>
      <c r="E2951" t="s">
        <v>22</v>
      </c>
      <c r="F2951" t="s">
        <v>277</v>
      </c>
      <c r="G2951" t="s">
        <v>99</v>
      </c>
      <c r="H2951">
        <v>2</v>
      </c>
      <c r="I2951" t="s">
        <v>9110</v>
      </c>
      <c r="J2951" t="s">
        <v>357</v>
      </c>
    </row>
    <row r="2952" spans="1:10" x14ac:dyDescent="0.25">
      <c r="A2952" t="s">
        <v>9111</v>
      </c>
      <c r="B2952" t="s">
        <v>9112</v>
      </c>
      <c r="C2952" s="2">
        <v>46241.583333333336</v>
      </c>
      <c r="D2952" t="s">
        <v>418</v>
      </c>
      <c r="E2952" t="s">
        <v>24</v>
      </c>
      <c r="F2952" t="s">
        <v>278</v>
      </c>
      <c r="G2952" t="s">
        <v>101</v>
      </c>
      <c r="H2952">
        <v>6</v>
      </c>
      <c r="I2952" t="s">
        <v>9113</v>
      </c>
      <c r="J2952" t="s">
        <v>357</v>
      </c>
    </row>
    <row r="2953" spans="1:10" x14ac:dyDescent="0.25">
      <c r="A2953" t="s">
        <v>9114</v>
      </c>
      <c r="B2953" t="s">
        <v>9115</v>
      </c>
      <c r="C2953" s="2">
        <v>46241.583333333336</v>
      </c>
      <c r="D2953" t="s">
        <v>418</v>
      </c>
      <c r="E2953" t="s">
        <v>28</v>
      </c>
      <c r="F2953" t="s">
        <v>249</v>
      </c>
      <c r="G2953" t="s">
        <v>105</v>
      </c>
      <c r="H2953">
        <v>4</v>
      </c>
      <c r="I2953" t="s">
        <v>9116</v>
      </c>
      <c r="J2953" t="s">
        <v>357</v>
      </c>
    </row>
    <row r="2954" spans="1:10" x14ac:dyDescent="0.25">
      <c r="A2954" t="s">
        <v>9117</v>
      </c>
      <c r="B2954" t="s">
        <v>9118</v>
      </c>
      <c r="C2954" s="2">
        <v>46241.583333333336</v>
      </c>
      <c r="D2954" t="s">
        <v>418</v>
      </c>
      <c r="E2954" t="s">
        <v>30</v>
      </c>
      <c r="F2954" t="s">
        <v>250</v>
      </c>
      <c r="G2954" t="s">
        <v>107</v>
      </c>
      <c r="H2954">
        <v>5</v>
      </c>
      <c r="I2954" t="s">
        <v>9119</v>
      </c>
      <c r="J2954" t="s">
        <v>357</v>
      </c>
    </row>
    <row r="2955" spans="1:10" x14ac:dyDescent="0.25">
      <c r="A2955" t="s">
        <v>9120</v>
      </c>
      <c r="B2955" t="s">
        <v>9121</v>
      </c>
      <c r="C2955" s="2">
        <v>46241.583333333336</v>
      </c>
      <c r="D2955" t="s">
        <v>418</v>
      </c>
      <c r="E2955" t="s">
        <v>36</v>
      </c>
      <c r="F2955" t="s">
        <v>187</v>
      </c>
      <c r="G2955" t="s">
        <v>113</v>
      </c>
      <c r="H2955">
        <v>4</v>
      </c>
      <c r="I2955" t="s">
        <v>9122</v>
      </c>
      <c r="J2955" t="s">
        <v>357</v>
      </c>
    </row>
    <row r="2956" spans="1:10" x14ac:dyDescent="0.25">
      <c r="A2956" t="s">
        <v>9123</v>
      </c>
      <c r="B2956" t="s">
        <v>9124</v>
      </c>
      <c r="C2956" s="2">
        <v>46241.583333333336</v>
      </c>
      <c r="D2956" t="s">
        <v>418</v>
      </c>
      <c r="E2956" t="s">
        <v>43</v>
      </c>
      <c r="F2956" t="s">
        <v>266</v>
      </c>
      <c r="G2956" t="s">
        <v>117</v>
      </c>
      <c r="H2956">
        <v>1</v>
      </c>
      <c r="I2956" t="s">
        <v>9125</v>
      </c>
      <c r="J2956" t="s">
        <v>357</v>
      </c>
    </row>
    <row r="2957" spans="1:10" x14ac:dyDescent="0.25">
      <c r="A2957" t="s">
        <v>9126</v>
      </c>
      <c r="B2957" t="s">
        <v>9127</v>
      </c>
      <c r="C2957" s="2">
        <v>46241.583333333336</v>
      </c>
      <c r="D2957" t="s">
        <v>418</v>
      </c>
      <c r="E2957" t="s">
        <v>47</v>
      </c>
      <c r="F2957" t="s">
        <v>190</v>
      </c>
      <c r="G2957" t="s">
        <v>121</v>
      </c>
      <c r="H2957">
        <v>1</v>
      </c>
      <c r="I2957" t="s">
        <v>9128</v>
      </c>
      <c r="J2957" t="s">
        <v>357</v>
      </c>
    </row>
    <row r="2958" spans="1:10" x14ac:dyDescent="0.25">
      <c r="A2958" t="s">
        <v>9129</v>
      </c>
      <c r="B2958" t="s">
        <v>9130</v>
      </c>
      <c r="C2958" s="2">
        <v>46241.583333333336</v>
      </c>
      <c r="D2958" t="s">
        <v>418</v>
      </c>
      <c r="E2958" t="s">
        <v>49</v>
      </c>
      <c r="F2958" t="s">
        <v>253</v>
      </c>
      <c r="G2958" t="s">
        <v>123</v>
      </c>
      <c r="H2958">
        <v>5</v>
      </c>
      <c r="I2958" t="s">
        <v>9131</v>
      </c>
      <c r="J2958" t="s">
        <v>357</v>
      </c>
    </row>
    <row r="2959" spans="1:10" x14ac:dyDescent="0.25">
      <c r="A2959" t="s">
        <v>9132</v>
      </c>
      <c r="B2959" t="s">
        <v>9133</v>
      </c>
      <c r="C2959" s="2">
        <v>46241.583333333336</v>
      </c>
      <c r="D2959" t="s">
        <v>418</v>
      </c>
      <c r="E2959" t="s">
        <v>53</v>
      </c>
      <c r="F2959" t="s">
        <v>126</v>
      </c>
      <c r="G2959" t="s">
        <v>127</v>
      </c>
      <c r="H2959">
        <v>6</v>
      </c>
      <c r="I2959" t="s">
        <v>9134</v>
      </c>
      <c r="J2959" t="s">
        <v>357</v>
      </c>
    </row>
    <row r="2960" spans="1:10" x14ac:dyDescent="0.25">
      <c r="A2960" t="s">
        <v>9135</v>
      </c>
      <c r="B2960" t="s">
        <v>9136</v>
      </c>
      <c r="C2960" s="2">
        <v>46241.583333333336</v>
      </c>
      <c r="D2960" t="s">
        <v>418</v>
      </c>
      <c r="E2960" t="s">
        <v>11</v>
      </c>
      <c r="F2960" t="s">
        <v>274</v>
      </c>
      <c r="G2960" t="s">
        <v>92</v>
      </c>
      <c r="H2960">
        <v>6</v>
      </c>
      <c r="I2960" t="s">
        <v>9137</v>
      </c>
      <c r="J2960" t="s">
        <v>357</v>
      </c>
    </row>
    <row r="2961" spans="1:10" x14ac:dyDescent="0.25">
      <c r="A2961" t="s">
        <v>9138</v>
      </c>
      <c r="B2961" t="s">
        <v>9139</v>
      </c>
      <c r="C2961" s="2">
        <v>46241.583333333336</v>
      </c>
      <c r="D2961" t="s">
        <v>418</v>
      </c>
      <c r="E2961" t="s">
        <v>20</v>
      </c>
      <c r="F2961" t="s">
        <v>276</v>
      </c>
      <c r="G2961" t="s">
        <v>97</v>
      </c>
      <c r="H2961">
        <v>3</v>
      </c>
      <c r="I2961" t="s">
        <v>9140</v>
      </c>
      <c r="J2961" t="s">
        <v>357</v>
      </c>
    </row>
    <row r="2962" spans="1:10" x14ac:dyDescent="0.25">
      <c r="A2962" t="s">
        <v>9141</v>
      </c>
      <c r="B2962" t="s">
        <v>9142</v>
      </c>
      <c r="C2962" s="2">
        <v>46241.583333333336</v>
      </c>
      <c r="D2962" t="s">
        <v>418</v>
      </c>
      <c r="E2962" t="s">
        <v>24</v>
      </c>
      <c r="F2962" t="s">
        <v>278</v>
      </c>
      <c r="G2962" t="s">
        <v>101</v>
      </c>
      <c r="H2962">
        <v>1</v>
      </c>
      <c r="I2962" t="s">
        <v>9143</v>
      </c>
      <c r="J2962" t="s">
        <v>357</v>
      </c>
    </row>
    <row r="2963" spans="1:10" x14ac:dyDescent="0.25">
      <c r="A2963" t="s">
        <v>9144</v>
      </c>
      <c r="B2963" t="s">
        <v>9145</v>
      </c>
      <c r="C2963" s="2">
        <v>46241.583333333336</v>
      </c>
      <c r="D2963" t="s">
        <v>418</v>
      </c>
      <c r="E2963" t="s">
        <v>26</v>
      </c>
      <c r="F2963" t="s">
        <v>279</v>
      </c>
      <c r="G2963" t="s">
        <v>103</v>
      </c>
      <c r="H2963">
        <v>3</v>
      </c>
      <c r="I2963" t="s">
        <v>9146</v>
      </c>
      <c r="J2963" t="s">
        <v>357</v>
      </c>
    </row>
    <row r="2964" spans="1:10" x14ac:dyDescent="0.25">
      <c r="A2964" t="s">
        <v>9147</v>
      </c>
      <c r="B2964" t="s">
        <v>9148</v>
      </c>
      <c r="C2964" s="2">
        <v>46241.583333333336</v>
      </c>
      <c r="D2964" t="s">
        <v>418</v>
      </c>
      <c r="E2964" t="s">
        <v>43</v>
      </c>
      <c r="F2964" t="s">
        <v>266</v>
      </c>
      <c r="G2964" t="s">
        <v>117</v>
      </c>
      <c r="H2964">
        <v>7</v>
      </c>
      <c r="I2964" t="s">
        <v>9149</v>
      </c>
      <c r="J2964" t="s">
        <v>357</v>
      </c>
    </row>
    <row r="2965" spans="1:10" x14ac:dyDescent="0.25">
      <c r="A2965" t="s">
        <v>9150</v>
      </c>
      <c r="B2965" t="s">
        <v>9151</v>
      </c>
      <c r="C2965" s="2">
        <v>46241.583333333336</v>
      </c>
      <c r="D2965" t="s">
        <v>418</v>
      </c>
      <c r="E2965" t="s">
        <v>45</v>
      </c>
      <c r="F2965" t="s">
        <v>267</v>
      </c>
      <c r="G2965" t="s">
        <v>119</v>
      </c>
      <c r="H2965">
        <v>4</v>
      </c>
      <c r="I2965" t="s">
        <v>9152</v>
      </c>
      <c r="J2965" t="s">
        <v>357</v>
      </c>
    </row>
    <row r="2966" spans="1:10" x14ac:dyDescent="0.25">
      <c r="A2966" t="s">
        <v>9153</v>
      </c>
      <c r="B2966" t="s">
        <v>9154</v>
      </c>
      <c r="C2966" s="2">
        <v>46241.583333333336</v>
      </c>
      <c r="D2966" t="s">
        <v>418</v>
      </c>
      <c r="E2966" t="s">
        <v>73</v>
      </c>
      <c r="F2966" t="s">
        <v>213</v>
      </c>
      <c r="G2966" t="s">
        <v>143</v>
      </c>
      <c r="H2966">
        <v>3</v>
      </c>
      <c r="I2966" t="s">
        <v>9155</v>
      </c>
      <c r="J2966" t="s">
        <v>357</v>
      </c>
    </row>
    <row r="2967" spans="1:10" x14ac:dyDescent="0.25">
      <c r="A2967" t="s">
        <v>9156</v>
      </c>
      <c r="B2967" t="s">
        <v>9157</v>
      </c>
      <c r="C2967" s="2">
        <v>46241.583333333336</v>
      </c>
      <c r="D2967" t="s">
        <v>418</v>
      </c>
      <c r="E2967" t="s">
        <v>75</v>
      </c>
      <c r="F2967" t="s">
        <v>230</v>
      </c>
      <c r="G2967" t="s">
        <v>145</v>
      </c>
      <c r="H2967">
        <v>1</v>
      </c>
      <c r="I2967" t="s">
        <v>9158</v>
      </c>
      <c r="J2967" t="s">
        <v>357</v>
      </c>
    </row>
    <row r="2968" spans="1:10" x14ac:dyDescent="0.25">
      <c r="A2968" t="s">
        <v>9159</v>
      </c>
      <c r="B2968" t="s">
        <v>9160</v>
      </c>
      <c r="C2968" s="2">
        <v>46241.583333333336</v>
      </c>
      <c r="D2968" t="s">
        <v>418</v>
      </c>
      <c r="E2968" t="s">
        <v>11</v>
      </c>
      <c r="F2968" t="s">
        <v>274</v>
      </c>
      <c r="G2968" t="s">
        <v>92</v>
      </c>
      <c r="H2968">
        <v>4</v>
      </c>
      <c r="I2968" t="s">
        <v>9161</v>
      </c>
      <c r="J2968" t="s">
        <v>357</v>
      </c>
    </row>
    <row r="2969" spans="1:10" x14ac:dyDescent="0.25">
      <c r="A2969" t="s">
        <v>9162</v>
      </c>
      <c r="B2969" t="s">
        <v>9163</v>
      </c>
      <c r="C2969" s="2">
        <v>46241.583333333336</v>
      </c>
      <c r="D2969" t="s">
        <v>418</v>
      </c>
      <c r="E2969" t="s">
        <v>22</v>
      </c>
      <c r="F2969" t="s">
        <v>277</v>
      </c>
      <c r="G2969" t="s">
        <v>99</v>
      </c>
      <c r="H2969">
        <v>2</v>
      </c>
      <c r="I2969" t="s">
        <v>9164</v>
      </c>
      <c r="J2969" t="s">
        <v>357</v>
      </c>
    </row>
    <row r="2970" spans="1:10" x14ac:dyDescent="0.25">
      <c r="A2970" t="s">
        <v>9165</v>
      </c>
      <c r="B2970" t="s">
        <v>9166</v>
      </c>
      <c r="C2970" s="2">
        <v>46241.583333333336</v>
      </c>
      <c r="D2970" t="s">
        <v>418</v>
      </c>
      <c r="E2970" t="s">
        <v>24</v>
      </c>
      <c r="F2970" t="s">
        <v>278</v>
      </c>
      <c r="G2970" t="s">
        <v>101</v>
      </c>
      <c r="H2970">
        <v>4</v>
      </c>
      <c r="I2970" t="s">
        <v>9167</v>
      </c>
      <c r="J2970" t="s">
        <v>357</v>
      </c>
    </row>
    <row r="2971" spans="1:10" x14ac:dyDescent="0.25">
      <c r="A2971" t="s">
        <v>9168</v>
      </c>
      <c r="B2971" t="s">
        <v>9169</v>
      </c>
      <c r="C2971" s="2">
        <v>46241.583333333336</v>
      </c>
      <c r="D2971" t="s">
        <v>418</v>
      </c>
      <c r="E2971" t="s">
        <v>26</v>
      </c>
      <c r="F2971" t="s">
        <v>279</v>
      </c>
      <c r="G2971" t="s">
        <v>103</v>
      </c>
      <c r="H2971">
        <v>3</v>
      </c>
      <c r="I2971" t="s">
        <v>9170</v>
      </c>
      <c r="J2971" t="s">
        <v>357</v>
      </c>
    </row>
    <row r="2972" spans="1:10" x14ac:dyDescent="0.25">
      <c r="A2972" t="s">
        <v>9171</v>
      </c>
      <c r="B2972" t="s">
        <v>9172</v>
      </c>
      <c r="C2972" s="2">
        <v>46241.583333333336</v>
      </c>
      <c r="D2972" t="s">
        <v>418</v>
      </c>
      <c r="E2972" t="s">
        <v>28</v>
      </c>
      <c r="F2972" t="s">
        <v>249</v>
      </c>
      <c r="G2972" t="s">
        <v>105</v>
      </c>
      <c r="H2972">
        <v>2</v>
      </c>
      <c r="I2972" t="s">
        <v>9173</v>
      </c>
      <c r="J2972" t="s">
        <v>357</v>
      </c>
    </row>
    <row r="2973" spans="1:10" x14ac:dyDescent="0.25">
      <c r="A2973" t="s">
        <v>9174</v>
      </c>
      <c r="B2973" t="s">
        <v>9175</v>
      </c>
      <c r="C2973" s="2">
        <v>46241.583333333336</v>
      </c>
      <c r="D2973" t="s">
        <v>418</v>
      </c>
      <c r="E2973" t="s">
        <v>71</v>
      </c>
      <c r="F2973" t="s">
        <v>212</v>
      </c>
      <c r="G2973" t="s">
        <v>141</v>
      </c>
      <c r="H2973">
        <v>4</v>
      </c>
      <c r="I2973" t="s">
        <v>9176</v>
      </c>
      <c r="J2973" t="s">
        <v>357</v>
      </c>
    </row>
    <row r="2974" spans="1:10" x14ac:dyDescent="0.25">
      <c r="A2974" t="s">
        <v>9177</v>
      </c>
      <c r="B2974" t="s">
        <v>9178</v>
      </c>
      <c r="C2974" s="2">
        <v>46241.583333333336</v>
      </c>
      <c r="D2974" t="s">
        <v>418</v>
      </c>
      <c r="E2974" t="s">
        <v>73</v>
      </c>
      <c r="F2974" t="s">
        <v>213</v>
      </c>
      <c r="G2974" t="s">
        <v>143</v>
      </c>
      <c r="H2974">
        <v>4</v>
      </c>
      <c r="I2974" t="s">
        <v>9179</v>
      </c>
      <c r="J2974" t="s">
        <v>357</v>
      </c>
    </row>
    <row r="2975" spans="1:10" x14ac:dyDescent="0.25">
      <c r="A2975" t="s">
        <v>9180</v>
      </c>
      <c r="B2975" t="s">
        <v>9181</v>
      </c>
      <c r="C2975" s="2">
        <v>46242.583333333336</v>
      </c>
      <c r="D2975" t="s">
        <v>418</v>
      </c>
      <c r="E2975" t="s">
        <v>11</v>
      </c>
      <c r="F2975" t="s">
        <v>274</v>
      </c>
      <c r="G2975" t="s">
        <v>92</v>
      </c>
      <c r="H2975">
        <v>5</v>
      </c>
      <c r="I2975" t="s">
        <v>9182</v>
      </c>
      <c r="J2975" t="s">
        <v>357</v>
      </c>
    </row>
    <row r="2976" spans="1:10" x14ac:dyDescent="0.25">
      <c r="A2976" t="s">
        <v>9183</v>
      </c>
      <c r="B2976" t="s">
        <v>9184</v>
      </c>
      <c r="C2976" s="2">
        <v>46242.583333333336</v>
      </c>
      <c r="D2976" t="s">
        <v>418</v>
      </c>
      <c r="E2976" t="s">
        <v>22</v>
      </c>
      <c r="F2976" t="s">
        <v>277</v>
      </c>
      <c r="G2976" t="s">
        <v>99</v>
      </c>
      <c r="H2976">
        <v>2</v>
      </c>
      <c r="I2976" t="s">
        <v>9185</v>
      </c>
      <c r="J2976" t="s">
        <v>357</v>
      </c>
    </row>
    <row r="2977" spans="1:10" x14ac:dyDescent="0.25">
      <c r="A2977" t="s">
        <v>9186</v>
      </c>
      <c r="B2977" t="s">
        <v>9187</v>
      </c>
      <c r="C2977" s="2">
        <v>46242.583333333336</v>
      </c>
      <c r="D2977" t="s">
        <v>418</v>
      </c>
      <c r="E2977" t="s">
        <v>24</v>
      </c>
      <c r="F2977" t="s">
        <v>278</v>
      </c>
      <c r="G2977" t="s">
        <v>101</v>
      </c>
      <c r="H2977">
        <v>1</v>
      </c>
      <c r="I2977" t="s">
        <v>9188</v>
      </c>
      <c r="J2977" t="s">
        <v>357</v>
      </c>
    </row>
    <row r="2978" spans="1:10" x14ac:dyDescent="0.25">
      <c r="A2978" t="s">
        <v>9189</v>
      </c>
      <c r="B2978" t="s">
        <v>9190</v>
      </c>
      <c r="C2978" s="2">
        <v>46242.583333333336</v>
      </c>
      <c r="D2978" t="s">
        <v>418</v>
      </c>
      <c r="E2978" t="s">
        <v>26</v>
      </c>
      <c r="F2978" t="s">
        <v>279</v>
      </c>
      <c r="G2978" t="s">
        <v>103</v>
      </c>
      <c r="H2978">
        <v>4</v>
      </c>
      <c r="I2978" t="s">
        <v>9191</v>
      </c>
      <c r="J2978" t="s">
        <v>357</v>
      </c>
    </row>
    <row r="2979" spans="1:10" x14ac:dyDescent="0.25">
      <c r="A2979" t="s">
        <v>9192</v>
      </c>
      <c r="B2979" t="s">
        <v>9193</v>
      </c>
      <c r="C2979" s="2">
        <v>46242.583333333336</v>
      </c>
      <c r="D2979" t="s">
        <v>418</v>
      </c>
      <c r="E2979" t="s">
        <v>47</v>
      </c>
      <c r="F2979" t="s">
        <v>190</v>
      </c>
      <c r="G2979" t="s">
        <v>121</v>
      </c>
      <c r="H2979">
        <v>5</v>
      </c>
      <c r="I2979" t="s">
        <v>9194</v>
      </c>
      <c r="J2979" t="s">
        <v>357</v>
      </c>
    </row>
    <row r="2980" spans="1:10" x14ac:dyDescent="0.25">
      <c r="A2980" t="s">
        <v>9195</v>
      </c>
      <c r="B2980" t="s">
        <v>9196</v>
      </c>
      <c r="C2980" s="2">
        <v>46242.583333333336</v>
      </c>
      <c r="D2980" t="s">
        <v>418</v>
      </c>
      <c r="E2980" t="s">
        <v>53</v>
      </c>
      <c r="F2980" t="s">
        <v>126</v>
      </c>
      <c r="G2980" t="s">
        <v>127</v>
      </c>
      <c r="H2980">
        <v>3</v>
      </c>
      <c r="I2980" t="s">
        <v>9197</v>
      </c>
      <c r="J2980" t="s">
        <v>357</v>
      </c>
    </row>
    <row r="2981" spans="1:10" x14ac:dyDescent="0.25">
      <c r="A2981" t="s">
        <v>9198</v>
      </c>
      <c r="B2981" t="s">
        <v>9199</v>
      </c>
      <c r="C2981" s="2">
        <v>46242.583333333336</v>
      </c>
      <c r="D2981" t="s">
        <v>418</v>
      </c>
      <c r="E2981" t="s">
        <v>59</v>
      </c>
      <c r="F2981" t="s">
        <v>227</v>
      </c>
      <c r="G2981" t="s">
        <v>133</v>
      </c>
      <c r="H2981">
        <v>5</v>
      </c>
      <c r="I2981" t="s">
        <v>9200</v>
      </c>
      <c r="J2981" t="s">
        <v>357</v>
      </c>
    </row>
    <row r="2982" spans="1:10" x14ac:dyDescent="0.25">
      <c r="A2982" t="s">
        <v>9201</v>
      </c>
      <c r="B2982" t="s">
        <v>9202</v>
      </c>
      <c r="C2982" s="2">
        <v>46242.583333333336</v>
      </c>
      <c r="D2982" t="s">
        <v>418</v>
      </c>
      <c r="E2982" t="s">
        <v>77</v>
      </c>
      <c r="F2982" t="s">
        <v>243</v>
      </c>
      <c r="G2982" t="s">
        <v>147</v>
      </c>
      <c r="H2982">
        <v>4</v>
      </c>
      <c r="I2982" t="s">
        <v>9203</v>
      </c>
      <c r="J2982" t="s">
        <v>357</v>
      </c>
    </row>
    <row r="2983" spans="1:10" x14ac:dyDescent="0.25">
      <c r="A2983" t="s">
        <v>9204</v>
      </c>
      <c r="B2983" t="s">
        <v>9205</v>
      </c>
      <c r="C2983" s="2">
        <v>46242.583333333336</v>
      </c>
      <c r="D2983" t="s">
        <v>418</v>
      </c>
      <c r="E2983" t="s">
        <v>11</v>
      </c>
      <c r="F2983" t="s">
        <v>274</v>
      </c>
      <c r="G2983" t="s">
        <v>92</v>
      </c>
      <c r="H2983">
        <v>3</v>
      </c>
      <c r="I2983" t="s">
        <v>9206</v>
      </c>
      <c r="J2983" t="s">
        <v>357</v>
      </c>
    </row>
    <row r="2984" spans="1:10" x14ac:dyDescent="0.25">
      <c r="A2984" t="s">
        <v>9207</v>
      </c>
      <c r="B2984" t="s">
        <v>9208</v>
      </c>
      <c r="C2984" s="2">
        <v>46242.583333333336</v>
      </c>
      <c r="D2984" t="s">
        <v>418</v>
      </c>
      <c r="E2984" t="s">
        <v>18</v>
      </c>
      <c r="F2984" t="s">
        <v>275</v>
      </c>
      <c r="G2984" t="s">
        <v>95</v>
      </c>
      <c r="H2984">
        <v>6</v>
      </c>
      <c r="I2984" t="s">
        <v>9209</v>
      </c>
      <c r="J2984" t="s">
        <v>357</v>
      </c>
    </row>
    <row r="2985" spans="1:10" x14ac:dyDescent="0.25">
      <c r="A2985" t="s">
        <v>9210</v>
      </c>
      <c r="B2985" t="s">
        <v>9211</v>
      </c>
      <c r="C2985" s="2">
        <v>46242.583333333336</v>
      </c>
      <c r="D2985" t="s">
        <v>418</v>
      </c>
      <c r="E2985" t="s">
        <v>24</v>
      </c>
      <c r="F2985" t="s">
        <v>278</v>
      </c>
      <c r="G2985" t="s">
        <v>101</v>
      </c>
      <c r="H2985">
        <v>6</v>
      </c>
      <c r="I2985" t="s">
        <v>9212</v>
      </c>
      <c r="J2985" t="s">
        <v>357</v>
      </c>
    </row>
    <row r="2986" spans="1:10" x14ac:dyDescent="0.25">
      <c r="A2986" t="s">
        <v>9213</v>
      </c>
      <c r="B2986" t="s">
        <v>9214</v>
      </c>
      <c r="C2986" s="2">
        <v>46242.583333333336</v>
      </c>
      <c r="D2986" t="s">
        <v>418</v>
      </c>
      <c r="E2986" t="s">
        <v>26</v>
      </c>
      <c r="F2986" t="s">
        <v>279</v>
      </c>
      <c r="G2986" t="s">
        <v>103</v>
      </c>
      <c r="H2986">
        <v>6</v>
      </c>
      <c r="I2986" t="s">
        <v>9215</v>
      </c>
      <c r="J2986" t="s">
        <v>357</v>
      </c>
    </row>
    <row r="2987" spans="1:10" x14ac:dyDescent="0.25">
      <c r="A2987" t="s">
        <v>9216</v>
      </c>
      <c r="B2987" t="s">
        <v>9217</v>
      </c>
      <c r="C2987" s="2">
        <v>46242.583333333336</v>
      </c>
      <c r="D2987" t="s">
        <v>418</v>
      </c>
      <c r="E2987" t="s">
        <v>51</v>
      </c>
      <c r="F2987" t="s">
        <v>168</v>
      </c>
      <c r="G2987" t="s">
        <v>125</v>
      </c>
      <c r="H2987">
        <v>3</v>
      </c>
      <c r="I2987" t="s">
        <v>9218</v>
      </c>
      <c r="J2987" t="s">
        <v>357</v>
      </c>
    </row>
    <row r="2988" spans="1:10" x14ac:dyDescent="0.25">
      <c r="A2988" t="s">
        <v>9219</v>
      </c>
      <c r="B2988" t="s">
        <v>9220</v>
      </c>
      <c r="C2988" s="2">
        <v>46242.583333333336</v>
      </c>
      <c r="D2988" t="s">
        <v>418</v>
      </c>
      <c r="E2988" t="s">
        <v>57</v>
      </c>
      <c r="F2988" t="s">
        <v>255</v>
      </c>
      <c r="G2988" t="s">
        <v>131</v>
      </c>
      <c r="H2988">
        <v>3</v>
      </c>
      <c r="I2988" t="s">
        <v>9221</v>
      </c>
      <c r="J2988" t="s">
        <v>357</v>
      </c>
    </row>
    <row r="2989" spans="1:10" x14ac:dyDescent="0.25">
      <c r="A2989" t="s">
        <v>9222</v>
      </c>
      <c r="B2989" t="s">
        <v>9223</v>
      </c>
      <c r="C2989" s="2">
        <v>46242.583333333336</v>
      </c>
      <c r="D2989" t="s">
        <v>418</v>
      </c>
      <c r="E2989" t="s">
        <v>11</v>
      </c>
      <c r="F2989" t="s">
        <v>274</v>
      </c>
      <c r="G2989" t="s">
        <v>92</v>
      </c>
      <c r="H2989">
        <v>8</v>
      </c>
      <c r="I2989" t="s">
        <v>9224</v>
      </c>
      <c r="J2989" t="s">
        <v>357</v>
      </c>
    </row>
    <row r="2990" spans="1:10" x14ac:dyDescent="0.25">
      <c r="A2990" t="s">
        <v>9225</v>
      </c>
      <c r="B2990" t="s">
        <v>9226</v>
      </c>
      <c r="C2990" s="2">
        <v>46242.583333333336</v>
      </c>
      <c r="D2990" t="s">
        <v>418</v>
      </c>
      <c r="E2990" t="s">
        <v>18</v>
      </c>
      <c r="F2990" t="s">
        <v>275</v>
      </c>
      <c r="G2990" t="s">
        <v>95</v>
      </c>
      <c r="H2990">
        <v>3</v>
      </c>
      <c r="I2990" t="s">
        <v>9227</v>
      </c>
      <c r="J2990" t="s">
        <v>357</v>
      </c>
    </row>
    <row r="2991" spans="1:10" x14ac:dyDescent="0.25">
      <c r="A2991" t="s">
        <v>9228</v>
      </c>
      <c r="B2991" t="s">
        <v>9229</v>
      </c>
      <c r="C2991" s="2">
        <v>46242.583333333336</v>
      </c>
      <c r="D2991" t="s">
        <v>418</v>
      </c>
      <c r="E2991" t="s">
        <v>24</v>
      </c>
      <c r="F2991" t="s">
        <v>278</v>
      </c>
      <c r="G2991" t="s">
        <v>101</v>
      </c>
      <c r="H2991">
        <v>6</v>
      </c>
      <c r="I2991" t="s">
        <v>9230</v>
      </c>
      <c r="J2991" t="s">
        <v>357</v>
      </c>
    </row>
    <row r="2992" spans="1:10" x14ac:dyDescent="0.25">
      <c r="A2992" t="s">
        <v>9231</v>
      </c>
      <c r="B2992" t="s">
        <v>9232</v>
      </c>
      <c r="C2992" s="2">
        <v>46242.583333333336</v>
      </c>
      <c r="D2992" t="s">
        <v>418</v>
      </c>
      <c r="E2992" t="s">
        <v>26</v>
      </c>
      <c r="F2992" t="s">
        <v>279</v>
      </c>
      <c r="G2992" t="s">
        <v>103</v>
      </c>
      <c r="H2992">
        <v>3</v>
      </c>
      <c r="I2992" t="s">
        <v>9233</v>
      </c>
      <c r="J2992" t="s">
        <v>357</v>
      </c>
    </row>
    <row r="2993" spans="1:10" x14ac:dyDescent="0.25">
      <c r="A2993" t="s">
        <v>9234</v>
      </c>
      <c r="B2993" t="s">
        <v>9235</v>
      </c>
      <c r="C2993" s="2">
        <v>46242.583333333336</v>
      </c>
      <c r="D2993" t="s">
        <v>418</v>
      </c>
      <c r="E2993" t="s">
        <v>30</v>
      </c>
      <c r="F2993" t="s">
        <v>250</v>
      </c>
      <c r="G2993" t="s">
        <v>107</v>
      </c>
      <c r="H2993">
        <v>3</v>
      </c>
      <c r="I2993" t="s">
        <v>9236</v>
      </c>
      <c r="J2993" t="s">
        <v>357</v>
      </c>
    </row>
    <row r="2994" spans="1:10" x14ac:dyDescent="0.25">
      <c r="A2994" t="s">
        <v>9237</v>
      </c>
      <c r="B2994" t="s">
        <v>9238</v>
      </c>
      <c r="C2994" s="2">
        <v>46242.583333333336</v>
      </c>
      <c r="D2994" t="s">
        <v>418</v>
      </c>
      <c r="E2994" t="s">
        <v>41</v>
      </c>
      <c r="F2994" t="s">
        <v>265</v>
      </c>
      <c r="G2994" t="s">
        <v>115</v>
      </c>
      <c r="H2994">
        <v>8</v>
      </c>
      <c r="I2994" t="s">
        <v>9239</v>
      </c>
      <c r="J2994" t="s">
        <v>357</v>
      </c>
    </row>
    <row r="2995" spans="1:10" x14ac:dyDescent="0.25">
      <c r="A2995" t="s">
        <v>9240</v>
      </c>
      <c r="B2995" t="s">
        <v>9241</v>
      </c>
      <c r="C2995" s="2">
        <v>46242.583333333336</v>
      </c>
      <c r="D2995" t="s">
        <v>418</v>
      </c>
      <c r="E2995" t="s">
        <v>59</v>
      </c>
      <c r="F2995" t="s">
        <v>227</v>
      </c>
      <c r="G2995" t="s">
        <v>133</v>
      </c>
      <c r="H2995">
        <v>5</v>
      </c>
      <c r="I2995" t="s">
        <v>9242</v>
      </c>
      <c r="J2995" t="s">
        <v>357</v>
      </c>
    </row>
    <row r="2996" spans="1:10" x14ac:dyDescent="0.25">
      <c r="A2996" t="s">
        <v>9243</v>
      </c>
      <c r="B2996" t="s">
        <v>9244</v>
      </c>
      <c r="C2996" s="2">
        <v>46242.583333333336</v>
      </c>
      <c r="D2996" t="s">
        <v>418</v>
      </c>
      <c r="E2996" t="s">
        <v>65</v>
      </c>
      <c r="F2996" t="s">
        <v>241</v>
      </c>
      <c r="G2996" t="s">
        <v>135</v>
      </c>
      <c r="H2996">
        <v>8</v>
      </c>
      <c r="I2996" t="s">
        <v>9245</v>
      </c>
      <c r="J2996" t="s">
        <v>357</v>
      </c>
    </row>
    <row r="2997" spans="1:10" x14ac:dyDescent="0.25">
      <c r="A2997" t="s">
        <v>9246</v>
      </c>
      <c r="B2997" t="s">
        <v>9247</v>
      </c>
      <c r="C2997" s="2">
        <v>46242.583333333336</v>
      </c>
      <c r="D2997" t="s">
        <v>418</v>
      </c>
      <c r="E2997" t="s">
        <v>67</v>
      </c>
      <c r="F2997" t="s">
        <v>242</v>
      </c>
      <c r="G2997" t="s">
        <v>137</v>
      </c>
      <c r="H2997">
        <v>5</v>
      </c>
      <c r="I2997" t="s">
        <v>9248</v>
      </c>
      <c r="J2997" t="s">
        <v>357</v>
      </c>
    </row>
    <row r="2998" spans="1:10" x14ac:dyDescent="0.25">
      <c r="A2998" t="s">
        <v>9249</v>
      </c>
      <c r="B2998" t="s">
        <v>9250</v>
      </c>
      <c r="C2998" s="2">
        <v>46242.583333333336</v>
      </c>
      <c r="D2998" t="s">
        <v>418</v>
      </c>
      <c r="E2998" t="s">
        <v>73</v>
      </c>
      <c r="F2998" t="s">
        <v>213</v>
      </c>
      <c r="G2998" t="s">
        <v>143</v>
      </c>
      <c r="H2998">
        <v>5</v>
      </c>
      <c r="I2998" t="s">
        <v>9251</v>
      </c>
      <c r="J2998" t="s">
        <v>357</v>
      </c>
    </row>
    <row r="2999" spans="1:10" x14ac:dyDescent="0.25">
      <c r="A2999" t="s">
        <v>9252</v>
      </c>
      <c r="B2999" t="s">
        <v>9253</v>
      </c>
      <c r="C2999" s="2">
        <v>46242.583333333336</v>
      </c>
      <c r="D2999" t="s">
        <v>418</v>
      </c>
      <c r="E2999" t="s">
        <v>18</v>
      </c>
      <c r="F2999" t="s">
        <v>275</v>
      </c>
      <c r="G2999" t="s">
        <v>95</v>
      </c>
      <c r="H2999">
        <v>5</v>
      </c>
      <c r="I2999" t="s">
        <v>9254</v>
      </c>
      <c r="J2999" t="s">
        <v>357</v>
      </c>
    </row>
    <row r="3000" spans="1:10" x14ac:dyDescent="0.25">
      <c r="A3000" t="s">
        <v>9255</v>
      </c>
      <c r="B3000" t="s">
        <v>9256</v>
      </c>
      <c r="C3000" s="2">
        <v>46242.583333333336</v>
      </c>
      <c r="D3000" t="s">
        <v>418</v>
      </c>
      <c r="E3000" t="s">
        <v>24</v>
      </c>
      <c r="F3000" t="s">
        <v>278</v>
      </c>
      <c r="G3000" t="s">
        <v>101</v>
      </c>
      <c r="H3000">
        <v>2</v>
      </c>
      <c r="I3000" t="s">
        <v>9257</v>
      </c>
      <c r="J3000" t="s">
        <v>357</v>
      </c>
    </row>
    <row r="3001" spans="1:10" x14ac:dyDescent="0.25">
      <c r="A3001" t="s">
        <v>9258</v>
      </c>
      <c r="B3001" t="s">
        <v>9259</v>
      </c>
      <c r="C3001" s="2">
        <v>46242.583333333336</v>
      </c>
      <c r="D3001" t="s">
        <v>418</v>
      </c>
      <c r="E3001" t="s">
        <v>28</v>
      </c>
      <c r="F3001" t="s">
        <v>249</v>
      </c>
      <c r="G3001" t="s">
        <v>105</v>
      </c>
      <c r="H3001">
        <v>2</v>
      </c>
      <c r="I3001" t="s">
        <v>9260</v>
      </c>
      <c r="J3001" t="s">
        <v>357</v>
      </c>
    </row>
    <row r="3002" spans="1:10" x14ac:dyDescent="0.25">
      <c r="A3002" t="s">
        <v>9261</v>
      </c>
      <c r="B3002" t="s">
        <v>9262</v>
      </c>
      <c r="C3002" s="2">
        <v>46242.583333333336</v>
      </c>
      <c r="D3002" t="s">
        <v>418</v>
      </c>
      <c r="E3002" t="s">
        <v>47</v>
      </c>
      <c r="F3002" t="s">
        <v>190</v>
      </c>
      <c r="G3002" t="s">
        <v>121</v>
      </c>
      <c r="H3002">
        <v>1</v>
      </c>
      <c r="I3002" t="s">
        <v>9263</v>
      </c>
      <c r="J3002" t="s">
        <v>357</v>
      </c>
    </row>
    <row r="3003" spans="1:10" x14ac:dyDescent="0.25">
      <c r="A3003" t="s">
        <v>9264</v>
      </c>
      <c r="B3003" t="s">
        <v>9265</v>
      </c>
      <c r="C3003" s="2">
        <v>46242.583333333336</v>
      </c>
      <c r="D3003" t="s">
        <v>418</v>
      </c>
      <c r="E3003" t="s">
        <v>47</v>
      </c>
      <c r="F3003" t="s">
        <v>268</v>
      </c>
      <c r="G3003" t="s">
        <v>121</v>
      </c>
      <c r="H3003">
        <v>3</v>
      </c>
      <c r="I3003" t="s">
        <v>9263</v>
      </c>
      <c r="J3003" t="s">
        <v>357</v>
      </c>
    </row>
    <row r="3004" spans="1:10" x14ac:dyDescent="0.25">
      <c r="A3004" t="s">
        <v>9266</v>
      </c>
      <c r="B3004" t="s">
        <v>9267</v>
      </c>
      <c r="C3004" s="2">
        <v>46242.583333333336</v>
      </c>
      <c r="D3004" t="s">
        <v>418</v>
      </c>
      <c r="E3004" t="s">
        <v>55</v>
      </c>
      <c r="F3004" t="s">
        <v>240</v>
      </c>
      <c r="G3004" t="s">
        <v>129</v>
      </c>
      <c r="H3004">
        <v>9</v>
      </c>
      <c r="I3004" t="s">
        <v>9268</v>
      </c>
      <c r="J3004" t="s">
        <v>357</v>
      </c>
    </row>
    <row r="3005" spans="1:10" x14ac:dyDescent="0.25">
      <c r="A3005" t="s">
        <v>9269</v>
      </c>
      <c r="B3005" t="s">
        <v>9270</v>
      </c>
      <c r="C3005" s="2">
        <v>46242.583333333336</v>
      </c>
      <c r="D3005" t="s">
        <v>418</v>
      </c>
      <c r="E3005" t="s">
        <v>59</v>
      </c>
      <c r="F3005" t="s">
        <v>227</v>
      </c>
      <c r="G3005" t="s">
        <v>133</v>
      </c>
      <c r="H3005">
        <v>7</v>
      </c>
      <c r="I3005" t="s">
        <v>9271</v>
      </c>
      <c r="J3005" t="s">
        <v>357</v>
      </c>
    </row>
    <row r="3006" spans="1:10" x14ac:dyDescent="0.25">
      <c r="A3006" t="s">
        <v>9272</v>
      </c>
      <c r="B3006" t="s">
        <v>9273</v>
      </c>
      <c r="C3006" s="2">
        <v>46242.583333333336</v>
      </c>
      <c r="D3006" t="s">
        <v>418</v>
      </c>
      <c r="E3006" t="s">
        <v>67</v>
      </c>
      <c r="F3006" t="s">
        <v>242</v>
      </c>
      <c r="G3006" t="s">
        <v>137</v>
      </c>
      <c r="H3006">
        <v>5</v>
      </c>
      <c r="I3006" t="s">
        <v>9274</v>
      </c>
      <c r="J3006" t="s">
        <v>357</v>
      </c>
    </row>
    <row r="3007" spans="1:10" x14ac:dyDescent="0.25">
      <c r="A3007" t="s">
        <v>9275</v>
      </c>
      <c r="B3007" t="s">
        <v>9276</v>
      </c>
      <c r="C3007" s="2">
        <v>46242.583333333336</v>
      </c>
      <c r="D3007" t="s">
        <v>418</v>
      </c>
      <c r="E3007" t="s">
        <v>73</v>
      </c>
      <c r="F3007" t="s">
        <v>213</v>
      </c>
      <c r="G3007" t="s">
        <v>143</v>
      </c>
      <c r="H3007">
        <v>2</v>
      </c>
      <c r="I3007" t="s">
        <v>9277</v>
      </c>
      <c r="J3007" t="s">
        <v>357</v>
      </c>
    </row>
    <row r="3008" spans="1:10" x14ac:dyDescent="0.25">
      <c r="A3008" t="s">
        <v>9278</v>
      </c>
      <c r="B3008" t="s">
        <v>9279</v>
      </c>
      <c r="C3008" s="2">
        <v>46242.583333333336</v>
      </c>
      <c r="D3008" t="s">
        <v>418</v>
      </c>
      <c r="E3008" t="s">
        <v>75</v>
      </c>
      <c r="F3008" t="s">
        <v>230</v>
      </c>
      <c r="G3008" t="s">
        <v>145</v>
      </c>
      <c r="H3008">
        <v>4</v>
      </c>
      <c r="I3008" t="s">
        <v>9280</v>
      </c>
      <c r="J3008" t="s">
        <v>357</v>
      </c>
    </row>
    <row r="3009" spans="1:10" x14ac:dyDescent="0.25">
      <c r="A3009" t="s">
        <v>9281</v>
      </c>
      <c r="B3009" t="s">
        <v>9282</v>
      </c>
      <c r="C3009" s="2">
        <v>46242.583333333336</v>
      </c>
      <c r="D3009" t="s">
        <v>418</v>
      </c>
      <c r="E3009" t="s">
        <v>11</v>
      </c>
      <c r="F3009" t="s">
        <v>274</v>
      </c>
      <c r="G3009" t="s">
        <v>92</v>
      </c>
      <c r="H3009">
        <v>5</v>
      </c>
      <c r="I3009" t="s">
        <v>9283</v>
      </c>
      <c r="J3009" t="s">
        <v>357</v>
      </c>
    </row>
    <row r="3010" spans="1:10" x14ac:dyDescent="0.25">
      <c r="A3010" t="s">
        <v>9284</v>
      </c>
      <c r="B3010" t="s">
        <v>9285</v>
      </c>
      <c r="C3010" s="2">
        <v>46242.583333333336</v>
      </c>
      <c r="D3010" t="s">
        <v>418</v>
      </c>
      <c r="E3010" t="s">
        <v>18</v>
      </c>
      <c r="F3010" t="s">
        <v>275</v>
      </c>
      <c r="G3010" t="s">
        <v>95</v>
      </c>
      <c r="H3010">
        <v>6</v>
      </c>
      <c r="I3010" t="s">
        <v>9286</v>
      </c>
      <c r="J3010" t="s">
        <v>357</v>
      </c>
    </row>
    <row r="3011" spans="1:10" x14ac:dyDescent="0.25">
      <c r="A3011" t="s">
        <v>9287</v>
      </c>
      <c r="B3011" t="s">
        <v>9288</v>
      </c>
      <c r="C3011" s="2">
        <v>46242.583333333336</v>
      </c>
      <c r="D3011" t="s">
        <v>418</v>
      </c>
      <c r="E3011" t="s">
        <v>20</v>
      </c>
      <c r="F3011" t="s">
        <v>276</v>
      </c>
      <c r="G3011" t="s">
        <v>97</v>
      </c>
      <c r="H3011">
        <v>5</v>
      </c>
      <c r="I3011" t="s">
        <v>9289</v>
      </c>
      <c r="J3011" t="s">
        <v>357</v>
      </c>
    </row>
    <row r="3012" spans="1:10" x14ac:dyDescent="0.25">
      <c r="A3012" t="s">
        <v>9290</v>
      </c>
      <c r="B3012" t="s">
        <v>9291</v>
      </c>
      <c r="C3012" s="2">
        <v>46242.583333333336</v>
      </c>
      <c r="D3012" t="s">
        <v>418</v>
      </c>
      <c r="E3012" t="s">
        <v>22</v>
      </c>
      <c r="F3012" t="s">
        <v>277</v>
      </c>
      <c r="G3012" t="s">
        <v>99</v>
      </c>
      <c r="H3012">
        <v>6</v>
      </c>
      <c r="I3012" t="s">
        <v>9292</v>
      </c>
      <c r="J3012" t="s">
        <v>357</v>
      </c>
    </row>
    <row r="3013" spans="1:10" x14ac:dyDescent="0.25">
      <c r="A3013" t="s">
        <v>9293</v>
      </c>
      <c r="B3013" t="s">
        <v>9294</v>
      </c>
      <c r="C3013" s="2">
        <v>46242.583333333336</v>
      </c>
      <c r="D3013" t="s">
        <v>418</v>
      </c>
      <c r="E3013" t="s">
        <v>24</v>
      </c>
      <c r="F3013" t="s">
        <v>278</v>
      </c>
      <c r="G3013" t="s">
        <v>101</v>
      </c>
      <c r="H3013">
        <v>4</v>
      </c>
      <c r="I3013" t="s">
        <v>9295</v>
      </c>
      <c r="J3013" t="s">
        <v>357</v>
      </c>
    </row>
    <row r="3014" spans="1:10" x14ac:dyDescent="0.25">
      <c r="A3014" t="s">
        <v>9296</v>
      </c>
      <c r="B3014" t="s">
        <v>9297</v>
      </c>
      <c r="C3014" s="2">
        <v>46242.583333333336</v>
      </c>
      <c r="D3014" t="s">
        <v>418</v>
      </c>
      <c r="E3014" t="s">
        <v>26</v>
      </c>
      <c r="F3014" t="s">
        <v>279</v>
      </c>
      <c r="G3014" t="s">
        <v>103</v>
      </c>
      <c r="H3014">
        <v>1</v>
      </c>
      <c r="I3014" t="s">
        <v>9298</v>
      </c>
      <c r="J3014" t="s">
        <v>357</v>
      </c>
    </row>
    <row r="3015" spans="1:10" x14ac:dyDescent="0.25">
      <c r="A3015" t="s">
        <v>9299</v>
      </c>
      <c r="B3015" t="s">
        <v>9300</v>
      </c>
      <c r="C3015" s="2">
        <v>46242.583333333336</v>
      </c>
      <c r="D3015" t="s">
        <v>418</v>
      </c>
      <c r="E3015" t="s">
        <v>28</v>
      </c>
      <c r="F3015" t="s">
        <v>249</v>
      </c>
      <c r="G3015" t="s">
        <v>105</v>
      </c>
      <c r="H3015">
        <v>1</v>
      </c>
      <c r="I3015" t="s">
        <v>9301</v>
      </c>
      <c r="J3015" t="s">
        <v>357</v>
      </c>
    </row>
    <row r="3016" spans="1:10" x14ac:dyDescent="0.25">
      <c r="A3016" t="s">
        <v>9302</v>
      </c>
      <c r="B3016" t="s">
        <v>9303</v>
      </c>
      <c r="C3016" s="2">
        <v>46242.583333333336</v>
      </c>
      <c r="D3016" t="s">
        <v>418</v>
      </c>
      <c r="E3016" t="s">
        <v>43</v>
      </c>
      <c r="F3016" t="s">
        <v>266</v>
      </c>
      <c r="G3016" t="s">
        <v>117</v>
      </c>
      <c r="H3016">
        <v>2</v>
      </c>
      <c r="I3016" t="s">
        <v>9304</v>
      </c>
      <c r="J3016" t="s">
        <v>357</v>
      </c>
    </row>
    <row r="3017" spans="1:10" x14ac:dyDescent="0.25">
      <c r="A3017" t="s">
        <v>9305</v>
      </c>
      <c r="B3017" t="s">
        <v>9306</v>
      </c>
      <c r="C3017" s="2">
        <v>46242.583333333336</v>
      </c>
      <c r="D3017" t="s">
        <v>418</v>
      </c>
      <c r="E3017" t="s">
        <v>53</v>
      </c>
      <c r="F3017" t="s">
        <v>126</v>
      </c>
      <c r="G3017" t="s">
        <v>127</v>
      </c>
      <c r="H3017">
        <v>1</v>
      </c>
      <c r="I3017" t="s">
        <v>9307</v>
      </c>
      <c r="J3017" t="s">
        <v>357</v>
      </c>
    </row>
    <row r="3018" spans="1:10" x14ac:dyDescent="0.25">
      <c r="A3018" t="s">
        <v>9308</v>
      </c>
      <c r="B3018" t="s">
        <v>9309</v>
      </c>
      <c r="C3018" s="2">
        <v>46242.583333333336</v>
      </c>
      <c r="D3018" t="s">
        <v>418</v>
      </c>
      <c r="E3018" t="s">
        <v>73</v>
      </c>
      <c r="F3018" t="s">
        <v>213</v>
      </c>
      <c r="G3018" t="s">
        <v>143</v>
      </c>
      <c r="H3018">
        <v>2</v>
      </c>
      <c r="I3018" t="s">
        <v>9310</v>
      </c>
      <c r="J3018" t="s">
        <v>357</v>
      </c>
    </row>
    <row r="3019" spans="1:10" x14ac:dyDescent="0.25">
      <c r="A3019" t="s">
        <v>9311</v>
      </c>
      <c r="B3019" t="s">
        <v>9312</v>
      </c>
      <c r="C3019" s="2">
        <v>46243.583333333336</v>
      </c>
      <c r="D3019" t="s">
        <v>418</v>
      </c>
      <c r="E3019" t="s">
        <v>11</v>
      </c>
      <c r="F3019" t="s">
        <v>274</v>
      </c>
      <c r="G3019" t="s">
        <v>92</v>
      </c>
      <c r="H3019">
        <v>5</v>
      </c>
      <c r="I3019" t="s">
        <v>9313</v>
      </c>
      <c r="J3019" t="s">
        <v>357</v>
      </c>
    </row>
    <row r="3020" spans="1:10" x14ac:dyDescent="0.25">
      <c r="A3020" t="s">
        <v>9314</v>
      </c>
      <c r="B3020" t="s">
        <v>9315</v>
      </c>
      <c r="C3020" s="2">
        <v>46243.583333333336</v>
      </c>
      <c r="D3020" t="s">
        <v>418</v>
      </c>
      <c r="E3020" t="s">
        <v>18</v>
      </c>
      <c r="F3020" t="s">
        <v>275</v>
      </c>
      <c r="G3020" t="s">
        <v>95</v>
      </c>
      <c r="H3020">
        <v>5</v>
      </c>
      <c r="I3020" t="s">
        <v>9316</v>
      </c>
      <c r="J3020" t="s">
        <v>357</v>
      </c>
    </row>
    <row r="3021" spans="1:10" x14ac:dyDescent="0.25">
      <c r="A3021" t="s">
        <v>9317</v>
      </c>
      <c r="B3021" t="s">
        <v>9318</v>
      </c>
      <c r="C3021" s="2">
        <v>46243.583333333336</v>
      </c>
      <c r="D3021" t="s">
        <v>418</v>
      </c>
      <c r="E3021" t="s">
        <v>20</v>
      </c>
      <c r="F3021" t="s">
        <v>276</v>
      </c>
      <c r="G3021" t="s">
        <v>97</v>
      </c>
      <c r="H3021">
        <v>5</v>
      </c>
      <c r="I3021" t="s">
        <v>9319</v>
      </c>
      <c r="J3021" t="s">
        <v>357</v>
      </c>
    </row>
    <row r="3022" spans="1:10" x14ac:dyDescent="0.25">
      <c r="A3022" t="s">
        <v>9320</v>
      </c>
      <c r="B3022" t="s">
        <v>9321</v>
      </c>
      <c r="C3022" s="2">
        <v>46243.583333333336</v>
      </c>
      <c r="D3022" t="s">
        <v>418</v>
      </c>
      <c r="E3022" t="s">
        <v>22</v>
      </c>
      <c r="F3022" t="s">
        <v>277</v>
      </c>
      <c r="G3022" t="s">
        <v>99</v>
      </c>
      <c r="H3022">
        <v>3</v>
      </c>
      <c r="I3022" t="s">
        <v>9322</v>
      </c>
      <c r="J3022" t="s">
        <v>357</v>
      </c>
    </row>
    <row r="3023" spans="1:10" x14ac:dyDescent="0.25">
      <c r="A3023" t="s">
        <v>9323</v>
      </c>
      <c r="B3023" t="s">
        <v>9324</v>
      </c>
      <c r="C3023" s="2">
        <v>46243.583333333336</v>
      </c>
      <c r="D3023" t="s">
        <v>418</v>
      </c>
      <c r="E3023" t="s">
        <v>26</v>
      </c>
      <c r="F3023" t="s">
        <v>279</v>
      </c>
      <c r="G3023" t="s">
        <v>103</v>
      </c>
      <c r="H3023">
        <v>4</v>
      </c>
      <c r="I3023" t="s">
        <v>9325</v>
      </c>
      <c r="J3023" t="s">
        <v>357</v>
      </c>
    </row>
    <row r="3024" spans="1:10" x14ac:dyDescent="0.25">
      <c r="A3024" t="s">
        <v>9326</v>
      </c>
      <c r="B3024" t="s">
        <v>9327</v>
      </c>
      <c r="C3024" s="2">
        <v>46243.583333333336</v>
      </c>
      <c r="D3024" t="s">
        <v>418</v>
      </c>
      <c r="E3024" t="s">
        <v>32</v>
      </c>
      <c r="F3024" t="s">
        <v>222</v>
      </c>
      <c r="G3024" t="s">
        <v>109</v>
      </c>
      <c r="H3024">
        <v>4</v>
      </c>
      <c r="I3024" t="s">
        <v>9328</v>
      </c>
      <c r="J3024" t="s">
        <v>357</v>
      </c>
    </row>
    <row r="3025" spans="1:10" x14ac:dyDescent="0.25">
      <c r="A3025" t="s">
        <v>9329</v>
      </c>
      <c r="B3025" t="s">
        <v>9330</v>
      </c>
      <c r="C3025" s="2">
        <v>46243.583333333336</v>
      </c>
      <c r="D3025" t="s">
        <v>418</v>
      </c>
      <c r="E3025" t="s">
        <v>43</v>
      </c>
      <c r="F3025" t="s">
        <v>266</v>
      </c>
      <c r="G3025" t="s">
        <v>117</v>
      </c>
      <c r="H3025">
        <v>4</v>
      </c>
      <c r="I3025" t="s">
        <v>9331</v>
      </c>
      <c r="J3025" t="s">
        <v>357</v>
      </c>
    </row>
    <row r="3026" spans="1:10" x14ac:dyDescent="0.25">
      <c r="A3026" t="s">
        <v>9332</v>
      </c>
      <c r="B3026" t="s">
        <v>9333</v>
      </c>
      <c r="C3026" s="2">
        <v>46243.583333333336</v>
      </c>
      <c r="D3026" t="s">
        <v>418</v>
      </c>
      <c r="E3026" t="s">
        <v>45</v>
      </c>
      <c r="F3026" t="s">
        <v>267</v>
      </c>
      <c r="G3026" t="s">
        <v>119</v>
      </c>
      <c r="H3026">
        <v>5</v>
      </c>
      <c r="I3026" t="s">
        <v>9334</v>
      </c>
      <c r="J3026" t="s">
        <v>357</v>
      </c>
    </row>
    <row r="3027" spans="1:10" x14ac:dyDescent="0.25">
      <c r="A3027" t="s">
        <v>9335</v>
      </c>
      <c r="B3027" t="s">
        <v>9336</v>
      </c>
      <c r="C3027" s="2">
        <v>46243.583333333336</v>
      </c>
      <c r="D3027" t="s">
        <v>418</v>
      </c>
      <c r="E3027" t="s">
        <v>53</v>
      </c>
      <c r="F3027" t="s">
        <v>126</v>
      </c>
      <c r="G3027" t="s">
        <v>127</v>
      </c>
      <c r="H3027">
        <v>2</v>
      </c>
      <c r="I3027" t="s">
        <v>9337</v>
      </c>
      <c r="J3027" t="s">
        <v>357</v>
      </c>
    </row>
    <row r="3028" spans="1:10" x14ac:dyDescent="0.25">
      <c r="A3028" t="s">
        <v>9338</v>
      </c>
      <c r="B3028" t="s">
        <v>9339</v>
      </c>
      <c r="C3028" s="2">
        <v>46243.583333333336</v>
      </c>
      <c r="D3028" t="s">
        <v>418</v>
      </c>
      <c r="E3028" t="s">
        <v>57</v>
      </c>
      <c r="F3028" t="s">
        <v>255</v>
      </c>
      <c r="G3028" t="s">
        <v>131</v>
      </c>
      <c r="H3028">
        <v>4</v>
      </c>
      <c r="I3028" t="s">
        <v>9340</v>
      </c>
      <c r="J3028" t="s">
        <v>357</v>
      </c>
    </row>
    <row r="3029" spans="1:10" x14ac:dyDescent="0.25">
      <c r="A3029" t="s">
        <v>9341</v>
      </c>
      <c r="B3029" t="s">
        <v>9342</v>
      </c>
      <c r="C3029" s="2">
        <v>46243.583333333336</v>
      </c>
      <c r="D3029" t="s">
        <v>418</v>
      </c>
      <c r="E3029" t="s">
        <v>59</v>
      </c>
      <c r="F3029" t="s">
        <v>227</v>
      </c>
      <c r="G3029" t="s">
        <v>133</v>
      </c>
      <c r="H3029">
        <v>5</v>
      </c>
      <c r="I3029" t="s">
        <v>9343</v>
      </c>
      <c r="J3029" t="s">
        <v>357</v>
      </c>
    </row>
    <row r="3030" spans="1:10" x14ac:dyDescent="0.25">
      <c r="A3030" t="s">
        <v>9344</v>
      </c>
      <c r="B3030" t="s">
        <v>9345</v>
      </c>
      <c r="C3030" s="2">
        <v>46243.583333333336</v>
      </c>
      <c r="D3030" t="s">
        <v>418</v>
      </c>
      <c r="E3030" t="s">
        <v>67</v>
      </c>
      <c r="F3030" t="s">
        <v>242</v>
      </c>
      <c r="G3030" t="s">
        <v>137</v>
      </c>
      <c r="H3030">
        <v>3</v>
      </c>
      <c r="I3030" t="s">
        <v>9346</v>
      </c>
      <c r="J3030" t="s">
        <v>357</v>
      </c>
    </row>
    <row r="3031" spans="1:10" x14ac:dyDescent="0.25">
      <c r="A3031" t="s">
        <v>9347</v>
      </c>
      <c r="B3031" t="s">
        <v>9348</v>
      </c>
      <c r="C3031" s="2">
        <v>46243.583333333336</v>
      </c>
      <c r="D3031" t="s">
        <v>418</v>
      </c>
      <c r="E3031" t="s">
        <v>73</v>
      </c>
      <c r="F3031" t="s">
        <v>213</v>
      </c>
      <c r="G3031" t="s">
        <v>143</v>
      </c>
      <c r="H3031">
        <v>5</v>
      </c>
      <c r="I3031" t="s">
        <v>9349</v>
      </c>
      <c r="J3031" t="s">
        <v>357</v>
      </c>
    </row>
    <row r="3032" spans="1:10" x14ac:dyDescent="0.25">
      <c r="A3032" t="s">
        <v>9350</v>
      </c>
      <c r="B3032" t="s">
        <v>9351</v>
      </c>
      <c r="C3032" s="2">
        <v>46243.583333333336</v>
      </c>
      <c r="D3032" t="s">
        <v>418</v>
      </c>
      <c r="E3032" t="s">
        <v>77</v>
      </c>
      <c r="F3032" t="s">
        <v>243</v>
      </c>
      <c r="G3032" t="s">
        <v>147</v>
      </c>
      <c r="H3032">
        <v>2</v>
      </c>
      <c r="I3032" t="s">
        <v>9352</v>
      </c>
      <c r="J3032" t="s">
        <v>357</v>
      </c>
    </row>
    <row r="3033" spans="1:10" x14ac:dyDescent="0.25">
      <c r="A3033" t="s">
        <v>9353</v>
      </c>
      <c r="B3033" t="s">
        <v>9354</v>
      </c>
      <c r="C3033" s="2">
        <v>46243.583333333336</v>
      </c>
      <c r="D3033" t="s">
        <v>418</v>
      </c>
      <c r="E3033" t="s">
        <v>11</v>
      </c>
      <c r="F3033" t="s">
        <v>274</v>
      </c>
      <c r="G3033" t="s">
        <v>92</v>
      </c>
      <c r="H3033">
        <v>6</v>
      </c>
      <c r="I3033" t="s">
        <v>9355</v>
      </c>
      <c r="J3033" t="s">
        <v>357</v>
      </c>
    </row>
    <row r="3034" spans="1:10" x14ac:dyDescent="0.25">
      <c r="A3034" t="s">
        <v>9356</v>
      </c>
      <c r="B3034" t="s">
        <v>9357</v>
      </c>
      <c r="C3034" s="2">
        <v>46243.583333333336</v>
      </c>
      <c r="D3034" t="s">
        <v>418</v>
      </c>
      <c r="E3034" t="s">
        <v>18</v>
      </c>
      <c r="F3034" t="s">
        <v>275</v>
      </c>
      <c r="G3034" t="s">
        <v>95</v>
      </c>
      <c r="H3034">
        <v>5</v>
      </c>
      <c r="I3034" t="s">
        <v>9358</v>
      </c>
      <c r="J3034" t="s">
        <v>357</v>
      </c>
    </row>
    <row r="3035" spans="1:10" x14ac:dyDescent="0.25">
      <c r="A3035" t="s">
        <v>9359</v>
      </c>
      <c r="B3035" t="s">
        <v>9360</v>
      </c>
      <c r="C3035" s="2">
        <v>46243.583333333336</v>
      </c>
      <c r="D3035" t="s">
        <v>418</v>
      </c>
      <c r="E3035" t="s">
        <v>20</v>
      </c>
      <c r="F3035" t="s">
        <v>276</v>
      </c>
      <c r="G3035" t="s">
        <v>97</v>
      </c>
      <c r="H3035">
        <v>2</v>
      </c>
      <c r="I3035" t="s">
        <v>9361</v>
      </c>
      <c r="J3035" t="s">
        <v>357</v>
      </c>
    </row>
    <row r="3036" spans="1:10" x14ac:dyDescent="0.25">
      <c r="A3036" t="s">
        <v>9362</v>
      </c>
      <c r="B3036" t="s">
        <v>9363</v>
      </c>
      <c r="C3036" s="2">
        <v>46243.583333333336</v>
      </c>
      <c r="D3036" t="s">
        <v>418</v>
      </c>
      <c r="E3036" t="s">
        <v>22</v>
      </c>
      <c r="F3036" t="s">
        <v>277</v>
      </c>
      <c r="G3036" t="s">
        <v>99</v>
      </c>
      <c r="H3036">
        <v>1</v>
      </c>
      <c r="I3036" t="s">
        <v>9364</v>
      </c>
      <c r="J3036" t="s">
        <v>357</v>
      </c>
    </row>
    <row r="3037" spans="1:10" x14ac:dyDescent="0.25">
      <c r="A3037" t="s">
        <v>9365</v>
      </c>
      <c r="B3037" t="s">
        <v>9366</v>
      </c>
      <c r="C3037" s="2">
        <v>46243.583333333336</v>
      </c>
      <c r="D3037" t="s">
        <v>418</v>
      </c>
      <c r="E3037" t="s">
        <v>24</v>
      </c>
      <c r="F3037" t="s">
        <v>278</v>
      </c>
      <c r="G3037" t="s">
        <v>101</v>
      </c>
      <c r="H3037">
        <v>4</v>
      </c>
      <c r="I3037" t="s">
        <v>9367</v>
      </c>
      <c r="J3037" t="s">
        <v>357</v>
      </c>
    </row>
    <row r="3038" spans="1:10" x14ac:dyDescent="0.25">
      <c r="A3038" t="s">
        <v>9368</v>
      </c>
      <c r="B3038" t="s">
        <v>9369</v>
      </c>
      <c r="C3038" s="2">
        <v>46243.583333333336</v>
      </c>
      <c r="D3038" t="s">
        <v>418</v>
      </c>
      <c r="E3038" t="s">
        <v>32</v>
      </c>
      <c r="F3038" t="s">
        <v>222</v>
      </c>
      <c r="G3038" t="s">
        <v>109</v>
      </c>
      <c r="H3038">
        <v>1</v>
      </c>
      <c r="I3038" t="s">
        <v>9370</v>
      </c>
      <c r="J3038" t="s">
        <v>357</v>
      </c>
    </row>
    <row r="3039" spans="1:10" x14ac:dyDescent="0.25">
      <c r="A3039" t="s">
        <v>9371</v>
      </c>
      <c r="B3039" t="s">
        <v>9372</v>
      </c>
      <c r="C3039" s="2">
        <v>46243.583333333336</v>
      </c>
      <c r="D3039" t="s">
        <v>418</v>
      </c>
      <c r="E3039" t="s">
        <v>43</v>
      </c>
      <c r="F3039" t="s">
        <v>266</v>
      </c>
      <c r="G3039" t="s">
        <v>117</v>
      </c>
      <c r="H3039">
        <v>6</v>
      </c>
      <c r="I3039" t="s">
        <v>9373</v>
      </c>
      <c r="J3039" t="s">
        <v>357</v>
      </c>
    </row>
    <row r="3040" spans="1:10" x14ac:dyDescent="0.25">
      <c r="A3040" t="s">
        <v>9374</v>
      </c>
      <c r="B3040" t="s">
        <v>9375</v>
      </c>
      <c r="C3040" s="2">
        <v>46243.583333333336</v>
      </c>
      <c r="D3040" t="s">
        <v>418</v>
      </c>
      <c r="E3040" t="s">
        <v>49</v>
      </c>
      <c r="F3040" t="s">
        <v>253</v>
      </c>
      <c r="G3040" t="s">
        <v>123</v>
      </c>
      <c r="H3040">
        <v>4</v>
      </c>
      <c r="I3040" t="s">
        <v>9376</v>
      </c>
      <c r="J3040" t="s">
        <v>357</v>
      </c>
    </row>
    <row r="3041" spans="1:10" x14ac:dyDescent="0.25">
      <c r="A3041" t="s">
        <v>9377</v>
      </c>
      <c r="B3041" t="s">
        <v>9378</v>
      </c>
      <c r="C3041" s="2">
        <v>46243.583333333336</v>
      </c>
      <c r="D3041" t="s">
        <v>418</v>
      </c>
      <c r="E3041" t="s">
        <v>53</v>
      </c>
      <c r="F3041" t="s">
        <v>126</v>
      </c>
      <c r="G3041" t="s">
        <v>127</v>
      </c>
      <c r="H3041">
        <v>5</v>
      </c>
      <c r="I3041" t="s">
        <v>9379</v>
      </c>
      <c r="J3041" t="s">
        <v>357</v>
      </c>
    </row>
    <row r="3042" spans="1:10" x14ac:dyDescent="0.25">
      <c r="A3042" t="s">
        <v>9380</v>
      </c>
      <c r="B3042" t="s">
        <v>9381</v>
      </c>
      <c r="C3042" s="2">
        <v>46243.583333333336</v>
      </c>
      <c r="D3042" t="s">
        <v>418</v>
      </c>
      <c r="E3042" t="s">
        <v>11</v>
      </c>
      <c r="F3042" t="s">
        <v>274</v>
      </c>
      <c r="G3042" t="s">
        <v>92</v>
      </c>
      <c r="H3042">
        <v>3</v>
      </c>
      <c r="I3042" t="s">
        <v>9382</v>
      </c>
      <c r="J3042" t="s">
        <v>357</v>
      </c>
    </row>
    <row r="3043" spans="1:10" x14ac:dyDescent="0.25">
      <c r="A3043" t="s">
        <v>9383</v>
      </c>
      <c r="B3043" t="s">
        <v>9384</v>
      </c>
      <c r="C3043" s="2">
        <v>46243.583333333336</v>
      </c>
      <c r="D3043" t="s">
        <v>418</v>
      </c>
      <c r="E3043" t="s">
        <v>36</v>
      </c>
      <c r="F3043" t="s">
        <v>187</v>
      </c>
      <c r="G3043" t="s">
        <v>113</v>
      </c>
      <c r="H3043">
        <v>6</v>
      </c>
      <c r="I3043" t="s">
        <v>9385</v>
      </c>
      <c r="J3043" t="s">
        <v>357</v>
      </c>
    </row>
    <row r="3044" spans="1:10" x14ac:dyDescent="0.25">
      <c r="A3044" t="s">
        <v>9386</v>
      </c>
      <c r="B3044" t="s">
        <v>9387</v>
      </c>
      <c r="C3044" s="2">
        <v>46243.583333333336</v>
      </c>
      <c r="D3044" t="s">
        <v>418</v>
      </c>
      <c r="E3044" t="s">
        <v>41</v>
      </c>
      <c r="F3044" t="s">
        <v>265</v>
      </c>
      <c r="G3044" t="s">
        <v>115</v>
      </c>
      <c r="H3044">
        <v>8</v>
      </c>
      <c r="I3044" t="s">
        <v>9388</v>
      </c>
      <c r="J3044" t="s">
        <v>357</v>
      </c>
    </row>
    <row r="3045" spans="1:10" x14ac:dyDescent="0.25">
      <c r="A3045" t="s">
        <v>9389</v>
      </c>
      <c r="B3045" t="s">
        <v>9390</v>
      </c>
      <c r="C3045" s="2">
        <v>46243.583333333336</v>
      </c>
      <c r="D3045" t="s">
        <v>418</v>
      </c>
      <c r="E3045" t="s">
        <v>43</v>
      </c>
      <c r="F3045" t="s">
        <v>266</v>
      </c>
      <c r="G3045" t="s">
        <v>117</v>
      </c>
      <c r="H3045">
        <v>5</v>
      </c>
      <c r="I3045" t="s">
        <v>9391</v>
      </c>
      <c r="J3045" t="s">
        <v>357</v>
      </c>
    </row>
    <row r="3046" spans="1:10" x14ac:dyDescent="0.25">
      <c r="A3046" t="s">
        <v>9392</v>
      </c>
      <c r="B3046" t="s">
        <v>9393</v>
      </c>
      <c r="C3046" s="2">
        <v>46243.583333333336</v>
      </c>
      <c r="D3046" t="s">
        <v>418</v>
      </c>
      <c r="E3046" t="s">
        <v>47</v>
      </c>
      <c r="F3046" t="s">
        <v>268</v>
      </c>
      <c r="G3046" t="s">
        <v>121</v>
      </c>
      <c r="H3046">
        <v>3</v>
      </c>
      <c r="I3046" t="s">
        <v>9394</v>
      </c>
      <c r="J3046" t="s">
        <v>357</v>
      </c>
    </row>
    <row r="3047" spans="1:10" x14ac:dyDescent="0.25">
      <c r="A3047" t="s">
        <v>9395</v>
      </c>
      <c r="B3047" t="s">
        <v>9396</v>
      </c>
      <c r="C3047" s="2">
        <v>46243.583333333336</v>
      </c>
      <c r="D3047" t="s">
        <v>418</v>
      </c>
      <c r="E3047" t="s">
        <v>49</v>
      </c>
      <c r="F3047" t="s">
        <v>253</v>
      </c>
      <c r="G3047" t="s">
        <v>123</v>
      </c>
      <c r="H3047">
        <v>2</v>
      </c>
      <c r="I3047" t="s">
        <v>9397</v>
      </c>
      <c r="J3047" t="s">
        <v>357</v>
      </c>
    </row>
    <row r="3048" spans="1:10" x14ac:dyDescent="0.25">
      <c r="A3048" t="s">
        <v>9398</v>
      </c>
      <c r="B3048" t="s">
        <v>9399</v>
      </c>
      <c r="C3048" s="2">
        <v>46243.583333333336</v>
      </c>
      <c r="D3048" t="s">
        <v>418</v>
      </c>
      <c r="E3048" t="s">
        <v>49</v>
      </c>
      <c r="F3048" t="s">
        <v>167</v>
      </c>
      <c r="G3048" t="s">
        <v>123</v>
      </c>
      <c r="H3048">
        <v>6</v>
      </c>
      <c r="I3048" t="s">
        <v>9397</v>
      </c>
      <c r="J3048" t="s">
        <v>357</v>
      </c>
    </row>
    <row r="3049" spans="1:10" x14ac:dyDescent="0.25">
      <c r="A3049" t="s">
        <v>9400</v>
      </c>
      <c r="B3049" t="s">
        <v>9401</v>
      </c>
      <c r="C3049" s="2">
        <v>46243.583333333336</v>
      </c>
      <c r="D3049" t="s">
        <v>418</v>
      </c>
      <c r="E3049" t="s">
        <v>57</v>
      </c>
      <c r="F3049" t="s">
        <v>255</v>
      </c>
      <c r="G3049" t="s">
        <v>131</v>
      </c>
      <c r="H3049">
        <v>3</v>
      </c>
      <c r="I3049" t="s">
        <v>9402</v>
      </c>
      <c r="J3049" t="s">
        <v>357</v>
      </c>
    </row>
    <row r="3050" spans="1:10" x14ac:dyDescent="0.25">
      <c r="A3050" t="s">
        <v>9403</v>
      </c>
      <c r="B3050" t="s">
        <v>9404</v>
      </c>
      <c r="C3050" s="2">
        <v>46243.583333333336</v>
      </c>
      <c r="D3050" t="s">
        <v>418</v>
      </c>
      <c r="E3050" t="s">
        <v>69</v>
      </c>
      <c r="F3050" t="s">
        <v>229</v>
      </c>
      <c r="G3050" t="s">
        <v>139</v>
      </c>
      <c r="H3050">
        <v>3</v>
      </c>
      <c r="I3050" t="s">
        <v>9405</v>
      </c>
      <c r="J3050" t="s">
        <v>357</v>
      </c>
    </row>
    <row r="3051" spans="1:10" x14ac:dyDescent="0.25">
      <c r="A3051" t="s">
        <v>9406</v>
      </c>
      <c r="B3051" t="s">
        <v>9407</v>
      </c>
      <c r="C3051" s="2">
        <v>46243.583333333336</v>
      </c>
      <c r="D3051" t="s">
        <v>418</v>
      </c>
      <c r="E3051" t="s">
        <v>77</v>
      </c>
      <c r="F3051" t="s">
        <v>243</v>
      </c>
      <c r="G3051" t="s">
        <v>147</v>
      </c>
      <c r="H3051">
        <v>3</v>
      </c>
      <c r="I3051" t="s">
        <v>9408</v>
      </c>
      <c r="J3051" t="s">
        <v>357</v>
      </c>
    </row>
    <row r="3052" spans="1:10" x14ac:dyDescent="0.25">
      <c r="A3052" t="s">
        <v>9409</v>
      </c>
      <c r="B3052" t="s">
        <v>9410</v>
      </c>
      <c r="C3052" s="2">
        <v>46243.583333333336</v>
      </c>
      <c r="D3052" t="s">
        <v>418</v>
      </c>
      <c r="E3052" t="s">
        <v>18</v>
      </c>
      <c r="F3052" t="s">
        <v>275</v>
      </c>
      <c r="G3052" t="s">
        <v>95</v>
      </c>
      <c r="H3052">
        <v>5</v>
      </c>
      <c r="I3052" t="s">
        <v>9411</v>
      </c>
      <c r="J3052" t="s">
        <v>357</v>
      </c>
    </row>
    <row r="3053" spans="1:10" x14ac:dyDescent="0.25">
      <c r="A3053" t="s">
        <v>9412</v>
      </c>
      <c r="B3053" t="s">
        <v>9413</v>
      </c>
      <c r="C3053" s="2">
        <v>46243.583333333336</v>
      </c>
      <c r="D3053" t="s">
        <v>418</v>
      </c>
      <c r="E3053" t="s">
        <v>24</v>
      </c>
      <c r="F3053" t="s">
        <v>278</v>
      </c>
      <c r="G3053" t="s">
        <v>101</v>
      </c>
      <c r="H3053">
        <v>7</v>
      </c>
      <c r="I3053" t="s">
        <v>9414</v>
      </c>
      <c r="J3053" t="s">
        <v>357</v>
      </c>
    </row>
    <row r="3054" spans="1:10" x14ac:dyDescent="0.25">
      <c r="A3054" t="s">
        <v>9415</v>
      </c>
      <c r="B3054" t="s">
        <v>9416</v>
      </c>
      <c r="C3054" s="2">
        <v>46243.583333333336</v>
      </c>
      <c r="D3054" t="s">
        <v>418</v>
      </c>
      <c r="E3054" t="s">
        <v>36</v>
      </c>
      <c r="F3054" t="s">
        <v>187</v>
      </c>
      <c r="G3054" t="s">
        <v>113</v>
      </c>
      <c r="H3054">
        <v>4</v>
      </c>
      <c r="I3054" t="s">
        <v>9417</v>
      </c>
      <c r="J3054" t="s">
        <v>357</v>
      </c>
    </row>
    <row r="3055" spans="1:10" x14ac:dyDescent="0.25">
      <c r="A3055" t="s">
        <v>9418</v>
      </c>
      <c r="B3055" t="s">
        <v>9419</v>
      </c>
      <c r="C3055" s="2">
        <v>46243.583333333336</v>
      </c>
      <c r="D3055" t="s">
        <v>418</v>
      </c>
      <c r="E3055" t="s">
        <v>53</v>
      </c>
      <c r="F3055" t="s">
        <v>126</v>
      </c>
      <c r="G3055" t="s">
        <v>127</v>
      </c>
      <c r="H3055">
        <v>9</v>
      </c>
      <c r="I3055" t="s">
        <v>9420</v>
      </c>
      <c r="J3055" t="s">
        <v>357</v>
      </c>
    </row>
    <row r="3056" spans="1:10" x14ac:dyDescent="0.25">
      <c r="A3056" t="s">
        <v>9421</v>
      </c>
      <c r="B3056" t="s">
        <v>9422</v>
      </c>
      <c r="C3056" s="2">
        <v>46243.583333333336</v>
      </c>
      <c r="D3056" t="s">
        <v>418</v>
      </c>
      <c r="E3056" t="s">
        <v>73</v>
      </c>
      <c r="F3056" t="s">
        <v>213</v>
      </c>
      <c r="G3056" t="s">
        <v>143</v>
      </c>
      <c r="H3056">
        <v>2</v>
      </c>
      <c r="I3056" t="s">
        <v>9423</v>
      </c>
      <c r="J3056" t="s">
        <v>357</v>
      </c>
    </row>
    <row r="3057" spans="1:10" x14ac:dyDescent="0.25">
      <c r="A3057" t="s">
        <v>9424</v>
      </c>
      <c r="B3057" t="s">
        <v>9425</v>
      </c>
      <c r="C3057" s="2">
        <v>46243.583333333336</v>
      </c>
      <c r="D3057" t="s">
        <v>418</v>
      </c>
      <c r="E3057" t="s">
        <v>75</v>
      </c>
      <c r="F3057" t="s">
        <v>259</v>
      </c>
      <c r="G3057" t="s">
        <v>145</v>
      </c>
      <c r="H3057">
        <v>7</v>
      </c>
      <c r="I3057" t="s">
        <v>9426</v>
      </c>
      <c r="J3057" t="s">
        <v>357</v>
      </c>
    </row>
    <row r="3058" spans="1:10" x14ac:dyDescent="0.25">
      <c r="A3058" t="s">
        <v>9427</v>
      </c>
      <c r="B3058" t="s">
        <v>9428</v>
      </c>
      <c r="C3058" s="2">
        <v>46243.583333333336</v>
      </c>
      <c r="D3058" t="s">
        <v>418</v>
      </c>
      <c r="E3058" t="s">
        <v>22</v>
      </c>
      <c r="F3058" t="s">
        <v>277</v>
      </c>
      <c r="G3058" t="s">
        <v>99</v>
      </c>
      <c r="H3058">
        <v>2</v>
      </c>
      <c r="I3058" t="s">
        <v>9429</v>
      </c>
      <c r="J3058" t="s">
        <v>357</v>
      </c>
    </row>
    <row r="3059" spans="1:10" x14ac:dyDescent="0.25">
      <c r="A3059" t="s">
        <v>9430</v>
      </c>
      <c r="B3059" t="s">
        <v>9431</v>
      </c>
      <c r="C3059" s="2">
        <v>46243.583333333336</v>
      </c>
      <c r="D3059" t="s">
        <v>418</v>
      </c>
      <c r="E3059" t="s">
        <v>24</v>
      </c>
      <c r="F3059" t="s">
        <v>278</v>
      </c>
      <c r="G3059" t="s">
        <v>101</v>
      </c>
      <c r="H3059">
        <v>2</v>
      </c>
      <c r="I3059" t="s">
        <v>9432</v>
      </c>
      <c r="J3059" t="s">
        <v>357</v>
      </c>
    </row>
    <row r="3060" spans="1:10" x14ac:dyDescent="0.25">
      <c r="A3060" t="s">
        <v>9433</v>
      </c>
      <c r="B3060" t="s">
        <v>9434</v>
      </c>
      <c r="C3060" s="2">
        <v>46243.583333333336</v>
      </c>
      <c r="D3060" t="s">
        <v>418</v>
      </c>
      <c r="E3060" t="s">
        <v>26</v>
      </c>
      <c r="F3060" t="s">
        <v>279</v>
      </c>
      <c r="G3060" t="s">
        <v>103</v>
      </c>
      <c r="H3060">
        <v>5</v>
      </c>
      <c r="I3060" t="s">
        <v>9435</v>
      </c>
      <c r="J3060" t="s">
        <v>357</v>
      </c>
    </row>
    <row r="3061" spans="1:10" x14ac:dyDescent="0.25">
      <c r="A3061" t="s">
        <v>9436</v>
      </c>
      <c r="B3061" t="s">
        <v>9437</v>
      </c>
      <c r="C3061" s="2">
        <v>46243.583333333336</v>
      </c>
      <c r="D3061" t="s">
        <v>418</v>
      </c>
      <c r="E3061" t="s">
        <v>28</v>
      </c>
      <c r="F3061" t="s">
        <v>249</v>
      </c>
      <c r="G3061" t="s">
        <v>105</v>
      </c>
      <c r="H3061">
        <v>4</v>
      </c>
      <c r="I3061" t="s">
        <v>9438</v>
      </c>
      <c r="J3061" t="s">
        <v>357</v>
      </c>
    </row>
    <row r="3062" spans="1:10" x14ac:dyDescent="0.25">
      <c r="A3062" t="s">
        <v>9439</v>
      </c>
      <c r="B3062" t="s">
        <v>9440</v>
      </c>
      <c r="C3062" s="2">
        <v>46243.583333333336</v>
      </c>
      <c r="D3062" t="s">
        <v>418</v>
      </c>
      <c r="E3062" t="s">
        <v>45</v>
      </c>
      <c r="F3062" t="s">
        <v>267</v>
      </c>
      <c r="G3062" t="s">
        <v>119</v>
      </c>
      <c r="H3062">
        <v>1</v>
      </c>
      <c r="I3062" t="s">
        <v>9441</v>
      </c>
      <c r="J3062" t="s">
        <v>357</v>
      </c>
    </row>
    <row r="3063" spans="1:10" x14ac:dyDescent="0.25">
      <c r="A3063" t="s">
        <v>9442</v>
      </c>
      <c r="B3063" t="s">
        <v>9443</v>
      </c>
      <c r="C3063" s="2">
        <v>46243.583333333336</v>
      </c>
      <c r="D3063" t="s">
        <v>418</v>
      </c>
      <c r="E3063" t="s">
        <v>47</v>
      </c>
      <c r="F3063" t="s">
        <v>268</v>
      </c>
      <c r="G3063" t="s">
        <v>121</v>
      </c>
      <c r="H3063">
        <v>2</v>
      </c>
      <c r="I3063" t="s">
        <v>9444</v>
      </c>
      <c r="J3063" t="s">
        <v>357</v>
      </c>
    </row>
    <row r="3064" spans="1:10" x14ac:dyDescent="0.25">
      <c r="A3064" t="s">
        <v>9445</v>
      </c>
      <c r="B3064" t="s">
        <v>9446</v>
      </c>
      <c r="C3064" s="2">
        <v>46243.583333333336</v>
      </c>
      <c r="D3064" t="s">
        <v>418</v>
      </c>
      <c r="E3064" t="s">
        <v>71</v>
      </c>
      <c r="F3064" t="s">
        <v>212</v>
      </c>
      <c r="G3064" t="s">
        <v>141</v>
      </c>
      <c r="H3064">
        <v>6</v>
      </c>
      <c r="I3064" t="s">
        <v>9447</v>
      </c>
      <c r="J3064" t="s">
        <v>357</v>
      </c>
    </row>
    <row r="3065" spans="1:10" x14ac:dyDescent="0.25">
      <c r="A3065" t="s">
        <v>9448</v>
      </c>
      <c r="B3065" t="s">
        <v>9449</v>
      </c>
      <c r="C3065" s="2">
        <v>46243.583333333336</v>
      </c>
      <c r="D3065" t="s">
        <v>418</v>
      </c>
      <c r="E3065" t="s">
        <v>77</v>
      </c>
      <c r="F3065" t="s">
        <v>243</v>
      </c>
      <c r="G3065" t="s">
        <v>147</v>
      </c>
      <c r="H3065">
        <v>1</v>
      </c>
      <c r="I3065" t="s">
        <v>9450</v>
      </c>
      <c r="J3065" t="s">
        <v>357</v>
      </c>
    </row>
    <row r="3066" spans="1:10" x14ac:dyDescent="0.25">
      <c r="A3066" t="s">
        <v>9451</v>
      </c>
      <c r="B3066" t="s">
        <v>9452</v>
      </c>
      <c r="C3066" s="2">
        <v>46244.583333333336</v>
      </c>
      <c r="D3066" t="s">
        <v>418</v>
      </c>
      <c r="E3066" t="s">
        <v>11</v>
      </c>
      <c r="F3066" t="s">
        <v>274</v>
      </c>
      <c r="G3066" t="s">
        <v>92</v>
      </c>
      <c r="H3066">
        <v>3</v>
      </c>
      <c r="I3066" t="s">
        <v>9453</v>
      </c>
      <c r="J3066" t="s">
        <v>357</v>
      </c>
    </row>
    <row r="3067" spans="1:10" x14ac:dyDescent="0.25">
      <c r="A3067" t="s">
        <v>9454</v>
      </c>
      <c r="B3067" t="s">
        <v>9455</v>
      </c>
      <c r="C3067" s="2">
        <v>46244.583333333336</v>
      </c>
      <c r="D3067" t="s">
        <v>418</v>
      </c>
      <c r="E3067" t="s">
        <v>18</v>
      </c>
      <c r="F3067" t="s">
        <v>275</v>
      </c>
      <c r="G3067" t="s">
        <v>95</v>
      </c>
      <c r="H3067">
        <v>1</v>
      </c>
      <c r="I3067" t="s">
        <v>9456</v>
      </c>
      <c r="J3067" t="s">
        <v>357</v>
      </c>
    </row>
    <row r="3068" spans="1:10" x14ac:dyDescent="0.25">
      <c r="A3068" t="s">
        <v>9457</v>
      </c>
      <c r="B3068" t="s">
        <v>9458</v>
      </c>
      <c r="C3068" s="2">
        <v>46244.583333333336</v>
      </c>
      <c r="D3068" t="s">
        <v>418</v>
      </c>
      <c r="E3068" t="s">
        <v>22</v>
      </c>
      <c r="F3068" t="s">
        <v>277</v>
      </c>
      <c r="G3068" t="s">
        <v>99</v>
      </c>
      <c r="H3068">
        <v>4</v>
      </c>
      <c r="I3068" t="s">
        <v>9459</v>
      </c>
      <c r="J3068" t="s">
        <v>357</v>
      </c>
    </row>
    <row r="3069" spans="1:10" x14ac:dyDescent="0.25">
      <c r="A3069" t="s">
        <v>9460</v>
      </c>
      <c r="B3069" t="s">
        <v>9461</v>
      </c>
      <c r="C3069" s="2">
        <v>46244.583333333336</v>
      </c>
      <c r="D3069" t="s">
        <v>418</v>
      </c>
      <c r="E3069" t="s">
        <v>26</v>
      </c>
      <c r="F3069" t="s">
        <v>279</v>
      </c>
      <c r="G3069" t="s">
        <v>103</v>
      </c>
      <c r="H3069">
        <v>2</v>
      </c>
      <c r="I3069" t="s">
        <v>9462</v>
      </c>
      <c r="J3069" t="s">
        <v>357</v>
      </c>
    </row>
    <row r="3070" spans="1:10" x14ac:dyDescent="0.25">
      <c r="A3070" t="s">
        <v>9463</v>
      </c>
      <c r="B3070" t="s">
        <v>9464</v>
      </c>
      <c r="C3070" s="2">
        <v>46244.583333333336</v>
      </c>
      <c r="D3070" t="s">
        <v>418</v>
      </c>
      <c r="E3070" t="s">
        <v>36</v>
      </c>
      <c r="F3070" t="s">
        <v>187</v>
      </c>
      <c r="G3070" t="s">
        <v>113</v>
      </c>
      <c r="H3070">
        <v>3</v>
      </c>
      <c r="I3070" t="s">
        <v>9465</v>
      </c>
      <c r="J3070" t="s">
        <v>357</v>
      </c>
    </row>
    <row r="3071" spans="1:10" x14ac:dyDescent="0.25">
      <c r="A3071" t="s">
        <v>9466</v>
      </c>
      <c r="B3071" t="s">
        <v>9467</v>
      </c>
      <c r="C3071" s="2">
        <v>46244.583333333336</v>
      </c>
      <c r="D3071" t="s">
        <v>418</v>
      </c>
      <c r="E3071" t="s">
        <v>65</v>
      </c>
      <c r="F3071" t="s">
        <v>241</v>
      </c>
      <c r="G3071" t="s">
        <v>135</v>
      </c>
      <c r="H3071">
        <v>2</v>
      </c>
      <c r="I3071" t="s">
        <v>9468</v>
      </c>
      <c r="J3071" t="s">
        <v>357</v>
      </c>
    </row>
    <row r="3072" spans="1:10" x14ac:dyDescent="0.25">
      <c r="A3072" t="s">
        <v>9469</v>
      </c>
      <c r="B3072" t="s">
        <v>9470</v>
      </c>
      <c r="C3072" s="2">
        <v>46244.583333333336</v>
      </c>
      <c r="D3072" t="s">
        <v>418</v>
      </c>
      <c r="E3072" t="s">
        <v>71</v>
      </c>
      <c r="F3072" t="s">
        <v>212</v>
      </c>
      <c r="G3072" t="s">
        <v>141</v>
      </c>
      <c r="H3072">
        <v>2</v>
      </c>
      <c r="I3072" t="s">
        <v>9471</v>
      </c>
      <c r="J3072" t="s">
        <v>357</v>
      </c>
    </row>
    <row r="3073" spans="1:10" x14ac:dyDescent="0.25">
      <c r="A3073" t="s">
        <v>9472</v>
      </c>
      <c r="B3073" t="s">
        <v>9473</v>
      </c>
      <c r="C3073" s="2">
        <v>46244.583333333336</v>
      </c>
      <c r="D3073" t="s">
        <v>418</v>
      </c>
      <c r="E3073" t="s">
        <v>73</v>
      </c>
      <c r="F3073" t="s">
        <v>213</v>
      </c>
      <c r="G3073" t="s">
        <v>143</v>
      </c>
      <c r="H3073">
        <v>3</v>
      </c>
      <c r="I3073" t="s">
        <v>9474</v>
      </c>
      <c r="J3073" t="s">
        <v>357</v>
      </c>
    </row>
    <row r="3074" spans="1:10" x14ac:dyDescent="0.25">
      <c r="A3074" t="s">
        <v>9475</v>
      </c>
      <c r="B3074" t="s">
        <v>9476</v>
      </c>
      <c r="C3074" s="2">
        <v>46244.583333333336</v>
      </c>
      <c r="D3074" t="s">
        <v>418</v>
      </c>
      <c r="E3074" t="s">
        <v>11</v>
      </c>
      <c r="F3074" t="s">
        <v>274</v>
      </c>
      <c r="G3074" t="s">
        <v>92</v>
      </c>
      <c r="H3074">
        <v>3</v>
      </c>
      <c r="I3074" t="s">
        <v>9477</v>
      </c>
      <c r="J3074" t="s">
        <v>357</v>
      </c>
    </row>
    <row r="3075" spans="1:10" x14ac:dyDescent="0.25">
      <c r="A3075" t="s">
        <v>9478</v>
      </c>
      <c r="B3075" t="s">
        <v>9479</v>
      </c>
      <c r="C3075" s="2">
        <v>46244.583333333336</v>
      </c>
      <c r="D3075" t="s">
        <v>418</v>
      </c>
      <c r="E3075" t="s">
        <v>18</v>
      </c>
      <c r="F3075" t="s">
        <v>275</v>
      </c>
      <c r="G3075" t="s">
        <v>95</v>
      </c>
      <c r="H3075">
        <v>3</v>
      </c>
      <c r="I3075" t="s">
        <v>9480</v>
      </c>
      <c r="J3075" t="s">
        <v>357</v>
      </c>
    </row>
    <row r="3076" spans="1:10" x14ac:dyDescent="0.25">
      <c r="A3076" t="s">
        <v>9481</v>
      </c>
      <c r="B3076" t="s">
        <v>9482</v>
      </c>
      <c r="C3076" s="2">
        <v>46244.583333333336</v>
      </c>
      <c r="D3076" t="s">
        <v>418</v>
      </c>
      <c r="E3076" t="s">
        <v>24</v>
      </c>
      <c r="F3076" t="s">
        <v>278</v>
      </c>
      <c r="G3076" t="s">
        <v>101</v>
      </c>
      <c r="H3076">
        <v>4</v>
      </c>
      <c r="I3076" t="s">
        <v>9483</v>
      </c>
      <c r="J3076" t="s">
        <v>357</v>
      </c>
    </row>
    <row r="3077" spans="1:10" x14ac:dyDescent="0.25">
      <c r="A3077" t="s">
        <v>9484</v>
      </c>
      <c r="B3077" t="s">
        <v>9485</v>
      </c>
      <c r="C3077" s="2">
        <v>46244.583333333336</v>
      </c>
      <c r="D3077" t="s">
        <v>418</v>
      </c>
      <c r="E3077" t="s">
        <v>26</v>
      </c>
      <c r="F3077" t="s">
        <v>279</v>
      </c>
      <c r="G3077" t="s">
        <v>103</v>
      </c>
      <c r="H3077">
        <v>2</v>
      </c>
      <c r="I3077" t="s">
        <v>9486</v>
      </c>
      <c r="J3077" t="s">
        <v>357</v>
      </c>
    </row>
    <row r="3078" spans="1:10" x14ac:dyDescent="0.25">
      <c r="A3078" t="s">
        <v>9487</v>
      </c>
      <c r="B3078" t="s">
        <v>9488</v>
      </c>
      <c r="C3078" s="2">
        <v>46244.583333333336</v>
      </c>
      <c r="D3078" t="s">
        <v>418</v>
      </c>
      <c r="E3078" t="s">
        <v>36</v>
      </c>
      <c r="F3078" t="s">
        <v>187</v>
      </c>
      <c r="G3078" t="s">
        <v>113</v>
      </c>
      <c r="H3078">
        <v>5</v>
      </c>
      <c r="I3078" t="s">
        <v>9489</v>
      </c>
      <c r="J3078" t="s">
        <v>357</v>
      </c>
    </row>
    <row r="3079" spans="1:10" x14ac:dyDescent="0.25">
      <c r="A3079" t="s">
        <v>9490</v>
      </c>
      <c r="B3079" t="s">
        <v>9491</v>
      </c>
      <c r="C3079" s="2">
        <v>46244.583333333336</v>
      </c>
      <c r="D3079" t="s">
        <v>418</v>
      </c>
      <c r="E3079" t="s">
        <v>53</v>
      </c>
      <c r="F3079" t="s">
        <v>126</v>
      </c>
      <c r="G3079" t="s">
        <v>127</v>
      </c>
      <c r="H3079">
        <v>3</v>
      </c>
      <c r="I3079" t="s">
        <v>9492</v>
      </c>
      <c r="J3079" t="s">
        <v>357</v>
      </c>
    </row>
    <row r="3080" spans="1:10" x14ac:dyDescent="0.25">
      <c r="A3080" t="s">
        <v>9493</v>
      </c>
      <c r="B3080" t="s">
        <v>9494</v>
      </c>
      <c r="C3080" s="2">
        <v>46244.583333333336</v>
      </c>
      <c r="D3080" t="s">
        <v>418</v>
      </c>
      <c r="E3080" t="s">
        <v>71</v>
      </c>
      <c r="F3080" t="s">
        <v>212</v>
      </c>
      <c r="G3080" t="s">
        <v>141</v>
      </c>
      <c r="H3080">
        <v>1</v>
      </c>
      <c r="I3080" t="s">
        <v>9495</v>
      </c>
      <c r="J3080" t="s">
        <v>357</v>
      </c>
    </row>
    <row r="3081" spans="1:10" x14ac:dyDescent="0.25">
      <c r="A3081" t="s">
        <v>9496</v>
      </c>
      <c r="B3081" t="s">
        <v>9497</v>
      </c>
      <c r="C3081" s="2">
        <v>46244.583333333336</v>
      </c>
      <c r="D3081" t="s">
        <v>418</v>
      </c>
      <c r="E3081" t="s">
        <v>77</v>
      </c>
      <c r="F3081" t="s">
        <v>243</v>
      </c>
      <c r="G3081" t="s">
        <v>147</v>
      </c>
      <c r="H3081">
        <v>5</v>
      </c>
      <c r="I3081" t="s">
        <v>9498</v>
      </c>
      <c r="J3081" t="s">
        <v>357</v>
      </c>
    </row>
    <row r="3082" spans="1:10" x14ac:dyDescent="0.25">
      <c r="A3082" t="s">
        <v>9499</v>
      </c>
      <c r="B3082" t="s">
        <v>9500</v>
      </c>
      <c r="C3082" s="2">
        <v>46244.583333333336</v>
      </c>
      <c r="D3082" t="s">
        <v>418</v>
      </c>
      <c r="E3082" t="s">
        <v>11</v>
      </c>
      <c r="F3082" t="s">
        <v>274</v>
      </c>
      <c r="G3082" t="s">
        <v>92</v>
      </c>
      <c r="H3082">
        <v>3</v>
      </c>
      <c r="I3082" t="s">
        <v>9501</v>
      </c>
      <c r="J3082" t="s">
        <v>357</v>
      </c>
    </row>
    <row r="3083" spans="1:10" x14ac:dyDescent="0.25">
      <c r="A3083" t="s">
        <v>9502</v>
      </c>
      <c r="B3083" t="s">
        <v>9503</v>
      </c>
      <c r="C3083" s="2">
        <v>46244.583333333336</v>
      </c>
      <c r="D3083" t="s">
        <v>418</v>
      </c>
      <c r="E3083" t="s">
        <v>22</v>
      </c>
      <c r="F3083" t="s">
        <v>277</v>
      </c>
      <c r="G3083" t="s">
        <v>99</v>
      </c>
      <c r="H3083">
        <v>6</v>
      </c>
      <c r="I3083" t="s">
        <v>9504</v>
      </c>
      <c r="J3083" t="s">
        <v>357</v>
      </c>
    </row>
    <row r="3084" spans="1:10" x14ac:dyDescent="0.25">
      <c r="A3084" t="s">
        <v>9505</v>
      </c>
      <c r="B3084" t="s">
        <v>9506</v>
      </c>
      <c r="C3084" s="2">
        <v>46244.583333333336</v>
      </c>
      <c r="D3084" t="s">
        <v>418</v>
      </c>
      <c r="E3084" t="s">
        <v>26</v>
      </c>
      <c r="F3084" t="s">
        <v>279</v>
      </c>
      <c r="G3084" t="s">
        <v>103</v>
      </c>
      <c r="H3084">
        <v>2</v>
      </c>
      <c r="I3084" t="s">
        <v>9507</v>
      </c>
      <c r="J3084" t="s">
        <v>357</v>
      </c>
    </row>
    <row r="3085" spans="1:10" x14ac:dyDescent="0.25">
      <c r="A3085" t="s">
        <v>9508</v>
      </c>
      <c r="B3085" t="s">
        <v>9509</v>
      </c>
      <c r="C3085" s="2">
        <v>46244.583333333336</v>
      </c>
      <c r="D3085" t="s">
        <v>418</v>
      </c>
      <c r="E3085" t="s">
        <v>36</v>
      </c>
      <c r="F3085" t="s">
        <v>187</v>
      </c>
      <c r="G3085" t="s">
        <v>113</v>
      </c>
      <c r="H3085">
        <v>2</v>
      </c>
      <c r="I3085" t="s">
        <v>9510</v>
      </c>
      <c r="J3085" t="s">
        <v>357</v>
      </c>
    </row>
    <row r="3086" spans="1:10" x14ac:dyDescent="0.25">
      <c r="A3086" t="s">
        <v>9511</v>
      </c>
      <c r="B3086" t="s">
        <v>9512</v>
      </c>
      <c r="C3086" s="2">
        <v>46244.583333333336</v>
      </c>
      <c r="D3086" t="s">
        <v>418</v>
      </c>
      <c r="E3086" t="s">
        <v>41</v>
      </c>
      <c r="F3086" t="s">
        <v>265</v>
      </c>
      <c r="G3086" t="s">
        <v>115</v>
      </c>
      <c r="H3086">
        <v>1</v>
      </c>
      <c r="I3086" t="s">
        <v>9513</v>
      </c>
      <c r="J3086" t="s">
        <v>357</v>
      </c>
    </row>
    <row r="3087" spans="1:10" x14ac:dyDescent="0.25">
      <c r="A3087" t="s">
        <v>9514</v>
      </c>
      <c r="B3087" t="s">
        <v>9515</v>
      </c>
      <c r="C3087" s="2">
        <v>46244.583333333336</v>
      </c>
      <c r="D3087" t="s">
        <v>418</v>
      </c>
      <c r="E3087" t="s">
        <v>45</v>
      </c>
      <c r="F3087" t="s">
        <v>267</v>
      </c>
      <c r="G3087" t="s">
        <v>119</v>
      </c>
      <c r="H3087">
        <v>4</v>
      </c>
      <c r="I3087" t="s">
        <v>9516</v>
      </c>
      <c r="J3087" t="s">
        <v>357</v>
      </c>
    </row>
    <row r="3088" spans="1:10" x14ac:dyDescent="0.25">
      <c r="A3088" t="s">
        <v>9517</v>
      </c>
      <c r="B3088" t="s">
        <v>9518</v>
      </c>
      <c r="C3088" s="2">
        <v>46244.583333333336</v>
      </c>
      <c r="D3088" t="s">
        <v>418</v>
      </c>
      <c r="E3088" t="s">
        <v>49</v>
      </c>
      <c r="F3088" t="s">
        <v>167</v>
      </c>
      <c r="G3088" t="s">
        <v>123</v>
      </c>
      <c r="H3088">
        <v>2</v>
      </c>
      <c r="I3088" t="s">
        <v>9519</v>
      </c>
      <c r="J3088" t="s">
        <v>357</v>
      </c>
    </row>
    <row r="3089" spans="1:10" x14ac:dyDescent="0.25">
      <c r="A3089" t="s">
        <v>9520</v>
      </c>
      <c r="B3089" t="s">
        <v>9521</v>
      </c>
      <c r="C3089" s="2">
        <v>46244.583333333336</v>
      </c>
      <c r="D3089" t="s">
        <v>418</v>
      </c>
      <c r="E3089" t="s">
        <v>51</v>
      </c>
      <c r="F3089" t="s">
        <v>168</v>
      </c>
      <c r="G3089" t="s">
        <v>125</v>
      </c>
      <c r="H3089">
        <v>5</v>
      </c>
      <c r="I3089" t="s">
        <v>9522</v>
      </c>
      <c r="J3089" t="s">
        <v>357</v>
      </c>
    </row>
    <row r="3090" spans="1:10" x14ac:dyDescent="0.25">
      <c r="A3090" t="s">
        <v>9523</v>
      </c>
      <c r="B3090" t="s">
        <v>9524</v>
      </c>
      <c r="C3090" s="2">
        <v>46244.583333333336</v>
      </c>
      <c r="D3090" t="s">
        <v>418</v>
      </c>
      <c r="E3090" t="s">
        <v>51</v>
      </c>
      <c r="F3090" t="s">
        <v>254</v>
      </c>
      <c r="G3090" t="s">
        <v>125</v>
      </c>
      <c r="H3090">
        <v>1</v>
      </c>
      <c r="I3090" t="s">
        <v>9522</v>
      </c>
      <c r="J3090" t="s">
        <v>357</v>
      </c>
    </row>
    <row r="3091" spans="1:10" x14ac:dyDescent="0.25">
      <c r="A3091" t="s">
        <v>9525</v>
      </c>
      <c r="B3091" t="s">
        <v>9526</v>
      </c>
      <c r="C3091" s="2">
        <v>46244.583333333336</v>
      </c>
      <c r="D3091" t="s">
        <v>418</v>
      </c>
      <c r="E3091" t="s">
        <v>53</v>
      </c>
      <c r="F3091" t="s">
        <v>126</v>
      </c>
      <c r="G3091" t="s">
        <v>127</v>
      </c>
      <c r="H3091">
        <v>2</v>
      </c>
      <c r="I3091" t="s">
        <v>9527</v>
      </c>
      <c r="J3091" t="s">
        <v>357</v>
      </c>
    </row>
    <row r="3092" spans="1:10" x14ac:dyDescent="0.25">
      <c r="A3092" t="s">
        <v>9528</v>
      </c>
      <c r="B3092" t="s">
        <v>9529</v>
      </c>
      <c r="C3092" s="2">
        <v>46244.583333333336</v>
      </c>
      <c r="D3092" t="s">
        <v>418</v>
      </c>
      <c r="E3092" t="s">
        <v>75</v>
      </c>
      <c r="F3092" t="s">
        <v>259</v>
      </c>
      <c r="G3092" t="s">
        <v>145</v>
      </c>
      <c r="H3092">
        <v>1</v>
      </c>
      <c r="I3092" t="s">
        <v>9530</v>
      </c>
      <c r="J3092" t="s">
        <v>357</v>
      </c>
    </row>
    <row r="3093" spans="1:10" x14ac:dyDescent="0.25">
      <c r="A3093" t="s">
        <v>9531</v>
      </c>
      <c r="B3093" t="s">
        <v>9532</v>
      </c>
      <c r="C3093" s="2">
        <v>46244.583333333336</v>
      </c>
      <c r="D3093" t="s">
        <v>418</v>
      </c>
      <c r="E3093" t="s">
        <v>18</v>
      </c>
      <c r="F3093" t="s">
        <v>275</v>
      </c>
      <c r="G3093" t="s">
        <v>95</v>
      </c>
      <c r="H3093">
        <v>4</v>
      </c>
      <c r="I3093" t="s">
        <v>9533</v>
      </c>
      <c r="J3093" t="s">
        <v>357</v>
      </c>
    </row>
    <row r="3094" spans="1:10" x14ac:dyDescent="0.25">
      <c r="A3094" t="s">
        <v>9534</v>
      </c>
      <c r="B3094" t="s">
        <v>9535</v>
      </c>
      <c r="C3094" s="2">
        <v>46244.583333333336</v>
      </c>
      <c r="D3094" t="s">
        <v>418</v>
      </c>
      <c r="E3094" t="s">
        <v>22</v>
      </c>
      <c r="F3094" t="s">
        <v>277</v>
      </c>
      <c r="G3094" t="s">
        <v>99</v>
      </c>
      <c r="H3094">
        <v>1</v>
      </c>
      <c r="I3094" t="s">
        <v>9536</v>
      </c>
      <c r="J3094" t="s">
        <v>357</v>
      </c>
    </row>
    <row r="3095" spans="1:10" x14ac:dyDescent="0.25">
      <c r="A3095" t="s">
        <v>9537</v>
      </c>
      <c r="B3095" t="s">
        <v>9538</v>
      </c>
      <c r="C3095" s="2">
        <v>46244.583333333336</v>
      </c>
      <c r="D3095" t="s">
        <v>418</v>
      </c>
      <c r="E3095" t="s">
        <v>26</v>
      </c>
      <c r="F3095" t="s">
        <v>279</v>
      </c>
      <c r="G3095" t="s">
        <v>103</v>
      </c>
      <c r="H3095">
        <v>7</v>
      </c>
      <c r="I3095" t="s">
        <v>9539</v>
      </c>
      <c r="J3095" t="s">
        <v>357</v>
      </c>
    </row>
    <row r="3096" spans="1:10" x14ac:dyDescent="0.25">
      <c r="A3096" t="s">
        <v>9540</v>
      </c>
      <c r="B3096" t="s">
        <v>9541</v>
      </c>
      <c r="C3096" s="2">
        <v>46244.583333333336</v>
      </c>
      <c r="D3096" t="s">
        <v>418</v>
      </c>
      <c r="E3096" t="s">
        <v>47</v>
      </c>
      <c r="F3096" t="s">
        <v>268</v>
      </c>
      <c r="G3096" t="s">
        <v>121</v>
      </c>
      <c r="H3096">
        <v>4</v>
      </c>
      <c r="I3096" t="s">
        <v>9542</v>
      </c>
      <c r="J3096" t="s">
        <v>357</v>
      </c>
    </row>
    <row r="3097" spans="1:10" x14ac:dyDescent="0.25">
      <c r="A3097" t="s">
        <v>9543</v>
      </c>
      <c r="B3097" t="s">
        <v>9544</v>
      </c>
      <c r="C3097" s="2">
        <v>46244.583333333336</v>
      </c>
      <c r="D3097" t="s">
        <v>418</v>
      </c>
      <c r="E3097" t="s">
        <v>65</v>
      </c>
      <c r="F3097" t="s">
        <v>241</v>
      </c>
      <c r="G3097" t="s">
        <v>135</v>
      </c>
      <c r="H3097">
        <v>1</v>
      </c>
      <c r="I3097" t="s">
        <v>9545</v>
      </c>
      <c r="J3097" t="s">
        <v>357</v>
      </c>
    </row>
    <row r="3098" spans="1:10" x14ac:dyDescent="0.25">
      <c r="A3098" t="s">
        <v>9546</v>
      </c>
      <c r="B3098" t="s">
        <v>9547</v>
      </c>
      <c r="C3098" s="2">
        <v>46244.583333333336</v>
      </c>
      <c r="D3098" t="s">
        <v>418</v>
      </c>
      <c r="E3098" t="s">
        <v>18</v>
      </c>
      <c r="F3098" t="s">
        <v>275</v>
      </c>
      <c r="G3098" t="s">
        <v>95</v>
      </c>
      <c r="H3098">
        <v>3</v>
      </c>
      <c r="I3098" t="s">
        <v>9548</v>
      </c>
      <c r="J3098" t="s">
        <v>357</v>
      </c>
    </row>
    <row r="3099" spans="1:10" x14ac:dyDescent="0.25">
      <c r="A3099" t="s">
        <v>9549</v>
      </c>
      <c r="B3099" t="s">
        <v>9550</v>
      </c>
      <c r="C3099" s="2">
        <v>46244.583333333336</v>
      </c>
      <c r="D3099" t="s">
        <v>418</v>
      </c>
      <c r="E3099" t="s">
        <v>26</v>
      </c>
      <c r="F3099" t="s">
        <v>279</v>
      </c>
      <c r="G3099" t="s">
        <v>103</v>
      </c>
      <c r="H3099">
        <v>3</v>
      </c>
      <c r="I3099" t="s">
        <v>9551</v>
      </c>
      <c r="J3099" t="s">
        <v>357</v>
      </c>
    </row>
    <row r="3100" spans="1:10" x14ac:dyDescent="0.25">
      <c r="A3100" t="s">
        <v>9552</v>
      </c>
      <c r="B3100" t="s">
        <v>9553</v>
      </c>
      <c r="C3100" s="2">
        <v>46244.583333333336</v>
      </c>
      <c r="D3100" t="s">
        <v>418</v>
      </c>
      <c r="E3100" t="s">
        <v>32</v>
      </c>
      <c r="F3100" t="s">
        <v>222</v>
      </c>
      <c r="G3100" t="s">
        <v>109</v>
      </c>
      <c r="H3100">
        <v>4</v>
      </c>
      <c r="I3100" t="s">
        <v>9554</v>
      </c>
      <c r="J3100" t="s">
        <v>357</v>
      </c>
    </row>
    <row r="3101" spans="1:10" x14ac:dyDescent="0.25">
      <c r="A3101" t="s">
        <v>9555</v>
      </c>
      <c r="B3101" t="s">
        <v>9556</v>
      </c>
      <c r="C3101" s="2">
        <v>46244.583333333336</v>
      </c>
      <c r="D3101" t="s">
        <v>418</v>
      </c>
      <c r="E3101" t="s">
        <v>36</v>
      </c>
      <c r="F3101" t="s">
        <v>187</v>
      </c>
      <c r="G3101" t="s">
        <v>113</v>
      </c>
      <c r="H3101">
        <v>2</v>
      </c>
      <c r="I3101" t="s">
        <v>9557</v>
      </c>
      <c r="J3101" t="s">
        <v>357</v>
      </c>
    </row>
    <row r="3102" spans="1:10" x14ac:dyDescent="0.25">
      <c r="A3102" t="s">
        <v>9558</v>
      </c>
      <c r="B3102" t="s">
        <v>9559</v>
      </c>
      <c r="C3102" s="2">
        <v>46244.583333333336</v>
      </c>
      <c r="D3102" t="s">
        <v>418</v>
      </c>
      <c r="E3102" t="s">
        <v>41</v>
      </c>
      <c r="F3102" t="s">
        <v>265</v>
      </c>
      <c r="G3102" t="s">
        <v>115</v>
      </c>
      <c r="H3102">
        <v>4</v>
      </c>
      <c r="I3102" t="s">
        <v>9560</v>
      </c>
      <c r="J3102" t="s">
        <v>357</v>
      </c>
    </row>
    <row r="3103" spans="1:10" x14ac:dyDescent="0.25">
      <c r="A3103" t="s">
        <v>9561</v>
      </c>
      <c r="B3103" t="s">
        <v>9562</v>
      </c>
      <c r="C3103" s="2">
        <v>46244.583333333336</v>
      </c>
      <c r="D3103" t="s">
        <v>418</v>
      </c>
      <c r="E3103" t="s">
        <v>45</v>
      </c>
      <c r="F3103" t="s">
        <v>267</v>
      </c>
      <c r="G3103" t="s">
        <v>119</v>
      </c>
      <c r="H3103">
        <v>2</v>
      </c>
      <c r="I3103" t="s">
        <v>9563</v>
      </c>
      <c r="J3103" t="s">
        <v>357</v>
      </c>
    </row>
    <row r="3104" spans="1:10" x14ac:dyDescent="0.25">
      <c r="A3104" t="s">
        <v>9564</v>
      </c>
      <c r="B3104" t="s">
        <v>9565</v>
      </c>
      <c r="C3104" s="2">
        <v>46244.583333333336</v>
      </c>
      <c r="D3104" t="s">
        <v>418</v>
      </c>
      <c r="E3104" t="s">
        <v>47</v>
      </c>
      <c r="F3104" t="s">
        <v>268</v>
      </c>
      <c r="G3104" t="s">
        <v>121</v>
      </c>
      <c r="H3104">
        <v>2</v>
      </c>
      <c r="I3104" t="s">
        <v>9566</v>
      </c>
      <c r="J3104" t="s">
        <v>357</v>
      </c>
    </row>
    <row r="3105" spans="1:10" x14ac:dyDescent="0.25">
      <c r="A3105" t="s">
        <v>9567</v>
      </c>
      <c r="B3105" t="s">
        <v>9568</v>
      </c>
      <c r="C3105" s="2">
        <v>46244.583333333336</v>
      </c>
      <c r="D3105" t="s">
        <v>418</v>
      </c>
      <c r="E3105" t="s">
        <v>51</v>
      </c>
      <c r="F3105" t="s">
        <v>254</v>
      </c>
      <c r="G3105" t="s">
        <v>125</v>
      </c>
      <c r="H3105">
        <v>1</v>
      </c>
      <c r="I3105" t="s">
        <v>9569</v>
      </c>
      <c r="J3105" t="s">
        <v>357</v>
      </c>
    </row>
    <row r="3106" spans="1:10" x14ac:dyDescent="0.25">
      <c r="A3106" t="s">
        <v>9570</v>
      </c>
      <c r="B3106" t="s">
        <v>9571</v>
      </c>
      <c r="C3106" s="2">
        <v>46244.583333333336</v>
      </c>
      <c r="D3106" t="s">
        <v>418</v>
      </c>
      <c r="E3106" t="s">
        <v>59</v>
      </c>
      <c r="F3106" t="s">
        <v>227</v>
      </c>
      <c r="G3106" t="s">
        <v>133</v>
      </c>
      <c r="H3106">
        <v>4</v>
      </c>
      <c r="I3106" t="s">
        <v>9572</v>
      </c>
      <c r="J3106" t="s">
        <v>357</v>
      </c>
    </row>
    <row r="3107" spans="1:10" x14ac:dyDescent="0.25">
      <c r="A3107" t="s">
        <v>9573</v>
      </c>
      <c r="B3107" t="s">
        <v>9574</v>
      </c>
      <c r="C3107" s="2">
        <v>46245.333333333336</v>
      </c>
      <c r="D3107" t="s">
        <v>1412</v>
      </c>
      <c r="E3107" t="s">
        <v>11</v>
      </c>
      <c r="F3107" t="s">
        <v>285</v>
      </c>
      <c r="G3107" t="s">
        <v>92</v>
      </c>
      <c r="H3107">
        <v>87</v>
      </c>
      <c r="I3107" t="s">
        <v>357</v>
      </c>
      <c r="J3107" t="s">
        <v>9575</v>
      </c>
    </row>
    <row r="3108" spans="1:10" x14ac:dyDescent="0.25">
      <c r="A3108" t="s">
        <v>9576</v>
      </c>
      <c r="B3108" t="s">
        <v>9577</v>
      </c>
      <c r="C3108" s="2">
        <v>46245.333333333336</v>
      </c>
      <c r="D3108" t="s">
        <v>1412</v>
      </c>
      <c r="E3108" t="s">
        <v>18</v>
      </c>
      <c r="F3108" t="s">
        <v>286</v>
      </c>
      <c r="G3108" t="s">
        <v>95</v>
      </c>
      <c r="H3108">
        <v>71</v>
      </c>
      <c r="I3108" t="s">
        <v>357</v>
      </c>
      <c r="J3108" t="s">
        <v>9578</v>
      </c>
    </row>
    <row r="3109" spans="1:10" x14ac:dyDescent="0.25">
      <c r="A3109" t="s">
        <v>9579</v>
      </c>
      <c r="B3109" t="s">
        <v>9580</v>
      </c>
      <c r="C3109" s="2">
        <v>46245.333333333336</v>
      </c>
      <c r="D3109" t="s">
        <v>1412</v>
      </c>
      <c r="E3109" t="s">
        <v>20</v>
      </c>
      <c r="F3109" t="s">
        <v>287</v>
      </c>
      <c r="G3109" t="s">
        <v>97</v>
      </c>
      <c r="H3109">
        <v>93</v>
      </c>
      <c r="I3109" t="s">
        <v>357</v>
      </c>
      <c r="J3109" t="s">
        <v>9581</v>
      </c>
    </row>
    <row r="3110" spans="1:10" x14ac:dyDescent="0.25">
      <c r="A3110" t="s">
        <v>9582</v>
      </c>
      <c r="B3110" t="s">
        <v>9583</v>
      </c>
      <c r="C3110" s="2">
        <v>46245.333333333336</v>
      </c>
      <c r="D3110" t="s">
        <v>1412</v>
      </c>
      <c r="E3110" t="s">
        <v>22</v>
      </c>
      <c r="F3110" t="s">
        <v>288</v>
      </c>
      <c r="G3110" t="s">
        <v>99</v>
      </c>
      <c r="H3110">
        <v>62</v>
      </c>
      <c r="I3110" t="s">
        <v>357</v>
      </c>
      <c r="J3110" t="s">
        <v>9584</v>
      </c>
    </row>
    <row r="3111" spans="1:10" x14ac:dyDescent="0.25">
      <c r="A3111" t="s">
        <v>9585</v>
      </c>
      <c r="B3111" t="s">
        <v>9586</v>
      </c>
      <c r="C3111" s="2">
        <v>46245.333333333336</v>
      </c>
      <c r="D3111" t="s">
        <v>1412</v>
      </c>
      <c r="E3111" t="s">
        <v>24</v>
      </c>
      <c r="F3111" t="s">
        <v>289</v>
      </c>
      <c r="G3111" t="s">
        <v>101</v>
      </c>
      <c r="H3111">
        <v>80</v>
      </c>
      <c r="I3111" t="s">
        <v>357</v>
      </c>
      <c r="J3111" t="s">
        <v>9587</v>
      </c>
    </row>
    <row r="3112" spans="1:10" x14ac:dyDescent="0.25">
      <c r="A3112" t="s">
        <v>9588</v>
      </c>
      <c r="B3112" t="s">
        <v>9589</v>
      </c>
      <c r="C3112" s="2">
        <v>46245.333333333336</v>
      </c>
      <c r="D3112" t="s">
        <v>1412</v>
      </c>
      <c r="E3112" t="s">
        <v>26</v>
      </c>
      <c r="F3112" t="s">
        <v>290</v>
      </c>
      <c r="G3112" t="s">
        <v>103</v>
      </c>
      <c r="H3112">
        <v>96</v>
      </c>
      <c r="I3112" t="s">
        <v>357</v>
      </c>
      <c r="J3112" t="s">
        <v>9590</v>
      </c>
    </row>
    <row r="3113" spans="1:10" x14ac:dyDescent="0.25">
      <c r="A3113" t="s">
        <v>9591</v>
      </c>
      <c r="B3113" t="s">
        <v>9592</v>
      </c>
      <c r="C3113" s="2">
        <v>46245.333333333336</v>
      </c>
      <c r="D3113" t="s">
        <v>1412</v>
      </c>
      <c r="E3113" t="s">
        <v>30</v>
      </c>
      <c r="F3113" t="s">
        <v>291</v>
      </c>
      <c r="G3113" t="s">
        <v>107</v>
      </c>
      <c r="H3113">
        <v>77</v>
      </c>
      <c r="I3113" t="s">
        <v>357</v>
      </c>
      <c r="J3113" t="s">
        <v>9593</v>
      </c>
    </row>
    <row r="3114" spans="1:10" x14ac:dyDescent="0.25">
      <c r="A3114" t="s">
        <v>9594</v>
      </c>
      <c r="B3114" t="s">
        <v>9595</v>
      </c>
      <c r="C3114" s="2">
        <v>46245.333333333336</v>
      </c>
      <c r="D3114" t="s">
        <v>1412</v>
      </c>
      <c r="E3114" t="s">
        <v>34</v>
      </c>
      <c r="F3114" t="s">
        <v>292</v>
      </c>
      <c r="G3114" t="s">
        <v>111</v>
      </c>
      <c r="H3114">
        <v>71</v>
      </c>
      <c r="I3114" t="s">
        <v>357</v>
      </c>
      <c r="J3114" t="s">
        <v>9596</v>
      </c>
    </row>
    <row r="3115" spans="1:10" x14ac:dyDescent="0.25">
      <c r="A3115" t="s">
        <v>9597</v>
      </c>
      <c r="B3115" t="s">
        <v>9598</v>
      </c>
      <c r="C3115" s="2">
        <v>46245.333333333336</v>
      </c>
      <c r="D3115" t="s">
        <v>1412</v>
      </c>
      <c r="E3115" t="s">
        <v>41</v>
      </c>
      <c r="F3115" t="s">
        <v>293</v>
      </c>
      <c r="G3115" t="s">
        <v>115</v>
      </c>
      <c r="H3115">
        <v>84</v>
      </c>
      <c r="I3115" t="s">
        <v>357</v>
      </c>
      <c r="J3115" t="s">
        <v>9599</v>
      </c>
    </row>
    <row r="3116" spans="1:10" x14ac:dyDescent="0.25">
      <c r="A3116" t="s">
        <v>9600</v>
      </c>
      <c r="B3116" t="s">
        <v>9601</v>
      </c>
      <c r="C3116" s="2">
        <v>46245.333333333336</v>
      </c>
      <c r="D3116" t="s">
        <v>1412</v>
      </c>
      <c r="E3116" t="s">
        <v>43</v>
      </c>
      <c r="F3116" t="s">
        <v>294</v>
      </c>
      <c r="G3116" t="s">
        <v>117</v>
      </c>
      <c r="H3116">
        <v>93</v>
      </c>
      <c r="I3116" t="s">
        <v>357</v>
      </c>
      <c r="J3116" t="s">
        <v>9602</v>
      </c>
    </row>
    <row r="3117" spans="1:10" x14ac:dyDescent="0.25">
      <c r="A3117" t="s">
        <v>9603</v>
      </c>
      <c r="B3117" t="s">
        <v>9604</v>
      </c>
      <c r="C3117" s="2">
        <v>46245.333333333336</v>
      </c>
      <c r="D3117" t="s">
        <v>1412</v>
      </c>
      <c r="E3117" t="s">
        <v>49</v>
      </c>
      <c r="F3117" t="s">
        <v>295</v>
      </c>
      <c r="G3117" t="s">
        <v>123</v>
      </c>
      <c r="H3117">
        <v>72</v>
      </c>
      <c r="I3117" t="s">
        <v>357</v>
      </c>
      <c r="J3117" t="s">
        <v>9605</v>
      </c>
    </row>
    <row r="3118" spans="1:10" x14ac:dyDescent="0.25">
      <c r="A3118" t="s">
        <v>9606</v>
      </c>
      <c r="B3118" t="s">
        <v>9607</v>
      </c>
      <c r="C3118" s="2">
        <v>46245.333333333336</v>
      </c>
      <c r="D3118" t="s">
        <v>1412</v>
      </c>
      <c r="E3118" t="s">
        <v>51</v>
      </c>
      <c r="F3118" t="s">
        <v>296</v>
      </c>
      <c r="G3118" t="s">
        <v>125</v>
      </c>
      <c r="H3118">
        <v>68</v>
      </c>
      <c r="I3118" t="s">
        <v>357</v>
      </c>
      <c r="J3118" t="s">
        <v>9608</v>
      </c>
    </row>
    <row r="3119" spans="1:10" x14ac:dyDescent="0.25">
      <c r="A3119" t="s">
        <v>9609</v>
      </c>
      <c r="B3119" t="s">
        <v>9610</v>
      </c>
      <c r="C3119" s="2">
        <v>46245.333333333336</v>
      </c>
      <c r="D3119" t="s">
        <v>1412</v>
      </c>
      <c r="E3119" t="s">
        <v>53</v>
      </c>
      <c r="F3119" t="s">
        <v>297</v>
      </c>
      <c r="G3119" t="s">
        <v>127</v>
      </c>
      <c r="H3119">
        <v>64</v>
      </c>
      <c r="I3119" t="s">
        <v>357</v>
      </c>
      <c r="J3119" t="s">
        <v>9611</v>
      </c>
    </row>
    <row r="3120" spans="1:10" x14ac:dyDescent="0.25">
      <c r="A3120" t="s">
        <v>9612</v>
      </c>
      <c r="B3120" t="s">
        <v>9613</v>
      </c>
      <c r="C3120" s="2">
        <v>46245.333333333336</v>
      </c>
      <c r="D3120" t="s">
        <v>1412</v>
      </c>
      <c r="E3120" t="s">
        <v>55</v>
      </c>
      <c r="F3120" t="s">
        <v>298</v>
      </c>
      <c r="G3120" t="s">
        <v>129</v>
      </c>
      <c r="H3120">
        <v>67</v>
      </c>
      <c r="I3120" t="s">
        <v>357</v>
      </c>
      <c r="J3120" t="s">
        <v>9614</v>
      </c>
    </row>
    <row r="3121" spans="1:10" x14ac:dyDescent="0.25">
      <c r="A3121" t="s">
        <v>9615</v>
      </c>
      <c r="B3121" t="s">
        <v>9616</v>
      </c>
      <c r="C3121" s="2">
        <v>46245.333333333336</v>
      </c>
      <c r="D3121" t="s">
        <v>1412</v>
      </c>
      <c r="E3121" t="s">
        <v>57</v>
      </c>
      <c r="F3121" t="s">
        <v>299</v>
      </c>
      <c r="G3121" t="s">
        <v>131</v>
      </c>
      <c r="H3121">
        <v>99</v>
      </c>
      <c r="I3121" t="s">
        <v>357</v>
      </c>
      <c r="J3121" t="s">
        <v>9617</v>
      </c>
    </row>
    <row r="3122" spans="1:10" x14ac:dyDescent="0.25">
      <c r="A3122" t="s">
        <v>9618</v>
      </c>
      <c r="B3122" t="s">
        <v>9619</v>
      </c>
      <c r="C3122" s="2">
        <v>46245.333333333336</v>
      </c>
      <c r="D3122" t="s">
        <v>1412</v>
      </c>
      <c r="E3122" t="s">
        <v>67</v>
      </c>
      <c r="F3122" t="s">
        <v>300</v>
      </c>
      <c r="G3122" t="s">
        <v>137</v>
      </c>
      <c r="H3122">
        <v>79</v>
      </c>
      <c r="I3122" t="s">
        <v>357</v>
      </c>
      <c r="J3122" t="s">
        <v>9620</v>
      </c>
    </row>
    <row r="3123" spans="1:10" x14ac:dyDescent="0.25">
      <c r="A3123" t="s">
        <v>9621</v>
      </c>
      <c r="B3123" t="s">
        <v>9622</v>
      </c>
      <c r="C3123" s="2">
        <v>46245.333333333336</v>
      </c>
      <c r="D3123" t="s">
        <v>1412</v>
      </c>
      <c r="E3123" t="s">
        <v>69</v>
      </c>
      <c r="F3123" t="s">
        <v>301</v>
      </c>
      <c r="G3123" t="s">
        <v>139</v>
      </c>
      <c r="H3123">
        <v>81</v>
      </c>
      <c r="I3123" t="s">
        <v>357</v>
      </c>
      <c r="J3123" t="s">
        <v>9623</v>
      </c>
    </row>
    <row r="3124" spans="1:10" x14ac:dyDescent="0.25">
      <c r="A3124" t="s">
        <v>9624</v>
      </c>
      <c r="B3124" t="s">
        <v>9625</v>
      </c>
      <c r="C3124" s="2">
        <v>46245.333333333336</v>
      </c>
      <c r="D3124" t="s">
        <v>1412</v>
      </c>
      <c r="E3124" t="s">
        <v>71</v>
      </c>
      <c r="F3124" t="s">
        <v>302</v>
      </c>
      <c r="G3124" t="s">
        <v>141</v>
      </c>
      <c r="H3124">
        <v>65</v>
      </c>
      <c r="I3124" t="s">
        <v>357</v>
      </c>
      <c r="J3124" t="s">
        <v>9626</v>
      </c>
    </row>
    <row r="3125" spans="1:10" x14ac:dyDescent="0.25">
      <c r="A3125" t="s">
        <v>9627</v>
      </c>
      <c r="B3125" t="s">
        <v>9628</v>
      </c>
      <c r="C3125" s="2">
        <v>46245.333333333336</v>
      </c>
      <c r="D3125" t="s">
        <v>1412</v>
      </c>
      <c r="E3125" t="s">
        <v>73</v>
      </c>
      <c r="F3125" t="s">
        <v>303</v>
      </c>
      <c r="G3125" t="s">
        <v>143</v>
      </c>
      <c r="H3125">
        <v>86</v>
      </c>
      <c r="I3125" t="s">
        <v>357</v>
      </c>
      <c r="J3125" t="s">
        <v>9629</v>
      </c>
    </row>
    <row r="3126" spans="1:10" x14ac:dyDescent="0.25">
      <c r="A3126" t="s">
        <v>9630</v>
      </c>
      <c r="B3126" t="s">
        <v>9631</v>
      </c>
      <c r="C3126" s="2">
        <v>46245.583333333336</v>
      </c>
      <c r="D3126" t="s">
        <v>418</v>
      </c>
      <c r="E3126" t="s">
        <v>18</v>
      </c>
      <c r="F3126" t="s">
        <v>275</v>
      </c>
      <c r="G3126" t="s">
        <v>95</v>
      </c>
      <c r="H3126">
        <v>3</v>
      </c>
      <c r="I3126" t="s">
        <v>9632</v>
      </c>
      <c r="J3126" t="s">
        <v>357</v>
      </c>
    </row>
    <row r="3127" spans="1:10" x14ac:dyDescent="0.25">
      <c r="A3127" t="s">
        <v>9633</v>
      </c>
      <c r="B3127" t="s">
        <v>9634</v>
      </c>
      <c r="C3127" s="2">
        <v>46245.583333333336</v>
      </c>
      <c r="D3127" t="s">
        <v>418</v>
      </c>
      <c r="E3127" t="s">
        <v>22</v>
      </c>
      <c r="F3127" t="s">
        <v>288</v>
      </c>
      <c r="G3127" t="s">
        <v>99</v>
      </c>
      <c r="H3127">
        <v>1</v>
      </c>
      <c r="I3127" t="s">
        <v>9635</v>
      </c>
      <c r="J3127" t="s">
        <v>357</v>
      </c>
    </row>
    <row r="3128" spans="1:10" x14ac:dyDescent="0.25">
      <c r="A3128" t="s">
        <v>9636</v>
      </c>
      <c r="B3128" t="s">
        <v>9637</v>
      </c>
      <c r="C3128" s="2">
        <v>46245.583333333336</v>
      </c>
      <c r="D3128" t="s">
        <v>418</v>
      </c>
      <c r="E3128" t="s">
        <v>43</v>
      </c>
      <c r="F3128" t="s">
        <v>266</v>
      </c>
      <c r="G3128" t="s">
        <v>117</v>
      </c>
      <c r="H3128">
        <v>3</v>
      </c>
      <c r="I3128" t="s">
        <v>9638</v>
      </c>
      <c r="J3128" t="s">
        <v>357</v>
      </c>
    </row>
    <row r="3129" spans="1:10" x14ac:dyDescent="0.25">
      <c r="A3129" t="s">
        <v>9639</v>
      </c>
      <c r="B3129" t="s">
        <v>9640</v>
      </c>
      <c r="C3129" s="2">
        <v>46245.583333333336</v>
      </c>
      <c r="D3129" t="s">
        <v>418</v>
      </c>
      <c r="E3129" t="s">
        <v>47</v>
      </c>
      <c r="F3129" t="s">
        <v>268</v>
      </c>
      <c r="G3129" t="s">
        <v>121</v>
      </c>
      <c r="H3129">
        <v>2</v>
      </c>
      <c r="I3129" t="s">
        <v>9641</v>
      </c>
      <c r="J3129" t="s">
        <v>357</v>
      </c>
    </row>
    <row r="3130" spans="1:10" x14ac:dyDescent="0.25">
      <c r="A3130" t="s">
        <v>9642</v>
      </c>
      <c r="B3130" t="s">
        <v>9643</v>
      </c>
      <c r="C3130" s="2">
        <v>46245.583333333336</v>
      </c>
      <c r="D3130" t="s">
        <v>418</v>
      </c>
      <c r="E3130" t="s">
        <v>53</v>
      </c>
      <c r="F3130" t="s">
        <v>239</v>
      </c>
      <c r="G3130" t="s">
        <v>127</v>
      </c>
      <c r="H3130">
        <v>4</v>
      </c>
      <c r="I3130" t="s">
        <v>9644</v>
      </c>
      <c r="J3130" t="s">
        <v>357</v>
      </c>
    </row>
    <row r="3131" spans="1:10" x14ac:dyDescent="0.25">
      <c r="A3131" t="s">
        <v>9645</v>
      </c>
      <c r="B3131" t="s">
        <v>9646</v>
      </c>
      <c r="C3131" s="2">
        <v>46245.583333333336</v>
      </c>
      <c r="D3131" t="s">
        <v>418</v>
      </c>
      <c r="E3131" t="s">
        <v>59</v>
      </c>
      <c r="F3131" t="s">
        <v>227</v>
      </c>
      <c r="G3131" t="s">
        <v>133</v>
      </c>
      <c r="H3131">
        <v>4</v>
      </c>
      <c r="I3131" t="s">
        <v>9647</v>
      </c>
      <c r="J3131" t="s">
        <v>357</v>
      </c>
    </row>
    <row r="3132" spans="1:10" x14ac:dyDescent="0.25">
      <c r="A3132" t="s">
        <v>9648</v>
      </c>
      <c r="B3132" t="s">
        <v>9649</v>
      </c>
      <c r="C3132" s="2">
        <v>46245.583333333336</v>
      </c>
      <c r="D3132" t="s">
        <v>418</v>
      </c>
      <c r="E3132" t="s">
        <v>65</v>
      </c>
      <c r="F3132" t="s">
        <v>241</v>
      </c>
      <c r="G3132" t="s">
        <v>135</v>
      </c>
      <c r="H3132">
        <v>3</v>
      </c>
      <c r="I3132" t="s">
        <v>9650</v>
      </c>
      <c r="J3132" t="s">
        <v>357</v>
      </c>
    </row>
    <row r="3133" spans="1:10" x14ac:dyDescent="0.25">
      <c r="A3133" t="s">
        <v>9651</v>
      </c>
      <c r="B3133" t="s">
        <v>9652</v>
      </c>
      <c r="C3133" s="2">
        <v>46245.583333333336</v>
      </c>
      <c r="D3133" t="s">
        <v>418</v>
      </c>
      <c r="E3133" t="s">
        <v>69</v>
      </c>
      <c r="F3133" t="s">
        <v>229</v>
      </c>
      <c r="G3133" t="s">
        <v>139</v>
      </c>
      <c r="H3133">
        <v>1</v>
      </c>
      <c r="I3133" t="s">
        <v>9653</v>
      </c>
      <c r="J3133" t="s">
        <v>357</v>
      </c>
    </row>
    <row r="3134" spans="1:10" x14ac:dyDescent="0.25">
      <c r="A3134" t="s">
        <v>9654</v>
      </c>
      <c r="B3134" t="s">
        <v>9655</v>
      </c>
      <c r="C3134" s="2">
        <v>46245.583333333336</v>
      </c>
      <c r="D3134" t="s">
        <v>418</v>
      </c>
      <c r="E3134" t="s">
        <v>71</v>
      </c>
      <c r="F3134" t="s">
        <v>212</v>
      </c>
      <c r="G3134" t="s">
        <v>141</v>
      </c>
      <c r="H3134">
        <v>3</v>
      </c>
      <c r="I3134" t="s">
        <v>9656</v>
      </c>
      <c r="J3134" t="s">
        <v>357</v>
      </c>
    </row>
    <row r="3135" spans="1:10" x14ac:dyDescent="0.25">
      <c r="A3135" t="s">
        <v>9657</v>
      </c>
      <c r="B3135" t="s">
        <v>9658</v>
      </c>
      <c r="C3135" s="2">
        <v>46245.583333333336</v>
      </c>
      <c r="D3135" t="s">
        <v>418</v>
      </c>
      <c r="E3135" t="s">
        <v>73</v>
      </c>
      <c r="F3135" t="s">
        <v>213</v>
      </c>
      <c r="G3135" t="s">
        <v>143</v>
      </c>
      <c r="H3135">
        <v>2</v>
      </c>
      <c r="I3135" t="s">
        <v>9659</v>
      </c>
      <c r="J3135" t="s">
        <v>357</v>
      </c>
    </row>
    <row r="3136" spans="1:10" x14ac:dyDescent="0.25">
      <c r="A3136" t="s">
        <v>9660</v>
      </c>
      <c r="B3136" t="s">
        <v>9661</v>
      </c>
      <c r="C3136" s="2">
        <v>46245.583333333336</v>
      </c>
      <c r="D3136" t="s">
        <v>418</v>
      </c>
      <c r="E3136" t="s">
        <v>75</v>
      </c>
      <c r="F3136" t="s">
        <v>259</v>
      </c>
      <c r="G3136" t="s">
        <v>145</v>
      </c>
      <c r="H3136">
        <v>3</v>
      </c>
      <c r="I3136" t="s">
        <v>9662</v>
      </c>
      <c r="J3136" t="s">
        <v>357</v>
      </c>
    </row>
    <row r="3137" spans="1:10" x14ac:dyDescent="0.25">
      <c r="A3137" t="s">
        <v>9663</v>
      </c>
      <c r="B3137" t="s">
        <v>9664</v>
      </c>
      <c r="C3137" s="2">
        <v>46245.583333333336</v>
      </c>
      <c r="D3137" t="s">
        <v>418</v>
      </c>
      <c r="E3137" t="s">
        <v>18</v>
      </c>
      <c r="F3137" t="s">
        <v>275</v>
      </c>
      <c r="G3137" t="s">
        <v>95</v>
      </c>
      <c r="H3137">
        <v>2</v>
      </c>
      <c r="I3137" t="s">
        <v>9665</v>
      </c>
      <c r="J3137" t="s">
        <v>357</v>
      </c>
    </row>
    <row r="3138" spans="1:10" x14ac:dyDescent="0.25">
      <c r="A3138" t="s">
        <v>9666</v>
      </c>
      <c r="B3138" t="s">
        <v>9667</v>
      </c>
      <c r="C3138" s="2">
        <v>46245.583333333336</v>
      </c>
      <c r="D3138" t="s">
        <v>418</v>
      </c>
      <c r="E3138" t="s">
        <v>20</v>
      </c>
      <c r="F3138" t="s">
        <v>287</v>
      </c>
      <c r="G3138" t="s">
        <v>97</v>
      </c>
      <c r="H3138">
        <v>1</v>
      </c>
      <c r="I3138" t="s">
        <v>9668</v>
      </c>
      <c r="J3138" t="s">
        <v>357</v>
      </c>
    </row>
    <row r="3139" spans="1:10" x14ac:dyDescent="0.25">
      <c r="A3139" t="s">
        <v>9669</v>
      </c>
      <c r="B3139" t="s">
        <v>9670</v>
      </c>
      <c r="C3139" s="2">
        <v>46245.583333333336</v>
      </c>
      <c r="D3139" t="s">
        <v>418</v>
      </c>
      <c r="E3139" t="s">
        <v>22</v>
      </c>
      <c r="F3139" t="s">
        <v>288</v>
      </c>
      <c r="G3139" t="s">
        <v>99</v>
      </c>
      <c r="H3139">
        <v>1</v>
      </c>
      <c r="I3139" t="s">
        <v>9671</v>
      </c>
      <c r="J3139" t="s">
        <v>357</v>
      </c>
    </row>
    <row r="3140" spans="1:10" x14ac:dyDescent="0.25">
      <c r="A3140" t="s">
        <v>9672</v>
      </c>
      <c r="B3140" t="s">
        <v>9673</v>
      </c>
      <c r="C3140" s="2">
        <v>46245.583333333336</v>
      </c>
      <c r="D3140" t="s">
        <v>418</v>
      </c>
      <c r="E3140" t="s">
        <v>26</v>
      </c>
      <c r="F3140" t="s">
        <v>290</v>
      </c>
      <c r="G3140" t="s">
        <v>103</v>
      </c>
      <c r="H3140">
        <v>2</v>
      </c>
      <c r="I3140" t="s">
        <v>9674</v>
      </c>
      <c r="J3140" t="s">
        <v>357</v>
      </c>
    </row>
    <row r="3141" spans="1:10" x14ac:dyDescent="0.25">
      <c r="A3141" t="s">
        <v>9675</v>
      </c>
      <c r="B3141" t="s">
        <v>9676</v>
      </c>
      <c r="C3141" s="2">
        <v>46245.583333333336</v>
      </c>
      <c r="D3141" t="s">
        <v>418</v>
      </c>
      <c r="E3141" t="s">
        <v>67</v>
      </c>
      <c r="F3141" t="s">
        <v>242</v>
      </c>
      <c r="G3141" t="s">
        <v>137</v>
      </c>
      <c r="H3141">
        <v>1</v>
      </c>
      <c r="I3141" t="s">
        <v>9677</v>
      </c>
      <c r="J3141" t="s">
        <v>357</v>
      </c>
    </row>
    <row r="3142" spans="1:10" x14ac:dyDescent="0.25">
      <c r="A3142" t="s">
        <v>9678</v>
      </c>
      <c r="B3142" t="s">
        <v>9679</v>
      </c>
      <c r="C3142" s="2">
        <v>46245.583333333336</v>
      </c>
      <c r="D3142" t="s">
        <v>418</v>
      </c>
      <c r="E3142" t="s">
        <v>71</v>
      </c>
      <c r="F3142" t="s">
        <v>212</v>
      </c>
      <c r="G3142" t="s">
        <v>141</v>
      </c>
      <c r="H3142">
        <v>3</v>
      </c>
      <c r="I3142" t="s">
        <v>9680</v>
      </c>
      <c r="J3142" t="s">
        <v>357</v>
      </c>
    </row>
    <row r="3143" spans="1:10" x14ac:dyDescent="0.25">
      <c r="A3143" t="s">
        <v>9681</v>
      </c>
      <c r="B3143" t="s">
        <v>9682</v>
      </c>
      <c r="C3143" s="2">
        <v>46245.583333333336</v>
      </c>
      <c r="D3143" t="s">
        <v>418</v>
      </c>
      <c r="E3143" t="s">
        <v>73</v>
      </c>
      <c r="F3143" t="s">
        <v>213</v>
      </c>
      <c r="G3143" t="s">
        <v>143</v>
      </c>
      <c r="H3143">
        <v>5</v>
      </c>
      <c r="I3143" t="s">
        <v>9683</v>
      </c>
      <c r="J3143" t="s">
        <v>357</v>
      </c>
    </row>
    <row r="3144" spans="1:10" x14ac:dyDescent="0.25">
      <c r="A3144" t="s">
        <v>9684</v>
      </c>
      <c r="B3144" t="s">
        <v>9685</v>
      </c>
      <c r="C3144" s="2">
        <v>46245.583333333336</v>
      </c>
      <c r="D3144" t="s">
        <v>418</v>
      </c>
      <c r="E3144" t="s">
        <v>18</v>
      </c>
      <c r="F3144" t="s">
        <v>275</v>
      </c>
      <c r="G3144" t="s">
        <v>95</v>
      </c>
      <c r="H3144">
        <v>5</v>
      </c>
      <c r="I3144" t="s">
        <v>9686</v>
      </c>
      <c r="J3144" t="s">
        <v>357</v>
      </c>
    </row>
    <row r="3145" spans="1:10" x14ac:dyDescent="0.25">
      <c r="A3145" t="s">
        <v>9687</v>
      </c>
      <c r="B3145" t="s">
        <v>9688</v>
      </c>
      <c r="C3145" s="2">
        <v>46245.583333333336</v>
      </c>
      <c r="D3145" t="s">
        <v>418</v>
      </c>
      <c r="E3145" t="s">
        <v>20</v>
      </c>
      <c r="F3145" t="s">
        <v>287</v>
      </c>
      <c r="G3145" t="s">
        <v>97</v>
      </c>
      <c r="H3145">
        <v>4</v>
      </c>
      <c r="I3145" t="s">
        <v>9689</v>
      </c>
      <c r="J3145" t="s">
        <v>357</v>
      </c>
    </row>
    <row r="3146" spans="1:10" x14ac:dyDescent="0.25">
      <c r="A3146" t="s">
        <v>9690</v>
      </c>
      <c r="B3146" t="s">
        <v>9691</v>
      </c>
      <c r="C3146" s="2">
        <v>46245.583333333336</v>
      </c>
      <c r="D3146" t="s">
        <v>418</v>
      </c>
      <c r="E3146" t="s">
        <v>22</v>
      </c>
      <c r="F3146" t="s">
        <v>288</v>
      </c>
      <c r="G3146" t="s">
        <v>99</v>
      </c>
      <c r="H3146">
        <v>6</v>
      </c>
      <c r="I3146" t="s">
        <v>9692</v>
      </c>
      <c r="J3146" t="s">
        <v>357</v>
      </c>
    </row>
    <row r="3147" spans="1:10" x14ac:dyDescent="0.25">
      <c r="A3147" t="s">
        <v>9693</v>
      </c>
      <c r="B3147" t="s">
        <v>9694</v>
      </c>
      <c r="C3147" s="2">
        <v>46245.583333333336</v>
      </c>
      <c r="D3147" t="s">
        <v>418</v>
      </c>
      <c r="E3147" t="s">
        <v>26</v>
      </c>
      <c r="F3147" t="s">
        <v>290</v>
      </c>
      <c r="G3147" t="s">
        <v>103</v>
      </c>
      <c r="H3147">
        <v>2</v>
      </c>
      <c r="I3147" t="s">
        <v>9695</v>
      </c>
      <c r="J3147" t="s">
        <v>357</v>
      </c>
    </row>
    <row r="3148" spans="1:10" x14ac:dyDescent="0.25">
      <c r="A3148" t="s">
        <v>9696</v>
      </c>
      <c r="B3148" t="s">
        <v>9697</v>
      </c>
      <c r="C3148" s="2">
        <v>46245.583333333336</v>
      </c>
      <c r="D3148" t="s">
        <v>418</v>
      </c>
      <c r="E3148" t="s">
        <v>41</v>
      </c>
      <c r="F3148" t="s">
        <v>293</v>
      </c>
      <c r="G3148" t="s">
        <v>115</v>
      </c>
      <c r="H3148">
        <v>2</v>
      </c>
      <c r="I3148" t="s">
        <v>9698</v>
      </c>
      <c r="J3148" t="s">
        <v>357</v>
      </c>
    </row>
    <row r="3149" spans="1:10" x14ac:dyDescent="0.25">
      <c r="A3149" t="s">
        <v>9699</v>
      </c>
      <c r="B3149" t="s">
        <v>9700</v>
      </c>
      <c r="C3149" s="2">
        <v>46245.583333333336</v>
      </c>
      <c r="D3149" t="s">
        <v>418</v>
      </c>
      <c r="E3149" t="s">
        <v>45</v>
      </c>
      <c r="F3149" t="s">
        <v>267</v>
      </c>
      <c r="G3149" t="s">
        <v>119</v>
      </c>
      <c r="H3149">
        <v>2</v>
      </c>
      <c r="I3149" t="s">
        <v>9701</v>
      </c>
      <c r="J3149" t="s">
        <v>357</v>
      </c>
    </row>
    <row r="3150" spans="1:10" x14ac:dyDescent="0.25">
      <c r="A3150" t="s">
        <v>9702</v>
      </c>
      <c r="B3150" t="s">
        <v>9703</v>
      </c>
      <c r="C3150" s="2">
        <v>46245.583333333336</v>
      </c>
      <c r="D3150" t="s">
        <v>418</v>
      </c>
      <c r="E3150" t="s">
        <v>49</v>
      </c>
      <c r="F3150" t="s">
        <v>295</v>
      </c>
      <c r="G3150" t="s">
        <v>123</v>
      </c>
      <c r="H3150">
        <v>6</v>
      </c>
      <c r="I3150" t="s">
        <v>9704</v>
      </c>
      <c r="J3150" t="s">
        <v>357</v>
      </c>
    </row>
    <row r="3151" spans="1:10" x14ac:dyDescent="0.25">
      <c r="A3151" t="s">
        <v>9705</v>
      </c>
      <c r="B3151" t="s">
        <v>9706</v>
      </c>
      <c r="C3151" s="2">
        <v>46245.583333333336</v>
      </c>
      <c r="D3151" t="s">
        <v>418</v>
      </c>
      <c r="E3151" t="s">
        <v>53</v>
      </c>
      <c r="F3151" t="s">
        <v>239</v>
      </c>
      <c r="G3151" t="s">
        <v>127</v>
      </c>
      <c r="H3151">
        <v>6</v>
      </c>
      <c r="I3151" t="s">
        <v>9707</v>
      </c>
      <c r="J3151" t="s">
        <v>357</v>
      </c>
    </row>
    <row r="3152" spans="1:10" x14ac:dyDescent="0.25">
      <c r="A3152" t="s">
        <v>9708</v>
      </c>
      <c r="B3152" t="s">
        <v>9709</v>
      </c>
      <c r="C3152" s="2">
        <v>46245.583333333336</v>
      </c>
      <c r="D3152" t="s">
        <v>418</v>
      </c>
      <c r="E3152" t="s">
        <v>57</v>
      </c>
      <c r="F3152" t="s">
        <v>211</v>
      </c>
      <c r="G3152" t="s">
        <v>131</v>
      </c>
      <c r="H3152">
        <v>2</v>
      </c>
      <c r="I3152" t="s">
        <v>9710</v>
      </c>
      <c r="J3152" t="s">
        <v>357</v>
      </c>
    </row>
    <row r="3153" spans="1:10" x14ac:dyDescent="0.25">
      <c r="A3153" t="s">
        <v>9711</v>
      </c>
      <c r="B3153" t="s">
        <v>9712</v>
      </c>
      <c r="C3153" s="2">
        <v>46245.583333333336</v>
      </c>
      <c r="D3153" t="s">
        <v>418</v>
      </c>
      <c r="E3153" t="s">
        <v>67</v>
      </c>
      <c r="F3153" t="s">
        <v>242</v>
      </c>
      <c r="G3153" t="s">
        <v>137</v>
      </c>
      <c r="H3153">
        <v>4</v>
      </c>
      <c r="I3153" t="s">
        <v>9713</v>
      </c>
      <c r="J3153" t="s">
        <v>357</v>
      </c>
    </row>
    <row r="3154" spans="1:10" x14ac:dyDescent="0.25">
      <c r="A3154" t="s">
        <v>9714</v>
      </c>
      <c r="B3154" t="s">
        <v>9715</v>
      </c>
      <c r="C3154" s="2">
        <v>46245.583333333336</v>
      </c>
      <c r="D3154" t="s">
        <v>418</v>
      </c>
      <c r="E3154" t="s">
        <v>18</v>
      </c>
      <c r="F3154" t="s">
        <v>275</v>
      </c>
      <c r="G3154" t="s">
        <v>95</v>
      </c>
      <c r="H3154">
        <v>1</v>
      </c>
      <c r="I3154" t="s">
        <v>9716</v>
      </c>
      <c r="J3154" t="s">
        <v>357</v>
      </c>
    </row>
    <row r="3155" spans="1:10" x14ac:dyDescent="0.25">
      <c r="A3155" t="s">
        <v>9717</v>
      </c>
      <c r="B3155" t="s">
        <v>9718</v>
      </c>
      <c r="C3155" s="2">
        <v>46245.583333333336</v>
      </c>
      <c r="D3155" t="s">
        <v>418</v>
      </c>
      <c r="E3155" t="s">
        <v>20</v>
      </c>
      <c r="F3155" t="s">
        <v>287</v>
      </c>
      <c r="G3155" t="s">
        <v>97</v>
      </c>
      <c r="H3155">
        <v>3</v>
      </c>
      <c r="I3155" t="s">
        <v>9719</v>
      </c>
      <c r="J3155" t="s">
        <v>357</v>
      </c>
    </row>
    <row r="3156" spans="1:10" x14ac:dyDescent="0.25">
      <c r="A3156" t="s">
        <v>9720</v>
      </c>
      <c r="B3156" t="s">
        <v>9721</v>
      </c>
      <c r="C3156" s="2">
        <v>46245.583333333336</v>
      </c>
      <c r="D3156" t="s">
        <v>418</v>
      </c>
      <c r="E3156" t="s">
        <v>22</v>
      </c>
      <c r="F3156" t="s">
        <v>288</v>
      </c>
      <c r="G3156" t="s">
        <v>99</v>
      </c>
      <c r="H3156">
        <v>4</v>
      </c>
      <c r="I3156" t="s">
        <v>9722</v>
      </c>
      <c r="J3156" t="s">
        <v>357</v>
      </c>
    </row>
    <row r="3157" spans="1:10" x14ac:dyDescent="0.25">
      <c r="A3157" t="s">
        <v>9723</v>
      </c>
      <c r="B3157" t="s">
        <v>9724</v>
      </c>
      <c r="C3157" s="2">
        <v>46245.583333333336</v>
      </c>
      <c r="D3157" t="s">
        <v>418</v>
      </c>
      <c r="E3157" t="s">
        <v>24</v>
      </c>
      <c r="F3157" t="s">
        <v>263</v>
      </c>
      <c r="G3157" t="s">
        <v>101</v>
      </c>
      <c r="H3157">
        <v>3</v>
      </c>
      <c r="I3157" t="s">
        <v>9725</v>
      </c>
      <c r="J3157" t="s">
        <v>357</v>
      </c>
    </row>
    <row r="3158" spans="1:10" x14ac:dyDescent="0.25">
      <c r="A3158" t="s">
        <v>9726</v>
      </c>
      <c r="B3158" t="s">
        <v>9727</v>
      </c>
      <c r="C3158" s="2">
        <v>46245.583333333336</v>
      </c>
      <c r="D3158" t="s">
        <v>418</v>
      </c>
      <c r="E3158" t="s">
        <v>26</v>
      </c>
      <c r="F3158" t="s">
        <v>290</v>
      </c>
      <c r="G3158" t="s">
        <v>103</v>
      </c>
      <c r="H3158">
        <v>7</v>
      </c>
      <c r="I3158" t="s">
        <v>9728</v>
      </c>
      <c r="J3158" t="s">
        <v>357</v>
      </c>
    </row>
    <row r="3159" spans="1:10" x14ac:dyDescent="0.25">
      <c r="A3159" t="s">
        <v>9729</v>
      </c>
      <c r="B3159" t="s">
        <v>9730</v>
      </c>
      <c r="C3159" s="2">
        <v>46245.583333333336</v>
      </c>
      <c r="D3159" t="s">
        <v>418</v>
      </c>
      <c r="E3159" t="s">
        <v>32</v>
      </c>
      <c r="F3159" t="s">
        <v>222</v>
      </c>
      <c r="G3159" t="s">
        <v>109</v>
      </c>
      <c r="H3159">
        <v>1</v>
      </c>
      <c r="I3159" t="s">
        <v>9731</v>
      </c>
      <c r="J3159" t="s">
        <v>357</v>
      </c>
    </row>
    <row r="3160" spans="1:10" x14ac:dyDescent="0.25">
      <c r="A3160" t="s">
        <v>9732</v>
      </c>
      <c r="B3160" t="s">
        <v>9733</v>
      </c>
      <c r="C3160" s="2">
        <v>46245.583333333336</v>
      </c>
      <c r="D3160" t="s">
        <v>418</v>
      </c>
      <c r="E3160" t="s">
        <v>32</v>
      </c>
      <c r="F3160" t="s">
        <v>108</v>
      </c>
      <c r="G3160" t="s">
        <v>109</v>
      </c>
      <c r="H3160">
        <v>6</v>
      </c>
      <c r="I3160" t="s">
        <v>9731</v>
      </c>
      <c r="J3160" t="s">
        <v>357</v>
      </c>
    </row>
    <row r="3161" spans="1:10" x14ac:dyDescent="0.25">
      <c r="A3161" t="s">
        <v>9734</v>
      </c>
      <c r="B3161" t="s">
        <v>9735</v>
      </c>
      <c r="C3161" s="2">
        <v>46245.583333333336</v>
      </c>
      <c r="D3161" t="s">
        <v>418</v>
      </c>
      <c r="E3161" t="s">
        <v>57</v>
      </c>
      <c r="F3161" t="s">
        <v>299</v>
      </c>
      <c r="G3161" t="s">
        <v>131</v>
      </c>
      <c r="H3161">
        <v>7</v>
      </c>
      <c r="I3161" t="s">
        <v>9736</v>
      </c>
      <c r="J3161" t="s">
        <v>357</v>
      </c>
    </row>
    <row r="3162" spans="1:10" x14ac:dyDescent="0.25">
      <c r="A3162" t="s">
        <v>9737</v>
      </c>
      <c r="B3162" t="s">
        <v>9738</v>
      </c>
      <c r="C3162" s="2">
        <v>46245.583333333336</v>
      </c>
      <c r="D3162" t="s">
        <v>418</v>
      </c>
      <c r="E3162" t="s">
        <v>65</v>
      </c>
      <c r="F3162" t="s">
        <v>241</v>
      </c>
      <c r="G3162" t="s">
        <v>135</v>
      </c>
      <c r="H3162">
        <v>7</v>
      </c>
      <c r="I3162" t="s">
        <v>9739</v>
      </c>
      <c r="J3162" t="s">
        <v>357</v>
      </c>
    </row>
    <row r="3163" spans="1:10" x14ac:dyDescent="0.25">
      <c r="A3163" t="s">
        <v>9740</v>
      </c>
      <c r="B3163" t="s">
        <v>9741</v>
      </c>
      <c r="C3163" s="2">
        <v>46245.583333333336</v>
      </c>
      <c r="D3163" t="s">
        <v>418</v>
      </c>
      <c r="E3163" t="s">
        <v>67</v>
      </c>
      <c r="F3163" t="s">
        <v>242</v>
      </c>
      <c r="G3163" t="s">
        <v>137</v>
      </c>
      <c r="H3163">
        <v>7</v>
      </c>
      <c r="I3163" t="s">
        <v>9742</v>
      </c>
      <c r="J3163" t="s">
        <v>357</v>
      </c>
    </row>
    <row r="3164" spans="1:10" x14ac:dyDescent="0.25">
      <c r="A3164" t="s">
        <v>9743</v>
      </c>
      <c r="B3164" t="s">
        <v>9744</v>
      </c>
      <c r="C3164" s="2">
        <v>46245.583333333336</v>
      </c>
      <c r="D3164" t="s">
        <v>418</v>
      </c>
      <c r="E3164" t="s">
        <v>73</v>
      </c>
      <c r="F3164" t="s">
        <v>213</v>
      </c>
      <c r="G3164" t="s">
        <v>143</v>
      </c>
      <c r="H3164">
        <v>4</v>
      </c>
      <c r="I3164" t="s">
        <v>9745</v>
      </c>
      <c r="J3164" t="s">
        <v>357</v>
      </c>
    </row>
    <row r="3165" spans="1:10" x14ac:dyDescent="0.25">
      <c r="A3165" t="s">
        <v>9746</v>
      </c>
      <c r="B3165" t="s">
        <v>9747</v>
      </c>
      <c r="C3165" s="2">
        <v>46245.583333333336</v>
      </c>
      <c r="D3165" t="s">
        <v>418</v>
      </c>
      <c r="E3165" t="s">
        <v>73</v>
      </c>
      <c r="F3165" t="s">
        <v>258</v>
      </c>
      <c r="G3165" t="s">
        <v>143</v>
      </c>
      <c r="H3165">
        <v>2</v>
      </c>
      <c r="I3165" t="s">
        <v>9745</v>
      </c>
      <c r="J3165" t="s">
        <v>357</v>
      </c>
    </row>
    <row r="3166" spans="1:10" x14ac:dyDescent="0.25">
      <c r="A3166" t="s">
        <v>9748</v>
      </c>
      <c r="B3166" t="s">
        <v>9749</v>
      </c>
      <c r="C3166" s="2">
        <v>46245.583333333336</v>
      </c>
      <c r="D3166" t="s">
        <v>418</v>
      </c>
      <c r="E3166" t="s">
        <v>18</v>
      </c>
      <c r="F3166" t="s">
        <v>275</v>
      </c>
      <c r="G3166" t="s">
        <v>95</v>
      </c>
      <c r="H3166">
        <v>4</v>
      </c>
      <c r="I3166" t="s">
        <v>9750</v>
      </c>
      <c r="J3166" t="s">
        <v>357</v>
      </c>
    </row>
    <row r="3167" spans="1:10" x14ac:dyDescent="0.25">
      <c r="A3167" t="s">
        <v>9751</v>
      </c>
      <c r="B3167" t="s">
        <v>9752</v>
      </c>
      <c r="C3167" s="2">
        <v>46245.583333333336</v>
      </c>
      <c r="D3167" t="s">
        <v>418</v>
      </c>
      <c r="E3167" t="s">
        <v>22</v>
      </c>
      <c r="F3167" t="s">
        <v>288</v>
      </c>
      <c r="G3167" t="s">
        <v>99</v>
      </c>
      <c r="H3167">
        <v>4</v>
      </c>
      <c r="I3167" t="s">
        <v>9753</v>
      </c>
      <c r="J3167" t="s">
        <v>357</v>
      </c>
    </row>
    <row r="3168" spans="1:10" x14ac:dyDescent="0.25">
      <c r="A3168" t="s">
        <v>9754</v>
      </c>
      <c r="B3168" t="s">
        <v>9755</v>
      </c>
      <c r="C3168" s="2">
        <v>46245.583333333336</v>
      </c>
      <c r="D3168" t="s">
        <v>418</v>
      </c>
      <c r="E3168" t="s">
        <v>24</v>
      </c>
      <c r="F3168" t="s">
        <v>263</v>
      </c>
      <c r="G3168" t="s">
        <v>101</v>
      </c>
      <c r="H3168">
        <v>4</v>
      </c>
      <c r="I3168" t="s">
        <v>9756</v>
      </c>
      <c r="J3168" t="s">
        <v>357</v>
      </c>
    </row>
    <row r="3169" spans="1:10" x14ac:dyDescent="0.25">
      <c r="A3169" t="s">
        <v>9757</v>
      </c>
      <c r="B3169" t="s">
        <v>9758</v>
      </c>
      <c r="C3169" s="2">
        <v>46245.583333333336</v>
      </c>
      <c r="D3169" t="s">
        <v>418</v>
      </c>
      <c r="E3169" t="s">
        <v>26</v>
      </c>
      <c r="F3169" t="s">
        <v>290</v>
      </c>
      <c r="G3169" t="s">
        <v>103</v>
      </c>
      <c r="H3169">
        <v>1</v>
      </c>
      <c r="I3169" t="s">
        <v>9759</v>
      </c>
      <c r="J3169" t="s">
        <v>357</v>
      </c>
    </row>
    <row r="3170" spans="1:10" x14ac:dyDescent="0.25">
      <c r="A3170" t="s">
        <v>9760</v>
      </c>
      <c r="B3170" t="s">
        <v>9761</v>
      </c>
      <c r="C3170" s="2">
        <v>46245.583333333336</v>
      </c>
      <c r="D3170" t="s">
        <v>418</v>
      </c>
      <c r="E3170" t="s">
        <v>30</v>
      </c>
      <c r="F3170" t="s">
        <v>250</v>
      </c>
      <c r="G3170" t="s">
        <v>107</v>
      </c>
      <c r="H3170">
        <v>4</v>
      </c>
      <c r="I3170" t="s">
        <v>9762</v>
      </c>
      <c r="J3170" t="s">
        <v>357</v>
      </c>
    </row>
    <row r="3171" spans="1:10" x14ac:dyDescent="0.25">
      <c r="A3171" t="s">
        <v>9763</v>
      </c>
      <c r="B3171" t="s">
        <v>9764</v>
      </c>
      <c r="C3171" s="2">
        <v>46245.583333333336</v>
      </c>
      <c r="D3171" t="s">
        <v>418</v>
      </c>
      <c r="E3171" t="s">
        <v>32</v>
      </c>
      <c r="F3171" t="s">
        <v>108</v>
      </c>
      <c r="G3171" t="s">
        <v>109</v>
      </c>
      <c r="H3171">
        <v>2</v>
      </c>
      <c r="I3171" t="s">
        <v>9765</v>
      </c>
      <c r="J3171" t="s">
        <v>357</v>
      </c>
    </row>
    <row r="3172" spans="1:10" x14ac:dyDescent="0.25">
      <c r="A3172" t="s">
        <v>9766</v>
      </c>
      <c r="B3172" t="s">
        <v>9767</v>
      </c>
      <c r="C3172" s="2">
        <v>46245.583333333336</v>
      </c>
      <c r="D3172" t="s">
        <v>418</v>
      </c>
      <c r="E3172" t="s">
        <v>57</v>
      </c>
      <c r="F3172" t="s">
        <v>299</v>
      </c>
      <c r="G3172" t="s">
        <v>131</v>
      </c>
      <c r="H3172">
        <v>3</v>
      </c>
      <c r="I3172" t="s">
        <v>9768</v>
      </c>
      <c r="J3172" t="s">
        <v>357</v>
      </c>
    </row>
    <row r="3173" spans="1:10" x14ac:dyDescent="0.25">
      <c r="A3173" t="s">
        <v>9769</v>
      </c>
      <c r="B3173" t="s">
        <v>9770</v>
      </c>
      <c r="C3173" s="2">
        <v>46245.583333333336</v>
      </c>
      <c r="D3173" t="s">
        <v>418</v>
      </c>
      <c r="E3173" t="s">
        <v>65</v>
      </c>
      <c r="F3173" t="s">
        <v>241</v>
      </c>
      <c r="G3173" t="s">
        <v>135</v>
      </c>
      <c r="H3173">
        <v>2</v>
      </c>
      <c r="I3173" t="s">
        <v>9771</v>
      </c>
      <c r="J3173" t="s">
        <v>357</v>
      </c>
    </row>
    <row r="3174" spans="1:10" x14ac:dyDescent="0.25">
      <c r="A3174" t="s">
        <v>9772</v>
      </c>
      <c r="B3174" t="s">
        <v>9773</v>
      </c>
      <c r="C3174" s="2">
        <v>46245.583333333336</v>
      </c>
      <c r="D3174" t="s">
        <v>418</v>
      </c>
      <c r="E3174" t="s">
        <v>67</v>
      </c>
      <c r="F3174" t="s">
        <v>242</v>
      </c>
      <c r="G3174" t="s">
        <v>137</v>
      </c>
      <c r="H3174">
        <v>2</v>
      </c>
      <c r="I3174" t="s">
        <v>9774</v>
      </c>
      <c r="J3174" t="s">
        <v>357</v>
      </c>
    </row>
    <row r="3175" spans="1:10" x14ac:dyDescent="0.25">
      <c r="A3175" t="s">
        <v>9775</v>
      </c>
      <c r="B3175" t="s">
        <v>9776</v>
      </c>
      <c r="C3175" s="2">
        <v>46245.583333333336</v>
      </c>
      <c r="D3175" t="s">
        <v>418</v>
      </c>
      <c r="E3175" t="s">
        <v>77</v>
      </c>
      <c r="F3175" t="s">
        <v>243</v>
      </c>
      <c r="G3175" t="s">
        <v>147</v>
      </c>
      <c r="H3175">
        <v>2</v>
      </c>
      <c r="I3175" t="s">
        <v>9777</v>
      </c>
      <c r="J3175" t="s">
        <v>357</v>
      </c>
    </row>
    <row r="3176" spans="1:10" x14ac:dyDescent="0.25">
      <c r="A3176" t="s">
        <v>9778</v>
      </c>
      <c r="B3176" t="s">
        <v>9779</v>
      </c>
      <c r="C3176" s="2">
        <v>46246.583333333336</v>
      </c>
      <c r="D3176" t="s">
        <v>418</v>
      </c>
      <c r="E3176" t="s">
        <v>18</v>
      </c>
      <c r="F3176" t="s">
        <v>275</v>
      </c>
      <c r="G3176" t="s">
        <v>95</v>
      </c>
      <c r="H3176">
        <v>2</v>
      </c>
      <c r="I3176" t="s">
        <v>9780</v>
      </c>
      <c r="J3176" t="s">
        <v>357</v>
      </c>
    </row>
    <row r="3177" spans="1:10" x14ac:dyDescent="0.25">
      <c r="A3177" t="s">
        <v>9781</v>
      </c>
      <c r="B3177" t="s">
        <v>9782</v>
      </c>
      <c r="C3177" s="2">
        <v>46246.583333333336</v>
      </c>
      <c r="D3177" t="s">
        <v>418</v>
      </c>
      <c r="E3177" t="s">
        <v>20</v>
      </c>
      <c r="F3177" t="s">
        <v>287</v>
      </c>
      <c r="G3177" t="s">
        <v>97</v>
      </c>
      <c r="H3177">
        <v>3</v>
      </c>
      <c r="I3177" t="s">
        <v>9783</v>
      </c>
      <c r="J3177" t="s">
        <v>357</v>
      </c>
    </row>
    <row r="3178" spans="1:10" x14ac:dyDescent="0.25">
      <c r="A3178" t="s">
        <v>9784</v>
      </c>
      <c r="B3178" t="s">
        <v>9785</v>
      </c>
      <c r="C3178" s="2">
        <v>46246.583333333336</v>
      </c>
      <c r="D3178" t="s">
        <v>418</v>
      </c>
      <c r="E3178" t="s">
        <v>22</v>
      </c>
      <c r="F3178" t="s">
        <v>288</v>
      </c>
      <c r="G3178" t="s">
        <v>99</v>
      </c>
      <c r="H3178">
        <v>3</v>
      </c>
      <c r="I3178" t="s">
        <v>9786</v>
      </c>
      <c r="J3178" t="s">
        <v>357</v>
      </c>
    </row>
    <row r="3179" spans="1:10" x14ac:dyDescent="0.25">
      <c r="A3179" t="s">
        <v>9787</v>
      </c>
      <c r="B3179" t="s">
        <v>9788</v>
      </c>
      <c r="C3179" s="2">
        <v>46246.583333333336</v>
      </c>
      <c r="D3179" t="s">
        <v>418</v>
      </c>
      <c r="E3179" t="s">
        <v>24</v>
      </c>
      <c r="F3179" t="s">
        <v>234</v>
      </c>
      <c r="G3179" t="s">
        <v>101</v>
      </c>
      <c r="H3179">
        <v>2</v>
      </c>
      <c r="I3179" t="s">
        <v>9789</v>
      </c>
      <c r="J3179" t="s">
        <v>357</v>
      </c>
    </row>
    <row r="3180" spans="1:10" x14ac:dyDescent="0.25">
      <c r="A3180" t="s">
        <v>9790</v>
      </c>
      <c r="B3180" t="s">
        <v>9791</v>
      </c>
      <c r="C3180" s="2">
        <v>46246.583333333336</v>
      </c>
      <c r="D3180" t="s">
        <v>418</v>
      </c>
      <c r="E3180" t="s">
        <v>36</v>
      </c>
      <c r="F3180" t="s">
        <v>187</v>
      </c>
      <c r="G3180" t="s">
        <v>113</v>
      </c>
      <c r="H3180">
        <v>2</v>
      </c>
      <c r="I3180" t="s">
        <v>9792</v>
      </c>
      <c r="J3180" t="s">
        <v>357</v>
      </c>
    </row>
    <row r="3181" spans="1:10" x14ac:dyDescent="0.25">
      <c r="A3181" t="s">
        <v>9793</v>
      </c>
      <c r="B3181" t="s">
        <v>9794</v>
      </c>
      <c r="C3181" s="2">
        <v>46246.583333333336</v>
      </c>
      <c r="D3181" t="s">
        <v>418</v>
      </c>
      <c r="E3181" t="s">
        <v>41</v>
      </c>
      <c r="F3181" t="s">
        <v>293</v>
      </c>
      <c r="G3181" t="s">
        <v>115</v>
      </c>
      <c r="H3181">
        <v>2</v>
      </c>
      <c r="I3181" t="s">
        <v>9795</v>
      </c>
      <c r="J3181" t="s">
        <v>357</v>
      </c>
    </row>
    <row r="3182" spans="1:10" x14ac:dyDescent="0.25">
      <c r="A3182" t="s">
        <v>9796</v>
      </c>
      <c r="B3182" t="s">
        <v>9797</v>
      </c>
      <c r="C3182" s="2">
        <v>46246.583333333336</v>
      </c>
      <c r="D3182" t="s">
        <v>418</v>
      </c>
      <c r="E3182" t="s">
        <v>55</v>
      </c>
      <c r="F3182" t="s">
        <v>298</v>
      </c>
      <c r="G3182" t="s">
        <v>129</v>
      </c>
      <c r="H3182">
        <v>2</v>
      </c>
      <c r="I3182" t="s">
        <v>9798</v>
      </c>
      <c r="J3182" t="s">
        <v>357</v>
      </c>
    </row>
    <row r="3183" spans="1:10" x14ac:dyDescent="0.25">
      <c r="A3183" t="s">
        <v>9799</v>
      </c>
      <c r="B3183" t="s">
        <v>9800</v>
      </c>
      <c r="C3183" s="2">
        <v>46246.583333333336</v>
      </c>
      <c r="D3183" t="s">
        <v>418</v>
      </c>
      <c r="E3183" t="s">
        <v>59</v>
      </c>
      <c r="F3183" t="s">
        <v>227</v>
      </c>
      <c r="G3183" t="s">
        <v>133</v>
      </c>
      <c r="H3183">
        <v>1</v>
      </c>
      <c r="I3183" t="s">
        <v>9801</v>
      </c>
      <c r="J3183" t="s">
        <v>357</v>
      </c>
    </row>
    <row r="3184" spans="1:10" x14ac:dyDescent="0.25">
      <c r="A3184" t="s">
        <v>9802</v>
      </c>
      <c r="B3184" t="s">
        <v>9803</v>
      </c>
      <c r="C3184" s="2">
        <v>46246.583333333336</v>
      </c>
      <c r="D3184" t="s">
        <v>418</v>
      </c>
      <c r="E3184" t="s">
        <v>73</v>
      </c>
      <c r="F3184" t="s">
        <v>258</v>
      </c>
      <c r="G3184" t="s">
        <v>143</v>
      </c>
      <c r="H3184">
        <v>4</v>
      </c>
      <c r="I3184" t="s">
        <v>9804</v>
      </c>
      <c r="J3184" t="s">
        <v>357</v>
      </c>
    </row>
    <row r="3185" spans="1:10" x14ac:dyDescent="0.25">
      <c r="A3185" t="s">
        <v>9805</v>
      </c>
      <c r="B3185" t="s">
        <v>9806</v>
      </c>
      <c r="C3185" s="2">
        <v>46246.583333333336</v>
      </c>
      <c r="D3185" t="s">
        <v>418</v>
      </c>
      <c r="E3185" t="s">
        <v>11</v>
      </c>
      <c r="F3185" t="s">
        <v>285</v>
      </c>
      <c r="G3185" t="s">
        <v>92</v>
      </c>
      <c r="H3185">
        <v>2</v>
      </c>
      <c r="I3185" t="s">
        <v>9807</v>
      </c>
      <c r="J3185" t="s">
        <v>357</v>
      </c>
    </row>
    <row r="3186" spans="1:10" x14ac:dyDescent="0.25">
      <c r="A3186" t="s">
        <v>9808</v>
      </c>
      <c r="B3186" t="s">
        <v>9809</v>
      </c>
      <c r="C3186" s="2">
        <v>46246.583333333336</v>
      </c>
      <c r="D3186" t="s">
        <v>418</v>
      </c>
      <c r="E3186" t="s">
        <v>18</v>
      </c>
      <c r="F3186" t="s">
        <v>275</v>
      </c>
      <c r="G3186" t="s">
        <v>95</v>
      </c>
      <c r="H3186">
        <v>2</v>
      </c>
      <c r="I3186" t="s">
        <v>9810</v>
      </c>
      <c r="J3186" t="s">
        <v>357</v>
      </c>
    </row>
    <row r="3187" spans="1:10" x14ac:dyDescent="0.25">
      <c r="A3187" t="s">
        <v>9811</v>
      </c>
      <c r="B3187" t="s">
        <v>9812</v>
      </c>
      <c r="C3187" s="2">
        <v>46246.583333333336</v>
      </c>
      <c r="D3187" t="s">
        <v>418</v>
      </c>
      <c r="E3187" t="s">
        <v>20</v>
      </c>
      <c r="F3187" t="s">
        <v>287</v>
      </c>
      <c r="G3187" t="s">
        <v>97</v>
      </c>
      <c r="H3187">
        <v>1</v>
      </c>
      <c r="I3187" t="s">
        <v>9813</v>
      </c>
      <c r="J3187" t="s">
        <v>357</v>
      </c>
    </row>
    <row r="3188" spans="1:10" x14ac:dyDescent="0.25">
      <c r="A3188" t="s">
        <v>9814</v>
      </c>
      <c r="B3188" t="s">
        <v>9815</v>
      </c>
      <c r="C3188" s="2">
        <v>46246.583333333336</v>
      </c>
      <c r="D3188" t="s">
        <v>418</v>
      </c>
      <c r="E3188" t="s">
        <v>22</v>
      </c>
      <c r="F3188" t="s">
        <v>288</v>
      </c>
      <c r="G3188" t="s">
        <v>99</v>
      </c>
      <c r="H3188">
        <v>4</v>
      </c>
      <c r="I3188" t="s">
        <v>9816</v>
      </c>
      <c r="J3188" t="s">
        <v>357</v>
      </c>
    </row>
    <row r="3189" spans="1:10" x14ac:dyDescent="0.25">
      <c r="A3189" t="s">
        <v>9817</v>
      </c>
      <c r="B3189" t="s">
        <v>9818</v>
      </c>
      <c r="C3189" s="2">
        <v>46246.583333333336</v>
      </c>
      <c r="D3189" t="s">
        <v>418</v>
      </c>
      <c r="E3189" t="s">
        <v>26</v>
      </c>
      <c r="F3189" t="s">
        <v>290</v>
      </c>
      <c r="G3189" t="s">
        <v>103</v>
      </c>
      <c r="H3189">
        <v>4</v>
      </c>
      <c r="I3189" t="s">
        <v>9819</v>
      </c>
      <c r="J3189" t="s">
        <v>357</v>
      </c>
    </row>
    <row r="3190" spans="1:10" x14ac:dyDescent="0.25">
      <c r="A3190" t="s">
        <v>9820</v>
      </c>
      <c r="B3190" t="s">
        <v>9821</v>
      </c>
      <c r="C3190" s="2">
        <v>46246.583333333336</v>
      </c>
      <c r="D3190" t="s">
        <v>418</v>
      </c>
      <c r="E3190" t="s">
        <v>30</v>
      </c>
      <c r="F3190" t="s">
        <v>250</v>
      </c>
      <c r="G3190" t="s">
        <v>107</v>
      </c>
      <c r="H3190">
        <v>1</v>
      </c>
      <c r="I3190" t="s">
        <v>9822</v>
      </c>
      <c r="J3190" t="s">
        <v>357</v>
      </c>
    </row>
    <row r="3191" spans="1:10" x14ac:dyDescent="0.25">
      <c r="A3191" t="s">
        <v>9823</v>
      </c>
      <c r="B3191" t="s">
        <v>9824</v>
      </c>
      <c r="C3191" s="2">
        <v>46246.583333333336</v>
      </c>
      <c r="D3191" t="s">
        <v>418</v>
      </c>
      <c r="E3191" t="s">
        <v>57</v>
      </c>
      <c r="F3191" t="s">
        <v>299</v>
      </c>
      <c r="G3191" t="s">
        <v>131</v>
      </c>
      <c r="H3191">
        <v>4</v>
      </c>
      <c r="I3191" t="s">
        <v>9825</v>
      </c>
      <c r="J3191" t="s">
        <v>357</v>
      </c>
    </row>
    <row r="3192" spans="1:10" x14ac:dyDescent="0.25">
      <c r="A3192" t="s">
        <v>9826</v>
      </c>
      <c r="B3192" t="s">
        <v>9827</v>
      </c>
      <c r="C3192" s="2">
        <v>46246.583333333336</v>
      </c>
      <c r="D3192" t="s">
        <v>418</v>
      </c>
      <c r="E3192" t="s">
        <v>65</v>
      </c>
      <c r="F3192" t="s">
        <v>241</v>
      </c>
      <c r="G3192" t="s">
        <v>135</v>
      </c>
      <c r="H3192">
        <v>5</v>
      </c>
      <c r="I3192" t="s">
        <v>9828</v>
      </c>
      <c r="J3192" t="s">
        <v>357</v>
      </c>
    </row>
    <row r="3193" spans="1:10" x14ac:dyDescent="0.25">
      <c r="A3193" t="s">
        <v>9829</v>
      </c>
      <c r="B3193" t="s">
        <v>9830</v>
      </c>
      <c r="C3193" s="2">
        <v>46246.583333333336</v>
      </c>
      <c r="D3193" t="s">
        <v>418</v>
      </c>
      <c r="E3193" t="s">
        <v>71</v>
      </c>
      <c r="F3193" t="s">
        <v>212</v>
      </c>
      <c r="G3193" t="s">
        <v>141</v>
      </c>
      <c r="H3193">
        <v>3</v>
      </c>
      <c r="I3193" t="s">
        <v>9831</v>
      </c>
      <c r="J3193" t="s">
        <v>357</v>
      </c>
    </row>
    <row r="3194" spans="1:10" x14ac:dyDescent="0.25">
      <c r="A3194" t="s">
        <v>9832</v>
      </c>
      <c r="B3194" t="s">
        <v>9833</v>
      </c>
      <c r="C3194" s="2">
        <v>46246.583333333336</v>
      </c>
      <c r="D3194" t="s">
        <v>418</v>
      </c>
      <c r="E3194" t="s">
        <v>11</v>
      </c>
      <c r="F3194" t="s">
        <v>285</v>
      </c>
      <c r="G3194" t="s">
        <v>92</v>
      </c>
      <c r="H3194">
        <v>6</v>
      </c>
      <c r="I3194" t="s">
        <v>9834</v>
      </c>
      <c r="J3194" t="s">
        <v>357</v>
      </c>
    </row>
    <row r="3195" spans="1:10" x14ac:dyDescent="0.25">
      <c r="A3195" t="s">
        <v>9835</v>
      </c>
      <c r="B3195" t="s">
        <v>9836</v>
      </c>
      <c r="C3195" s="2">
        <v>46246.583333333336</v>
      </c>
      <c r="D3195" t="s">
        <v>418</v>
      </c>
      <c r="E3195" t="s">
        <v>20</v>
      </c>
      <c r="F3195" t="s">
        <v>287</v>
      </c>
      <c r="G3195" t="s">
        <v>97</v>
      </c>
      <c r="H3195">
        <v>6</v>
      </c>
      <c r="I3195" t="s">
        <v>9837</v>
      </c>
      <c r="J3195" t="s">
        <v>357</v>
      </c>
    </row>
    <row r="3196" spans="1:10" x14ac:dyDescent="0.25">
      <c r="A3196" t="s">
        <v>9838</v>
      </c>
      <c r="B3196" t="s">
        <v>9839</v>
      </c>
      <c r="C3196" s="2">
        <v>46246.583333333336</v>
      </c>
      <c r="D3196" t="s">
        <v>418</v>
      </c>
      <c r="E3196" t="s">
        <v>22</v>
      </c>
      <c r="F3196" t="s">
        <v>288</v>
      </c>
      <c r="G3196" t="s">
        <v>99</v>
      </c>
      <c r="H3196">
        <v>2</v>
      </c>
      <c r="I3196" t="s">
        <v>9840</v>
      </c>
      <c r="J3196" t="s">
        <v>357</v>
      </c>
    </row>
    <row r="3197" spans="1:10" x14ac:dyDescent="0.25">
      <c r="A3197" t="s">
        <v>9841</v>
      </c>
      <c r="B3197" t="s">
        <v>9842</v>
      </c>
      <c r="C3197" s="2">
        <v>46246.583333333336</v>
      </c>
      <c r="D3197" t="s">
        <v>418</v>
      </c>
      <c r="E3197" t="s">
        <v>24</v>
      </c>
      <c r="F3197" t="s">
        <v>234</v>
      </c>
      <c r="G3197" t="s">
        <v>101</v>
      </c>
      <c r="H3197">
        <v>6</v>
      </c>
      <c r="I3197" t="s">
        <v>9843</v>
      </c>
      <c r="J3197" t="s">
        <v>357</v>
      </c>
    </row>
    <row r="3198" spans="1:10" x14ac:dyDescent="0.25">
      <c r="A3198" t="s">
        <v>9844</v>
      </c>
      <c r="B3198" t="s">
        <v>9845</v>
      </c>
      <c r="C3198" s="2">
        <v>46246.583333333336</v>
      </c>
      <c r="D3198" t="s">
        <v>418</v>
      </c>
      <c r="E3198" t="s">
        <v>28</v>
      </c>
      <c r="F3198" t="s">
        <v>249</v>
      </c>
      <c r="G3198" t="s">
        <v>105</v>
      </c>
      <c r="H3198">
        <v>1</v>
      </c>
      <c r="I3198" t="s">
        <v>9846</v>
      </c>
      <c r="J3198" t="s">
        <v>357</v>
      </c>
    </row>
    <row r="3199" spans="1:10" x14ac:dyDescent="0.25">
      <c r="A3199" t="s">
        <v>9847</v>
      </c>
      <c r="B3199" t="s">
        <v>9848</v>
      </c>
      <c r="C3199" s="2">
        <v>46246.583333333336</v>
      </c>
      <c r="D3199" t="s">
        <v>418</v>
      </c>
      <c r="E3199" t="s">
        <v>43</v>
      </c>
      <c r="F3199" t="s">
        <v>266</v>
      </c>
      <c r="G3199" t="s">
        <v>117</v>
      </c>
      <c r="H3199">
        <v>6</v>
      </c>
      <c r="I3199" t="s">
        <v>9849</v>
      </c>
      <c r="J3199" t="s">
        <v>357</v>
      </c>
    </row>
    <row r="3200" spans="1:10" x14ac:dyDescent="0.25">
      <c r="A3200" t="s">
        <v>9850</v>
      </c>
      <c r="B3200" t="s">
        <v>9851</v>
      </c>
      <c r="C3200" s="2">
        <v>46246.583333333336</v>
      </c>
      <c r="D3200" t="s">
        <v>418</v>
      </c>
      <c r="E3200" t="s">
        <v>53</v>
      </c>
      <c r="F3200" t="s">
        <v>239</v>
      </c>
      <c r="G3200" t="s">
        <v>127</v>
      </c>
      <c r="H3200">
        <v>5</v>
      </c>
      <c r="I3200" t="s">
        <v>9852</v>
      </c>
      <c r="J3200" t="s">
        <v>357</v>
      </c>
    </row>
    <row r="3201" spans="1:10" x14ac:dyDescent="0.25">
      <c r="A3201" t="s">
        <v>9853</v>
      </c>
      <c r="B3201" t="s">
        <v>9854</v>
      </c>
      <c r="C3201" s="2">
        <v>46246.583333333336</v>
      </c>
      <c r="D3201" t="s">
        <v>418</v>
      </c>
      <c r="E3201" t="s">
        <v>59</v>
      </c>
      <c r="F3201" t="s">
        <v>227</v>
      </c>
      <c r="G3201" t="s">
        <v>133</v>
      </c>
      <c r="H3201">
        <v>4</v>
      </c>
      <c r="I3201" t="s">
        <v>9855</v>
      </c>
      <c r="J3201" t="s">
        <v>357</v>
      </c>
    </row>
    <row r="3202" spans="1:10" x14ac:dyDescent="0.25">
      <c r="A3202" t="s">
        <v>9856</v>
      </c>
      <c r="B3202" t="s">
        <v>9857</v>
      </c>
      <c r="C3202" s="2">
        <v>46246.583333333336</v>
      </c>
      <c r="D3202" t="s">
        <v>418</v>
      </c>
      <c r="E3202" t="s">
        <v>59</v>
      </c>
      <c r="F3202" t="s">
        <v>270</v>
      </c>
      <c r="G3202" t="s">
        <v>133</v>
      </c>
      <c r="H3202">
        <v>1</v>
      </c>
      <c r="I3202" t="s">
        <v>9855</v>
      </c>
      <c r="J3202" t="s">
        <v>357</v>
      </c>
    </row>
    <row r="3203" spans="1:10" x14ac:dyDescent="0.25">
      <c r="A3203" t="s">
        <v>9858</v>
      </c>
      <c r="B3203" t="s">
        <v>9859</v>
      </c>
      <c r="C3203" s="2">
        <v>46246.583333333336</v>
      </c>
      <c r="D3203" t="s">
        <v>418</v>
      </c>
      <c r="E3203" t="s">
        <v>65</v>
      </c>
      <c r="F3203" t="s">
        <v>241</v>
      </c>
      <c r="G3203" t="s">
        <v>135</v>
      </c>
      <c r="H3203">
        <v>2</v>
      </c>
      <c r="I3203" t="s">
        <v>9860</v>
      </c>
      <c r="J3203" t="s">
        <v>357</v>
      </c>
    </row>
    <row r="3204" spans="1:10" x14ac:dyDescent="0.25">
      <c r="A3204" t="s">
        <v>9861</v>
      </c>
      <c r="B3204" t="s">
        <v>9862</v>
      </c>
      <c r="C3204" s="2">
        <v>46246.583333333336</v>
      </c>
      <c r="D3204" t="s">
        <v>418</v>
      </c>
      <c r="E3204" t="s">
        <v>71</v>
      </c>
      <c r="F3204" t="s">
        <v>212</v>
      </c>
      <c r="G3204" t="s">
        <v>141</v>
      </c>
      <c r="H3204">
        <v>2</v>
      </c>
      <c r="I3204" t="s">
        <v>9863</v>
      </c>
      <c r="J3204" t="s">
        <v>357</v>
      </c>
    </row>
    <row r="3205" spans="1:10" x14ac:dyDescent="0.25">
      <c r="A3205" t="s">
        <v>9864</v>
      </c>
      <c r="B3205" t="s">
        <v>9865</v>
      </c>
      <c r="C3205" s="2">
        <v>46246.583333333336</v>
      </c>
      <c r="D3205" t="s">
        <v>418</v>
      </c>
      <c r="E3205" t="s">
        <v>18</v>
      </c>
      <c r="F3205" t="s">
        <v>275</v>
      </c>
      <c r="G3205" t="s">
        <v>95</v>
      </c>
      <c r="H3205">
        <v>3</v>
      </c>
      <c r="I3205" t="s">
        <v>9866</v>
      </c>
      <c r="J3205" t="s">
        <v>357</v>
      </c>
    </row>
    <row r="3206" spans="1:10" x14ac:dyDescent="0.25">
      <c r="A3206" t="s">
        <v>9867</v>
      </c>
      <c r="B3206" t="s">
        <v>9868</v>
      </c>
      <c r="C3206" s="2">
        <v>46246.583333333336</v>
      </c>
      <c r="D3206" t="s">
        <v>418</v>
      </c>
      <c r="E3206" t="s">
        <v>20</v>
      </c>
      <c r="F3206" t="s">
        <v>287</v>
      </c>
      <c r="G3206" t="s">
        <v>97</v>
      </c>
      <c r="H3206">
        <v>3</v>
      </c>
      <c r="I3206" t="s">
        <v>9869</v>
      </c>
      <c r="J3206" t="s">
        <v>357</v>
      </c>
    </row>
    <row r="3207" spans="1:10" x14ac:dyDescent="0.25">
      <c r="A3207" t="s">
        <v>9870</v>
      </c>
      <c r="B3207" t="s">
        <v>9871</v>
      </c>
      <c r="C3207" s="2">
        <v>46246.583333333336</v>
      </c>
      <c r="D3207" t="s">
        <v>418</v>
      </c>
      <c r="E3207" t="s">
        <v>22</v>
      </c>
      <c r="F3207" t="s">
        <v>288</v>
      </c>
      <c r="G3207" t="s">
        <v>99</v>
      </c>
      <c r="H3207">
        <v>4</v>
      </c>
      <c r="I3207" t="s">
        <v>9872</v>
      </c>
      <c r="J3207" t="s">
        <v>357</v>
      </c>
    </row>
    <row r="3208" spans="1:10" x14ac:dyDescent="0.25">
      <c r="A3208" t="s">
        <v>9873</v>
      </c>
      <c r="B3208" t="s">
        <v>9874</v>
      </c>
      <c r="C3208" s="2">
        <v>46246.583333333336</v>
      </c>
      <c r="D3208" t="s">
        <v>418</v>
      </c>
      <c r="E3208" t="s">
        <v>24</v>
      </c>
      <c r="F3208" t="s">
        <v>234</v>
      </c>
      <c r="G3208" t="s">
        <v>101</v>
      </c>
      <c r="H3208">
        <v>4</v>
      </c>
      <c r="I3208" t="s">
        <v>9875</v>
      </c>
      <c r="J3208" t="s">
        <v>357</v>
      </c>
    </row>
    <row r="3209" spans="1:10" x14ac:dyDescent="0.25">
      <c r="A3209" t="s">
        <v>9876</v>
      </c>
      <c r="B3209" t="s">
        <v>9877</v>
      </c>
      <c r="C3209" s="2">
        <v>46246.583333333336</v>
      </c>
      <c r="D3209" t="s">
        <v>418</v>
      </c>
      <c r="E3209" t="s">
        <v>28</v>
      </c>
      <c r="F3209" t="s">
        <v>249</v>
      </c>
      <c r="G3209" t="s">
        <v>105</v>
      </c>
      <c r="H3209">
        <v>1</v>
      </c>
      <c r="I3209" t="s">
        <v>9878</v>
      </c>
      <c r="J3209" t="s">
        <v>357</v>
      </c>
    </row>
    <row r="3210" spans="1:10" x14ac:dyDescent="0.25">
      <c r="A3210" t="s">
        <v>9879</v>
      </c>
      <c r="B3210" t="s">
        <v>9880</v>
      </c>
      <c r="C3210" s="2">
        <v>46246.583333333336</v>
      </c>
      <c r="D3210" t="s">
        <v>418</v>
      </c>
      <c r="E3210" t="s">
        <v>30</v>
      </c>
      <c r="F3210" t="s">
        <v>250</v>
      </c>
      <c r="G3210" t="s">
        <v>107</v>
      </c>
      <c r="H3210">
        <v>1</v>
      </c>
      <c r="I3210" t="s">
        <v>9881</v>
      </c>
      <c r="J3210" t="s">
        <v>357</v>
      </c>
    </row>
    <row r="3211" spans="1:10" x14ac:dyDescent="0.25">
      <c r="A3211" t="s">
        <v>9882</v>
      </c>
      <c r="B3211" t="s">
        <v>9883</v>
      </c>
      <c r="C3211" s="2">
        <v>46246.583333333336</v>
      </c>
      <c r="D3211" t="s">
        <v>418</v>
      </c>
      <c r="E3211" t="s">
        <v>65</v>
      </c>
      <c r="F3211" t="s">
        <v>241</v>
      </c>
      <c r="G3211" t="s">
        <v>135</v>
      </c>
      <c r="H3211">
        <v>7</v>
      </c>
      <c r="I3211" t="s">
        <v>9884</v>
      </c>
      <c r="J3211" t="s">
        <v>357</v>
      </c>
    </row>
    <row r="3212" spans="1:10" x14ac:dyDescent="0.25">
      <c r="A3212" t="s">
        <v>9885</v>
      </c>
      <c r="B3212" t="s">
        <v>9886</v>
      </c>
      <c r="C3212" s="2">
        <v>46246.583333333336</v>
      </c>
      <c r="D3212" t="s">
        <v>418</v>
      </c>
      <c r="E3212" t="s">
        <v>75</v>
      </c>
      <c r="F3212" t="s">
        <v>259</v>
      </c>
      <c r="G3212" t="s">
        <v>145</v>
      </c>
      <c r="H3212">
        <v>6</v>
      </c>
      <c r="I3212" t="s">
        <v>9887</v>
      </c>
      <c r="J3212" t="s">
        <v>357</v>
      </c>
    </row>
    <row r="3213" spans="1:10" x14ac:dyDescent="0.25">
      <c r="A3213" t="s">
        <v>9888</v>
      </c>
      <c r="B3213" t="s">
        <v>9889</v>
      </c>
      <c r="C3213" s="2">
        <v>46246.583333333336</v>
      </c>
      <c r="D3213" t="s">
        <v>418</v>
      </c>
      <c r="E3213" t="s">
        <v>11</v>
      </c>
      <c r="F3213" t="s">
        <v>285</v>
      </c>
      <c r="G3213" t="s">
        <v>92</v>
      </c>
      <c r="H3213">
        <v>1</v>
      </c>
      <c r="I3213" t="s">
        <v>9890</v>
      </c>
      <c r="J3213" t="s">
        <v>357</v>
      </c>
    </row>
    <row r="3214" spans="1:10" x14ac:dyDescent="0.25">
      <c r="A3214" t="s">
        <v>9891</v>
      </c>
      <c r="B3214" t="s">
        <v>9892</v>
      </c>
      <c r="C3214" s="2">
        <v>46246.583333333336</v>
      </c>
      <c r="D3214" t="s">
        <v>418</v>
      </c>
      <c r="E3214" t="s">
        <v>18</v>
      </c>
      <c r="F3214" t="s">
        <v>275</v>
      </c>
      <c r="G3214" t="s">
        <v>95</v>
      </c>
      <c r="H3214">
        <v>1</v>
      </c>
      <c r="I3214" t="s">
        <v>9893</v>
      </c>
      <c r="J3214" t="s">
        <v>357</v>
      </c>
    </row>
    <row r="3215" spans="1:10" x14ac:dyDescent="0.25">
      <c r="A3215" t="s">
        <v>9894</v>
      </c>
      <c r="B3215" t="s">
        <v>9895</v>
      </c>
      <c r="C3215" s="2">
        <v>46246.583333333336</v>
      </c>
      <c r="D3215" t="s">
        <v>418</v>
      </c>
      <c r="E3215" t="s">
        <v>20</v>
      </c>
      <c r="F3215" t="s">
        <v>287</v>
      </c>
      <c r="G3215" t="s">
        <v>97</v>
      </c>
      <c r="H3215">
        <v>3</v>
      </c>
      <c r="I3215" t="s">
        <v>9896</v>
      </c>
      <c r="J3215" t="s">
        <v>357</v>
      </c>
    </row>
    <row r="3216" spans="1:10" x14ac:dyDescent="0.25">
      <c r="A3216" t="s">
        <v>9897</v>
      </c>
      <c r="B3216" t="s">
        <v>9898</v>
      </c>
      <c r="C3216" s="2">
        <v>46246.583333333336</v>
      </c>
      <c r="D3216" t="s">
        <v>418</v>
      </c>
      <c r="E3216" t="s">
        <v>24</v>
      </c>
      <c r="F3216" t="s">
        <v>234</v>
      </c>
      <c r="G3216" t="s">
        <v>101</v>
      </c>
      <c r="H3216">
        <v>2</v>
      </c>
      <c r="I3216" t="s">
        <v>9899</v>
      </c>
      <c r="J3216" t="s">
        <v>357</v>
      </c>
    </row>
    <row r="3217" spans="1:10" x14ac:dyDescent="0.25">
      <c r="A3217" t="s">
        <v>9900</v>
      </c>
      <c r="B3217" t="s">
        <v>9901</v>
      </c>
      <c r="C3217" s="2">
        <v>46246.583333333336</v>
      </c>
      <c r="D3217" t="s">
        <v>418</v>
      </c>
      <c r="E3217" t="s">
        <v>24</v>
      </c>
      <c r="F3217" t="s">
        <v>218</v>
      </c>
      <c r="G3217" t="s">
        <v>101</v>
      </c>
      <c r="H3217">
        <v>2</v>
      </c>
      <c r="I3217" t="s">
        <v>9899</v>
      </c>
      <c r="J3217" t="s">
        <v>357</v>
      </c>
    </row>
    <row r="3218" spans="1:10" x14ac:dyDescent="0.25">
      <c r="A3218" t="s">
        <v>9902</v>
      </c>
      <c r="B3218" t="s">
        <v>9903</v>
      </c>
      <c r="C3218" s="2">
        <v>46246.583333333336</v>
      </c>
      <c r="D3218" t="s">
        <v>418</v>
      </c>
      <c r="E3218" t="s">
        <v>26</v>
      </c>
      <c r="F3218" t="s">
        <v>290</v>
      </c>
      <c r="G3218" t="s">
        <v>103</v>
      </c>
      <c r="H3218">
        <v>3</v>
      </c>
      <c r="I3218" t="s">
        <v>9904</v>
      </c>
      <c r="J3218" t="s">
        <v>357</v>
      </c>
    </row>
    <row r="3219" spans="1:10" x14ac:dyDescent="0.25">
      <c r="A3219" t="s">
        <v>9905</v>
      </c>
      <c r="B3219" t="s">
        <v>9906</v>
      </c>
      <c r="C3219" s="2">
        <v>46246.583333333336</v>
      </c>
      <c r="D3219" t="s">
        <v>418</v>
      </c>
      <c r="E3219" t="s">
        <v>41</v>
      </c>
      <c r="F3219" t="s">
        <v>293</v>
      </c>
      <c r="G3219" t="s">
        <v>115</v>
      </c>
      <c r="H3219">
        <v>4</v>
      </c>
      <c r="I3219" t="s">
        <v>9907</v>
      </c>
      <c r="J3219" t="s">
        <v>357</v>
      </c>
    </row>
    <row r="3220" spans="1:10" x14ac:dyDescent="0.25">
      <c r="A3220" t="s">
        <v>9908</v>
      </c>
      <c r="B3220" t="s">
        <v>9909</v>
      </c>
      <c r="C3220" s="2">
        <v>46246.583333333336</v>
      </c>
      <c r="D3220" t="s">
        <v>418</v>
      </c>
      <c r="E3220" t="s">
        <v>43</v>
      </c>
      <c r="F3220" t="s">
        <v>266</v>
      </c>
      <c r="G3220" t="s">
        <v>117</v>
      </c>
      <c r="H3220">
        <v>4</v>
      </c>
      <c r="I3220" t="s">
        <v>9910</v>
      </c>
      <c r="J3220" t="s">
        <v>357</v>
      </c>
    </row>
    <row r="3221" spans="1:10" x14ac:dyDescent="0.25">
      <c r="A3221" t="s">
        <v>9911</v>
      </c>
      <c r="B3221" t="s">
        <v>9912</v>
      </c>
      <c r="C3221" s="2">
        <v>46246.583333333336</v>
      </c>
      <c r="D3221" t="s">
        <v>418</v>
      </c>
      <c r="E3221" t="s">
        <v>45</v>
      </c>
      <c r="F3221" t="s">
        <v>267</v>
      </c>
      <c r="G3221" t="s">
        <v>119</v>
      </c>
      <c r="H3221">
        <v>3</v>
      </c>
      <c r="I3221" t="s">
        <v>9913</v>
      </c>
      <c r="J3221" t="s">
        <v>357</v>
      </c>
    </row>
    <row r="3222" spans="1:10" x14ac:dyDescent="0.25">
      <c r="A3222" t="s">
        <v>9914</v>
      </c>
      <c r="B3222" t="s">
        <v>9915</v>
      </c>
      <c r="C3222" s="2">
        <v>46246.583333333336</v>
      </c>
      <c r="D3222" t="s">
        <v>418</v>
      </c>
      <c r="E3222" t="s">
        <v>53</v>
      </c>
      <c r="F3222" t="s">
        <v>239</v>
      </c>
      <c r="G3222" t="s">
        <v>127</v>
      </c>
      <c r="H3222">
        <v>1</v>
      </c>
      <c r="I3222" t="s">
        <v>9916</v>
      </c>
      <c r="J3222" t="s">
        <v>357</v>
      </c>
    </row>
    <row r="3223" spans="1:10" x14ac:dyDescent="0.25">
      <c r="A3223" t="s">
        <v>9917</v>
      </c>
      <c r="B3223" t="s">
        <v>9918</v>
      </c>
      <c r="C3223" s="2">
        <v>46246.583333333336</v>
      </c>
      <c r="D3223" t="s">
        <v>418</v>
      </c>
      <c r="E3223" t="s">
        <v>67</v>
      </c>
      <c r="F3223" t="s">
        <v>242</v>
      </c>
      <c r="G3223" t="s">
        <v>137</v>
      </c>
      <c r="H3223">
        <v>3</v>
      </c>
      <c r="I3223" t="s">
        <v>9919</v>
      </c>
      <c r="J3223" t="s">
        <v>357</v>
      </c>
    </row>
    <row r="3224" spans="1:10" x14ac:dyDescent="0.25">
      <c r="A3224" t="s">
        <v>9920</v>
      </c>
      <c r="B3224" t="s">
        <v>9921</v>
      </c>
      <c r="C3224" s="2">
        <v>46247.583333333336</v>
      </c>
      <c r="D3224" t="s">
        <v>418</v>
      </c>
      <c r="E3224" t="s">
        <v>18</v>
      </c>
      <c r="F3224" t="s">
        <v>275</v>
      </c>
      <c r="G3224" t="s">
        <v>95</v>
      </c>
      <c r="H3224">
        <v>2</v>
      </c>
      <c r="I3224" t="s">
        <v>9922</v>
      </c>
      <c r="J3224" t="s">
        <v>357</v>
      </c>
    </row>
    <row r="3225" spans="1:10" x14ac:dyDescent="0.25">
      <c r="A3225" t="s">
        <v>9923</v>
      </c>
      <c r="B3225" t="s">
        <v>9924</v>
      </c>
      <c r="C3225" s="2">
        <v>46247.583333333336</v>
      </c>
      <c r="D3225" t="s">
        <v>418</v>
      </c>
      <c r="E3225" t="s">
        <v>18</v>
      </c>
      <c r="F3225" t="s">
        <v>244</v>
      </c>
      <c r="G3225" t="s">
        <v>95</v>
      </c>
      <c r="H3225">
        <v>2</v>
      </c>
      <c r="I3225" t="s">
        <v>9922</v>
      </c>
      <c r="J3225" t="s">
        <v>357</v>
      </c>
    </row>
    <row r="3226" spans="1:10" x14ac:dyDescent="0.25">
      <c r="A3226" t="s">
        <v>9925</v>
      </c>
      <c r="B3226" t="s">
        <v>9926</v>
      </c>
      <c r="C3226" s="2">
        <v>46247.583333333336</v>
      </c>
      <c r="D3226" t="s">
        <v>418</v>
      </c>
      <c r="E3226" t="s">
        <v>22</v>
      </c>
      <c r="F3226" t="s">
        <v>288</v>
      </c>
      <c r="G3226" t="s">
        <v>99</v>
      </c>
      <c r="H3226">
        <v>3</v>
      </c>
      <c r="I3226" t="s">
        <v>9927</v>
      </c>
      <c r="J3226" t="s">
        <v>357</v>
      </c>
    </row>
    <row r="3227" spans="1:10" x14ac:dyDescent="0.25">
      <c r="A3227" t="s">
        <v>9928</v>
      </c>
      <c r="B3227" t="s">
        <v>9929</v>
      </c>
      <c r="C3227" s="2">
        <v>46247.583333333336</v>
      </c>
      <c r="D3227" t="s">
        <v>418</v>
      </c>
      <c r="E3227" t="s">
        <v>26</v>
      </c>
      <c r="F3227" t="s">
        <v>290</v>
      </c>
      <c r="G3227" t="s">
        <v>103</v>
      </c>
      <c r="H3227">
        <v>2</v>
      </c>
      <c r="I3227" t="s">
        <v>9930</v>
      </c>
      <c r="J3227" t="s">
        <v>357</v>
      </c>
    </row>
    <row r="3228" spans="1:10" x14ac:dyDescent="0.25">
      <c r="A3228" t="s">
        <v>9931</v>
      </c>
      <c r="B3228" t="s">
        <v>9932</v>
      </c>
      <c r="C3228" s="2">
        <v>46247.583333333336</v>
      </c>
      <c r="D3228" t="s">
        <v>418</v>
      </c>
      <c r="E3228" t="s">
        <v>47</v>
      </c>
      <c r="F3228" t="s">
        <v>268</v>
      </c>
      <c r="G3228" t="s">
        <v>121</v>
      </c>
      <c r="H3228">
        <v>4</v>
      </c>
      <c r="I3228" t="s">
        <v>9933</v>
      </c>
      <c r="J3228" t="s">
        <v>357</v>
      </c>
    </row>
    <row r="3229" spans="1:10" x14ac:dyDescent="0.25">
      <c r="A3229" t="s">
        <v>9934</v>
      </c>
      <c r="B3229" t="s">
        <v>9935</v>
      </c>
      <c r="C3229" s="2">
        <v>46247.583333333336</v>
      </c>
      <c r="D3229" t="s">
        <v>418</v>
      </c>
      <c r="E3229" t="s">
        <v>51</v>
      </c>
      <c r="F3229" t="s">
        <v>254</v>
      </c>
      <c r="G3229" t="s">
        <v>125</v>
      </c>
      <c r="H3229">
        <v>4</v>
      </c>
      <c r="I3229" t="s">
        <v>9936</v>
      </c>
      <c r="J3229" t="s">
        <v>357</v>
      </c>
    </row>
    <row r="3230" spans="1:10" x14ac:dyDescent="0.25">
      <c r="A3230" t="s">
        <v>9937</v>
      </c>
      <c r="B3230" t="s">
        <v>9938</v>
      </c>
      <c r="C3230" s="2">
        <v>46247.583333333336</v>
      </c>
      <c r="D3230" t="s">
        <v>418</v>
      </c>
      <c r="E3230" t="s">
        <v>55</v>
      </c>
      <c r="F3230" t="s">
        <v>298</v>
      </c>
      <c r="G3230" t="s">
        <v>129</v>
      </c>
      <c r="H3230">
        <v>1</v>
      </c>
      <c r="I3230" t="s">
        <v>9939</v>
      </c>
      <c r="J3230" t="s">
        <v>357</v>
      </c>
    </row>
    <row r="3231" spans="1:10" x14ac:dyDescent="0.25">
      <c r="A3231" t="s">
        <v>9940</v>
      </c>
      <c r="B3231" t="s">
        <v>9941</v>
      </c>
      <c r="C3231" s="2">
        <v>46247.583333333336</v>
      </c>
      <c r="D3231" t="s">
        <v>418</v>
      </c>
      <c r="E3231" t="s">
        <v>59</v>
      </c>
      <c r="F3231" t="s">
        <v>270</v>
      </c>
      <c r="G3231" t="s">
        <v>133</v>
      </c>
      <c r="H3231">
        <v>3</v>
      </c>
      <c r="I3231" t="s">
        <v>9942</v>
      </c>
      <c r="J3231" t="s">
        <v>357</v>
      </c>
    </row>
    <row r="3232" spans="1:10" x14ac:dyDescent="0.25">
      <c r="A3232" t="s">
        <v>9943</v>
      </c>
      <c r="B3232" t="s">
        <v>9944</v>
      </c>
      <c r="C3232" s="2">
        <v>46247.583333333336</v>
      </c>
      <c r="D3232" t="s">
        <v>418</v>
      </c>
      <c r="E3232" t="s">
        <v>69</v>
      </c>
      <c r="F3232" t="s">
        <v>229</v>
      </c>
      <c r="G3232" t="s">
        <v>139</v>
      </c>
      <c r="H3232">
        <v>1</v>
      </c>
      <c r="I3232" t="s">
        <v>9945</v>
      </c>
      <c r="J3232" t="s">
        <v>357</v>
      </c>
    </row>
    <row r="3233" spans="1:10" x14ac:dyDescent="0.25">
      <c r="A3233" t="s">
        <v>9946</v>
      </c>
      <c r="B3233" t="s">
        <v>9947</v>
      </c>
      <c r="C3233" s="2">
        <v>46247.583333333336</v>
      </c>
      <c r="D3233" t="s">
        <v>418</v>
      </c>
      <c r="E3233" t="s">
        <v>71</v>
      </c>
      <c r="F3233" t="s">
        <v>212</v>
      </c>
      <c r="G3233" t="s">
        <v>141</v>
      </c>
      <c r="H3233">
        <v>3</v>
      </c>
      <c r="I3233" t="s">
        <v>9948</v>
      </c>
      <c r="J3233" t="s">
        <v>357</v>
      </c>
    </row>
    <row r="3234" spans="1:10" x14ac:dyDescent="0.25">
      <c r="A3234" t="s">
        <v>9949</v>
      </c>
      <c r="B3234" t="s">
        <v>9950</v>
      </c>
      <c r="C3234" s="2">
        <v>46247.583333333336</v>
      </c>
      <c r="D3234" t="s">
        <v>418</v>
      </c>
      <c r="E3234" t="s">
        <v>73</v>
      </c>
      <c r="F3234" t="s">
        <v>258</v>
      </c>
      <c r="G3234" t="s">
        <v>143</v>
      </c>
      <c r="H3234">
        <v>2</v>
      </c>
      <c r="I3234" t="s">
        <v>9951</v>
      </c>
      <c r="J3234" t="s">
        <v>357</v>
      </c>
    </row>
    <row r="3235" spans="1:10" x14ac:dyDescent="0.25">
      <c r="A3235" t="s">
        <v>9952</v>
      </c>
      <c r="B3235" t="s">
        <v>9953</v>
      </c>
      <c r="C3235" s="2">
        <v>46247.583333333336</v>
      </c>
      <c r="D3235" t="s">
        <v>418</v>
      </c>
      <c r="E3235" t="s">
        <v>20</v>
      </c>
      <c r="F3235" t="s">
        <v>287</v>
      </c>
      <c r="G3235" t="s">
        <v>97</v>
      </c>
      <c r="H3235">
        <v>1</v>
      </c>
      <c r="I3235" t="s">
        <v>9954</v>
      </c>
      <c r="J3235" t="s">
        <v>357</v>
      </c>
    </row>
    <row r="3236" spans="1:10" x14ac:dyDescent="0.25">
      <c r="A3236" t="s">
        <v>9955</v>
      </c>
      <c r="B3236" t="s">
        <v>9956</v>
      </c>
      <c r="C3236" s="2">
        <v>46247.583333333336</v>
      </c>
      <c r="D3236" t="s">
        <v>418</v>
      </c>
      <c r="E3236" t="s">
        <v>28</v>
      </c>
      <c r="F3236" t="s">
        <v>249</v>
      </c>
      <c r="G3236" t="s">
        <v>105</v>
      </c>
      <c r="H3236">
        <v>3</v>
      </c>
      <c r="I3236" t="s">
        <v>9957</v>
      </c>
      <c r="J3236" t="s">
        <v>357</v>
      </c>
    </row>
    <row r="3237" spans="1:10" x14ac:dyDescent="0.25">
      <c r="A3237" t="s">
        <v>9958</v>
      </c>
      <c r="B3237" t="s">
        <v>9959</v>
      </c>
      <c r="C3237" s="2">
        <v>46247.583333333336</v>
      </c>
      <c r="D3237" t="s">
        <v>418</v>
      </c>
      <c r="E3237" t="s">
        <v>32</v>
      </c>
      <c r="F3237" t="s">
        <v>108</v>
      </c>
      <c r="G3237" t="s">
        <v>109</v>
      </c>
      <c r="H3237">
        <v>5</v>
      </c>
      <c r="I3237" t="s">
        <v>9960</v>
      </c>
      <c r="J3237" t="s">
        <v>357</v>
      </c>
    </row>
    <row r="3238" spans="1:10" x14ac:dyDescent="0.25">
      <c r="A3238" t="s">
        <v>9961</v>
      </c>
      <c r="B3238" t="s">
        <v>9962</v>
      </c>
      <c r="C3238" s="2">
        <v>46247.583333333336</v>
      </c>
      <c r="D3238" t="s">
        <v>418</v>
      </c>
      <c r="E3238" t="s">
        <v>45</v>
      </c>
      <c r="F3238" t="s">
        <v>267</v>
      </c>
      <c r="G3238" t="s">
        <v>119</v>
      </c>
      <c r="H3238">
        <v>4</v>
      </c>
      <c r="I3238" t="s">
        <v>9963</v>
      </c>
      <c r="J3238" t="s">
        <v>357</v>
      </c>
    </row>
    <row r="3239" spans="1:10" x14ac:dyDescent="0.25">
      <c r="A3239" t="s">
        <v>9964</v>
      </c>
      <c r="B3239" t="s">
        <v>9965</v>
      </c>
      <c r="C3239" s="2">
        <v>46247.583333333336</v>
      </c>
      <c r="D3239" t="s">
        <v>418</v>
      </c>
      <c r="E3239" t="s">
        <v>57</v>
      </c>
      <c r="F3239" t="s">
        <v>299</v>
      </c>
      <c r="G3239" t="s">
        <v>131</v>
      </c>
      <c r="H3239">
        <v>2</v>
      </c>
      <c r="I3239" t="s">
        <v>9966</v>
      </c>
      <c r="J3239" t="s">
        <v>357</v>
      </c>
    </row>
    <row r="3240" spans="1:10" x14ac:dyDescent="0.25">
      <c r="A3240" t="s">
        <v>9967</v>
      </c>
      <c r="B3240" t="s">
        <v>9968</v>
      </c>
      <c r="C3240" s="2">
        <v>46247.583333333336</v>
      </c>
      <c r="D3240" t="s">
        <v>418</v>
      </c>
      <c r="E3240" t="s">
        <v>75</v>
      </c>
      <c r="F3240" t="s">
        <v>259</v>
      </c>
      <c r="G3240" t="s">
        <v>145</v>
      </c>
      <c r="H3240">
        <v>2</v>
      </c>
      <c r="I3240" t="s">
        <v>9969</v>
      </c>
      <c r="J3240" t="s">
        <v>357</v>
      </c>
    </row>
    <row r="3241" spans="1:10" x14ac:dyDescent="0.25">
      <c r="A3241" t="s">
        <v>9970</v>
      </c>
      <c r="B3241" t="s">
        <v>9971</v>
      </c>
      <c r="C3241" s="2">
        <v>46247.583333333336</v>
      </c>
      <c r="D3241" t="s">
        <v>418</v>
      </c>
      <c r="E3241" t="s">
        <v>18</v>
      </c>
      <c r="F3241" t="s">
        <v>244</v>
      </c>
      <c r="G3241" t="s">
        <v>95</v>
      </c>
      <c r="H3241">
        <v>2</v>
      </c>
      <c r="I3241" t="s">
        <v>9972</v>
      </c>
      <c r="J3241" t="s">
        <v>357</v>
      </c>
    </row>
    <row r="3242" spans="1:10" x14ac:dyDescent="0.25">
      <c r="A3242" t="s">
        <v>9973</v>
      </c>
      <c r="B3242" t="s">
        <v>9974</v>
      </c>
      <c r="C3242" s="2">
        <v>46247.583333333336</v>
      </c>
      <c r="D3242" t="s">
        <v>418</v>
      </c>
      <c r="E3242" t="s">
        <v>22</v>
      </c>
      <c r="F3242" t="s">
        <v>288</v>
      </c>
      <c r="G3242" t="s">
        <v>99</v>
      </c>
      <c r="H3242">
        <v>1</v>
      </c>
      <c r="I3242" t="s">
        <v>9975</v>
      </c>
      <c r="J3242" t="s">
        <v>357</v>
      </c>
    </row>
    <row r="3243" spans="1:10" x14ac:dyDescent="0.25">
      <c r="A3243" t="s">
        <v>9976</v>
      </c>
      <c r="B3243" t="s">
        <v>9977</v>
      </c>
      <c r="C3243" s="2">
        <v>46247.583333333336</v>
      </c>
      <c r="D3243" t="s">
        <v>418</v>
      </c>
      <c r="E3243" t="s">
        <v>24</v>
      </c>
      <c r="F3243" t="s">
        <v>218</v>
      </c>
      <c r="G3243" t="s">
        <v>101</v>
      </c>
      <c r="H3243">
        <v>2</v>
      </c>
      <c r="I3243" t="s">
        <v>9978</v>
      </c>
      <c r="J3243" t="s">
        <v>357</v>
      </c>
    </row>
    <row r="3244" spans="1:10" x14ac:dyDescent="0.25">
      <c r="A3244" t="s">
        <v>9979</v>
      </c>
      <c r="B3244" t="s">
        <v>9980</v>
      </c>
      <c r="C3244" s="2">
        <v>46247.583333333336</v>
      </c>
      <c r="D3244" t="s">
        <v>418</v>
      </c>
      <c r="E3244" t="s">
        <v>26</v>
      </c>
      <c r="F3244" t="s">
        <v>290</v>
      </c>
      <c r="G3244" t="s">
        <v>103</v>
      </c>
      <c r="H3244">
        <v>2</v>
      </c>
      <c r="I3244" t="s">
        <v>9981</v>
      </c>
      <c r="J3244" t="s">
        <v>357</v>
      </c>
    </row>
    <row r="3245" spans="1:10" x14ac:dyDescent="0.25">
      <c r="A3245" t="s">
        <v>9982</v>
      </c>
      <c r="B3245" t="s">
        <v>9983</v>
      </c>
      <c r="C3245" s="2">
        <v>46247.583333333336</v>
      </c>
      <c r="D3245" t="s">
        <v>418</v>
      </c>
      <c r="E3245" t="s">
        <v>41</v>
      </c>
      <c r="F3245" t="s">
        <v>293</v>
      </c>
      <c r="G3245" t="s">
        <v>115</v>
      </c>
      <c r="H3245">
        <v>1</v>
      </c>
      <c r="I3245" t="s">
        <v>9984</v>
      </c>
      <c r="J3245" t="s">
        <v>357</v>
      </c>
    </row>
    <row r="3246" spans="1:10" x14ac:dyDescent="0.25">
      <c r="A3246" t="s">
        <v>9985</v>
      </c>
      <c r="B3246" t="s">
        <v>9986</v>
      </c>
      <c r="C3246" s="2">
        <v>46247.583333333336</v>
      </c>
      <c r="D3246" t="s">
        <v>418</v>
      </c>
      <c r="E3246" t="s">
        <v>43</v>
      </c>
      <c r="F3246" t="s">
        <v>266</v>
      </c>
      <c r="G3246" t="s">
        <v>117</v>
      </c>
      <c r="H3246">
        <v>5</v>
      </c>
      <c r="I3246" t="s">
        <v>9987</v>
      </c>
      <c r="J3246" t="s">
        <v>357</v>
      </c>
    </row>
    <row r="3247" spans="1:10" x14ac:dyDescent="0.25">
      <c r="A3247" t="s">
        <v>9988</v>
      </c>
      <c r="B3247" t="s">
        <v>9989</v>
      </c>
      <c r="C3247" s="2">
        <v>46247.583333333336</v>
      </c>
      <c r="D3247" t="s">
        <v>418</v>
      </c>
      <c r="E3247" t="s">
        <v>55</v>
      </c>
      <c r="F3247" t="s">
        <v>298</v>
      </c>
      <c r="G3247" t="s">
        <v>129</v>
      </c>
      <c r="H3247">
        <v>2</v>
      </c>
      <c r="I3247" t="s">
        <v>9990</v>
      </c>
      <c r="J3247" t="s">
        <v>357</v>
      </c>
    </row>
    <row r="3248" spans="1:10" x14ac:dyDescent="0.25">
      <c r="A3248" t="s">
        <v>9991</v>
      </c>
      <c r="B3248" t="s">
        <v>9992</v>
      </c>
      <c r="C3248" s="2">
        <v>46247.583333333336</v>
      </c>
      <c r="D3248" t="s">
        <v>418</v>
      </c>
      <c r="E3248" t="s">
        <v>59</v>
      </c>
      <c r="F3248" t="s">
        <v>270</v>
      </c>
      <c r="G3248" t="s">
        <v>133</v>
      </c>
      <c r="H3248">
        <v>5</v>
      </c>
      <c r="I3248" t="s">
        <v>9993</v>
      </c>
      <c r="J3248" t="s">
        <v>357</v>
      </c>
    </row>
    <row r="3249" spans="1:10" x14ac:dyDescent="0.25">
      <c r="A3249" t="s">
        <v>9994</v>
      </c>
      <c r="B3249" t="s">
        <v>9995</v>
      </c>
      <c r="C3249" s="2">
        <v>46247.583333333336</v>
      </c>
      <c r="D3249" t="s">
        <v>418</v>
      </c>
      <c r="E3249" t="s">
        <v>67</v>
      </c>
      <c r="F3249" t="s">
        <v>242</v>
      </c>
      <c r="G3249" t="s">
        <v>137</v>
      </c>
      <c r="H3249">
        <v>1</v>
      </c>
      <c r="I3249" t="s">
        <v>9996</v>
      </c>
      <c r="J3249" t="s">
        <v>357</v>
      </c>
    </row>
    <row r="3250" spans="1:10" x14ac:dyDescent="0.25">
      <c r="A3250" t="s">
        <v>9997</v>
      </c>
      <c r="B3250" t="s">
        <v>9998</v>
      </c>
      <c r="C3250" s="2">
        <v>46247.583333333336</v>
      </c>
      <c r="D3250" t="s">
        <v>418</v>
      </c>
      <c r="E3250" t="s">
        <v>69</v>
      </c>
      <c r="F3250" t="s">
        <v>229</v>
      </c>
      <c r="G3250" t="s">
        <v>139</v>
      </c>
      <c r="H3250">
        <v>4</v>
      </c>
      <c r="I3250" t="s">
        <v>9999</v>
      </c>
      <c r="J3250" t="s">
        <v>357</v>
      </c>
    </row>
    <row r="3251" spans="1:10" x14ac:dyDescent="0.25">
      <c r="A3251" t="s">
        <v>10000</v>
      </c>
      <c r="B3251" t="s">
        <v>10001</v>
      </c>
      <c r="C3251" s="2">
        <v>46247.583333333336</v>
      </c>
      <c r="D3251" t="s">
        <v>418</v>
      </c>
      <c r="E3251" t="s">
        <v>77</v>
      </c>
      <c r="F3251" t="s">
        <v>243</v>
      </c>
      <c r="G3251" t="s">
        <v>147</v>
      </c>
      <c r="H3251">
        <v>1</v>
      </c>
      <c r="I3251" t="s">
        <v>10002</v>
      </c>
      <c r="J3251" t="s">
        <v>357</v>
      </c>
    </row>
    <row r="3252" spans="1:10" x14ac:dyDescent="0.25">
      <c r="A3252" t="s">
        <v>10003</v>
      </c>
      <c r="B3252" t="s">
        <v>10004</v>
      </c>
      <c r="C3252" s="2">
        <v>46247.583333333336</v>
      </c>
      <c r="D3252" t="s">
        <v>418</v>
      </c>
      <c r="E3252" t="s">
        <v>18</v>
      </c>
      <c r="F3252" t="s">
        <v>244</v>
      </c>
      <c r="G3252" t="s">
        <v>95</v>
      </c>
      <c r="H3252">
        <v>3</v>
      </c>
      <c r="I3252" t="s">
        <v>10005</v>
      </c>
      <c r="J3252" t="s">
        <v>357</v>
      </c>
    </row>
    <row r="3253" spans="1:10" x14ac:dyDescent="0.25">
      <c r="A3253" t="s">
        <v>10006</v>
      </c>
      <c r="B3253" t="s">
        <v>10007</v>
      </c>
      <c r="C3253" s="2">
        <v>46247.583333333336</v>
      </c>
      <c r="D3253" t="s">
        <v>418</v>
      </c>
      <c r="E3253" t="s">
        <v>22</v>
      </c>
      <c r="F3253" t="s">
        <v>288</v>
      </c>
      <c r="G3253" t="s">
        <v>99</v>
      </c>
      <c r="H3253">
        <v>4</v>
      </c>
      <c r="I3253" t="s">
        <v>10008</v>
      </c>
      <c r="J3253" t="s">
        <v>357</v>
      </c>
    </row>
    <row r="3254" spans="1:10" x14ac:dyDescent="0.25">
      <c r="A3254" t="s">
        <v>10009</v>
      </c>
      <c r="B3254" t="s">
        <v>10010</v>
      </c>
      <c r="C3254" s="2">
        <v>46247.583333333336</v>
      </c>
      <c r="D3254" t="s">
        <v>418</v>
      </c>
      <c r="E3254" t="s">
        <v>24</v>
      </c>
      <c r="F3254" t="s">
        <v>218</v>
      </c>
      <c r="G3254" t="s">
        <v>101</v>
      </c>
      <c r="H3254">
        <v>3</v>
      </c>
      <c r="I3254" t="s">
        <v>10011</v>
      </c>
      <c r="J3254" t="s">
        <v>357</v>
      </c>
    </row>
    <row r="3255" spans="1:10" x14ac:dyDescent="0.25">
      <c r="A3255" t="s">
        <v>10012</v>
      </c>
      <c r="B3255" t="s">
        <v>10013</v>
      </c>
      <c r="C3255" s="2">
        <v>46247.583333333336</v>
      </c>
      <c r="D3255" t="s">
        <v>418</v>
      </c>
      <c r="E3255" t="s">
        <v>26</v>
      </c>
      <c r="F3255" t="s">
        <v>290</v>
      </c>
      <c r="G3255" t="s">
        <v>103</v>
      </c>
      <c r="H3255">
        <v>4</v>
      </c>
      <c r="I3255" t="s">
        <v>10014</v>
      </c>
      <c r="J3255" t="s">
        <v>357</v>
      </c>
    </row>
    <row r="3256" spans="1:10" x14ac:dyDescent="0.25">
      <c r="A3256" t="s">
        <v>10015</v>
      </c>
      <c r="B3256" t="s">
        <v>10016</v>
      </c>
      <c r="C3256" s="2">
        <v>46247.583333333336</v>
      </c>
      <c r="D3256" t="s">
        <v>418</v>
      </c>
      <c r="E3256" t="s">
        <v>32</v>
      </c>
      <c r="F3256" t="s">
        <v>108</v>
      </c>
      <c r="G3256" t="s">
        <v>109</v>
      </c>
      <c r="H3256">
        <v>6</v>
      </c>
      <c r="I3256" t="s">
        <v>10017</v>
      </c>
      <c r="J3256" t="s">
        <v>357</v>
      </c>
    </row>
    <row r="3257" spans="1:10" x14ac:dyDescent="0.25">
      <c r="A3257" t="s">
        <v>10018</v>
      </c>
      <c r="B3257" t="s">
        <v>10019</v>
      </c>
      <c r="C3257" s="2">
        <v>46247.583333333336</v>
      </c>
      <c r="D3257" t="s">
        <v>418</v>
      </c>
      <c r="E3257" t="s">
        <v>47</v>
      </c>
      <c r="F3257" t="s">
        <v>268</v>
      </c>
      <c r="G3257" t="s">
        <v>121</v>
      </c>
      <c r="H3257">
        <v>4</v>
      </c>
      <c r="I3257" t="s">
        <v>10020</v>
      </c>
      <c r="J3257" t="s">
        <v>357</v>
      </c>
    </row>
    <row r="3258" spans="1:10" x14ac:dyDescent="0.25">
      <c r="A3258" t="s">
        <v>10021</v>
      </c>
      <c r="B3258" t="s">
        <v>10022</v>
      </c>
      <c r="C3258" s="2">
        <v>46247.583333333336</v>
      </c>
      <c r="D3258" t="s">
        <v>418</v>
      </c>
      <c r="E3258" t="s">
        <v>51</v>
      </c>
      <c r="F3258" t="s">
        <v>254</v>
      </c>
      <c r="G3258" t="s">
        <v>125</v>
      </c>
      <c r="H3258">
        <v>1</v>
      </c>
      <c r="I3258" t="s">
        <v>10023</v>
      </c>
      <c r="J3258" t="s">
        <v>357</v>
      </c>
    </row>
    <row r="3259" spans="1:10" x14ac:dyDescent="0.25">
      <c r="A3259" t="s">
        <v>10024</v>
      </c>
      <c r="B3259" t="s">
        <v>10025</v>
      </c>
      <c r="C3259" s="2">
        <v>46247.583333333336</v>
      </c>
      <c r="D3259" t="s">
        <v>418</v>
      </c>
      <c r="E3259" t="s">
        <v>53</v>
      </c>
      <c r="F3259" t="s">
        <v>239</v>
      </c>
      <c r="G3259" t="s">
        <v>127</v>
      </c>
      <c r="H3259">
        <v>1</v>
      </c>
      <c r="I3259" t="s">
        <v>10026</v>
      </c>
      <c r="J3259" t="s">
        <v>357</v>
      </c>
    </row>
    <row r="3260" spans="1:10" x14ac:dyDescent="0.25">
      <c r="A3260" t="s">
        <v>10027</v>
      </c>
      <c r="B3260" t="s">
        <v>10028</v>
      </c>
      <c r="C3260" s="2">
        <v>46247.583333333336</v>
      </c>
      <c r="D3260" t="s">
        <v>418</v>
      </c>
      <c r="E3260" t="s">
        <v>71</v>
      </c>
      <c r="F3260" t="s">
        <v>212</v>
      </c>
      <c r="G3260" t="s">
        <v>141</v>
      </c>
      <c r="H3260">
        <v>4</v>
      </c>
      <c r="I3260" t="s">
        <v>10029</v>
      </c>
      <c r="J3260" t="s">
        <v>357</v>
      </c>
    </row>
    <row r="3261" spans="1:10" x14ac:dyDescent="0.25">
      <c r="A3261" t="s">
        <v>10030</v>
      </c>
      <c r="B3261" t="s">
        <v>10031</v>
      </c>
      <c r="C3261" s="2">
        <v>46247.583333333336</v>
      </c>
      <c r="D3261" t="s">
        <v>418</v>
      </c>
      <c r="E3261" t="s">
        <v>75</v>
      </c>
      <c r="F3261" t="s">
        <v>259</v>
      </c>
      <c r="G3261" t="s">
        <v>145</v>
      </c>
      <c r="H3261">
        <v>6</v>
      </c>
      <c r="I3261" t="s">
        <v>10032</v>
      </c>
      <c r="J3261" t="s">
        <v>357</v>
      </c>
    </row>
    <row r="3262" spans="1:10" x14ac:dyDescent="0.25">
      <c r="A3262" t="s">
        <v>10033</v>
      </c>
      <c r="B3262" t="s">
        <v>10034</v>
      </c>
      <c r="C3262" s="2">
        <v>46247.583333333336</v>
      </c>
      <c r="D3262" t="s">
        <v>418</v>
      </c>
      <c r="E3262" t="s">
        <v>11</v>
      </c>
      <c r="F3262" t="s">
        <v>285</v>
      </c>
      <c r="G3262" t="s">
        <v>92</v>
      </c>
      <c r="H3262">
        <v>1</v>
      </c>
      <c r="I3262" t="s">
        <v>10035</v>
      </c>
      <c r="J3262" t="s">
        <v>357</v>
      </c>
    </row>
    <row r="3263" spans="1:10" x14ac:dyDescent="0.25">
      <c r="A3263" t="s">
        <v>10036</v>
      </c>
      <c r="B3263" t="s">
        <v>10037</v>
      </c>
      <c r="C3263" s="2">
        <v>46247.583333333336</v>
      </c>
      <c r="D3263" t="s">
        <v>418</v>
      </c>
      <c r="E3263" t="s">
        <v>22</v>
      </c>
      <c r="F3263" t="s">
        <v>288</v>
      </c>
      <c r="G3263" t="s">
        <v>99</v>
      </c>
      <c r="H3263">
        <v>1</v>
      </c>
      <c r="I3263" t="s">
        <v>10038</v>
      </c>
      <c r="J3263" t="s">
        <v>357</v>
      </c>
    </row>
    <row r="3264" spans="1:10" x14ac:dyDescent="0.25">
      <c r="A3264" t="s">
        <v>10039</v>
      </c>
      <c r="B3264" t="s">
        <v>10040</v>
      </c>
      <c r="C3264" s="2">
        <v>46247.583333333336</v>
      </c>
      <c r="D3264" t="s">
        <v>418</v>
      </c>
      <c r="E3264" t="s">
        <v>26</v>
      </c>
      <c r="F3264" t="s">
        <v>290</v>
      </c>
      <c r="G3264" t="s">
        <v>103</v>
      </c>
      <c r="H3264">
        <v>2</v>
      </c>
      <c r="I3264" t="s">
        <v>10041</v>
      </c>
      <c r="J3264" t="s">
        <v>357</v>
      </c>
    </row>
    <row r="3265" spans="1:10" x14ac:dyDescent="0.25">
      <c r="A3265" t="s">
        <v>10042</v>
      </c>
      <c r="B3265" t="s">
        <v>10043</v>
      </c>
      <c r="C3265" s="2">
        <v>46247.583333333336</v>
      </c>
      <c r="D3265" t="s">
        <v>418</v>
      </c>
      <c r="E3265" t="s">
        <v>43</v>
      </c>
      <c r="F3265" t="s">
        <v>266</v>
      </c>
      <c r="G3265" t="s">
        <v>117</v>
      </c>
      <c r="H3265">
        <v>4</v>
      </c>
      <c r="I3265" t="s">
        <v>10044</v>
      </c>
      <c r="J3265" t="s">
        <v>357</v>
      </c>
    </row>
    <row r="3266" spans="1:10" x14ac:dyDescent="0.25">
      <c r="A3266" t="s">
        <v>10045</v>
      </c>
      <c r="B3266" t="s">
        <v>10046</v>
      </c>
      <c r="C3266" s="2">
        <v>46247.583333333336</v>
      </c>
      <c r="D3266" t="s">
        <v>418</v>
      </c>
      <c r="E3266" t="s">
        <v>57</v>
      </c>
      <c r="F3266" t="s">
        <v>299</v>
      </c>
      <c r="G3266" t="s">
        <v>131</v>
      </c>
      <c r="H3266">
        <v>2</v>
      </c>
      <c r="I3266" t="s">
        <v>10047</v>
      </c>
      <c r="J3266" t="s">
        <v>357</v>
      </c>
    </row>
    <row r="3267" spans="1:10" x14ac:dyDescent="0.25">
      <c r="A3267" t="s">
        <v>10048</v>
      </c>
      <c r="B3267" t="s">
        <v>10049</v>
      </c>
      <c r="C3267" s="2">
        <v>46247.583333333336</v>
      </c>
      <c r="D3267" t="s">
        <v>418</v>
      </c>
      <c r="E3267" t="s">
        <v>67</v>
      </c>
      <c r="F3267" t="s">
        <v>242</v>
      </c>
      <c r="G3267" t="s">
        <v>137</v>
      </c>
      <c r="H3267">
        <v>2</v>
      </c>
      <c r="I3267" t="s">
        <v>10050</v>
      </c>
      <c r="J3267" t="s">
        <v>357</v>
      </c>
    </row>
    <row r="3268" spans="1:10" x14ac:dyDescent="0.25">
      <c r="A3268" t="s">
        <v>10051</v>
      </c>
      <c r="B3268" t="s">
        <v>10052</v>
      </c>
      <c r="C3268" s="2">
        <v>46247.583333333336</v>
      </c>
      <c r="D3268" t="s">
        <v>418</v>
      </c>
      <c r="E3268" t="s">
        <v>71</v>
      </c>
      <c r="F3268" t="s">
        <v>212</v>
      </c>
      <c r="G3268" t="s">
        <v>141</v>
      </c>
      <c r="H3268">
        <v>2</v>
      </c>
      <c r="I3268" t="s">
        <v>10053</v>
      </c>
      <c r="J3268" t="s">
        <v>357</v>
      </c>
    </row>
    <row r="3269" spans="1:10" x14ac:dyDescent="0.25">
      <c r="A3269" t="s">
        <v>10054</v>
      </c>
      <c r="B3269" t="s">
        <v>10055</v>
      </c>
      <c r="C3269" s="2">
        <v>46247.583333333336</v>
      </c>
      <c r="D3269" t="s">
        <v>418</v>
      </c>
      <c r="E3269" t="s">
        <v>73</v>
      </c>
      <c r="F3269" t="s">
        <v>258</v>
      </c>
      <c r="G3269" t="s">
        <v>143</v>
      </c>
      <c r="H3269">
        <v>4</v>
      </c>
      <c r="I3269" t="s">
        <v>10056</v>
      </c>
      <c r="J3269" t="s">
        <v>357</v>
      </c>
    </row>
    <row r="3270" spans="1:10" x14ac:dyDescent="0.25">
      <c r="A3270" t="s">
        <v>10057</v>
      </c>
      <c r="B3270" t="s">
        <v>10058</v>
      </c>
      <c r="C3270" s="2">
        <v>46247.583333333336</v>
      </c>
      <c r="D3270" t="s">
        <v>418</v>
      </c>
      <c r="E3270" t="s">
        <v>77</v>
      </c>
      <c r="F3270" t="s">
        <v>243</v>
      </c>
      <c r="G3270" t="s">
        <v>147</v>
      </c>
      <c r="H3270">
        <v>4</v>
      </c>
      <c r="I3270" t="s">
        <v>10059</v>
      </c>
      <c r="J3270" t="s">
        <v>357</v>
      </c>
    </row>
    <row r="3271" spans="1:10" x14ac:dyDescent="0.25">
      <c r="A3271" t="s">
        <v>10060</v>
      </c>
      <c r="B3271" t="s">
        <v>10061</v>
      </c>
      <c r="C3271" s="2">
        <v>46248.583333333336</v>
      </c>
      <c r="D3271" t="s">
        <v>418</v>
      </c>
      <c r="E3271" t="s">
        <v>11</v>
      </c>
      <c r="F3271" t="s">
        <v>285</v>
      </c>
      <c r="G3271" t="s">
        <v>92</v>
      </c>
      <c r="H3271">
        <v>3</v>
      </c>
      <c r="I3271" t="s">
        <v>10062</v>
      </c>
      <c r="J3271" t="s">
        <v>357</v>
      </c>
    </row>
    <row r="3272" spans="1:10" x14ac:dyDescent="0.25">
      <c r="A3272" t="s">
        <v>10063</v>
      </c>
      <c r="B3272" t="s">
        <v>10064</v>
      </c>
      <c r="C3272" s="2">
        <v>46248.583333333336</v>
      </c>
      <c r="D3272" t="s">
        <v>418</v>
      </c>
      <c r="E3272" t="s">
        <v>18</v>
      </c>
      <c r="F3272" t="s">
        <v>244</v>
      </c>
      <c r="G3272" t="s">
        <v>95</v>
      </c>
      <c r="H3272">
        <v>2</v>
      </c>
      <c r="I3272" t="s">
        <v>10065</v>
      </c>
      <c r="J3272" t="s">
        <v>357</v>
      </c>
    </row>
    <row r="3273" spans="1:10" x14ac:dyDescent="0.25">
      <c r="A3273" t="s">
        <v>10066</v>
      </c>
      <c r="B3273" t="s">
        <v>10067</v>
      </c>
      <c r="C3273" s="2">
        <v>46248.583333333336</v>
      </c>
      <c r="D3273" t="s">
        <v>418</v>
      </c>
      <c r="E3273" t="s">
        <v>20</v>
      </c>
      <c r="F3273" t="s">
        <v>287</v>
      </c>
      <c r="G3273" t="s">
        <v>97</v>
      </c>
      <c r="H3273">
        <v>3</v>
      </c>
      <c r="I3273" t="s">
        <v>10068</v>
      </c>
      <c r="J3273" t="s">
        <v>357</v>
      </c>
    </row>
    <row r="3274" spans="1:10" x14ac:dyDescent="0.25">
      <c r="A3274" t="s">
        <v>10069</v>
      </c>
      <c r="B3274" t="s">
        <v>10070</v>
      </c>
      <c r="C3274" s="2">
        <v>46248.583333333336</v>
      </c>
      <c r="D3274" t="s">
        <v>418</v>
      </c>
      <c r="E3274" t="s">
        <v>22</v>
      </c>
      <c r="F3274" t="s">
        <v>288</v>
      </c>
      <c r="G3274" t="s">
        <v>99</v>
      </c>
      <c r="H3274">
        <v>2</v>
      </c>
      <c r="I3274" t="s">
        <v>10071</v>
      </c>
      <c r="J3274" t="s">
        <v>357</v>
      </c>
    </row>
    <row r="3275" spans="1:10" x14ac:dyDescent="0.25">
      <c r="A3275" t="s">
        <v>10072</v>
      </c>
      <c r="B3275" t="s">
        <v>10073</v>
      </c>
      <c r="C3275" s="2">
        <v>46248.583333333336</v>
      </c>
      <c r="D3275" t="s">
        <v>418</v>
      </c>
      <c r="E3275" t="s">
        <v>28</v>
      </c>
      <c r="F3275" t="s">
        <v>249</v>
      </c>
      <c r="G3275" t="s">
        <v>105</v>
      </c>
      <c r="H3275">
        <v>4</v>
      </c>
      <c r="I3275" t="s">
        <v>10074</v>
      </c>
      <c r="J3275" t="s">
        <v>357</v>
      </c>
    </row>
    <row r="3276" spans="1:10" x14ac:dyDescent="0.25">
      <c r="A3276" t="s">
        <v>10075</v>
      </c>
      <c r="B3276" t="s">
        <v>10076</v>
      </c>
      <c r="C3276" s="2">
        <v>46248.583333333336</v>
      </c>
      <c r="D3276" t="s">
        <v>418</v>
      </c>
      <c r="E3276" t="s">
        <v>53</v>
      </c>
      <c r="F3276" t="s">
        <v>239</v>
      </c>
      <c r="G3276" t="s">
        <v>127</v>
      </c>
      <c r="H3276">
        <v>3</v>
      </c>
      <c r="I3276" t="s">
        <v>10077</v>
      </c>
      <c r="J3276" t="s">
        <v>357</v>
      </c>
    </row>
    <row r="3277" spans="1:10" x14ac:dyDescent="0.25">
      <c r="A3277" t="s">
        <v>10078</v>
      </c>
      <c r="B3277" t="s">
        <v>10079</v>
      </c>
      <c r="C3277" s="2">
        <v>46248.583333333336</v>
      </c>
      <c r="D3277" t="s">
        <v>418</v>
      </c>
      <c r="E3277" t="s">
        <v>65</v>
      </c>
      <c r="F3277" t="s">
        <v>241</v>
      </c>
      <c r="G3277" t="s">
        <v>135</v>
      </c>
      <c r="H3277">
        <v>2</v>
      </c>
      <c r="I3277" t="s">
        <v>10080</v>
      </c>
      <c r="J3277" t="s">
        <v>357</v>
      </c>
    </row>
    <row r="3278" spans="1:10" x14ac:dyDescent="0.25">
      <c r="A3278" t="s">
        <v>10081</v>
      </c>
      <c r="B3278" t="s">
        <v>10082</v>
      </c>
      <c r="C3278" s="2">
        <v>46248.583333333336</v>
      </c>
      <c r="D3278" t="s">
        <v>418</v>
      </c>
      <c r="E3278" t="s">
        <v>67</v>
      </c>
      <c r="F3278" t="s">
        <v>242</v>
      </c>
      <c r="G3278" t="s">
        <v>137</v>
      </c>
      <c r="H3278">
        <v>2</v>
      </c>
      <c r="I3278" t="s">
        <v>10083</v>
      </c>
      <c r="J3278" t="s">
        <v>357</v>
      </c>
    </row>
    <row r="3279" spans="1:10" x14ac:dyDescent="0.25">
      <c r="A3279" t="s">
        <v>10084</v>
      </c>
      <c r="B3279" t="s">
        <v>10085</v>
      </c>
      <c r="C3279" s="2">
        <v>46248.583333333336</v>
      </c>
      <c r="D3279" t="s">
        <v>418</v>
      </c>
      <c r="E3279" t="s">
        <v>73</v>
      </c>
      <c r="F3279" t="s">
        <v>258</v>
      </c>
      <c r="G3279" t="s">
        <v>143</v>
      </c>
      <c r="H3279">
        <v>3</v>
      </c>
      <c r="I3279" t="s">
        <v>10086</v>
      </c>
      <c r="J3279" t="s">
        <v>357</v>
      </c>
    </row>
    <row r="3280" spans="1:10" x14ac:dyDescent="0.25">
      <c r="A3280" t="s">
        <v>10087</v>
      </c>
      <c r="B3280" t="s">
        <v>10088</v>
      </c>
      <c r="C3280" s="2">
        <v>46248.583333333336</v>
      </c>
      <c r="D3280" t="s">
        <v>418</v>
      </c>
      <c r="E3280" t="s">
        <v>75</v>
      </c>
      <c r="F3280" t="s">
        <v>259</v>
      </c>
      <c r="G3280" t="s">
        <v>145</v>
      </c>
      <c r="H3280">
        <v>1</v>
      </c>
      <c r="I3280" t="s">
        <v>10089</v>
      </c>
      <c r="J3280" t="s">
        <v>357</v>
      </c>
    </row>
    <row r="3281" spans="1:10" x14ac:dyDescent="0.25">
      <c r="A3281" t="s">
        <v>10090</v>
      </c>
      <c r="B3281" t="s">
        <v>10091</v>
      </c>
      <c r="C3281" s="2">
        <v>46248.583333333336</v>
      </c>
      <c r="D3281" t="s">
        <v>418</v>
      </c>
      <c r="E3281" t="s">
        <v>11</v>
      </c>
      <c r="F3281" t="s">
        <v>285</v>
      </c>
      <c r="G3281" t="s">
        <v>92</v>
      </c>
      <c r="H3281">
        <v>4</v>
      </c>
      <c r="I3281" t="s">
        <v>10092</v>
      </c>
      <c r="J3281" t="s">
        <v>357</v>
      </c>
    </row>
    <row r="3282" spans="1:10" x14ac:dyDescent="0.25">
      <c r="A3282" t="s">
        <v>10093</v>
      </c>
      <c r="B3282" t="s">
        <v>10094</v>
      </c>
      <c r="C3282" s="2">
        <v>46248.583333333336</v>
      </c>
      <c r="D3282" t="s">
        <v>418</v>
      </c>
      <c r="E3282" t="s">
        <v>18</v>
      </c>
      <c r="F3282" t="s">
        <v>244</v>
      </c>
      <c r="G3282" t="s">
        <v>95</v>
      </c>
      <c r="H3282">
        <v>1</v>
      </c>
      <c r="I3282" t="s">
        <v>10095</v>
      </c>
      <c r="J3282" t="s">
        <v>357</v>
      </c>
    </row>
    <row r="3283" spans="1:10" x14ac:dyDescent="0.25">
      <c r="A3283" t="s">
        <v>10096</v>
      </c>
      <c r="B3283" t="s">
        <v>10097</v>
      </c>
      <c r="C3283" s="2">
        <v>46248.583333333336</v>
      </c>
      <c r="D3283" t="s">
        <v>418</v>
      </c>
      <c r="E3283" t="s">
        <v>20</v>
      </c>
      <c r="F3283" t="s">
        <v>287</v>
      </c>
      <c r="G3283" t="s">
        <v>97</v>
      </c>
      <c r="H3283">
        <v>4</v>
      </c>
      <c r="I3283" t="s">
        <v>10098</v>
      </c>
      <c r="J3283" t="s">
        <v>357</v>
      </c>
    </row>
    <row r="3284" spans="1:10" x14ac:dyDescent="0.25">
      <c r="A3284" t="s">
        <v>10099</v>
      </c>
      <c r="B3284" t="s">
        <v>10100</v>
      </c>
      <c r="C3284" s="2">
        <v>46248.583333333336</v>
      </c>
      <c r="D3284" t="s">
        <v>418</v>
      </c>
      <c r="E3284" t="s">
        <v>45</v>
      </c>
      <c r="F3284" t="s">
        <v>267</v>
      </c>
      <c r="G3284" t="s">
        <v>119</v>
      </c>
      <c r="H3284">
        <v>4</v>
      </c>
      <c r="I3284" t="s">
        <v>10101</v>
      </c>
      <c r="J3284" t="s">
        <v>357</v>
      </c>
    </row>
    <row r="3285" spans="1:10" x14ac:dyDescent="0.25">
      <c r="A3285" t="s">
        <v>10102</v>
      </c>
      <c r="B3285" t="s">
        <v>10103</v>
      </c>
      <c r="C3285" s="2">
        <v>46248.583333333336</v>
      </c>
      <c r="D3285" t="s">
        <v>418</v>
      </c>
      <c r="E3285" t="s">
        <v>49</v>
      </c>
      <c r="F3285" t="s">
        <v>295</v>
      </c>
      <c r="G3285" t="s">
        <v>123</v>
      </c>
      <c r="H3285">
        <v>2</v>
      </c>
      <c r="I3285" t="s">
        <v>10104</v>
      </c>
      <c r="J3285" t="s">
        <v>357</v>
      </c>
    </row>
    <row r="3286" spans="1:10" x14ac:dyDescent="0.25">
      <c r="A3286" t="s">
        <v>10105</v>
      </c>
      <c r="B3286" t="s">
        <v>10106</v>
      </c>
      <c r="C3286" s="2">
        <v>46248.583333333336</v>
      </c>
      <c r="D3286" t="s">
        <v>418</v>
      </c>
      <c r="E3286" t="s">
        <v>59</v>
      </c>
      <c r="F3286" t="s">
        <v>270</v>
      </c>
      <c r="G3286" t="s">
        <v>133</v>
      </c>
      <c r="H3286">
        <v>2</v>
      </c>
      <c r="I3286" t="s">
        <v>10107</v>
      </c>
      <c r="J3286" t="s">
        <v>357</v>
      </c>
    </row>
    <row r="3287" spans="1:10" x14ac:dyDescent="0.25">
      <c r="A3287" t="s">
        <v>10108</v>
      </c>
      <c r="B3287" t="s">
        <v>10109</v>
      </c>
      <c r="C3287" s="2">
        <v>46248.583333333336</v>
      </c>
      <c r="D3287" t="s">
        <v>418</v>
      </c>
      <c r="E3287" t="s">
        <v>75</v>
      </c>
      <c r="F3287" t="s">
        <v>259</v>
      </c>
      <c r="G3287" t="s">
        <v>145</v>
      </c>
      <c r="H3287">
        <v>5</v>
      </c>
      <c r="I3287" t="s">
        <v>10110</v>
      </c>
      <c r="J3287" t="s">
        <v>357</v>
      </c>
    </row>
    <row r="3288" spans="1:10" x14ac:dyDescent="0.25">
      <c r="A3288" t="s">
        <v>10111</v>
      </c>
      <c r="B3288" t="s">
        <v>10112</v>
      </c>
      <c r="C3288" s="2">
        <v>46248.583333333336</v>
      </c>
      <c r="D3288" t="s">
        <v>418</v>
      </c>
      <c r="E3288" t="s">
        <v>18</v>
      </c>
      <c r="F3288" t="s">
        <v>244</v>
      </c>
      <c r="G3288" t="s">
        <v>95</v>
      </c>
      <c r="H3288">
        <v>2</v>
      </c>
      <c r="I3288" t="s">
        <v>10113</v>
      </c>
      <c r="J3288" t="s">
        <v>357</v>
      </c>
    </row>
    <row r="3289" spans="1:10" x14ac:dyDescent="0.25">
      <c r="A3289" t="s">
        <v>10114</v>
      </c>
      <c r="B3289" t="s">
        <v>10115</v>
      </c>
      <c r="C3289" s="2">
        <v>46248.583333333336</v>
      </c>
      <c r="D3289" t="s">
        <v>418</v>
      </c>
      <c r="E3289" t="s">
        <v>20</v>
      </c>
      <c r="F3289" t="s">
        <v>287</v>
      </c>
      <c r="G3289" t="s">
        <v>97</v>
      </c>
      <c r="H3289">
        <v>2</v>
      </c>
      <c r="I3289" t="s">
        <v>10116</v>
      </c>
      <c r="J3289" t="s">
        <v>357</v>
      </c>
    </row>
    <row r="3290" spans="1:10" x14ac:dyDescent="0.25">
      <c r="A3290" t="s">
        <v>10117</v>
      </c>
      <c r="B3290" t="s">
        <v>10118</v>
      </c>
      <c r="C3290" s="2">
        <v>46248.583333333336</v>
      </c>
      <c r="D3290" t="s">
        <v>418</v>
      </c>
      <c r="E3290" t="s">
        <v>24</v>
      </c>
      <c r="F3290" t="s">
        <v>218</v>
      </c>
      <c r="G3290" t="s">
        <v>101</v>
      </c>
      <c r="H3290">
        <v>4</v>
      </c>
      <c r="I3290" t="s">
        <v>10119</v>
      </c>
      <c r="J3290" t="s">
        <v>357</v>
      </c>
    </row>
    <row r="3291" spans="1:10" x14ac:dyDescent="0.25">
      <c r="A3291" t="s">
        <v>10120</v>
      </c>
      <c r="B3291" t="s">
        <v>10121</v>
      </c>
      <c r="C3291" s="2">
        <v>46248.583333333336</v>
      </c>
      <c r="D3291" t="s">
        <v>418</v>
      </c>
      <c r="E3291" t="s">
        <v>26</v>
      </c>
      <c r="F3291" t="s">
        <v>290</v>
      </c>
      <c r="G3291" t="s">
        <v>103</v>
      </c>
      <c r="H3291">
        <v>4</v>
      </c>
      <c r="I3291" t="s">
        <v>10122</v>
      </c>
      <c r="J3291" t="s">
        <v>357</v>
      </c>
    </row>
    <row r="3292" spans="1:10" x14ac:dyDescent="0.25">
      <c r="A3292" t="s">
        <v>10123</v>
      </c>
      <c r="B3292" t="s">
        <v>10124</v>
      </c>
      <c r="C3292" s="2">
        <v>46248.583333333336</v>
      </c>
      <c r="D3292" t="s">
        <v>418</v>
      </c>
      <c r="E3292" t="s">
        <v>32</v>
      </c>
      <c r="F3292" t="s">
        <v>108</v>
      </c>
      <c r="G3292" t="s">
        <v>109</v>
      </c>
      <c r="H3292">
        <v>2</v>
      </c>
      <c r="I3292" t="s">
        <v>10125</v>
      </c>
      <c r="J3292" t="s">
        <v>357</v>
      </c>
    </row>
    <row r="3293" spans="1:10" x14ac:dyDescent="0.25">
      <c r="A3293" t="s">
        <v>10126</v>
      </c>
      <c r="B3293" t="s">
        <v>10127</v>
      </c>
      <c r="C3293" s="2">
        <v>46248.583333333336</v>
      </c>
      <c r="D3293" t="s">
        <v>418</v>
      </c>
      <c r="E3293" t="s">
        <v>43</v>
      </c>
      <c r="F3293" t="s">
        <v>266</v>
      </c>
      <c r="G3293" t="s">
        <v>117</v>
      </c>
      <c r="H3293">
        <v>1</v>
      </c>
      <c r="I3293" t="s">
        <v>10128</v>
      </c>
      <c r="J3293" t="s">
        <v>357</v>
      </c>
    </row>
    <row r="3294" spans="1:10" x14ac:dyDescent="0.25">
      <c r="A3294" t="s">
        <v>10129</v>
      </c>
      <c r="B3294" t="s">
        <v>10130</v>
      </c>
      <c r="C3294" s="2">
        <v>46248.583333333336</v>
      </c>
      <c r="D3294" t="s">
        <v>418</v>
      </c>
      <c r="E3294" t="s">
        <v>47</v>
      </c>
      <c r="F3294" t="s">
        <v>268</v>
      </c>
      <c r="G3294" t="s">
        <v>121</v>
      </c>
      <c r="H3294">
        <v>4</v>
      </c>
      <c r="I3294" t="s">
        <v>10131</v>
      </c>
      <c r="J3294" t="s">
        <v>357</v>
      </c>
    </row>
    <row r="3295" spans="1:10" x14ac:dyDescent="0.25">
      <c r="A3295" t="s">
        <v>10132</v>
      </c>
      <c r="B3295" t="s">
        <v>10133</v>
      </c>
      <c r="C3295" s="2">
        <v>46248.583333333336</v>
      </c>
      <c r="D3295" t="s">
        <v>418</v>
      </c>
      <c r="E3295" t="s">
        <v>55</v>
      </c>
      <c r="F3295" t="s">
        <v>298</v>
      </c>
      <c r="G3295" t="s">
        <v>129</v>
      </c>
      <c r="H3295">
        <v>6</v>
      </c>
      <c r="I3295" t="s">
        <v>10134</v>
      </c>
      <c r="J3295" t="s">
        <v>357</v>
      </c>
    </row>
    <row r="3296" spans="1:10" x14ac:dyDescent="0.25">
      <c r="A3296" t="s">
        <v>10135</v>
      </c>
      <c r="B3296" t="s">
        <v>10136</v>
      </c>
      <c r="C3296" s="2">
        <v>46248.583333333336</v>
      </c>
      <c r="D3296" t="s">
        <v>418</v>
      </c>
      <c r="E3296" t="s">
        <v>65</v>
      </c>
      <c r="F3296" t="s">
        <v>241</v>
      </c>
      <c r="G3296" t="s">
        <v>135</v>
      </c>
      <c r="H3296">
        <v>4</v>
      </c>
      <c r="I3296" t="s">
        <v>10137</v>
      </c>
      <c r="J3296" t="s">
        <v>357</v>
      </c>
    </row>
    <row r="3297" spans="1:10" x14ac:dyDescent="0.25">
      <c r="A3297" t="s">
        <v>10138</v>
      </c>
      <c r="B3297" t="s">
        <v>10139</v>
      </c>
      <c r="C3297" s="2">
        <v>46248.583333333336</v>
      </c>
      <c r="D3297" t="s">
        <v>418</v>
      </c>
      <c r="E3297" t="s">
        <v>67</v>
      </c>
      <c r="F3297" t="s">
        <v>242</v>
      </c>
      <c r="G3297" t="s">
        <v>137</v>
      </c>
      <c r="H3297">
        <v>5</v>
      </c>
      <c r="I3297" t="s">
        <v>10140</v>
      </c>
      <c r="J3297" t="s">
        <v>357</v>
      </c>
    </row>
    <row r="3298" spans="1:10" x14ac:dyDescent="0.25">
      <c r="A3298" t="s">
        <v>10141</v>
      </c>
      <c r="B3298" t="s">
        <v>10142</v>
      </c>
      <c r="C3298" s="2">
        <v>46248.583333333336</v>
      </c>
      <c r="D3298" t="s">
        <v>418</v>
      </c>
      <c r="E3298" t="s">
        <v>73</v>
      </c>
      <c r="F3298" t="s">
        <v>258</v>
      </c>
      <c r="G3298" t="s">
        <v>143</v>
      </c>
      <c r="H3298">
        <v>4</v>
      </c>
      <c r="I3298" t="s">
        <v>10143</v>
      </c>
      <c r="J3298" t="s">
        <v>357</v>
      </c>
    </row>
    <row r="3299" spans="1:10" x14ac:dyDescent="0.25">
      <c r="A3299" t="s">
        <v>10144</v>
      </c>
      <c r="B3299" t="s">
        <v>10145</v>
      </c>
      <c r="C3299" s="2">
        <v>46248.583333333336</v>
      </c>
      <c r="D3299" t="s">
        <v>418</v>
      </c>
      <c r="E3299" t="s">
        <v>11</v>
      </c>
      <c r="F3299" t="s">
        <v>285</v>
      </c>
      <c r="G3299" t="s">
        <v>92</v>
      </c>
      <c r="H3299">
        <v>1</v>
      </c>
      <c r="I3299" t="s">
        <v>10146</v>
      </c>
      <c r="J3299" t="s">
        <v>357</v>
      </c>
    </row>
    <row r="3300" spans="1:10" x14ac:dyDescent="0.25">
      <c r="A3300" t="s">
        <v>10147</v>
      </c>
      <c r="B3300" t="s">
        <v>10148</v>
      </c>
      <c r="C3300" s="2">
        <v>46248.583333333336</v>
      </c>
      <c r="D3300" t="s">
        <v>418</v>
      </c>
      <c r="E3300" t="s">
        <v>22</v>
      </c>
      <c r="F3300" t="s">
        <v>288</v>
      </c>
      <c r="G3300" t="s">
        <v>99</v>
      </c>
      <c r="H3300">
        <v>7</v>
      </c>
      <c r="I3300" t="s">
        <v>10149</v>
      </c>
      <c r="J3300" t="s">
        <v>357</v>
      </c>
    </row>
    <row r="3301" spans="1:10" x14ac:dyDescent="0.25">
      <c r="A3301" t="s">
        <v>10150</v>
      </c>
      <c r="B3301" t="s">
        <v>10151</v>
      </c>
      <c r="C3301" s="2">
        <v>46248.583333333336</v>
      </c>
      <c r="D3301" t="s">
        <v>418</v>
      </c>
      <c r="E3301" t="s">
        <v>24</v>
      </c>
      <c r="F3301" t="s">
        <v>218</v>
      </c>
      <c r="G3301" t="s">
        <v>101</v>
      </c>
      <c r="H3301">
        <v>3</v>
      </c>
      <c r="I3301" t="s">
        <v>10152</v>
      </c>
      <c r="J3301" t="s">
        <v>357</v>
      </c>
    </row>
    <row r="3302" spans="1:10" x14ac:dyDescent="0.25">
      <c r="A3302" t="s">
        <v>10153</v>
      </c>
      <c r="B3302" t="s">
        <v>10154</v>
      </c>
      <c r="C3302" s="2">
        <v>46248.583333333336</v>
      </c>
      <c r="D3302" t="s">
        <v>418</v>
      </c>
      <c r="E3302" t="s">
        <v>36</v>
      </c>
      <c r="F3302" t="s">
        <v>187</v>
      </c>
      <c r="G3302" t="s">
        <v>113</v>
      </c>
      <c r="H3302">
        <v>6</v>
      </c>
      <c r="I3302" t="s">
        <v>10155</v>
      </c>
      <c r="J3302" t="s">
        <v>357</v>
      </c>
    </row>
    <row r="3303" spans="1:10" x14ac:dyDescent="0.25">
      <c r="A3303" t="s">
        <v>10156</v>
      </c>
      <c r="B3303" t="s">
        <v>10157</v>
      </c>
      <c r="C3303" s="2">
        <v>46248.583333333336</v>
      </c>
      <c r="D3303" t="s">
        <v>418</v>
      </c>
      <c r="E3303" t="s">
        <v>41</v>
      </c>
      <c r="F3303" t="s">
        <v>293</v>
      </c>
      <c r="G3303" t="s">
        <v>115</v>
      </c>
      <c r="H3303">
        <v>7</v>
      </c>
      <c r="I3303" t="s">
        <v>10158</v>
      </c>
      <c r="J3303" t="s">
        <v>357</v>
      </c>
    </row>
    <row r="3304" spans="1:10" x14ac:dyDescent="0.25">
      <c r="A3304" t="s">
        <v>10159</v>
      </c>
      <c r="B3304" t="s">
        <v>10160</v>
      </c>
      <c r="C3304" s="2">
        <v>46248.583333333336</v>
      </c>
      <c r="D3304" t="s">
        <v>418</v>
      </c>
      <c r="E3304" t="s">
        <v>43</v>
      </c>
      <c r="F3304" t="s">
        <v>266</v>
      </c>
      <c r="G3304" t="s">
        <v>117</v>
      </c>
      <c r="H3304">
        <v>3</v>
      </c>
      <c r="I3304" t="s">
        <v>10161</v>
      </c>
      <c r="J3304" t="s">
        <v>357</v>
      </c>
    </row>
    <row r="3305" spans="1:10" x14ac:dyDescent="0.25">
      <c r="A3305" t="s">
        <v>10162</v>
      </c>
      <c r="B3305" t="s">
        <v>10163</v>
      </c>
      <c r="C3305" s="2">
        <v>46248.583333333336</v>
      </c>
      <c r="D3305" t="s">
        <v>418</v>
      </c>
      <c r="E3305" t="s">
        <v>71</v>
      </c>
      <c r="F3305" t="s">
        <v>212</v>
      </c>
      <c r="G3305" t="s">
        <v>141</v>
      </c>
      <c r="H3305">
        <v>3</v>
      </c>
      <c r="I3305" t="s">
        <v>10164</v>
      </c>
      <c r="J3305" t="s">
        <v>357</v>
      </c>
    </row>
    <row r="3306" spans="1:10" x14ac:dyDescent="0.25">
      <c r="A3306" t="s">
        <v>10165</v>
      </c>
      <c r="B3306" t="s">
        <v>10166</v>
      </c>
      <c r="C3306" s="2">
        <v>46248.583333333336</v>
      </c>
      <c r="D3306" t="s">
        <v>418</v>
      </c>
      <c r="E3306" t="s">
        <v>71</v>
      </c>
      <c r="F3306" t="s">
        <v>257</v>
      </c>
      <c r="G3306" t="s">
        <v>141</v>
      </c>
      <c r="H3306">
        <v>3</v>
      </c>
      <c r="I3306" t="s">
        <v>10164</v>
      </c>
      <c r="J3306" t="s">
        <v>357</v>
      </c>
    </row>
    <row r="3307" spans="1:10" x14ac:dyDescent="0.25">
      <c r="A3307" t="s">
        <v>10167</v>
      </c>
      <c r="B3307" t="s">
        <v>10168</v>
      </c>
      <c r="C3307" s="2">
        <v>46248.583333333336</v>
      </c>
      <c r="D3307" t="s">
        <v>418</v>
      </c>
      <c r="E3307" t="s">
        <v>11</v>
      </c>
      <c r="F3307" t="s">
        <v>285</v>
      </c>
      <c r="G3307" t="s">
        <v>92</v>
      </c>
      <c r="H3307">
        <v>1</v>
      </c>
      <c r="I3307" t="s">
        <v>10169</v>
      </c>
      <c r="J3307" t="s">
        <v>357</v>
      </c>
    </row>
    <row r="3308" spans="1:10" x14ac:dyDescent="0.25">
      <c r="A3308" t="s">
        <v>10170</v>
      </c>
      <c r="B3308" t="s">
        <v>10171</v>
      </c>
      <c r="C3308" s="2">
        <v>46248.583333333336</v>
      </c>
      <c r="D3308" t="s">
        <v>418</v>
      </c>
      <c r="E3308" t="s">
        <v>22</v>
      </c>
      <c r="F3308" t="s">
        <v>288</v>
      </c>
      <c r="G3308" t="s">
        <v>99</v>
      </c>
      <c r="H3308">
        <v>2</v>
      </c>
      <c r="I3308" t="s">
        <v>10172</v>
      </c>
      <c r="J3308" t="s">
        <v>357</v>
      </c>
    </row>
    <row r="3309" spans="1:10" x14ac:dyDescent="0.25">
      <c r="A3309" t="s">
        <v>10173</v>
      </c>
      <c r="B3309" t="s">
        <v>10174</v>
      </c>
      <c r="C3309" s="2">
        <v>46248.583333333336</v>
      </c>
      <c r="D3309" t="s">
        <v>418</v>
      </c>
      <c r="E3309" t="s">
        <v>24</v>
      </c>
      <c r="F3309" t="s">
        <v>218</v>
      </c>
      <c r="G3309" t="s">
        <v>101</v>
      </c>
      <c r="H3309">
        <v>2</v>
      </c>
      <c r="I3309" t="s">
        <v>10175</v>
      </c>
      <c r="J3309" t="s">
        <v>357</v>
      </c>
    </row>
    <row r="3310" spans="1:10" x14ac:dyDescent="0.25">
      <c r="A3310" t="s">
        <v>10176</v>
      </c>
      <c r="B3310" t="s">
        <v>10177</v>
      </c>
      <c r="C3310" s="2">
        <v>46248.583333333336</v>
      </c>
      <c r="D3310" t="s">
        <v>418</v>
      </c>
      <c r="E3310" t="s">
        <v>47</v>
      </c>
      <c r="F3310" t="s">
        <v>268</v>
      </c>
      <c r="G3310" t="s">
        <v>121</v>
      </c>
      <c r="H3310">
        <v>1</v>
      </c>
      <c r="I3310" t="s">
        <v>10178</v>
      </c>
      <c r="J3310" t="s">
        <v>357</v>
      </c>
    </row>
    <row r="3311" spans="1:10" x14ac:dyDescent="0.25">
      <c r="A3311" t="s">
        <v>10179</v>
      </c>
      <c r="B3311" t="s">
        <v>10180</v>
      </c>
      <c r="C3311" s="2">
        <v>46248.583333333336</v>
      </c>
      <c r="D3311" t="s">
        <v>418</v>
      </c>
      <c r="E3311" t="s">
        <v>51</v>
      </c>
      <c r="F3311" t="s">
        <v>254</v>
      </c>
      <c r="G3311" t="s">
        <v>125</v>
      </c>
      <c r="H3311">
        <v>4</v>
      </c>
      <c r="I3311" t="s">
        <v>10181</v>
      </c>
      <c r="J3311" t="s">
        <v>357</v>
      </c>
    </row>
    <row r="3312" spans="1:10" x14ac:dyDescent="0.25">
      <c r="A3312" t="s">
        <v>10182</v>
      </c>
      <c r="B3312" t="s">
        <v>10183</v>
      </c>
      <c r="C3312" s="2">
        <v>46248.583333333336</v>
      </c>
      <c r="D3312" t="s">
        <v>418</v>
      </c>
      <c r="E3312" t="s">
        <v>55</v>
      </c>
      <c r="F3312" t="s">
        <v>298</v>
      </c>
      <c r="G3312" t="s">
        <v>129</v>
      </c>
      <c r="H3312">
        <v>4</v>
      </c>
      <c r="I3312" t="s">
        <v>10184</v>
      </c>
      <c r="J3312" t="s">
        <v>357</v>
      </c>
    </row>
    <row r="3313" spans="1:10" x14ac:dyDescent="0.25">
      <c r="A3313" t="s">
        <v>10185</v>
      </c>
      <c r="B3313" t="s">
        <v>10186</v>
      </c>
      <c r="C3313" s="2">
        <v>46248.583333333336</v>
      </c>
      <c r="D3313" t="s">
        <v>418</v>
      </c>
      <c r="E3313" t="s">
        <v>65</v>
      </c>
      <c r="F3313" t="s">
        <v>241</v>
      </c>
      <c r="G3313" t="s">
        <v>135</v>
      </c>
      <c r="H3313">
        <v>4</v>
      </c>
      <c r="I3313" t="s">
        <v>10187</v>
      </c>
      <c r="J3313" t="s">
        <v>357</v>
      </c>
    </row>
    <row r="3314" spans="1:10" x14ac:dyDescent="0.25">
      <c r="A3314" t="s">
        <v>10188</v>
      </c>
      <c r="B3314" t="s">
        <v>10189</v>
      </c>
      <c r="C3314" s="2">
        <v>46248.583333333336</v>
      </c>
      <c r="D3314" t="s">
        <v>418</v>
      </c>
      <c r="E3314" t="s">
        <v>67</v>
      </c>
      <c r="F3314" t="s">
        <v>242</v>
      </c>
      <c r="G3314" t="s">
        <v>137</v>
      </c>
      <c r="H3314">
        <v>1</v>
      </c>
      <c r="I3314" t="s">
        <v>10190</v>
      </c>
      <c r="J3314" t="s">
        <v>357</v>
      </c>
    </row>
    <row r="3315" spans="1:10" x14ac:dyDescent="0.25">
      <c r="A3315" t="s">
        <v>10191</v>
      </c>
      <c r="B3315" t="s">
        <v>10192</v>
      </c>
      <c r="C3315" s="2">
        <v>46248.583333333336</v>
      </c>
      <c r="D3315" t="s">
        <v>418</v>
      </c>
      <c r="E3315" t="s">
        <v>67</v>
      </c>
      <c r="F3315" t="s">
        <v>271</v>
      </c>
      <c r="G3315" t="s">
        <v>137</v>
      </c>
      <c r="H3315">
        <v>3</v>
      </c>
      <c r="I3315" t="s">
        <v>10190</v>
      </c>
      <c r="J3315" t="s">
        <v>357</v>
      </c>
    </row>
    <row r="3316" spans="1:10" x14ac:dyDescent="0.25">
      <c r="A3316" t="s">
        <v>10193</v>
      </c>
      <c r="B3316" t="s">
        <v>10194</v>
      </c>
      <c r="C3316" s="2">
        <v>46248.583333333336</v>
      </c>
      <c r="D3316" t="s">
        <v>418</v>
      </c>
      <c r="E3316" t="s">
        <v>71</v>
      </c>
      <c r="F3316" t="s">
        <v>257</v>
      </c>
      <c r="G3316" t="s">
        <v>141</v>
      </c>
      <c r="H3316">
        <v>1</v>
      </c>
      <c r="I3316" t="s">
        <v>10195</v>
      </c>
      <c r="J3316" t="s">
        <v>357</v>
      </c>
    </row>
    <row r="3317" spans="1:10" x14ac:dyDescent="0.25">
      <c r="A3317" t="s">
        <v>10196</v>
      </c>
      <c r="B3317" t="s">
        <v>10197</v>
      </c>
      <c r="C3317" s="2">
        <v>46249.583333333336</v>
      </c>
      <c r="D3317" t="s">
        <v>418</v>
      </c>
      <c r="E3317" t="s">
        <v>20</v>
      </c>
      <c r="F3317" t="s">
        <v>287</v>
      </c>
      <c r="G3317" t="s">
        <v>97</v>
      </c>
      <c r="H3317">
        <v>5</v>
      </c>
      <c r="I3317" t="s">
        <v>10198</v>
      </c>
      <c r="J3317" t="s">
        <v>357</v>
      </c>
    </row>
    <row r="3318" spans="1:10" x14ac:dyDescent="0.25">
      <c r="A3318" t="s">
        <v>10199</v>
      </c>
      <c r="B3318" t="s">
        <v>10200</v>
      </c>
      <c r="C3318" s="2">
        <v>46249.583333333336</v>
      </c>
      <c r="D3318" t="s">
        <v>418</v>
      </c>
      <c r="E3318" t="s">
        <v>22</v>
      </c>
      <c r="F3318" t="s">
        <v>288</v>
      </c>
      <c r="G3318" t="s">
        <v>99</v>
      </c>
      <c r="H3318">
        <v>5</v>
      </c>
      <c r="I3318" t="s">
        <v>10201</v>
      </c>
      <c r="J3318" t="s">
        <v>357</v>
      </c>
    </row>
    <row r="3319" spans="1:10" x14ac:dyDescent="0.25">
      <c r="A3319" t="s">
        <v>10202</v>
      </c>
      <c r="B3319" t="s">
        <v>10203</v>
      </c>
      <c r="C3319" s="2">
        <v>46249.583333333336</v>
      </c>
      <c r="D3319" t="s">
        <v>418</v>
      </c>
      <c r="E3319" t="s">
        <v>24</v>
      </c>
      <c r="F3319" t="s">
        <v>218</v>
      </c>
      <c r="G3319" t="s">
        <v>101</v>
      </c>
      <c r="H3319">
        <v>4</v>
      </c>
      <c r="I3319" t="s">
        <v>10204</v>
      </c>
      <c r="J3319" t="s">
        <v>357</v>
      </c>
    </row>
    <row r="3320" spans="1:10" x14ac:dyDescent="0.25">
      <c r="A3320" t="s">
        <v>10205</v>
      </c>
      <c r="B3320" t="s">
        <v>10206</v>
      </c>
      <c r="C3320" s="2">
        <v>46249.583333333336</v>
      </c>
      <c r="D3320" t="s">
        <v>418</v>
      </c>
      <c r="E3320" t="s">
        <v>28</v>
      </c>
      <c r="F3320" t="s">
        <v>249</v>
      </c>
      <c r="G3320" t="s">
        <v>105</v>
      </c>
      <c r="H3320">
        <v>1</v>
      </c>
      <c r="I3320" t="s">
        <v>10207</v>
      </c>
      <c r="J3320" t="s">
        <v>357</v>
      </c>
    </row>
    <row r="3321" spans="1:10" x14ac:dyDescent="0.25">
      <c r="A3321" t="s">
        <v>10208</v>
      </c>
      <c r="B3321" t="s">
        <v>10209</v>
      </c>
      <c r="C3321" s="2">
        <v>46249.583333333336</v>
      </c>
      <c r="D3321" t="s">
        <v>418</v>
      </c>
      <c r="E3321" t="s">
        <v>32</v>
      </c>
      <c r="F3321" t="s">
        <v>108</v>
      </c>
      <c r="G3321" t="s">
        <v>109</v>
      </c>
      <c r="H3321">
        <v>3</v>
      </c>
      <c r="I3321" t="s">
        <v>10210</v>
      </c>
      <c r="J3321" t="s">
        <v>357</v>
      </c>
    </row>
    <row r="3322" spans="1:10" x14ac:dyDescent="0.25">
      <c r="A3322" t="s">
        <v>10211</v>
      </c>
      <c r="B3322" t="s">
        <v>10212</v>
      </c>
      <c r="C3322" s="2">
        <v>46249.583333333336</v>
      </c>
      <c r="D3322" t="s">
        <v>418</v>
      </c>
      <c r="E3322" t="s">
        <v>41</v>
      </c>
      <c r="F3322" t="s">
        <v>293</v>
      </c>
      <c r="G3322" t="s">
        <v>115</v>
      </c>
      <c r="H3322">
        <v>1</v>
      </c>
      <c r="I3322" t="s">
        <v>10213</v>
      </c>
      <c r="J3322" t="s">
        <v>357</v>
      </c>
    </row>
    <row r="3323" spans="1:10" x14ac:dyDescent="0.25">
      <c r="A3323" t="s">
        <v>10214</v>
      </c>
      <c r="B3323" t="s">
        <v>10215</v>
      </c>
      <c r="C3323" s="2">
        <v>46249.583333333336</v>
      </c>
      <c r="D3323" t="s">
        <v>418</v>
      </c>
      <c r="E3323" t="s">
        <v>11</v>
      </c>
      <c r="F3323" t="s">
        <v>285</v>
      </c>
      <c r="G3323" t="s">
        <v>92</v>
      </c>
      <c r="H3323">
        <v>4</v>
      </c>
      <c r="I3323" t="s">
        <v>10216</v>
      </c>
      <c r="J3323" t="s">
        <v>357</v>
      </c>
    </row>
    <row r="3324" spans="1:10" x14ac:dyDescent="0.25">
      <c r="A3324" t="s">
        <v>10217</v>
      </c>
      <c r="B3324" t="s">
        <v>10218</v>
      </c>
      <c r="C3324" s="2">
        <v>46249.583333333336</v>
      </c>
      <c r="D3324" t="s">
        <v>418</v>
      </c>
      <c r="E3324" t="s">
        <v>18</v>
      </c>
      <c r="F3324" t="s">
        <v>244</v>
      </c>
      <c r="G3324" t="s">
        <v>95</v>
      </c>
      <c r="H3324">
        <v>3</v>
      </c>
      <c r="I3324" t="s">
        <v>10219</v>
      </c>
      <c r="J3324" t="s">
        <v>357</v>
      </c>
    </row>
    <row r="3325" spans="1:10" x14ac:dyDescent="0.25">
      <c r="A3325" t="s">
        <v>10220</v>
      </c>
      <c r="B3325" t="s">
        <v>10221</v>
      </c>
      <c r="C3325" s="2">
        <v>46249.583333333336</v>
      </c>
      <c r="D3325" t="s">
        <v>418</v>
      </c>
      <c r="E3325" t="s">
        <v>22</v>
      </c>
      <c r="F3325" t="s">
        <v>288</v>
      </c>
      <c r="G3325" t="s">
        <v>99</v>
      </c>
      <c r="H3325">
        <v>5</v>
      </c>
      <c r="I3325" t="s">
        <v>10222</v>
      </c>
      <c r="J3325" t="s">
        <v>357</v>
      </c>
    </row>
    <row r="3326" spans="1:10" x14ac:dyDescent="0.25">
      <c r="A3326" t="s">
        <v>10223</v>
      </c>
      <c r="B3326" t="s">
        <v>10224</v>
      </c>
      <c r="C3326" s="2">
        <v>46249.583333333336</v>
      </c>
      <c r="D3326" t="s">
        <v>418</v>
      </c>
      <c r="E3326" t="s">
        <v>24</v>
      </c>
      <c r="F3326" t="s">
        <v>218</v>
      </c>
      <c r="G3326" t="s">
        <v>101</v>
      </c>
      <c r="H3326">
        <v>3</v>
      </c>
      <c r="I3326" t="s">
        <v>10225</v>
      </c>
      <c r="J3326" t="s">
        <v>357</v>
      </c>
    </row>
    <row r="3327" spans="1:10" x14ac:dyDescent="0.25">
      <c r="A3327" t="s">
        <v>10226</v>
      </c>
      <c r="B3327" t="s">
        <v>10227</v>
      </c>
      <c r="C3327" s="2">
        <v>46249.583333333336</v>
      </c>
      <c r="D3327" t="s">
        <v>418</v>
      </c>
      <c r="E3327" t="s">
        <v>26</v>
      </c>
      <c r="F3327" t="s">
        <v>290</v>
      </c>
      <c r="G3327" t="s">
        <v>103</v>
      </c>
      <c r="H3327">
        <v>6</v>
      </c>
      <c r="I3327" t="s">
        <v>10228</v>
      </c>
      <c r="J3327" t="s">
        <v>357</v>
      </c>
    </row>
    <row r="3328" spans="1:10" x14ac:dyDescent="0.25">
      <c r="A3328" t="s">
        <v>10229</v>
      </c>
      <c r="B3328" t="s">
        <v>10230</v>
      </c>
      <c r="C3328" s="2">
        <v>46249.583333333336</v>
      </c>
      <c r="D3328" t="s">
        <v>418</v>
      </c>
      <c r="E3328" t="s">
        <v>36</v>
      </c>
      <c r="F3328" t="s">
        <v>187</v>
      </c>
      <c r="G3328" t="s">
        <v>113</v>
      </c>
      <c r="H3328">
        <v>6</v>
      </c>
      <c r="I3328" t="s">
        <v>10231</v>
      </c>
      <c r="J3328" t="s">
        <v>357</v>
      </c>
    </row>
    <row r="3329" spans="1:10" x14ac:dyDescent="0.25">
      <c r="A3329" t="s">
        <v>10232</v>
      </c>
      <c r="B3329" t="s">
        <v>10233</v>
      </c>
      <c r="C3329" s="2">
        <v>46249.583333333336</v>
      </c>
      <c r="D3329" t="s">
        <v>418</v>
      </c>
      <c r="E3329" t="s">
        <v>65</v>
      </c>
      <c r="F3329" t="s">
        <v>241</v>
      </c>
      <c r="G3329" t="s">
        <v>135</v>
      </c>
      <c r="H3329">
        <v>1</v>
      </c>
      <c r="I3329" t="s">
        <v>10234</v>
      </c>
      <c r="J3329" t="s">
        <v>357</v>
      </c>
    </row>
    <row r="3330" spans="1:10" x14ac:dyDescent="0.25">
      <c r="A3330" t="s">
        <v>10235</v>
      </c>
      <c r="B3330" t="s">
        <v>10236</v>
      </c>
      <c r="C3330" s="2">
        <v>46249.583333333336</v>
      </c>
      <c r="D3330" t="s">
        <v>418</v>
      </c>
      <c r="E3330" t="s">
        <v>71</v>
      </c>
      <c r="F3330" t="s">
        <v>257</v>
      </c>
      <c r="G3330" t="s">
        <v>141</v>
      </c>
      <c r="H3330">
        <v>3</v>
      </c>
      <c r="I3330" t="s">
        <v>10237</v>
      </c>
      <c r="J3330" t="s">
        <v>357</v>
      </c>
    </row>
    <row r="3331" spans="1:10" x14ac:dyDescent="0.25">
      <c r="A3331" t="s">
        <v>10238</v>
      </c>
      <c r="B3331" t="s">
        <v>10239</v>
      </c>
      <c r="C3331" s="2">
        <v>46249.583333333336</v>
      </c>
      <c r="D3331" t="s">
        <v>418</v>
      </c>
      <c r="E3331" t="s">
        <v>11</v>
      </c>
      <c r="F3331" t="s">
        <v>285</v>
      </c>
      <c r="G3331" t="s">
        <v>92</v>
      </c>
      <c r="H3331">
        <v>6</v>
      </c>
      <c r="I3331" t="s">
        <v>10240</v>
      </c>
      <c r="J3331" t="s">
        <v>357</v>
      </c>
    </row>
    <row r="3332" spans="1:10" x14ac:dyDescent="0.25">
      <c r="A3332" t="s">
        <v>10241</v>
      </c>
      <c r="B3332" t="s">
        <v>10242</v>
      </c>
      <c r="C3332" s="2">
        <v>46249.583333333336</v>
      </c>
      <c r="D3332" t="s">
        <v>418</v>
      </c>
      <c r="E3332" t="s">
        <v>28</v>
      </c>
      <c r="F3332" t="s">
        <v>249</v>
      </c>
      <c r="G3332" t="s">
        <v>105</v>
      </c>
      <c r="H3332">
        <v>2</v>
      </c>
      <c r="I3332" t="s">
        <v>10243</v>
      </c>
      <c r="J3332" t="s">
        <v>357</v>
      </c>
    </row>
    <row r="3333" spans="1:10" x14ac:dyDescent="0.25">
      <c r="A3333" t="s">
        <v>10244</v>
      </c>
      <c r="B3333" t="s">
        <v>10245</v>
      </c>
      <c r="C3333" s="2">
        <v>46249.583333333336</v>
      </c>
      <c r="D3333" t="s">
        <v>418</v>
      </c>
      <c r="E3333" t="s">
        <v>32</v>
      </c>
      <c r="F3333" t="s">
        <v>108</v>
      </c>
      <c r="G3333" t="s">
        <v>109</v>
      </c>
      <c r="H3333">
        <v>8</v>
      </c>
      <c r="I3333" t="s">
        <v>10246</v>
      </c>
      <c r="J3333" t="s">
        <v>357</v>
      </c>
    </row>
    <row r="3334" spans="1:10" x14ac:dyDescent="0.25">
      <c r="A3334" t="s">
        <v>10247</v>
      </c>
      <c r="B3334" t="s">
        <v>10248</v>
      </c>
      <c r="C3334" s="2">
        <v>46249.583333333336</v>
      </c>
      <c r="D3334" t="s">
        <v>418</v>
      </c>
      <c r="E3334" t="s">
        <v>36</v>
      </c>
      <c r="F3334" t="s">
        <v>187</v>
      </c>
      <c r="G3334" t="s">
        <v>113</v>
      </c>
      <c r="H3334">
        <v>8</v>
      </c>
      <c r="I3334" t="s">
        <v>10249</v>
      </c>
      <c r="J3334" t="s">
        <v>357</v>
      </c>
    </row>
    <row r="3335" spans="1:10" x14ac:dyDescent="0.25">
      <c r="A3335" t="s">
        <v>10250</v>
      </c>
      <c r="B3335" t="s">
        <v>10251</v>
      </c>
      <c r="C3335" s="2">
        <v>46249.583333333336</v>
      </c>
      <c r="D3335" t="s">
        <v>418</v>
      </c>
      <c r="E3335" t="s">
        <v>43</v>
      </c>
      <c r="F3335" t="s">
        <v>266</v>
      </c>
      <c r="G3335" t="s">
        <v>117</v>
      </c>
      <c r="H3335">
        <v>3</v>
      </c>
      <c r="I3335" t="s">
        <v>10252</v>
      </c>
      <c r="J3335" t="s">
        <v>357</v>
      </c>
    </row>
    <row r="3336" spans="1:10" x14ac:dyDescent="0.25">
      <c r="A3336" t="s">
        <v>10253</v>
      </c>
      <c r="B3336" t="s">
        <v>10254</v>
      </c>
      <c r="C3336" s="2">
        <v>46249.583333333336</v>
      </c>
      <c r="D3336" t="s">
        <v>418</v>
      </c>
      <c r="E3336" t="s">
        <v>43</v>
      </c>
      <c r="F3336" t="s">
        <v>237</v>
      </c>
      <c r="G3336" t="s">
        <v>117</v>
      </c>
      <c r="H3336">
        <v>2</v>
      </c>
      <c r="I3336" t="s">
        <v>10252</v>
      </c>
      <c r="J3336" t="s">
        <v>357</v>
      </c>
    </row>
    <row r="3337" spans="1:10" x14ac:dyDescent="0.25">
      <c r="A3337" t="s">
        <v>10255</v>
      </c>
      <c r="B3337" t="s">
        <v>10256</v>
      </c>
      <c r="C3337" s="2">
        <v>46249.583333333336</v>
      </c>
      <c r="D3337" t="s">
        <v>418</v>
      </c>
      <c r="E3337" t="s">
        <v>55</v>
      </c>
      <c r="F3337" t="s">
        <v>298</v>
      </c>
      <c r="G3337" t="s">
        <v>129</v>
      </c>
      <c r="H3337">
        <v>2</v>
      </c>
      <c r="I3337" t="s">
        <v>10257</v>
      </c>
      <c r="J3337" t="s">
        <v>357</v>
      </c>
    </row>
    <row r="3338" spans="1:10" x14ac:dyDescent="0.25">
      <c r="A3338" t="s">
        <v>10258</v>
      </c>
      <c r="B3338" t="s">
        <v>10259</v>
      </c>
      <c r="C3338" s="2">
        <v>46249.583333333336</v>
      </c>
      <c r="D3338" t="s">
        <v>418</v>
      </c>
      <c r="E3338" t="s">
        <v>20</v>
      </c>
      <c r="F3338" t="s">
        <v>287</v>
      </c>
      <c r="G3338" t="s">
        <v>97</v>
      </c>
      <c r="H3338">
        <v>2</v>
      </c>
      <c r="I3338" t="s">
        <v>10260</v>
      </c>
      <c r="J3338" t="s">
        <v>357</v>
      </c>
    </row>
    <row r="3339" spans="1:10" x14ac:dyDescent="0.25">
      <c r="A3339" t="s">
        <v>10261</v>
      </c>
      <c r="B3339" t="s">
        <v>10262</v>
      </c>
      <c r="C3339" s="2">
        <v>46249.583333333336</v>
      </c>
      <c r="D3339" t="s">
        <v>418</v>
      </c>
      <c r="E3339" t="s">
        <v>22</v>
      </c>
      <c r="F3339" t="s">
        <v>288</v>
      </c>
      <c r="G3339" t="s">
        <v>99</v>
      </c>
      <c r="H3339">
        <v>3</v>
      </c>
      <c r="I3339" t="s">
        <v>10263</v>
      </c>
      <c r="J3339" t="s">
        <v>357</v>
      </c>
    </row>
    <row r="3340" spans="1:10" x14ac:dyDescent="0.25">
      <c r="A3340" t="s">
        <v>10264</v>
      </c>
      <c r="B3340" t="s">
        <v>10265</v>
      </c>
      <c r="C3340" s="2">
        <v>46249.583333333336</v>
      </c>
      <c r="D3340" t="s">
        <v>418</v>
      </c>
      <c r="E3340" t="s">
        <v>22</v>
      </c>
      <c r="F3340" t="s">
        <v>277</v>
      </c>
      <c r="G3340" t="s">
        <v>99</v>
      </c>
      <c r="H3340">
        <v>2</v>
      </c>
      <c r="I3340" t="s">
        <v>10263</v>
      </c>
      <c r="J3340" t="s">
        <v>357</v>
      </c>
    </row>
    <row r="3341" spans="1:10" x14ac:dyDescent="0.25">
      <c r="A3341" t="s">
        <v>10266</v>
      </c>
      <c r="B3341" t="s">
        <v>10267</v>
      </c>
      <c r="C3341" s="2">
        <v>46249.583333333336</v>
      </c>
      <c r="D3341" t="s">
        <v>418</v>
      </c>
      <c r="E3341" t="s">
        <v>26</v>
      </c>
      <c r="F3341" t="s">
        <v>290</v>
      </c>
      <c r="G3341" t="s">
        <v>103</v>
      </c>
      <c r="H3341">
        <v>9</v>
      </c>
      <c r="I3341" t="s">
        <v>10268</v>
      </c>
      <c r="J3341" t="s">
        <v>357</v>
      </c>
    </row>
    <row r="3342" spans="1:10" x14ac:dyDescent="0.25">
      <c r="A3342" t="s">
        <v>10269</v>
      </c>
      <c r="B3342" t="s">
        <v>10270</v>
      </c>
      <c r="C3342" s="2">
        <v>46249.583333333336</v>
      </c>
      <c r="D3342" t="s">
        <v>418</v>
      </c>
      <c r="E3342" t="s">
        <v>28</v>
      </c>
      <c r="F3342" t="s">
        <v>249</v>
      </c>
      <c r="G3342" t="s">
        <v>105</v>
      </c>
      <c r="H3342">
        <v>9</v>
      </c>
      <c r="I3342" t="s">
        <v>10271</v>
      </c>
      <c r="J3342" t="s">
        <v>357</v>
      </c>
    </row>
    <row r="3343" spans="1:10" x14ac:dyDescent="0.25">
      <c r="A3343" t="s">
        <v>10272</v>
      </c>
      <c r="B3343" t="s">
        <v>10273</v>
      </c>
      <c r="C3343" s="2">
        <v>46249.583333333336</v>
      </c>
      <c r="D3343" t="s">
        <v>418</v>
      </c>
      <c r="E3343" t="s">
        <v>41</v>
      </c>
      <c r="F3343" t="s">
        <v>293</v>
      </c>
      <c r="G3343" t="s">
        <v>115</v>
      </c>
      <c r="H3343">
        <v>5</v>
      </c>
      <c r="I3343" t="s">
        <v>10274</v>
      </c>
      <c r="J3343" t="s">
        <v>357</v>
      </c>
    </row>
    <row r="3344" spans="1:10" x14ac:dyDescent="0.25">
      <c r="A3344" t="s">
        <v>10275</v>
      </c>
      <c r="B3344" t="s">
        <v>10276</v>
      </c>
      <c r="C3344" s="2">
        <v>46249.583333333336</v>
      </c>
      <c r="D3344" t="s">
        <v>418</v>
      </c>
      <c r="E3344" t="s">
        <v>43</v>
      </c>
      <c r="F3344" t="s">
        <v>237</v>
      </c>
      <c r="G3344" t="s">
        <v>117</v>
      </c>
      <c r="H3344">
        <v>4</v>
      </c>
      <c r="I3344" t="s">
        <v>10277</v>
      </c>
      <c r="J3344" t="s">
        <v>357</v>
      </c>
    </row>
    <row r="3345" spans="1:10" x14ac:dyDescent="0.25">
      <c r="A3345" t="s">
        <v>10278</v>
      </c>
      <c r="B3345" t="s">
        <v>10279</v>
      </c>
      <c r="C3345" s="2">
        <v>46249.583333333336</v>
      </c>
      <c r="D3345" t="s">
        <v>418</v>
      </c>
      <c r="E3345" t="s">
        <v>55</v>
      </c>
      <c r="F3345" t="s">
        <v>298</v>
      </c>
      <c r="G3345" t="s">
        <v>129</v>
      </c>
      <c r="H3345">
        <v>4</v>
      </c>
      <c r="I3345" t="s">
        <v>10280</v>
      </c>
      <c r="J3345" t="s">
        <v>357</v>
      </c>
    </row>
    <row r="3346" spans="1:10" x14ac:dyDescent="0.25">
      <c r="A3346" t="s">
        <v>10281</v>
      </c>
      <c r="B3346" t="s">
        <v>10282</v>
      </c>
      <c r="C3346" s="2">
        <v>46249.583333333336</v>
      </c>
      <c r="D3346" t="s">
        <v>418</v>
      </c>
      <c r="E3346" t="s">
        <v>59</v>
      </c>
      <c r="F3346" t="s">
        <v>270</v>
      </c>
      <c r="G3346" t="s">
        <v>133</v>
      </c>
      <c r="H3346">
        <v>5</v>
      </c>
      <c r="I3346" t="s">
        <v>10283</v>
      </c>
      <c r="J3346" t="s">
        <v>357</v>
      </c>
    </row>
    <row r="3347" spans="1:10" x14ac:dyDescent="0.25">
      <c r="A3347" t="s">
        <v>10284</v>
      </c>
      <c r="B3347" t="s">
        <v>10285</v>
      </c>
      <c r="C3347" s="2">
        <v>46249.583333333336</v>
      </c>
      <c r="D3347" t="s">
        <v>418</v>
      </c>
      <c r="E3347" t="s">
        <v>67</v>
      </c>
      <c r="F3347" t="s">
        <v>271</v>
      </c>
      <c r="G3347" t="s">
        <v>137</v>
      </c>
      <c r="H3347">
        <v>7</v>
      </c>
      <c r="I3347" t="s">
        <v>10286</v>
      </c>
      <c r="J3347" t="s">
        <v>357</v>
      </c>
    </row>
    <row r="3348" spans="1:10" x14ac:dyDescent="0.25">
      <c r="A3348" t="s">
        <v>10287</v>
      </c>
      <c r="B3348" t="s">
        <v>10288</v>
      </c>
      <c r="C3348" s="2">
        <v>46249.583333333336</v>
      </c>
      <c r="D3348" t="s">
        <v>418</v>
      </c>
      <c r="E3348" t="s">
        <v>77</v>
      </c>
      <c r="F3348" t="s">
        <v>243</v>
      </c>
      <c r="G3348" t="s">
        <v>147</v>
      </c>
      <c r="H3348">
        <v>7</v>
      </c>
      <c r="I3348" t="s">
        <v>10289</v>
      </c>
      <c r="J3348" t="s">
        <v>357</v>
      </c>
    </row>
    <row r="3349" spans="1:10" x14ac:dyDescent="0.25">
      <c r="A3349" t="s">
        <v>10290</v>
      </c>
      <c r="B3349" t="s">
        <v>10291</v>
      </c>
      <c r="C3349" s="2">
        <v>46249.583333333336</v>
      </c>
      <c r="D3349" t="s">
        <v>418</v>
      </c>
      <c r="E3349" t="s">
        <v>18</v>
      </c>
      <c r="F3349" t="s">
        <v>244</v>
      </c>
      <c r="G3349" t="s">
        <v>95</v>
      </c>
      <c r="H3349">
        <v>6</v>
      </c>
      <c r="I3349" t="s">
        <v>10292</v>
      </c>
      <c r="J3349" t="s">
        <v>357</v>
      </c>
    </row>
    <row r="3350" spans="1:10" x14ac:dyDescent="0.25">
      <c r="A3350" t="s">
        <v>10293</v>
      </c>
      <c r="B3350" t="s">
        <v>10294</v>
      </c>
      <c r="C3350" s="2">
        <v>46249.583333333336</v>
      </c>
      <c r="D3350" t="s">
        <v>418</v>
      </c>
      <c r="E3350" t="s">
        <v>20</v>
      </c>
      <c r="F3350" t="s">
        <v>287</v>
      </c>
      <c r="G3350" t="s">
        <v>97</v>
      </c>
      <c r="H3350">
        <v>2</v>
      </c>
      <c r="I3350" t="s">
        <v>10295</v>
      </c>
      <c r="J3350" t="s">
        <v>357</v>
      </c>
    </row>
    <row r="3351" spans="1:10" x14ac:dyDescent="0.25">
      <c r="A3351" t="s">
        <v>10296</v>
      </c>
      <c r="B3351" t="s">
        <v>10297</v>
      </c>
      <c r="C3351" s="2">
        <v>46249.583333333336</v>
      </c>
      <c r="D3351" t="s">
        <v>418</v>
      </c>
      <c r="E3351" t="s">
        <v>22</v>
      </c>
      <c r="F3351" t="s">
        <v>277</v>
      </c>
      <c r="G3351" t="s">
        <v>99</v>
      </c>
      <c r="H3351">
        <v>1</v>
      </c>
      <c r="I3351" t="s">
        <v>10298</v>
      </c>
      <c r="J3351" t="s">
        <v>357</v>
      </c>
    </row>
    <row r="3352" spans="1:10" x14ac:dyDescent="0.25">
      <c r="A3352" t="s">
        <v>10299</v>
      </c>
      <c r="B3352" t="s">
        <v>10300</v>
      </c>
      <c r="C3352" s="2">
        <v>46249.583333333336</v>
      </c>
      <c r="D3352" t="s">
        <v>418</v>
      </c>
      <c r="E3352" t="s">
        <v>24</v>
      </c>
      <c r="F3352" t="s">
        <v>218</v>
      </c>
      <c r="G3352" t="s">
        <v>101</v>
      </c>
      <c r="H3352">
        <v>5</v>
      </c>
      <c r="I3352" t="s">
        <v>10301</v>
      </c>
      <c r="J3352" t="s">
        <v>357</v>
      </c>
    </row>
    <row r="3353" spans="1:10" x14ac:dyDescent="0.25">
      <c r="A3353" t="s">
        <v>10302</v>
      </c>
      <c r="B3353" t="s">
        <v>10303</v>
      </c>
      <c r="C3353" s="2">
        <v>46249.583333333336</v>
      </c>
      <c r="D3353" t="s">
        <v>418</v>
      </c>
      <c r="E3353" t="s">
        <v>26</v>
      </c>
      <c r="F3353" t="s">
        <v>290</v>
      </c>
      <c r="G3353" t="s">
        <v>103</v>
      </c>
      <c r="H3353">
        <v>1</v>
      </c>
      <c r="I3353" t="s">
        <v>10304</v>
      </c>
      <c r="J3353" t="s">
        <v>357</v>
      </c>
    </row>
    <row r="3354" spans="1:10" x14ac:dyDescent="0.25">
      <c r="A3354" t="s">
        <v>10305</v>
      </c>
      <c r="B3354" t="s">
        <v>10306</v>
      </c>
      <c r="C3354" s="2">
        <v>46249.583333333336</v>
      </c>
      <c r="D3354" t="s">
        <v>418</v>
      </c>
      <c r="E3354" t="s">
        <v>28</v>
      </c>
      <c r="F3354" t="s">
        <v>249</v>
      </c>
      <c r="G3354" t="s">
        <v>105</v>
      </c>
      <c r="H3354">
        <v>5</v>
      </c>
      <c r="I3354" t="s">
        <v>10307</v>
      </c>
      <c r="J3354" t="s">
        <v>357</v>
      </c>
    </row>
    <row r="3355" spans="1:10" x14ac:dyDescent="0.25">
      <c r="A3355" t="s">
        <v>10308</v>
      </c>
      <c r="B3355" t="s">
        <v>10309</v>
      </c>
      <c r="C3355" s="2">
        <v>46249.583333333336</v>
      </c>
      <c r="D3355" t="s">
        <v>418</v>
      </c>
      <c r="E3355" t="s">
        <v>47</v>
      </c>
      <c r="F3355" t="s">
        <v>268</v>
      </c>
      <c r="G3355" t="s">
        <v>121</v>
      </c>
      <c r="H3355">
        <v>4</v>
      </c>
      <c r="I3355" t="s">
        <v>10310</v>
      </c>
      <c r="J3355" t="s">
        <v>357</v>
      </c>
    </row>
    <row r="3356" spans="1:10" x14ac:dyDescent="0.25">
      <c r="A3356" t="s">
        <v>10311</v>
      </c>
      <c r="B3356" t="s">
        <v>10312</v>
      </c>
      <c r="C3356" s="2">
        <v>46249.583333333336</v>
      </c>
      <c r="D3356" t="s">
        <v>418</v>
      </c>
      <c r="E3356" t="s">
        <v>51</v>
      </c>
      <c r="F3356" t="s">
        <v>254</v>
      </c>
      <c r="G3356" t="s">
        <v>125</v>
      </c>
      <c r="H3356">
        <v>1</v>
      </c>
      <c r="I3356" t="s">
        <v>10313</v>
      </c>
      <c r="J3356" t="s">
        <v>357</v>
      </c>
    </row>
    <row r="3357" spans="1:10" x14ac:dyDescent="0.25">
      <c r="A3357" t="s">
        <v>10314</v>
      </c>
      <c r="B3357" t="s">
        <v>10315</v>
      </c>
      <c r="C3357" s="2">
        <v>46249.583333333336</v>
      </c>
      <c r="D3357" t="s">
        <v>418</v>
      </c>
      <c r="E3357" t="s">
        <v>59</v>
      </c>
      <c r="F3357" t="s">
        <v>270</v>
      </c>
      <c r="G3357" t="s">
        <v>133</v>
      </c>
      <c r="H3357">
        <v>1</v>
      </c>
      <c r="I3357" t="s">
        <v>10316</v>
      </c>
      <c r="J3357" t="s">
        <v>357</v>
      </c>
    </row>
    <row r="3358" spans="1:10" x14ac:dyDescent="0.25">
      <c r="A3358" t="s">
        <v>10317</v>
      </c>
      <c r="B3358" t="s">
        <v>10318</v>
      </c>
      <c r="C3358" s="2">
        <v>46249.583333333336</v>
      </c>
      <c r="D3358" t="s">
        <v>418</v>
      </c>
      <c r="E3358" t="s">
        <v>73</v>
      </c>
      <c r="F3358" t="s">
        <v>258</v>
      </c>
      <c r="G3358" t="s">
        <v>143</v>
      </c>
      <c r="H3358">
        <v>2</v>
      </c>
      <c r="I3358" t="s">
        <v>10319</v>
      </c>
      <c r="J3358" t="s">
        <v>357</v>
      </c>
    </row>
    <row r="3359" spans="1:10" x14ac:dyDescent="0.25">
      <c r="A3359" t="s">
        <v>10320</v>
      </c>
      <c r="B3359" t="s">
        <v>10321</v>
      </c>
      <c r="C3359" s="2">
        <v>46250.583333333336</v>
      </c>
      <c r="D3359" t="s">
        <v>418</v>
      </c>
      <c r="E3359" t="s">
        <v>11</v>
      </c>
      <c r="F3359" t="s">
        <v>285</v>
      </c>
      <c r="G3359" t="s">
        <v>92</v>
      </c>
      <c r="H3359">
        <v>1</v>
      </c>
      <c r="I3359" t="s">
        <v>10322</v>
      </c>
      <c r="J3359" t="s">
        <v>357</v>
      </c>
    </row>
    <row r="3360" spans="1:10" x14ac:dyDescent="0.25">
      <c r="A3360" t="s">
        <v>10323</v>
      </c>
      <c r="B3360" t="s">
        <v>10324</v>
      </c>
      <c r="C3360" s="2">
        <v>46250.583333333336</v>
      </c>
      <c r="D3360" t="s">
        <v>418</v>
      </c>
      <c r="E3360" t="s">
        <v>18</v>
      </c>
      <c r="F3360" t="s">
        <v>244</v>
      </c>
      <c r="G3360" t="s">
        <v>95</v>
      </c>
      <c r="H3360">
        <v>3</v>
      </c>
      <c r="I3360" t="s">
        <v>10325</v>
      </c>
      <c r="J3360" t="s">
        <v>357</v>
      </c>
    </row>
    <row r="3361" spans="1:10" x14ac:dyDescent="0.25">
      <c r="A3361" t="s">
        <v>10326</v>
      </c>
      <c r="B3361" t="s">
        <v>10327</v>
      </c>
      <c r="C3361" s="2">
        <v>46250.583333333336</v>
      </c>
      <c r="D3361" t="s">
        <v>418</v>
      </c>
      <c r="E3361" t="s">
        <v>20</v>
      </c>
      <c r="F3361" t="s">
        <v>287</v>
      </c>
      <c r="G3361" t="s">
        <v>97</v>
      </c>
      <c r="H3361">
        <v>4</v>
      </c>
      <c r="I3361" t="s">
        <v>10328</v>
      </c>
      <c r="J3361" t="s">
        <v>357</v>
      </c>
    </row>
    <row r="3362" spans="1:10" x14ac:dyDescent="0.25">
      <c r="A3362" t="s">
        <v>10329</v>
      </c>
      <c r="B3362" t="s">
        <v>10330</v>
      </c>
      <c r="C3362" s="2">
        <v>46250.583333333336</v>
      </c>
      <c r="D3362" t="s">
        <v>418</v>
      </c>
      <c r="E3362" t="s">
        <v>24</v>
      </c>
      <c r="F3362" t="s">
        <v>218</v>
      </c>
      <c r="G3362" t="s">
        <v>101</v>
      </c>
      <c r="H3362">
        <v>4</v>
      </c>
      <c r="I3362" t="s">
        <v>10331</v>
      </c>
      <c r="J3362" t="s">
        <v>357</v>
      </c>
    </row>
    <row r="3363" spans="1:10" x14ac:dyDescent="0.25">
      <c r="A3363" t="s">
        <v>10332</v>
      </c>
      <c r="B3363" t="s">
        <v>10333</v>
      </c>
      <c r="C3363" s="2">
        <v>46250.583333333336</v>
      </c>
      <c r="D3363" t="s">
        <v>418</v>
      </c>
      <c r="E3363" t="s">
        <v>26</v>
      </c>
      <c r="F3363" t="s">
        <v>290</v>
      </c>
      <c r="G3363" t="s">
        <v>103</v>
      </c>
      <c r="H3363">
        <v>5</v>
      </c>
      <c r="I3363" t="s">
        <v>10334</v>
      </c>
      <c r="J3363" t="s">
        <v>357</v>
      </c>
    </row>
    <row r="3364" spans="1:10" x14ac:dyDescent="0.25">
      <c r="A3364" t="s">
        <v>10335</v>
      </c>
      <c r="B3364" t="s">
        <v>10336</v>
      </c>
      <c r="C3364" s="2">
        <v>46250.583333333336</v>
      </c>
      <c r="D3364" t="s">
        <v>418</v>
      </c>
      <c r="E3364" t="s">
        <v>28</v>
      </c>
      <c r="F3364" t="s">
        <v>249</v>
      </c>
      <c r="G3364" t="s">
        <v>105</v>
      </c>
      <c r="H3364">
        <v>5</v>
      </c>
      <c r="I3364" t="s">
        <v>10337</v>
      </c>
      <c r="J3364" t="s">
        <v>357</v>
      </c>
    </row>
    <row r="3365" spans="1:10" x14ac:dyDescent="0.25">
      <c r="A3365" t="s">
        <v>10338</v>
      </c>
      <c r="B3365" t="s">
        <v>10339</v>
      </c>
      <c r="C3365" s="2">
        <v>46250.583333333336</v>
      </c>
      <c r="D3365" t="s">
        <v>418</v>
      </c>
      <c r="E3365" t="s">
        <v>30</v>
      </c>
      <c r="F3365" t="s">
        <v>207</v>
      </c>
      <c r="G3365" t="s">
        <v>107</v>
      </c>
      <c r="H3365">
        <v>3</v>
      </c>
      <c r="I3365" t="s">
        <v>10340</v>
      </c>
      <c r="J3365" t="s">
        <v>357</v>
      </c>
    </row>
    <row r="3366" spans="1:10" x14ac:dyDescent="0.25">
      <c r="A3366" t="s">
        <v>10341</v>
      </c>
      <c r="B3366" t="s">
        <v>10342</v>
      </c>
      <c r="C3366" s="2">
        <v>46250.583333333336</v>
      </c>
      <c r="D3366" t="s">
        <v>418</v>
      </c>
      <c r="E3366" t="s">
        <v>43</v>
      </c>
      <c r="F3366" t="s">
        <v>237</v>
      </c>
      <c r="G3366" t="s">
        <v>117</v>
      </c>
      <c r="H3366">
        <v>5</v>
      </c>
      <c r="I3366" t="s">
        <v>10343</v>
      </c>
      <c r="J3366" t="s">
        <v>357</v>
      </c>
    </row>
    <row r="3367" spans="1:10" x14ac:dyDescent="0.25">
      <c r="A3367" t="s">
        <v>10344</v>
      </c>
      <c r="B3367" t="s">
        <v>10345</v>
      </c>
      <c r="C3367" s="2">
        <v>46250.583333333336</v>
      </c>
      <c r="D3367" t="s">
        <v>418</v>
      </c>
      <c r="E3367" t="s">
        <v>55</v>
      </c>
      <c r="F3367" t="s">
        <v>298</v>
      </c>
      <c r="G3367" t="s">
        <v>129</v>
      </c>
      <c r="H3367">
        <v>5</v>
      </c>
      <c r="I3367" t="s">
        <v>10346</v>
      </c>
      <c r="J3367" t="s">
        <v>357</v>
      </c>
    </row>
    <row r="3368" spans="1:10" x14ac:dyDescent="0.25">
      <c r="A3368" t="s">
        <v>10347</v>
      </c>
      <c r="B3368" t="s">
        <v>10348</v>
      </c>
      <c r="C3368" s="2">
        <v>46250.583333333336</v>
      </c>
      <c r="D3368" t="s">
        <v>418</v>
      </c>
      <c r="E3368" t="s">
        <v>69</v>
      </c>
      <c r="F3368" t="s">
        <v>229</v>
      </c>
      <c r="G3368" t="s">
        <v>139</v>
      </c>
      <c r="H3368">
        <v>2</v>
      </c>
      <c r="I3368" t="s">
        <v>10349</v>
      </c>
      <c r="J3368" t="s">
        <v>357</v>
      </c>
    </row>
    <row r="3369" spans="1:10" x14ac:dyDescent="0.25">
      <c r="A3369" t="s">
        <v>10350</v>
      </c>
      <c r="B3369" t="s">
        <v>10351</v>
      </c>
      <c r="C3369" s="2">
        <v>46250.583333333336</v>
      </c>
      <c r="D3369" t="s">
        <v>418</v>
      </c>
      <c r="E3369" t="s">
        <v>11</v>
      </c>
      <c r="F3369" t="s">
        <v>285</v>
      </c>
      <c r="G3369" t="s">
        <v>92</v>
      </c>
      <c r="H3369">
        <v>5</v>
      </c>
      <c r="I3369" t="s">
        <v>10352</v>
      </c>
      <c r="J3369" t="s">
        <v>357</v>
      </c>
    </row>
    <row r="3370" spans="1:10" x14ac:dyDescent="0.25">
      <c r="A3370" t="s">
        <v>10353</v>
      </c>
      <c r="B3370" t="s">
        <v>10354</v>
      </c>
      <c r="C3370" s="2">
        <v>46250.583333333336</v>
      </c>
      <c r="D3370" t="s">
        <v>418</v>
      </c>
      <c r="E3370" t="s">
        <v>20</v>
      </c>
      <c r="F3370" t="s">
        <v>287</v>
      </c>
      <c r="G3370" t="s">
        <v>97</v>
      </c>
      <c r="H3370">
        <v>6</v>
      </c>
      <c r="I3370" t="s">
        <v>10355</v>
      </c>
      <c r="J3370" t="s">
        <v>357</v>
      </c>
    </row>
    <row r="3371" spans="1:10" x14ac:dyDescent="0.25">
      <c r="A3371" t="s">
        <v>10356</v>
      </c>
      <c r="B3371" t="s">
        <v>10357</v>
      </c>
      <c r="C3371" s="2">
        <v>46250.583333333336</v>
      </c>
      <c r="D3371" t="s">
        <v>418</v>
      </c>
      <c r="E3371" t="s">
        <v>22</v>
      </c>
      <c r="F3371" t="s">
        <v>277</v>
      </c>
      <c r="G3371" t="s">
        <v>99</v>
      </c>
      <c r="H3371">
        <v>5</v>
      </c>
      <c r="I3371" t="s">
        <v>10358</v>
      </c>
      <c r="J3371" t="s">
        <v>357</v>
      </c>
    </row>
    <row r="3372" spans="1:10" x14ac:dyDescent="0.25">
      <c r="A3372" t="s">
        <v>10359</v>
      </c>
      <c r="B3372" t="s">
        <v>10360</v>
      </c>
      <c r="C3372" s="2">
        <v>46250.583333333336</v>
      </c>
      <c r="D3372" t="s">
        <v>418</v>
      </c>
      <c r="E3372" t="s">
        <v>26</v>
      </c>
      <c r="F3372" t="s">
        <v>290</v>
      </c>
      <c r="G3372" t="s">
        <v>103</v>
      </c>
      <c r="H3372">
        <v>4</v>
      </c>
      <c r="I3372" t="s">
        <v>10361</v>
      </c>
      <c r="J3372" t="s">
        <v>357</v>
      </c>
    </row>
    <row r="3373" spans="1:10" x14ac:dyDescent="0.25">
      <c r="A3373" t="s">
        <v>10362</v>
      </c>
      <c r="B3373" t="s">
        <v>10363</v>
      </c>
      <c r="C3373" s="2">
        <v>46250.583333333336</v>
      </c>
      <c r="D3373" t="s">
        <v>418</v>
      </c>
      <c r="E3373" t="s">
        <v>41</v>
      </c>
      <c r="F3373" t="s">
        <v>293</v>
      </c>
      <c r="G3373" t="s">
        <v>115</v>
      </c>
      <c r="H3373">
        <v>4</v>
      </c>
      <c r="I3373" t="s">
        <v>10364</v>
      </c>
      <c r="J3373" t="s">
        <v>357</v>
      </c>
    </row>
    <row r="3374" spans="1:10" x14ac:dyDescent="0.25">
      <c r="A3374" t="s">
        <v>10365</v>
      </c>
      <c r="B3374" t="s">
        <v>10366</v>
      </c>
      <c r="C3374" s="2">
        <v>46250.583333333336</v>
      </c>
      <c r="D3374" t="s">
        <v>418</v>
      </c>
      <c r="E3374" t="s">
        <v>47</v>
      </c>
      <c r="F3374" t="s">
        <v>268</v>
      </c>
      <c r="G3374" t="s">
        <v>121</v>
      </c>
      <c r="H3374">
        <v>3</v>
      </c>
      <c r="I3374" t="s">
        <v>10367</v>
      </c>
      <c r="J3374" t="s">
        <v>357</v>
      </c>
    </row>
    <row r="3375" spans="1:10" x14ac:dyDescent="0.25">
      <c r="A3375" t="s">
        <v>10368</v>
      </c>
      <c r="B3375" t="s">
        <v>10369</v>
      </c>
      <c r="C3375" s="2">
        <v>46250.583333333336</v>
      </c>
      <c r="D3375" t="s">
        <v>418</v>
      </c>
      <c r="E3375" t="s">
        <v>65</v>
      </c>
      <c r="F3375" t="s">
        <v>241</v>
      </c>
      <c r="G3375" t="s">
        <v>135</v>
      </c>
      <c r="H3375">
        <v>3</v>
      </c>
      <c r="I3375" t="s">
        <v>10370</v>
      </c>
      <c r="J3375" t="s">
        <v>357</v>
      </c>
    </row>
    <row r="3376" spans="1:10" x14ac:dyDescent="0.25">
      <c r="A3376" t="s">
        <v>10371</v>
      </c>
      <c r="B3376" t="s">
        <v>10372</v>
      </c>
      <c r="C3376" s="2">
        <v>46250.583333333336</v>
      </c>
      <c r="D3376" t="s">
        <v>418</v>
      </c>
      <c r="E3376" t="s">
        <v>11</v>
      </c>
      <c r="F3376" t="s">
        <v>285</v>
      </c>
      <c r="G3376" t="s">
        <v>92</v>
      </c>
      <c r="H3376">
        <v>8</v>
      </c>
      <c r="I3376" t="s">
        <v>10373</v>
      </c>
      <c r="J3376" t="s">
        <v>357</v>
      </c>
    </row>
    <row r="3377" spans="1:10" x14ac:dyDescent="0.25">
      <c r="A3377" t="s">
        <v>10374</v>
      </c>
      <c r="B3377" t="s">
        <v>10375</v>
      </c>
      <c r="C3377" s="2">
        <v>46250.583333333336</v>
      </c>
      <c r="D3377" t="s">
        <v>418</v>
      </c>
      <c r="E3377" t="s">
        <v>18</v>
      </c>
      <c r="F3377" t="s">
        <v>244</v>
      </c>
      <c r="G3377" t="s">
        <v>95</v>
      </c>
      <c r="H3377">
        <v>5</v>
      </c>
      <c r="I3377" t="s">
        <v>10376</v>
      </c>
      <c r="J3377" t="s">
        <v>357</v>
      </c>
    </row>
    <row r="3378" spans="1:10" x14ac:dyDescent="0.25">
      <c r="A3378" t="s">
        <v>10377</v>
      </c>
      <c r="B3378" t="s">
        <v>10378</v>
      </c>
      <c r="C3378" s="2">
        <v>46250.583333333336</v>
      </c>
      <c r="D3378" t="s">
        <v>418</v>
      </c>
      <c r="E3378" t="s">
        <v>28</v>
      </c>
      <c r="F3378" t="s">
        <v>249</v>
      </c>
      <c r="G3378" t="s">
        <v>105</v>
      </c>
      <c r="H3378">
        <v>2</v>
      </c>
      <c r="I3378" t="s">
        <v>10379</v>
      </c>
      <c r="J3378" t="s">
        <v>357</v>
      </c>
    </row>
    <row r="3379" spans="1:10" x14ac:dyDescent="0.25">
      <c r="A3379" t="s">
        <v>10380</v>
      </c>
      <c r="B3379" t="s">
        <v>10381</v>
      </c>
      <c r="C3379" s="2">
        <v>46250.583333333336</v>
      </c>
      <c r="D3379" t="s">
        <v>418</v>
      </c>
      <c r="E3379" t="s">
        <v>30</v>
      </c>
      <c r="F3379" t="s">
        <v>207</v>
      </c>
      <c r="G3379" t="s">
        <v>107</v>
      </c>
      <c r="H3379">
        <v>3</v>
      </c>
      <c r="I3379" t="s">
        <v>10382</v>
      </c>
      <c r="J3379" t="s">
        <v>357</v>
      </c>
    </row>
    <row r="3380" spans="1:10" x14ac:dyDescent="0.25">
      <c r="A3380" t="s">
        <v>10383</v>
      </c>
      <c r="B3380" t="s">
        <v>10384</v>
      </c>
      <c r="C3380" s="2">
        <v>46250.583333333336</v>
      </c>
      <c r="D3380" t="s">
        <v>418</v>
      </c>
      <c r="E3380" t="s">
        <v>43</v>
      </c>
      <c r="F3380" t="s">
        <v>237</v>
      </c>
      <c r="G3380" t="s">
        <v>117</v>
      </c>
      <c r="H3380">
        <v>6</v>
      </c>
      <c r="I3380" t="s">
        <v>10385</v>
      </c>
      <c r="J3380" t="s">
        <v>357</v>
      </c>
    </row>
    <row r="3381" spans="1:10" x14ac:dyDescent="0.25">
      <c r="A3381" t="s">
        <v>10386</v>
      </c>
      <c r="B3381" t="s">
        <v>10387</v>
      </c>
      <c r="C3381" s="2">
        <v>46250.583333333336</v>
      </c>
      <c r="D3381" t="s">
        <v>418</v>
      </c>
      <c r="E3381" t="s">
        <v>51</v>
      </c>
      <c r="F3381" t="s">
        <v>254</v>
      </c>
      <c r="G3381" t="s">
        <v>125</v>
      </c>
      <c r="H3381">
        <v>2</v>
      </c>
      <c r="I3381" t="s">
        <v>10388</v>
      </c>
      <c r="J3381" t="s">
        <v>357</v>
      </c>
    </row>
    <row r="3382" spans="1:10" x14ac:dyDescent="0.25">
      <c r="A3382" t="s">
        <v>10389</v>
      </c>
      <c r="B3382" t="s">
        <v>10390</v>
      </c>
      <c r="C3382" s="2">
        <v>46250.583333333336</v>
      </c>
      <c r="D3382" t="s">
        <v>418</v>
      </c>
      <c r="E3382" t="s">
        <v>55</v>
      </c>
      <c r="F3382" t="s">
        <v>298</v>
      </c>
      <c r="G3382" t="s">
        <v>129</v>
      </c>
      <c r="H3382">
        <v>3</v>
      </c>
      <c r="I3382" t="s">
        <v>10391</v>
      </c>
      <c r="J3382" t="s">
        <v>357</v>
      </c>
    </row>
    <row r="3383" spans="1:10" x14ac:dyDescent="0.25">
      <c r="A3383" t="s">
        <v>10392</v>
      </c>
      <c r="B3383" t="s">
        <v>10393</v>
      </c>
      <c r="C3383" s="2">
        <v>46250.583333333336</v>
      </c>
      <c r="D3383" t="s">
        <v>418</v>
      </c>
      <c r="E3383" t="s">
        <v>67</v>
      </c>
      <c r="F3383" t="s">
        <v>271</v>
      </c>
      <c r="G3383" t="s">
        <v>137</v>
      </c>
      <c r="H3383">
        <v>3</v>
      </c>
      <c r="I3383" t="s">
        <v>10394</v>
      </c>
      <c r="J3383" t="s">
        <v>357</v>
      </c>
    </row>
    <row r="3384" spans="1:10" x14ac:dyDescent="0.25">
      <c r="A3384" t="s">
        <v>10395</v>
      </c>
      <c r="B3384" t="s">
        <v>10396</v>
      </c>
      <c r="C3384" s="2">
        <v>46250.583333333336</v>
      </c>
      <c r="D3384" t="s">
        <v>418</v>
      </c>
      <c r="E3384" t="s">
        <v>75</v>
      </c>
      <c r="F3384" t="s">
        <v>259</v>
      </c>
      <c r="G3384" t="s">
        <v>145</v>
      </c>
      <c r="H3384">
        <v>6</v>
      </c>
      <c r="I3384" t="s">
        <v>10397</v>
      </c>
      <c r="J3384" t="s">
        <v>357</v>
      </c>
    </row>
    <row r="3385" spans="1:10" x14ac:dyDescent="0.25">
      <c r="A3385" t="s">
        <v>10398</v>
      </c>
      <c r="B3385" t="s">
        <v>10399</v>
      </c>
      <c r="C3385" s="2">
        <v>46250.583333333336</v>
      </c>
      <c r="D3385" t="s">
        <v>418</v>
      </c>
      <c r="E3385" t="s">
        <v>18</v>
      </c>
      <c r="F3385" t="s">
        <v>244</v>
      </c>
      <c r="G3385" t="s">
        <v>95</v>
      </c>
      <c r="H3385">
        <v>4</v>
      </c>
      <c r="I3385" t="s">
        <v>10400</v>
      </c>
      <c r="J3385" t="s">
        <v>357</v>
      </c>
    </row>
    <row r="3386" spans="1:10" x14ac:dyDescent="0.25">
      <c r="A3386" t="s">
        <v>10401</v>
      </c>
      <c r="B3386" t="s">
        <v>10402</v>
      </c>
      <c r="C3386" s="2">
        <v>46250.583333333336</v>
      </c>
      <c r="D3386" t="s">
        <v>418</v>
      </c>
      <c r="E3386" t="s">
        <v>20</v>
      </c>
      <c r="F3386" t="s">
        <v>287</v>
      </c>
      <c r="G3386" t="s">
        <v>97</v>
      </c>
      <c r="H3386">
        <v>9</v>
      </c>
      <c r="I3386" t="s">
        <v>10403</v>
      </c>
      <c r="J3386" t="s">
        <v>357</v>
      </c>
    </row>
    <row r="3387" spans="1:10" x14ac:dyDescent="0.25">
      <c r="A3387" t="s">
        <v>10404</v>
      </c>
      <c r="B3387" t="s">
        <v>10405</v>
      </c>
      <c r="C3387" s="2">
        <v>46250.583333333336</v>
      </c>
      <c r="D3387" t="s">
        <v>418</v>
      </c>
      <c r="E3387" t="s">
        <v>26</v>
      </c>
      <c r="F3387" t="s">
        <v>290</v>
      </c>
      <c r="G3387" t="s">
        <v>103</v>
      </c>
      <c r="H3387">
        <v>9</v>
      </c>
      <c r="I3387" t="s">
        <v>10406</v>
      </c>
      <c r="J3387" t="s">
        <v>357</v>
      </c>
    </row>
    <row r="3388" spans="1:10" x14ac:dyDescent="0.25">
      <c r="A3388" t="s">
        <v>10407</v>
      </c>
      <c r="B3388" t="s">
        <v>10408</v>
      </c>
      <c r="C3388" s="2">
        <v>46250.583333333336</v>
      </c>
      <c r="D3388" t="s">
        <v>418</v>
      </c>
      <c r="E3388" t="s">
        <v>30</v>
      </c>
      <c r="F3388" t="s">
        <v>207</v>
      </c>
      <c r="G3388" t="s">
        <v>107</v>
      </c>
      <c r="H3388">
        <v>2</v>
      </c>
      <c r="I3388" t="s">
        <v>10409</v>
      </c>
      <c r="J3388" t="s">
        <v>357</v>
      </c>
    </row>
    <row r="3389" spans="1:10" x14ac:dyDescent="0.25">
      <c r="A3389" t="s">
        <v>10410</v>
      </c>
      <c r="B3389" t="s">
        <v>10411</v>
      </c>
      <c r="C3389" s="2">
        <v>46250.583333333336</v>
      </c>
      <c r="D3389" t="s">
        <v>418</v>
      </c>
      <c r="E3389" t="s">
        <v>32</v>
      </c>
      <c r="F3389" t="s">
        <v>108</v>
      </c>
      <c r="G3389" t="s">
        <v>109</v>
      </c>
      <c r="H3389">
        <v>2</v>
      </c>
      <c r="I3389" t="s">
        <v>10412</v>
      </c>
      <c r="J3389" t="s">
        <v>357</v>
      </c>
    </row>
    <row r="3390" spans="1:10" x14ac:dyDescent="0.25">
      <c r="A3390" t="s">
        <v>10413</v>
      </c>
      <c r="B3390" t="s">
        <v>10414</v>
      </c>
      <c r="C3390" s="2">
        <v>46250.583333333336</v>
      </c>
      <c r="D3390" t="s">
        <v>418</v>
      </c>
      <c r="E3390" t="s">
        <v>47</v>
      </c>
      <c r="F3390" t="s">
        <v>268</v>
      </c>
      <c r="G3390" t="s">
        <v>121</v>
      </c>
      <c r="H3390">
        <v>4</v>
      </c>
      <c r="I3390" t="s">
        <v>10415</v>
      </c>
      <c r="J3390" t="s">
        <v>357</v>
      </c>
    </row>
    <row r="3391" spans="1:10" x14ac:dyDescent="0.25">
      <c r="A3391" t="s">
        <v>10416</v>
      </c>
      <c r="B3391" t="s">
        <v>10417</v>
      </c>
      <c r="C3391" s="2">
        <v>46250.583333333336</v>
      </c>
      <c r="D3391" t="s">
        <v>418</v>
      </c>
      <c r="E3391" t="s">
        <v>49</v>
      </c>
      <c r="F3391" t="s">
        <v>295</v>
      </c>
      <c r="G3391" t="s">
        <v>123</v>
      </c>
      <c r="H3391">
        <v>7</v>
      </c>
      <c r="I3391" t="s">
        <v>10418</v>
      </c>
      <c r="J3391" t="s">
        <v>357</v>
      </c>
    </row>
    <row r="3392" spans="1:10" x14ac:dyDescent="0.25">
      <c r="A3392" t="s">
        <v>10419</v>
      </c>
      <c r="B3392" t="s">
        <v>10420</v>
      </c>
      <c r="C3392" s="2">
        <v>46250.583333333336</v>
      </c>
      <c r="D3392" t="s">
        <v>418</v>
      </c>
      <c r="E3392" t="s">
        <v>59</v>
      </c>
      <c r="F3392" t="s">
        <v>270</v>
      </c>
      <c r="G3392" t="s">
        <v>133</v>
      </c>
      <c r="H3392">
        <v>5</v>
      </c>
      <c r="I3392" t="s">
        <v>10421</v>
      </c>
      <c r="J3392" t="s">
        <v>357</v>
      </c>
    </row>
    <row r="3393" spans="1:10" x14ac:dyDescent="0.25">
      <c r="A3393" t="s">
        <v>10422</v>
      </c>
      <c r="B3393" t="s">
        <v>10423</v>
      </c>
      <c r="C3393" s="2">
        <v>46250.583333333336</v>
      </c>
      <c r="D3393" t="s">
        <v>418</v>
      </c>
      <c r="E3393" t="s">
        <v>65</v>
      </c>
      <c r="F3393" t="s">
        <v>241</v>
      </c>
      <c r="G3393" t="s">
        <v>135</v>
      </c>
      <c r="H3393">
        <v>9</v>
      </c>
      <c r="I3393" t="s">
        <v>10424</v>
      </c>
      <c r="J3393" t="s">
        <v>357</v>
      </c>
    </row>
    <row r="3394" spans="1:10" x14ac:dyDescent="0.25">
      <c r="A3394" t="s">
        <v>10425</v>
      </c>
      <c r="B3394" t="s">
        <v>10426</v>
      </c>
      <c r="C3394" s="2">
        <v>46250.583333333336</v>
      </c>
      <c r="D3394" t="s">
        <v>418</v>
      </c>
      <c r="E3394" t="s">
        <v>67</v>
      </c>
      <c r="F3394" t="s">
        <v>271</v>
      </c>
      <c r="G3394" t="s">
        <v>137</v>
      </c>
      <c r="H3394">
        <v>4</v>
      </c>
      <c r="I3394" t="s">
        <v>10427</v>
      </c>
      <c r="J3394" t="s">
        <v>357</v>
      </c>
    </row>
    <row r="3395" spans="1:10" x14ac:dyDescent="0.25">
      <c r="A3395" t="s">
        <v>10428</v>
      </c>
      <c r="B3395" t="s">
        <v>10429</v>
      </c>
      <c r="C3395" s="2">
        <v>46250.583333333336</v>
      </c>
      <c r="D3395" t="s">
        <v>418</v>
      </c>
      <c r="E3395" t="s">
        <v>11</v>
      </c>
      <c r="F3395" t="s">
        <v>285</v>
      </c>
      <c r="G3395" t="s">
        <v>92</v>
      </c>
      <c r="H3395">
        <v>6</v>
      </c>
      <c r="I3395" t="s">
        <v>10430</v>
      </c>
      <c r="J3395" t="s">
        <v>357</v>
      </c>
    </row>
    <row r="3396" spans="1:10" x14ac:dyDescent="0.25">
      <c r="A3396" t="s">
        <v>10431</v>
      </c>
      <c r="B3396" t="s">
        <v>10432</v>
      </c>
      <c r="C3396" s="2">
        <v>46250.583333333336</v>
      </c>
      <c r="D3396" t="s">
        <v>418</v>
      </c>
      <c r="E3396" t="s">
        <v>22</v>
      </c>
      <c r="F3396" t="s">
        <v>277</v>
      </c>
      <c r="G3396" t="s">
        <v>99</v>
      </c>
      <c r="H3396">
        <v>2</v>
      </c>
      <c r="I3396" t="s">
        <v>10433</v>
      </c>
      <c r="J3396" t="s">
        <v>357</v>
      </c>
    </row>
    <row r="3397" spans="1:10" x14ac:dyDescent="0.25">
      <c r="A3397" t="s">
        <v>10434</v>
      </c>
      <c r="B3397" t="s">
        <v>10435</v>
      </c>
      <c r="C3397" s="2">
        <v>46250.583333333336</v>
      </c>
      <c r="D3397" t="s">
        <v>418</v>
      </c>
      <c r="E3397" t="s">
        <v>24</v>
      </c>
      <c r="F3397" t="s">
        <v>218</v>
      </c>
      <c r="G3397" t="s">
        <v>101</v>
      </c>
      <c r="H3397">
        <v>6</v>
      </c>
      <c r="I3397" t="s">
        <v>10436</v>
      </c>
      <c r="J3397" t="s">
        <v>357</v>
      </c>
    </row>
    <row r="3398" spans="1:10" x14ac:dyDescent="0.25">
      <c r="A3398" t="s">
        <v>10437</v>
      </c>
      <c r="B3398" t="s">
        <v>10438</v>
      </c>
      <c r="C3398" s="2">
        <v>46250.583333333336</v>
      </c>
      <c r="D3398" t="s">
        <v>418</v>
      </c>
      <c r="E3398" t="s">
        <v>36</v>
      </c>
      <c r="F3398" t="s">
        <v>187</v>
      </c>
      <c r="G3398" t="s">
        <v>113</v>
      </c>
      <c r="H3398">
        <v>4</v>
      </c>
      <c r="I3398" t="s">
        <v>10439</v>
      </c>
      <c r="J3398" t="s">
        <v>357</v>
      </c>
    </row>
    <row r="3399" spans="1:10" x14ac:dyDescent="0.25">
      <c r="A3399" t="s">
        <v>10440</v>
      </c>
      <c r="B3399" t="s">
        <v>10441</v>
      </c>
      <c r="C3399" s="2">
        <v>46250.583333333336</v>
      </c>
      <c r="D3399" t="s">
        <v>418</v>
      </c>
      <c r="E3399" t="s">
        <v>45</v>
      </c>
      <c r="F3399" t="s">
        <v>267</v>
      </c>
      <c r="G3399" t="s">
        <v>119</v>
      </c>
      <c r="H3399">
        <v>6</v>
      </c>
      <c r="I3399" t="s">
        <v>10442</v>
      </c>
      <c r="J3399" t="s">
        <v>357</v>
      </c>
    </row>
    <row r="3400" spans="1:10" x14ac:dyDescent="0.25">
      <c r="A3400" t="s">
        <v>10443</v>
      </c>
      <c r="B3400" t="s">
        <v>10444</v>
      </c>
      <c r="C3400" s="2">
        <v>46250.583333333336</v>
      </c>
      <c r="D3400" t="s">
        <v>418</v>
      </c>
      <c r="E3400" t="s">
        <v>51</v>
      </c>
      <c r="F3400" t="s">
        <v>254</v>
      </c>
      <c r="G3400" t="s">
        <v>125</v>
      </c>
      <c r="H3400">
        <v>1</v>
      </c>
      <c r="I3400" t="s">
        <v>10445</v>
      </c>
      <c r="J3400" t="s">
        <v>357</v>
      </c>
    </row>
    <row r="3401" spans="1:10" x14ac:dyDescent="0.25">
      <c r="A3401" t="s">
        <v>10446</v>
      </c>
      <c r="B3401" t="s">
        <v>10447</v>
      </c>
      <c r="C3401" s="2">
        <v>46250.583333333336</v>
      </c>
      <c r="D3401" t="s">
        <v>418</v>
      </c>
      <c r="E3401" t="s">
        <v>73</v>
      </c>
      <c r="F3401" t="s">
        <v>258</v>
      </c>
      <c r="G3401" t="s">
        <v>143</v>
      </c>
      <c r="H3401">
        <v>5</v>
      </c>
      <c r="I3401" t="s">
        <v>10448</v>
      </c>
      <c r="J3401" t="s">
        <v>357</v>
      </c>
    </row>
    <row r="3402" spans="1:10" x14ac:dyDescent="0.25">
      <c r="A3402" t="s">
        <v>10449</v>
      </c>
      <c r="B3402" t="s">
        <v>10450</v>
      </c>
      <c r="C3402" s="2">
        <v>46250.583333333336</v>
      </c>
      <c r="D3402" t="s">
        <v>418</v>
      </c>
      <c r="E3402" t="s">
        <v>77</v>
      </c>
      <c r="F3402" t="s">
        <v>243</v>
      </c>
      <c r="G3402" t="s">
        <v>147</v>
      </c>
      <c r="H3402">
        <v>5</v>
      </c>
      <c r="I3402" t="s">
        <v>10451</v>
      </c>
      <c r="J3402" t="s">
        <v>357</v>
      </c>
    </row>
    <row r="3403" spans="1:10" x14ac:dyDescent="0.25">
      <c r="A3403" t="s">
        <v>10452</v>
      </c>
      <c r="B3403" t="s">
        <v>10453</v>
      </c>
      <c r="C3403" s="2">
        <v>46251.583333333336</v>
      </c>
      <c r="D3403" t="s">
        <v>418</v>
      </c>
      <c r="E3403" t="s">
        <v>18</v>
      </c>
      <c r="F3403" t="s">
        <v>244</v>
      </c>
      <c r="G3403" t="s">
        <v>95</v>
      </c>
      <c r="H3403">
        <v>2</v>
      </c>
      <c r="I3403" t="s">
        <v>10454</v>
      </c>
      <c r="J3403" t="s">
        <v>357</v>
      </c>
    </row>
    <row r="3404" spans="1:10" x14ac:dyDescent="0.25">
      <c r="A3404" t="s">
        <v>10455</v>
      </c>
      <c r="B3404" t="s">
        <v>10456</v>
      </c>
      <c r="C3404" s="2">
        <v>46251.583333333336</v>
      </c>
      <c r="D3404" t="s">
        <v>418</v>
      </c>
      <c r="E3404" t="s">
        <v>22</v>
      </c>
      <c r="F3404" t="s">
        <v>277</v>
      </c>
      <c r="G3404" t="s">
        <v>99</v>
      </c>
      <c r="H3404">
        <v>2</v>
      </c>
      <c r="I3404" t="s">
        <v>10457</v>
      </c>
      <c r="J3404" t="s">
        <v>357</v>
      </c>
    </row>
    <row r="3405" spans="1:10" x14ac:dyDescent="0.25">
      <c r="A3405" t="s">
        <v>10458</v>
      </c>
      <c r="B3405" t="s">
        <v>10459</v>
      </c>
      <c r="C3405" s="2">
        <v>46251.583333333336</v>
      </c>
      <c r="D3405" t="s">
        <v>418</v>
      </c>
      <c r="E3405" t="s">
        <v>24</v>
      </c>
      <c r="F3405" t="s">
        <v>218</v>
      </c>
      <c r="G3405" t="s">
        <v>101</v>
      </c>
      <c r="H3405">
        <v>4</v>
      </c>
      <c r="I3405" t="s">
        <v>10460</v>
      </c>
      <c r="J3405" t="s">
        <v>357</v>
      </c>
    </row>
    <row r="3406" spans="1:10" x14ac:dyDescent="0.25">
      <c r="A3406" t="s">
        <v>10461</v>
      </c>
      <c r="B3406" t="s">
        <v>10462</v>
      </c>
      <c r="C3406" s="2">
        <v>46251.583333333336</v>
      </c>
      <c r="D3406" t="s">
        <v>418</v>
      </c>
      <c r="E3406" t="s">
        <v>45</v>
      </c>
      <c r="F3406" t="s">
        <v>267</v>
      </c>
      <c r="G3406" t="s">
        <v>119</v>
      </c>
      <c r="H3406">
        <v>3</v>
      </c>
      <c r="I3406" t="s">
        <v>10463</v>
      </c>
      <c r="J3406" t="s">
        <v>357</v>
      </c>
    </row>
    <row r="3407" spans="1:10" x14ac:dyDescent="0.25">
      <c r="A3407" t="s">
        <v>10464</v>
      </c>
      <c r="B3407" t="s">
        <v>10465</v>
      </c>
      <c r="C3407" s="2">
        <v>46251.583333333336</v>
      </c>
      <c r="D3407" t="s">
        <v>418</v>
      </c>
      <c r="E3407" t="s">
        <v>55</v>
      </c>
      <c r="F3407" t="s">
        <v>298</v>
      </c>
      <c r="G3407" t="s">
        <v>129</v>
      </c>
      <c r="H3407">
        <v>2</v>
      </c>
      <c r="I3407" t="s">
        <v>10466</v>
      </c>
      <c r="J3407" t="s">
        <v>357</v>
      </c>
    </row>
    <row r="3408" spans="1:10" x14ac:dyDescent="0.25">
      <c r="A3408" t="s">
        <v>10467</v>
      </c>
      <c r="B3408" t="s">
        <v>10468</v>
      </c>
      <c r="C3408" s="2">
        <v>46251.583333333336</v>
      </c>
      <c r="D3408" t="s">
        <v>418</v>
      </c>
      <c r="E3408" t="s">
        <v>65</v>
      </c>
      <c r="F3408" t="s">
        <v>241</v>
      </c>
      <c r="G3408" t="s">
        <v>135</v>
      </c>
      <c r="H3408">
        <v>4</v>
      </c>
      <c r="I3408" t="s">
        <v>10469</v>
      </c>
      <c r="J3408" t="s">
        <v>357</v>
      </c>
    </row>
    <row r="3409" spans="1:10" x14ac:dyDescent="0.25">
      <c r="A3409" t="s">
        <v>10470</v>
      </c>
      <c r="B3409" t="s">
        <v>10471</v>
      </c>
      <c r="C3409" s="2">
        <v>46251.583333333336</v>
      </c>
      <c r="D3409" t="s">
        <v>418</v>
      </c>
      <c r="E3409" t="s">
        <v>73</v>
      </c>
      <c r="F3409" t="s">
        <v>258</v>
      </c>
      <c r="G3409" t="s">
        <v>143</v>
      </c>
      <c r="H3409">
        <v>3</v>
      </c>
      <c r="I3409" t="s">
        <v>10472</v>
      </c>
      <c r="J3409" t="s">
        <v>357</v>
      </c>
    </row>
    <row r="3410" spans="1:10" x14ac:dyDescent="0.25">
      <c r="A3410" t="s">
        <v>10473</v>
      </c>
      <c r="B3410" t="s">
        <v>10474</v>
      </c>
      <c r="C3410" s="2">
        <v>46251.583333333336</v>
      </c>
      <c r="D3410" t="s">
        <v>418</v>
      </c>
      <c r="E3410" t="s">
        <v>75</v>
      </c>
      <c r="F3410" t="s">
        <v>259</v>
      </c>
      <c r="G3410" t="s">
        <v>145</v>
      </c>
      <c r="H3410">
        <v>4</v>
      </c>
      <c r="I3410" t="s">
        <v>10475</v>
      </c>
      <c r="J3410" t="s">
        <v>357</v>
      </c>
    </row>
    <row r="3411" spans="1:10" x14ac:dyDescent="0.25">
      <c r="A3411" t="s">
        <v>10476</v>
      </c>
      <c r="B3411" t="s">
        <v>10477</v>
      </c>
      <c r="C3411" s="2">
        <v>46251.583333333336</v>
      </c>
      <c r="D3411" t="s">
        <v>418</v>
      </c>
      <c r="E3411" t="s">
        <v>77</v>
      </c>
      <c r="F3411" t="s">
        <v>243</v>
      </c>
      <c r="G3411" t="s">
        <v>147</v>
      </c>
      <c r="H3411">
        <v>2</v>
      </c>
      <c r="I3411" t="s">
        <v>10478</v>
      </c>
      <c r="J3411" t="s">
        <v>357</v>
      </c>
    </row>
    <row r="3412" spans="1:10" x14ac:dyDescent="0.25">
      <c r="A3412" t="s">
        <v>10479</v>
      </c>
      <c r="B3412" t="s">
        <v>10480</v>
      </c>
      <c r="C3412" s="2">
        <v>46251.583333333336</v>
      </c>
      <c r="D3412" t="s">
        <v>418</v>
      </c>
      <c r="E3412" t="s">
        <v>20</v>
      </c>
      <c r="F3412" t="s">
        <v>287</v>
      </c>
      <c r="G3412" t="s">
        <v>97</v>
      </c>
      <c r="H3412">
        <v>2</v>
      </c>
      <c r="I3412" t="s">
        <v>10481</v>
      </c>
      <c r="J3412" t="s">
        <v>357</v>
      </c>
    </row>
    <row r="3413" spans="1:10" x14ac:dyDescent="0.25">
      <c r="A3413" t="s">
        <v>10482</v>
      </c>
      <c r="B3413" t="s">
        <v>10483</v>
      </c>
      <c r="C3413" s="2">
        <v>46251.583333333336</v>
      </c>
      <c r="D3413" t="s">
        <v>418</v>
      </c>
      <c r="E3413" t="s">
        <v>22</v>
      </c>
      <c r="F3413" t="s">
        <v>277</v>
      </c>
      <c r="G3413" t="s">
        <v>99</v>
      </c>
      <c r="H3413">
        <v>5</v>
      </c>
      <c r="I3413" t="s">
        <v>10484</v>
      </c>
      <c r="J3413" t="s">
        <v>357</v>
      </c>
    </row>
    <row r="3414" spans="1:10" x14ac:dyDescent="0.25">
      <c r="A3414" t="s">
        <v>10485</v>
      </c>
      <c r="B3414" t="s">
        <v>10486</v>
      </c>
      <c r="C3414" s="2">
        <v>46251.583333333336</v>
      </c>
      <c r="D3414" t="s">
        <v>418</v>
      </c>
      <c r="E3414" t="s">
        <v>24</v>
      </c>
      <c r="F3414" t="s">
        <v>218</v>
      </c>
      <c r="G3414" t="s">
        <v>101</v>
      </c>
      <c r="H3414">
        <v>3</v>
      </c>
      <c r="I3414" t="s">
        <v>10487</v>
      </c>
      <c r="J3414" t="s">
        <v>357</v>
      </c>
    </row>
    <row r="3415" spans="1:10" x14ac:dyDescent="0.25">
      <c r="A3415" t="s">
        <v>10488</v>
      </c>
      <c r="B3415" t="s">
        <v>10489</v>
      </c>
      <c r="C3415" s="2">
        <v>46251.583333333336</v>
      </c>
      <c r="D3415" t="s">
        <v>418</v>
      </c>
      <c r="E3415" t="s">
        <v>28</v>
      </c>
      <c r="F3415" t="s">
        <v>249</v>
      </c>
      <c r="G3415" t="s">
        <v>105</v>
      </c>
      <c r="H3415">
        <v>5</v>
      </c>
      <c r="I3415" t="s">
        <v>10490</v>
      </c>
      <c r="J3415" t="s">
        <v>357</v>
      </c>
    </row>
    <row r="3416" spans="1:10" x14ac:dyDescent="0.25">
      <c r="A3416" t="s">
        <v>10491</v>
      </c>
      <c r="B3416" t="s">
        <v>10492</v>
      </c>
      <c r="C3416" s="2">
        <v>46251.583333333336</v>
      </c>
      <c r="D3416" t="s">
        <v>418</v>
      </c>
      <c r="E3416" t="s">
        <v>32</v>
      </c>
      <c r="F3416" t="s">
        <v>108</v>
      </c>
      <c r="G3416" t="s">
        <v>109</v>
      </c>
      <c r="H3416">
        <v>4</v>
      </c>
      <c r="I3416" t="s">
        <v>10493</v>
      </c>
      <c r="J3416" t="s">
        <v>357</v>
      </c>
    </row>
    <row r="3417" spans="1:10" x14ac:dyDescent="0.25">
      <c r="A3417" t="s">
        <v>10494</v>
      </c>
      <c r="B3417" t="s">
        <v>10495</v>
      </c>
      <c r="C3417" s="2">
        <v>46251.583333333336</v>
      </c>
      <c r="D3417" t="s">
        <v>418</v>
      </c>
      <c r="E3417" t="s">
        <v>41</v>
      </c>
      <c r="F3417" t="s">
        <v>293</v>
      </c>
      <c r="G3417" t="s">
        <v>115</v>
      </c>
      <c r="H3417">
        <v>5</v>
      </c>
      <c r="I3417" t="s">
        <v>10496</v>
      </c>
      <c r="J3417" t="s">
        <v>357</v>
      </c>
    </row>
    <row r="3418" spans="1:10" x14ac:dyDescent="0.25">
      <c r="A3418" t="s">
        <v>10497</v>
      </c>
      <c r="B3418" t="s">
        <v>10498</v>
      </c>
      <c r="C3418" s="2">
        <v>46251.583333333336</v>
      </c>
      <c r="D3418" t="s">
        <v>418</v>
      </c>
      <c r="E3418" t="s">
        <v>47</v>
      </c>
      <c r="F3418" t="s">
        <v>268</v>
      </c>
      <c r="G3418" t="s">
        <v>121</v>
      </c>
      <c r="H3418">
        <v>4</v>
      </c>
      <c r="I3418" t="s">
        <v>10499</v>
      </c>
      <c r="J3418" t="s">
        <v>357</v>
      </c>
    </row>
    <row r="3419" spans="1:10" x14ac:dyDescent="0.25">
      <c r="A3419" t="s">
        <v>10500</v>
      </c>
      <c r="B3419" t="s">
        <v>10501</v>
      </c>
      <c r="C3419" s="2">
        <v>46251.583333333336</v>
      </c>
      <c r="D3419" t="s">
        <v>418</v>
      </c>
      <c r="E3419" t="s">
        <v>51</v>
      </c>
      <c r="F3419" t="s">
        <v>254</v>
      </c>
      <c r="G3419" t="s">
        <v>125</v>
      </c>
      <c r="H3419">
        <v>3</v>
      </c>
      <c r="I3419" t="s">
        <v>10502</v>
      </c>
      <c r="J3419" t="s">
        <v>357</v>
      </c>
    </row>
    <row r="3420" spans="1:10" x14ac:dyDescent="0.25">
      <c r="A3420" t="s">
        <v>10503</v>
      </c>
      <c r="B3420" t="s">
        <v>10504</v>
      </c>
      <c r="C3420" s="2">
        <v>46251.583333333336</v>
      </c>
      <c r="D3420" t="s">
        <v>418</v>
      </c>
      <c r="E3420" t="s">
        <v>59</v>
      </c>
      <c r="F3420" t="s">
        <v>270</v>
      </c>
      <c r="G3420" t="s">
        <v>133</v>
      </c>
      <c r="H3420">
        <v>1</v>
      </c>
      <c r="I3420" t="s">
        <v>10505</v>
      </c>
      <c r="J3420" t="s">
        <v>357</v>
      </c>
    </row>
    <row r="3421" spans="1:10" x14ac:dyDescent="0.25">
      <c r="A3421" t="s">
        <v>10506</v>
      </c>
      <c r="B3421" t="s">
        <v>10507</v>
      </c>
      <c r="C3421" s="2">
        <v>46251.583333333336</v>
      </c>
      <c r="D3421" t="s">
        <v>418</v>
      </c>
      <c r="E3421" t="s">
        <v>65</v>
      </c>
      <c r="F3421" t="s">
        <v>241</v>
      </c>
      <c r="G3421" t="s">
        <v>135</v>
      </c>
      <c r="H3421">
        <v>3</v>
      </c>
      <c r="I3421" t="s">
        <v>10508</v>
      </c>
      <c r="J3421" t="s">
        <v>357</v>
      </c>
    </row>
    <row r="3422" spans="1:10" x14ac:dyDescent="0.25">
      <c r="A3422" t="s">
        <v>10509</v>
      </c>
      <c r="B3422" t="s">
        <v>10510</v>
      </c>
      <c r="C3422" s="2">
        <v>46251.583333333336</v>
      </c>
      <c r="D3422" t="s">
        <v>418</v>
      </c>
      <c r="E3422" t="s">
        <v>67</v>
      </c>
      <c r="F3422" t="s">
        <v>271</v>
      </c>
      <c r="G3422" t="s">
        <v>137</v>
      </c>
      <c r="H3422">
        <v>4</v>
      </c>
      <c r="I3422" t="s">
        <v>10511</v>
      </c>
      <c r="J3422" t="s">
        <v>357</v>
      </c>
    </row>
    <row r="3423" spans="1:10" x14ac:dyDescent="0.25">
      <c r="A3423" t="s">
        <v>10512</v>
      </c>
      <c r="B3423" t="s">
        <v>10513</v>
      </c>
      <c r="C3423" s="2">
        <v>46251.583333333336</v>
      </c>
      <c r="D3423" t="s">
        <v>418</v>
      </c>
      <c r="E3423" t="s">
        <v>71</v>
      </c>
      <c r="F3423" t="s">
        <v>257</v>
      </c>
      <c r="G3423" t="s">
        <v>141</v>
      </c>
      <c r="H3423">
        <v>5</v>
      </c>
      <c r="I3423" t="s">
        <v>10514</v>
      </c>
      <c r="J3423" t="s">
        <v>357</v>
      </c>
    </row>
    <row r="3424" spans="1:10" x14ac:dyDescent="0.25">
      <c r="A3424" t="s">
        <v>10515</v>
      </c>
      <c r="B3424" t="s">
        <v>10516</v>
      </c>
      <c r="C3424" s="2">
        <v>46251.583333333336</v>
      </c>
      <c r="D3424" t="s">
        <v>418</v>
      </c>
      <c r="E3424" t="s">
        <v>11</v>
      </c>
      <c r="F3424" t="s">
        <v>285</v>
      </c>
      <c r="G3424" t="s">
        <v>92</v>
      </c>
      <c r="H3424">
        <v>2</v>
      </c>
      <c r="I3424" t="s">
        <v>10517</v>
      </c>
      <c r="J3424" t="s">
        <v>357</v>
      </c>
    </row>
    <row r="3425" spans="1:10" x14ac:dyDescent="0.25">
      <c r="A3425" t="s">
        <v>10518</v>
      </c>
      <c r="B3425" t="s">
        <v>10519</v>
      </c>
      <c r="C3425" s="2">
        <v>46251.583333333336</v>
      </c>
      <c r="D3425" t="s">
        <v>418</v>
      </c>
      <c r="E3425" t="s">
        <v>18</v>
      </c>
      <c r="F3425" t="s">
        <v>244</v>
      </c>
      <c r="G3425" t="s">
        <v>95</v>
      </c>
      <c r="H3425">
        <v>2</v>
      </c>
      <c r="I3425" t="s">
        <v>10520</v>
      </c>
      <c r="J3425" t="s">
        <v>357</v>
      </c>
    </row>
    <row r="3426" spans="1:10" x14ac:dyDescent="0.25">
      <c r="A3426" t="s">
        <v>10521</v>
      </c>
      <c r="B3426" t="s">
        <v>10522</v>
      </c>
      <c r="C3426" s="2">
        <v>46251.583333333336</v>
      </c>
      <c r="D3426" t="s">
        <v>418</v>
      </c>
      <c r="E3426" t="s">
        <v>20</v>
      </c>
      <c r="F3426" t="s">
        <v>287</v>
      </c>
      <c r="G3426" t="s">
        <v>97</v>
      </c>
      <c r="H3426">
        <v>5</v>
      </c>
      <c r="I3426" t="s">
        <v>10523</v>
      </c>
      <c r="J3426" t="s">
        <v>357</v>
      </c>
    </row>
    <row r="3427" spans="1:10" x14ac:dyDescent="0.25">
      <c r="A3427" t="s">
        <v>10524</v>
      </c>
      <c r="B3427" t="s">
        <v>10525</v>
      </c>
      <c r="C3427" s="2">
        <v>46251.583333333336</v>
      </c>
      <c r="D3427" t="s">
        <v>418</v>
      </c>
      <c r="E3427" t="s">
        <v>22</v>
      </c>
      <c r="F3427" t="s">
        <v>277</v>
      </c>
      <c r="G3427" t="s">
        <v>99</v>
      </c>
      <c r="H3427">
        <v>4</v>
      </c>
      <c r="I3427" t="s">
        <v>10526</v>
      </c>
      <c r="J3427" t="s">
        <v>357</v>
      </c>
    </row>
    <row r="3428" spans="1:10" x14ac:dyDescent="0.25">
      <c r="A3428" t="s">
        <v>10527</v>
      </c>
      <c r="B3428" t="s">
        <v>10528</v>
      </c>
      <c r="C3428" s="2">
        <v>46251.583333333336</v>
      </c>
      <c r="D3428" t="s">
        <v>418</v>
      </c>
      <c r="E3428" t="s">
        <v>24</v>
      </c>
      <c r="F3428" t="s">
        <v>218</v>
      </c>
      <c r="G3428" t="s">
        <v>101</v>
      </c>
      <c r="H3428">
        <v>1</v>
      </c>
      <c r="I3428" t="s">
        <v>10529</v>
      </c>
      <c r="J3428" t="s">
        <v>357</v>
      </c>
    </row>
    <row r="3429" spans="1:10" x14ac:dyDescent="0.25">
      <c r="A3429" t="s">
        <v>10530</v>
      </c>
      <c r="B3429" t="s">
        <v>10531</v>
      </c>
      <c r="C3429" s="2">
        <v>46251.583333333336</v>
      </c>
      <c r="D3429" t="s">
        <v>418</v>
      </c>
      <c r="E3429" t="s">
        <v>26</v>
      </c>
      <c r="F3429" t="s">
        <v>290</v>
      </c>
      <c r="G3429" t="s">
        <v>103</v>
      </c>
      <c r="H3429">
        <v>1</v>
      </c>
      <c r="I3429" t="s">
        <v>10532</v>
      </c>
      <c r="J3429" t="s">
        <v>357</v>
      </c>
    </row>
    <row r="3430" spans="1:10" x14ac:dyDescent="0.25">
      <c r="A3430" t="s">
        <v>10533</v>
      </c>
      <c r="B3430" t="s">
        <v>10534</v>
      </c>
      <c r="C3430" s="2">
        <v>46251.583333333336</v>
      </c>
      <c r="D3430" t="s">
        <v>418</v>
      </c>
      <c r="E3430" t="s">
        <v>32</v>
      </c>
      <c r="F3430" t="s">
        <v>108</v>
      </c>
      <c r="G3430" t="s">
        <v>109</v>
      </c>
      <c r="H3430">
        <v>1</v>
      </c>
      <c r="I3430" t="s">
        <v>10535</v>
      </c>
      <c r="J3430" t="s">
        <v>357</v>
      </c>
    </row>
    <row r="3431" spans="1:10" x14ac:dyDescent="0.25">
      <c r="A3431" t="s">
        <v>10536</v>
      </c>
      <c r="B3431" t="s">
        <v>10537</v>
      </c>
      <c r="C3431" s="2">
        <v>46251.583333333336</v>
      </c>
      <c r="D3431" t="s">
        <v>418</v>
      </c>
      <c r="E3431" t="s">
        <v>51</v>
      </c>
      <c r="F3431" t="s">
        <v>254</v>
      </c>
      <c r="G3431" t="s">
        <v>125</v>
      </c>
      <c r="H3431">
        <v>2</v>
      </c>
      <c r="I3431" t="s">
        <v>10538</v>
      </c>
      <c r="J3431" t="s">
        <v>357</v>
      </c>
    </row>
    <row r="3432" spans="1:10" x14ac:dyDescent="0.25">
      <c r="A3432" t="s">
        <v>10539</v>
      </c>
      <c r="B3432" t="s">
        <v>10540</v>
      </c>
      <c r="C3432" s="2">
        <v>46251.583333333336</v>
      </c>
      <c r="D3432" t="s">
        <v>418</v>
      </c>
      <c r="E3432" t="s">
        <v>53</v>
      </c>
      <c r="F3432" t="s">
        <v>239</v>
      </c>
      <c r="G3432" t="s">
        <v>127</v>
      </c>
      <c r="H3432">
        <v>5</v>
      </c>
      <c r="I3432" t="s">
        <v>10541</v>
      </c>
      <c r="J3432" t="s">
        <v>357</v>
      </c>
    </row>
    <row r="3433" spans="1:10" x14ac:dyDescent="0.25">
      <c r="A3433" t="s">
        <v>10542</v>
      </c>
      <c r="B3433" t="s">
        <v>10543</v>
      </c>
      <c r="C3433" s="2">
        <v>46251.583333333336</v>
      </c>
      <c r="D3433" t="s">
        <v>418</v>
      </c>
      <c r="E3433" t="s">
        <v>55</v>
      </c>
      <c r="F3433" t="s">
        <v>298</v>
      </c>
      <c r="G3433" t="s">
        <v>129</v>
      </c>
      <c r="H3433">
        <v>2</v>
      </c>
      <c r="I3433" t="s">
        <v>10544</v>
      </c>
      <c r="J3433" t="s">
        <v>357</v>
      </c>
    </row>
    <row r="3434" spans="1:10" x14ac:dyDescent="0.25">
      <c r="A3434" t="s">
        <v>10545</v>
      </c>
      <c r="B3434" t="s">
        <v>10546</v>
      </c>
      <c r="C3434" s="2">
        <v>46251.583333333336</v>
      </c>
      <c r="D3434" t="s">
        <v>418</v>
      </c>
      <c r="E3434" t="s">
        <v>77</v>
      </c>
      <c r="F3434" t="s">
        <v>243</v>
      </c>
      <c r="G3434" t="s">
        <v>147</v>
      </c>
      <c r="H3434">
        <v>1</v>
      </c>
      <c r="I3434" t="s">
        <v>10547</v>
      </c>
      <c r="J3434" t="s">
        <v>357</v>
      </c>
    </row>
    <row r="3435" spans="1:10" x14ac:dyDescent="0.25">
      <c r="A3435" t="s">
        <v>10548</v>
      </c>
      <c r="B3435" t="s">
        <v>10549</v>
      </c>
      <c r="C3435" s="2">
        <v>46251.583333333336</v>
      </c>
      <c r="D3435" t="s">
        <v>418</v>
      </c>
      <c r="E3435" t="s">
        <v>11</v>
      </c>
      <c r="F3435" t="s">
        <v>285</v>
      </c>
      <c r="G3435" t="s">
        <v>92</v>
      </c>
      <c r="H3435">
        <v>4</v>
      </c>
      <c r="I3435" t="s">
        <v>10550</v>
      </c>
      <c r="J3435" t="s">
        <v>357</v>
      </c>
    </row>
    <row r="3436" spans="1:10" x14ac:dyDescent="0.25">
      <c r="A3436" t="s">
        <v>10551</v>
      </c>
      <c r="B3436" t="s">
        <v>10552</v>
      </c>
      <c r="C3436" s="2">
        <v>46251.583333333336</v>
      </c>
      <c r="D3436" t="s">
        <v>418</v>
      </c>
      <c r="E3436" t="s">
        <v>18</v>
      </c>
      <c r="F3436" t="s">
        <v>244</v>
      </c>
      <c r="G3436" t="s">
        <v>95</v>
      </c>
      <c r="H3436">
        <v>3</v>
      </c>
      <c r="I3436" t="s">
        <v>10553</v>
      </c>
      <c r="J3436" t="s">
        <v>357</v>
      </c>
    </row>
    <row r="3437" spans="1:10" x14ac:dyDescent="0.25">
      <c r="A3437" t="s">
        <v>10554</v>
      </c>
      <c r="B3437" t="s">
        <v>10555</v>
      </c>
      <c r="C3437" s="2">
        <v>46251.583333333336</v>
      </c>
      <c r="D3437" t="s">
        <v>418</v>
      </c>
      <c r="E3437" t="s">
        <v>20</v>
      </c>
      <c r="F3437" t="s">
        <v>287</v>
      </c>
      <c r="G3437" t="s">
        <v>97</v>
      </c>
      <c r="H3437">
        <v>6</v>
      </c>
      <c r="I3437" t="s">
        <v>10556</v>
      </c>
      <c r="J3437" t="s">
        <v>357</v>
      </c>
    </row>
    <row r="3438" spans="1:10" x14ac:dyDescent="0.25">
      <c r="A3438" t="s">
        <v>10557</v>
      </c>
      <c r="B3438" t="s">
        <v>10558</v>
      </c>
      <c r="C3438" s="2">
        <v>46251.583333333336</v>
      </c>
      <c r="D3438" t="s">
        <v>418</v>
      </c>
      <c r="E3438" t="s">
        <v>22</v>
      </c>
      <c r="F3438" t="s">
        <v>277</v>
      </c>
      <c r="G3438" t="s">
        <v>99</v>
      </c>
      <c r="H3438">
        <v>1</v>
      </c>
      <c r="I3438" t="s">
        <v>10559</v>
      </c>
      <c r="J3438" t="s">
        <v>357</v>
      </c>
    </row>
    <row r="3439" spans="1:10" x14ac:dyDescent="0.25">
      <c r="A3439" t="s">
        <v>10560</v>
      </c>
      <c r="B3439" t="s">
        <v>10561</v>
      </c>
      <c r="C3439" s="2">
        <v>46251.583333333336</v>
      </c>
      <c r="D3439" t="s">
        <v>418</v>
      </c>
      <c r="E3439" t="s">
        <v>26</v>
      </c>
      <c r="F3439" t="s">
        <v>290</v>
      </c>
      <c r="G3439" t="s">
        <v>103</v>
      </c>
      <c r="H3439">
        <v>1</v>
      </c>
      <c r="I3439" t="s">
        <v>10562</v>
      </c>
      <c r="J3439" t="s">
        <v>357</v>
      </c>
    </row>
    <row r="3440" spans="1:10" x14ac:dyDescent="0.25">
      <c r="A3440" t="s">
        <v>10563</v>
      </c>
      <c r="B3440" t="s">
        <v>10564</v>
      </c>
      <c r="C3440" s="2">
        <v>46251.583333333336</v>
      </c>
      <c r="D3440" t="s">
        <v>418</v>
      </c>
      <c r="E3440" t="s">
        <v>67</v>
      </c>
      <c r="F3440" t="s">
        <v>271</v>
      </c>
      <c r="G3440" t="s">
        <v>137</v>
      </c>
      <c r="H3440">
        <v>7</v>
      </c>
      <c r="I3440" t="s">
        <v>10565</v>
      </c>
      <c r="J3440" t="s">
        <v>357</v>
      </c>
    </row>
    <row r="3441" spans="1:10" x14ac:dyDescent="0.25">
      <c r="A3441" t="s">
        <v>10566</v>
      </c>
      <c r="B3441" t="s">
        <v>10567</v>
      </c>
      <c r="C3441" s="2">
        <v>46251.583333333336</v>
      </c>
      <c r="D3441" t="s">
        <v>418</v>
      </c>
      <c r="E3441" t="s">
        <v>73</v>
      </c>
      <c r="F3441" t="s">
        <v>258</v>
      </c>
      <c r="G3441" t="s">
        <v>143</v>
      </c>
      <c r="H3441">
        <v>6</v>
      </c>
      <c r="I3441" t="s">
        <v>10568</v>
      </c>
      <c r="J3441" t="s">
        <v>357</v>
      </c>
    </row>
    <row r="3442" spans="1:10" x14ac:dyDescent="0.25">
      <c r="A3442" t="s">
        <v>10569</v>
      </c>
      <c r="B3442" t="s">
        <v>10570</v>
      </c>
      <c r="C3442" s="2">
        <v>46251.583333333336</v>
      </c>
      <c r="D3442" t="s">
        <v>418</v>
      </c>
      <c r="E3442" t="s">
        <v>75</v>
      </c>
      <c r="F3442" t="s">
        <v>259</v>
      </c>
      <c r="G3442" t="s">
        <v>145</v>
      </c>
      <c r="H3442">
        <v>7</v>
      </c>
      <c r="I3442" t="s">
        <v>10571</v>
      </c>
      <c r="J3442" t="s">
        <v>357</v>
      </c>
    </row>
    <row r="3443" spans="1:10" x14ac:dyDescent="0.25">
      <c r="A3443" t="s">
        <v>10572</v>
      </c>
      <c r="B3443" t="s">
        <v>10573</v>
      </c>
      <c r="C3443" s="2">
        <v>46251.583333333336</v>
      </c>
      <c r="D3443" t="s">
        <v>418</v>
      </c>
      <c r="E3443" t="s">
        <v>11</v>
      </c>
      <c r="F3443" t="s">
        <v>285</v>
      </c>
      <c r="G3443" t="s">
        <v>92</v>
      </c>
      <c r="H3443">
        <v>3</v>
      </c>
      <c r="I3443" t="s">
        <v>10574</v>
      </c>
      <c r="J3443" t="s">
        <v>357</v>
      </c>
    </row>
    <row r="3444" spans="1:10" x14ac:dyDescent="0.25">
      <c r="A3444" t="s">
        <v>10575</v>
      </c>
      <c r="B3444" t="s">
        <v>10576</v>
      </c>
      <c r="C3444" s="2">
        <v>46251.583333333336</v>
      </c>
      <c r="D3444" t="s">
        <v>418</v>
      </c>
      <c r="E3444" t="s">
        <v>18</v>
      </c>
      <c r="F3444" t="s">
        <v>244</v>
      </c>
      <c r="G3444" t="s">
        <v>95</v>
      </c>
      <c r="H3444">
        <v>2</v>
      </c>
      <c r="I3444" t="s">
        <v>10577</v>
      </c>
      <c r="J3444" t="s">
        <v>357</v>
      </c>
    </row>
    <row r="3445" spans="1:10" x14ac:dyDescent="0.25">
      <c r="A3445" t="s">
        <v>10578</v>
      </c>
      <c r="B3445" t="s">
        <v>10579</v>
      </c>
      <c r="C3445" s="2">
        <v>46251.583333333336</v>
      </c>
      <c r="D3445" t="s">
        <v>418</v>
      </c>
      <c r="E3445" t="s">
        <v>18</v>
      </c>
      <c r="F3445" t="s">
        <v>286</v>
      </c>
      <c r="G3445" t="s">
        <v>95</v>
      </c>
      <c r="H3445">
        <v>1</v>
      </c>
      <c r="I3445" t="s">
        <v>10577</v>
      </c>
      <c r="J3445" t="s">
        <v>357</v>
      </c>
    </row>
    <row r="3446" spans="1:10" x14ac:dyDescent="0.25">
      <c r="A3446" t="s">
        <v>10580</v>
      </c>
      <c r="B3446" t="s">
        <v>10581</v>
      </c>
      <c r="C3446" s="2">
        <v>46251.583333333336</v>
      </c>
      <c r="D3446" t="s">
        <v>418</v>
      </c>
      <c r="E3446" t="s">
        <v>20</v>
      </c>
      <c r="F3446" t="s">
        <v>287</v>
      </c>
      <c r="G3446" t="s">
        <v>97</v>
      </c>
      <c r="H3446">
        <v>4</v>
      </c>
      <c r="I3446" t="s">
        <v>10582</v>
      </c>
      <c r="J3446" t="s">
        <v>357</v>
      </c>
    </row>
    <row r="3447" spans="1:10" x14ac:dyDescent="0.25">
      <c r="A3447" t="s">
        <v>10583</v>
      </c>
      <c r="B3447" t="s">
        <v>10584</v>
      </c>
      <c r="C3447" s="2">
        <v>46251.583333333336</v>
      </c>
      <c r="D3447" t="s">
        <v>418</v>
      </c>
      <c r="E3447" t="s">
        <v>22</v>
      </c>
      <c r="F3447" t="s">
        <v>277</v>
      </c>
      <c r="G3447" t="s">
        <v>99</v>
      </c>
      <c r="H3447">
        <v>4</v>
      </c>
      <c r="I3447" t="s">
        <v>10585</v>
      </c>
      <c r="J3447" t="s">
        <v>357</v>
      </c>
    </row>
    <row r="3448" spans="1:10" x14ac:dyDescent="0.25">
      <c r="A3448" t="s">
        <v>10586</v>
      </c>
      <c r="B3448" t="s">
        <v>10587</v>
      </c>
      <c r="C3448" s="2">
        <v>46251.583333333336</v>
      </c>
      <c r="D3448" t="s">
        <v>418</v>
      </c>
      <c r="E3448" t="s">
        <v>24</v>
      </c>
      <c r="F3448" t="s">
        <v>218</v>
      </c>
      <c r="G3448" t="s">
        <v>101</v>
      </c>
      <c r="H3448">
        <v>3</v>
      </c>
      <c r="I3448" t="s">
        <v>10588</v>
      </c>
      <c r="J3448" t="s">
        <v>357</v>
      </c>
    </row>
    <row r="3449" spans="1:10" x14ac:dyDescent="0.25">
      <c r="A3449" t="s">
        <v>10589</v>
      </c>
      <c r="B3449" t="s">
        <v>10590</v>
      </c>
      <c r="C3449" s="2">
        <v>46251.583333333336</v>
      </c>
      <c r="D3449" t="s">
        <v>418</v>
      </c>
      <c r="E3449" t="s">
        <v>26</v>
      </c>
      <c r="F3449" t="s">
        <v>290</v>
      </c>
      <c r="G3449" t="s">
        <v>103</v>
      </c>
      <c r="H3449">
        <v>1</v>
      </c>
      <c r="I3449" t="s">
        <v>10591</v>
      </c>
      <c r="J3449" t="s">
        <v>357</v>
      </c>
    </row>
    <row r="3450" spans="1:10" x14ac:dyDescent="0.25">
      <c r="A3450" t="s">
        <v>10592</v>
      </c>
      <c r="B3450" t="s">
        <v>10593</v>
      </c>
      <c r="C3450" s="2">
        <v>46251.583333333336</v>
      </c>
      <c r="D3450" t="s">
        <v>418</v>
      </c>
      <c r="E3450" t="s">
        <v>28</v>
      </c>
      <c r="F3450" t="s">
        <v>249</v>
      </c>
      <c r="G3450" t="s">
        <v>105</v>
      </c>
      <c r="H3450">
        <v>4</v>
      </c>
      <c r="I3450" t="s">
        <v>10594</v>
      </c>
      <c r="J3450" t="s">
        <v>357</v>
      </c>
    </row>
    <row r="3451" spans="1:10" x14ac:dyDescent="0.25">
      <c r="A3451" t="s">
        <v>10595</v>
      </c>
      <c r="B3451" t="s">
        <v>10596</v>
      </c>
      <c r="C3451" s="2">
        <v>46251.583333333336</v>
      </c>
      <c r="D3451" t="s">
        <v>418</v>
      </c>
      <c r="E3451" t="s">
        <v>32</v>
      </c>
      <c r="F3451" t="s">
        <v>108</v>
      </c>
      <c r="G3451" t="s">
        <v>109</v>
      </c>
      <c r="H3451">
        <v>4</v>
      </c>
      <c r="I3451" t="s">
        <v>10597</v>
      </c>
      <c r="J3451" t="s">
        <v>357</v>
      </c>
    </row>
    <row r="3452" spans="1:10" x14ac:dyDescent="0.25">
      <c r="A3452" t="s">
        <v>10598</v>
      </c>
      <c r="B3452" t="s">
        <v>10599</v>
      </c>
      <c r="C3452" s="2">
        <v>46251.583333333336</v>
      </c>
      <c r="D3452" t="s">
        <v>418</v>
      </c>
      <c r="E3452" t="s">
        <v>36</v>
      </c>
      <c r="F3452" t="s">
        <v>187</v>
      </c>
      <c r="G3452" t="s">
        <v>113</v>
      </c>
      <c r="H3452">
        <v>4</v>
      </c>
      <c r="I3452" t="s">
        <v>10600</v>
      </c>
      <c r="J3452" t="s">
        <v>357</v>
      </c>
    </row>
    <row r="3453" spans="1:10" x14ac:dyDescent="0.25">
      <c r="A3453" t="s">
        <v>10601</v>
      </c>
      <c r="B3453" t="s">
        <v>10602</v>
      </c>
      <c r="C3453" s="2">
        <v>46251.583333333336</v>
      </c>
      <c r="D3453" t="s">
        <v>418</v>
      </c>
      <c r="E3453" t="s">
        <v>41</v>
      </c>
      <c r="F3453" t="s">
        <v>293</v>
      </c>
      <c r="G3453" t="s">
        <v>115</v>
      </c>
      <c r="H3453">
        <v>4</v>
      </c>
      <c r="I3453" t="s">
        <v>10603</v>
      </c>
      <c r="J3453" t="s">
        <v>357</v>
      </c>
    </row>
    <row r="3454" spans="1:10" x14ac:dyDescent="0.25">
      <c r="A3454" t="s">
        <v>10604</v>
      </c>
      <c r="B3454" t="s">
        <v>10605</v>
      </c>
      <c r="C3454" s="2">
        <v>46251.583333333336</v>
      </c>
      <c r="D3454" t="s">
        <v>418</v>
      </c>
      <c r="E3454" t="s">
        <v>51</v>
      </c>
      <c r="F3454" t="s">
        <v>254</v>
      </c>
      <c r="G3454" t="s">
        <v>125</v>
      </c>
      <c r="H3454">
        <v>4</v>
      </c>
      <c r="I3454" t="s">
        <v>10606</v>
      </c>
      <c r="J3454" t="s">
        <v>357</v>
      </c>
    </row>
    <row r="3455" spans="1:10" x14ac:dyDescent="0.25">
      <c r="A3455" t="s">
        <v>10607</v>
      </c>
      <c r="B3455" t="s">
        <v>10608</v>
      </c>
      <c r="C3455" s="2">
        <v>46251.583333333336</v>
      </c>
      <c r="D3455" t="s">
        <v>418</v>
      </c>
      <c r="E3455" t="s">
        <v>55</v>
      </c>
      <c r="F3455" t="s">
        <v>298</v>
      </c>
      <c r="G3455" t="s">
        <v>129</v>
      </c>
      <c r="H3455">
        <v>4</v>
      </c>
      <c r="I3455" t="s">
        <v>10609</v>
      </c>
      <c r="J3455" t="s">
        <v>357</v>
      </c>
    </row>
    <row r="3456" spans="1:10" x14ac:dyDescent="0.25">
      <c r="A3456" t="s">
        <v>10610</v>
      </c>
      <c r="B3456" t="s">
        <v>10611</v>
      </c>
      <c r="C3456" s="2">
        <v>46251.583333333336</v>
      </c>
      <c r="D3456" t="s">
        <v>418</v>
      </c>
      <c r="E3456" t="s">
        <v>67</v>
      </c>
      <c r="F3456" t="s">
        <v>271</v>
      </c>
      <c r="G3456" t="s">
        <v>137</v>
      </c>
      <c r="H3456">
        <v>4</v>
      </c>
      <c r="I3456" t="s">
        <v>10612</v>
      </c>
      <c r="J3456" t="s">
        <v>357</v>
      </c>
    </row>
    <row r="3457" spans="1:10" x14ac:dyDescent="0.25">
      <c r="A3457" t="s">
        <v>10613</v>
      </c>
      <c r="B3457" t="s">
        <v>10614</v>
      </c>
      <c r="C3457" s="2">
        <v>46252.333333333336</v>
      </c>
      <c r="D3457" t="s">
        <v>1412</v>
      </c>
      <c r="E3457" t="s">
        <v>11</v>
      </c>
      <c r="F3457" t="s">
        <v>304</v>
      </c>
      <c r="G3457" t="s">
        <v>92</v>
      </c>
      <c r="H3457">
        <v>83</v>
      </c>
      <c r="I3457" t="s">
        <v>357</v>
      </c>
      <c r="J3457" t="s">
        <v>10615</v>
      </c>
    </row>
    <row r="3458" spans="1:10" x14ac:dyDescent="0.25">
      <c r="A3458" t="s">
        <v>10616</v>
      </c>
      <c r="B3458" t="s">
        <v>10617</v>
      </c>
      <c r="C3458" s="2">
        <v>46252.333333333336</v>
      </c>
      <c r="D3458" t="s">
        <v>1412</v>
      </c>
      <c r="E3458" t="s">
        <v>18</v>
      </c>
      <c r="F3458" t="s">
        <v>305</v>
      </c>
      <c r="G3458" t="s">
        <v>95</v>
      </c>
      <c r="H3458">
        <v>95</v>
      </c>
      <c r="I3458" t="s">
        <v>357</v>
      </c>
      <c r="J3458" t="s">
        <v>10618</v>
      </c>
    </row>
    <row r="3459" spans="1:10" x14ac:dyDescent="0.25">
      <c r="A3459" t="s">
        <v>10619</v>
      </c>
      <c r="B3459" t="s">
        <v>10620</v>
      </c>
      <c r="C3459" s="2">
        <v>46252.333333333336</v>
      </c>
      <c r="D3459" t="s">
        <v>1412</v>
      </c>
      <c r="E3459" t="s">
        <v>20</v>
      </c>
      <c r="F3459" t="s">
        <v>306</v>
      </c>
      <c r="G3459" t="s">
        <v>97</v>
      </c>
      <c r="H3459">
        <v>83</v>
      </c>
      <c r="I3459" t="s">
        <v>357</v>
      </c>
      <c r="J3459" t="s">
        <v>10621</v>
      </c>
    </row>
    <row r="3460" spans="1:10" x14ac:dyDescent="0.25">
      <c r="A3460" t="s">
        <v>10622</v>
      </c>
      <c r="B3460" t="s">
        <v>10623</v>
      </c>
      <c r="C3460" s="2">
        <v>46252.333333333336</v>
      </c>
      <c r="D3460" t="s">
        <v>1412</v>
      </c>
      <c r="E3460" t="s">
        <v>22</v>
      </c>
      <c r="F3460" t="s">
        <v>307</v>
      </c>
      <c r="G3460" t="s">
        <v>99</v>
      </c>
      <c r="H3460">
        <v>60</v>
      </c>
      <c r="I3460" t="s">
        <v>357</v>
      </c>
      <c r="J3460" t="s">
        <v>10624</v>
      </c>
    </row>
    <row r="3461" spans="1:10" x14ac:dyDescent="0.25">
      <c r="A3461" t="s">
        <v>10625</v>
      </c>
      <c r="B3461" t="s">
        <v>10626</v>
      </c>
      <c r="C3461" s="2">
        <v>46252.333333333336</v>
      </c>
      <c r="D3461" t="s">
        <v>1412</v>
      </c>
      <c r="E3461" t="s">
        <v>24</v>
      </c>
      <c r="F3461" t="s">
        <v>308</v>
      </c>
      <c r="G3461" t="s">
        <v>101</v>
      </c>
      <c r="H3461">
        <v>81</v>
      </c>
      <c r="I3461" t="s">
        <v>357</v>
      </c>
      <c r="J3461" t="s">
        <v>10627</v>
      </c>
    </row>
    <row r="3462" spans="1:10" x14ac:dyDescent="0.25">
      <c r="A3462" t="s">
        <v>10628</v>
      </c>
      <c r="B3462" t="s">
        <v>10629</v>
      </c>
      <c r="C3462" s="2">
        <v>46252.333333333336</v>
      </c>
      <c r="D3462" t="s">
        <v>1412</v>
      </c>
      <c r="E3462" t="s">
        <v>26</v>
      </c>
      <c r="F3462" t="s">
        <v>309</v>
      </c>
      <c r="G3462" t="s">
        <v>103</v>
      </c>
      <c r="H3462">
        <v>66</v>
      </c>
      <c r="I3462" t="s">
        <v>357</v>
      </c>
      <c r="J3462" t="s">
        <v>10630</v>
      </c>
    </row>
    <row r="3463" spans="1:10" x14ac:dyDescent="0.25">
      <c r="A3463" t="s">
        <v>10631</v>
      </c>
      <c r="B3463" t="s">
        <v>10632</v>
      </c>
      <c r="C3463" s="2">
        <v>46252.333333333336</v>
      </c>
      <c r="D3463" t="s">
        <v>1412</v>
      </c>
      <c r="E3463" t="s">
        <v>28</v>
      </c>
      <c r="F3463" t="s">
        <v>310</v>
      </c>
      <c r="G3463" t="s">
        <v>105</v>
      </c>
      <c r="H3463">
        <v>71</v>
      </c>
      <c r="I3463" t="s">
        <v>357</v>
      </c>
      <c r="J3463" t="s">
        <v>10633</v>
      </c>
    </row>
    <row r="3464" spans="1:10" x14ac:dyDescent="0.25">
      <c r="A3464" t="s">
        <v>10634</v>
      </c>
      <c r="B3464" t="s">
        <v>10635</v>
      </c>
      <c r="C3464" s="2">
        <v>46252.333333333336</v>
      </c>
      <c r="D3464" t="s">
        <v>1412</v>
      </c>
      <c r="E3464" t="s">
        <v>32</v>
      </c>
      <c r="F3464" t="s">
        <v>311</v>
      </c>
      <c r="G3464" t="s">
        <v>109</v>
      </c>
      <c r="H3464">
        <v>94</v>
      </c>
      <c r="I3464" t="s">
        <v>357</v>
      </c>
      <c r="J3464" t="s">
        <v>10636</v>
      </c>
    </row>
    <row r="3465" spans="1:10" x14ac:dyDescent="0.25">
      <c r="A3465" t="s">
        <v>10637</v>
      </c>
      <c r="B3465" t="s">
        <v>10638</v>
      </c>
      <c r="C3465" s="2">
        <v>46252.333333333336</v>
      </c>
      <c r="D3465" t="s">
        <v>1412</v>
      </c>
      <c r="E3465" t="s">
        <v>45</v>
      </c>
      <c r="F3465" t="s">
        <v>312</v>
      </c>
      <c r="G3465" t="s">
        <v>119</v>
      </c>
      <c r="H3465">
        <v>79</v>
      </c>
      <c r="I3465" t="s">
        <v>357</v>
      </c>
      <c r="J3465" t="s">
        <v>10639</v>
      </c>
    </row>
    <row r="3466" spans="1:10" x14ac:dyDescent="0.25">
      <c r="A3466" t="s">
        <v>10640</v>
      </c>
      <c r="B3466" t="s">
        <v>10641</v>
      </c>
      <c r="C3466" s="2">
        <v>46252.333333333336</v>
      </c>
      <c r="D3466" t="s">
        <v>1412</v>
      </c>
      <c r="E3466" t="s">
        <v>65</v>
      </c>
      <c r="F3466" t="s">
        <v>313</v>
      </c>
      <c r="G3466" t="s">
        <v>135</v>
      </c>
      <c r="H3466">
        <v>80</v>
      </c>
      <c r="I3466" t="s">
        <v>357</v>
      </c>
      <c r="J3466" t="s">
        <v>10642</v>
      </c>
    </row>
    <row r="3467" spans="1:10" x14ac:dyDescent="0.25">
      <c r="A3467" t="s">
        <v>10643</v>
      </c>
      <c r="B3467" t="s">
        <v>10644</v>
      </c>
      <c r="C3467" s="2">
        <v>46252.333333333336</v>
      </c>
      <c r="D3467" t="s">
        <v>1412</v>
      </c>
      <c r="E3467" t="s">
        <v>75</v>
      </c>
      <c r="F3467" t="s">
        <v>314</v>
      </c>
      <c r="G3467" t="s">
        <v>145</v>
      </c>
      <c r="H3467">
        <v>87</v>
      </c>
      <c r="I3467" t="s">
        <v>357</v>
      </c>
      <c r="J3467" t="s">
        <v>10645</v>
      </c>
    </row>
    <row r="3468" spans="1:10" x14ac:dyDescent="0.25">
      <c r="A3468" t="s">
        <v>10646</v>
      </c>
      <c r="B3468" t="s">
        <v>10647</v>
      </c>
      <c r="C3468" s="2">
        <v>46252.333333333336</v>
      </c>
      <c r="D3468" t="s">
        <v>1412</v>
      </c>
      <c r="E3468" t="s">
        <v>77</v>
      </c>
      <c r="F3468" t="s">
        <v>315</v>
      </c>
      <c r="G3468" t="s">
        <v>147</v>
      </c>
      <c r="H3468">
        <v>66</v>
      </c>
      <c r="I3468" t="s">
        <v>357</v>
      </c>
      <c r="J3468" t="s">
        <v>10648</v>
      </c>
    </row>
    <row r="3469" spans="1:10" x14ac:dyDescent="0.25">
      <c r="A3469" t="s">
        <v>10649</v>
      </c>
      <c r="B3469" t="s">
        <v>10650</v>
      </c>
      <c r="C3469" s="2">
        <v>46252.583333333336</v>
      </c>
      <c r="D3469" t="s">
        <v>418</v>
      </c>
      <c r="E3469" t="s">
        <v>11</v>
      </c>
      <c r="F3469" t="s">
        <v>285</v>
      </c>
      <c r="G3469" t="s">
        <v>92</v>
      </c>
      <c r="H3469">
        <v>4</v>
      </c>
      <c r="I3469" t="s">
        <v>10651</v>
      </c>
      <c r="J3469" t="s">
        <v>357</v>
      </c>
    </row>
    <row r="3470" spans="1:10" x14ac:dyDescent="0.25">
      <c r="A3470" t="s">
        <v>10652</v>
      </c>
      <c r="B3470" t="s">
        <v>10653</v>
      </c>
      <c r="C3470" s="2">
        <v>46252.583333333336</v>
      </c>
      <c r="D3470" t="s">
        <v>418</v>
      </c>
      <c r="E3470" t="s">
        <v>24</v>
      </c>
      <c r="F3470" t="s">
        <v>308</v>
      </c>
      <c r="G3470" t="s">
        <v>101</v>
      </c>
      <c r="H3470">
        <v>2</v>
      </c>
      <c r="I3470" t="s">
        <v>10654</v>
      </c>
      <c r="J3470" t="s">
        <v>357</v>
      </c>
    </row>
    <row r="3471" spans="1:10" x14ac:dyDescent="0.25">
      <c r="A3471" t="s">
        <v>10655</v>
      </c>
      <c r="B3471" t="s">
        <v>10656</v>
      </c>
      <c r="C3471" s="2">
        <v>46252.583333333336</v>
      </c>
      <c r="D3471" t="s">
        <v>418</v>
      </c>
      <c r="E3471" t="s">
        <v>26</v>
      </c>
      <c r="F3471" t="s">
        <v>309</v>
      </c>
      <c r="G3471" t="s">
        <v>103</v>
      </c>
      <c r="H3471">
        <v>2</v>
      </c>
      <c r="I3471" t="s">
        <v>10657</v>
      </c>
      <c r="J3471" t="s">
        <v>357</v>
      </c>
    </row>
    <row r="3472" spans="1:10" x14ac:dyDescent="0.25">
      <c r="A3472" t="s">
        <v>10658</v>
      </c>
      <c r="B3472" t="s">
        <v>10659</v>
      </c>
      <c r="C3472" s="2">
        <v>46252.583333333336</v>
      </c>
      <c r="D3472" t="s">
        <v>418</v>
      </c>
      <c r="E3472" t="s">
        <v>30</v>
      </c>
      <c r="F3472" t="s">
        <v>207</v>
      </c>
      <c r="G3472" t="s">
        <v>107</v>
      </c>
      <c r="H3472">
        <v>3</v>
      </c>
      <c r="I3472" t="s">
        <v>10660</v>
      </c>
      <c r="J3472" t="s">
        <v>357</v>
      </c>
    </row>
    <row r="3473" spans="1:10" x14ac:dyDescent="0.25">
      <c r="A3473" t="s">
        <v>10661</v>
      </c>
      <c r="B3473" t="s">
        <v>10662</v>
      </c>
      <c r="C3473" s="2">
        <v>46252.583333333336</v>
      </c>
      <c r="D3473" t="s">
        <v>418</v>
      </c>
      <c r="E3473" t="s">
        <v>45</v>
      </c>
      <c r="F3473" t="s">
        <v>225</v>
      </c>
      <c r="G3473" t="s">
        <v>119</v>
      </c>
      <c r="H3473">
        <v>2</v>
      </c>
      <c r="I3473" t="s">
        <v>10663</v>
      </c>
      <c r="J3473" t="s">
        <v>357</v>
      </c>
    </row>
    <row r="3474" spans="1:10" x14ac:dyDescent="0.25">
      <c r="A3474" t="s">
        <v>10664</v>
      </c>
      <c r="B3474" t="s">
        <v>10665</v>
      </c>
      <c r="C3474" s="2">
        <v>46252.583333333336</v>
      </c>
      <c r="D3474" t="s">
        <v>418</v>
      </c>
      <c r="E3474" t="s">
        <v>69</v>
      </c>
      <c r="F3474" t="s">
        <v>229</v>
      </c>
      <c r="G3474" t="s">
        <v>139</v>
      </c>
      <c r="H3474">
        <v>1</v>
      </c>
      <c r="I3474" t="s">
        <v>10666</v>
      </c>
      <c r="J3474" t="s">
        <v>357</v>
      </c>
    </row>
    <row r="3475" spans="1:10" x14ac:dyDescent="0.25">
      <c r="A3475" t="s">
        <v>10667</v>
      </c>
      <c r="B3475" t="s">
        <v>10668</v>
      </c>
      <c r="C3475" s="2">
        <v>46252.583333333336</v>
      </c>
      <c r="D3475" t="s">
        <v>418</v>
      </c>
      <c r="E3475" t="s">
        <v>71</v>
      </c>
      <c r="F3475" t="s">
        <v>257</v>
      </c>
      <c r="G3475" t="s">
        <v>141</v>
      </c>
      <c r="H3475">
        <v>2</v>
      </c>
      <c r="I3475" t="s">
        <v>10669</v>
      </c>
      <c r="J3475" t="s">
        <v>357</v>
      </c>
    </row>
    <row r="3476" spans="1:10" x14ac:dyDescent="0.25">
      <c r="A3476" t="s">
        <v>10670</v>
      </c>
      <c r="B3476" t="s">
        <v>10671</v>
      </c>
      <c r="C3476" s="2">
        <v>46252.583333333336</v>
      </c>
      <c r="D3476" t="s">
        <v>418</v>
      </c>
      <c r="E3476" t="s">
        <v>73</v>
      </c>
      <c r="F3476" t="s">
        <v>258</v>
      </c>
      <c r="G3476" t="s">
        <v>143</v>
      </c>
      <c r="H3476">
        <v>4</v>
      </c>
      <c r="I3476" t="s">
        <v>10672</v>
      </c>
      <c r="J3476" t="s">
        <v>357</v>
      </c>
    </row>
    <row r="3477" spans="1:10" x14ac:dyDescent="0.25">
      <c r="A3477" t="s">
        <v>10673</v>
      </c>
      <c r="B3477" t="s">
        <v>10674</v>
      </c>
      <c r="C3477" s="2">
        <v>46252.583333333336</v>
      </c>
      <c r="D3477" t="s">
        <v>418</v>
      </c>
      <c r="E3477" t="s">
        <v>75</v>
      </c>
      <c r="F3477" t="s">
        <v>259</v>
      </c>
      <c r="G3477" t="s">
        <v>145</v>
      </c>
      <c r="H3477">
        <v>1</v>
      </c>
      <c r="I3477" t="s">
        <v>10675</v>
      </c>
      <c r="J3477" t="s">
        <v>357</v>
      </c>
    </row>
    <row r="3478" spans="1:10" x14ac:dyDescent="0.25">
      <c r="A3478" t="s">
        <v>10676</v>
      </c>
      <c r="B3478" t="s">
        <v>10677</v>
      </c>
      <c r="C3478" s="2">
        <v>46252.583333333336</v>
      </c>
      <c r="D3478" t="s">
        <v>418</v>
      </c>
      <c r="E3478" t="s">
        <v>77</v>
      </c>
      <c r="F3478" t="s">
        <v>243</v>
      </c>
      <c r="G3478" t="s">
        <v>147</v>
      </c>
      <c r="H3478">
        <v>2</v>
      </c>
      <c r="I3478" t="s">
        <v>10678</v>
      </c>
      <c r="J3478" t="s">
        <v>357</v>
      </c>
    </row>
    <row r="3479" spans="1:10" x14ac:dyDescent="0.25">
      <c r="A3479" t="s">
        <v>10679</v>
      </c>
      <c r="B3479" t="s">
        <v>10680</v>
      </c>
      <c r="C3479" s="2">
        <v>46252.583333333336</v>
      </c>
      <c r="D3479" t="s">
        <v>418</v>
      </c>
      <c r="E3479" t="s">
        <v>11</v>
      </c>
      <c r="F3479" t="s">
        <v>285</v>
      </c>
      <c r="G3479" t="s">
        <v>92</v>
      </c>
      <c r="H3479">
        <v>2</v>
      </c>
      <c r="I3479" t="s">
        <v>10681</v>
      </c>
      <c r="J3479" t="s">
        <v>357</v>
      </c>
    </row>
    <row r="3480" spans="1:10" x14ac:dyDescent="0.25">
      <c r="A3480" t="s">
        <v>10682</v>
      </c>
      <c r="B3480" t="s">
        <v>10683</v>
      </c>
      <c r="C3480" s="2">
        <v>46252.583333333336</v>
      </c>
      <c r="D3480" t="s">
        <v>418</v>
      </c>
      <c r="E3480" t="s">
        <v>20</v>
      </c>
      <c r="F3480" t="s">
        <v>306</v>
      </c>
      <c r="G3480" t="s">
        <v>97</v>
      </c>
      <c r="H3480">
        <v>4</v>
      </c>
      <c r="I3480" t="s">
        <v>10684</v>
      </c>
      <c r="J3480" t="s">
        <v>357</v>
      </c>
    </row>
    <row r="3481" spans="1:10" x14ac:dyDescent="0.25">
      <c r="A3481" t="s">
        <v>10685</v>
      </c>
      <c r="B3481" t="s">
        <v>10686</v>
      </c>
      <c r="C3481" s="2">
        <v>46252.583333333336</v>
      </c>
      <c r="D3481" t="s">
        <v>418</v>
      </c>
      <c r="E3481" t="s">
        <v>26</v>
      </c>
      <c r="F3481" t="s">
        <v>309</v>
      </c>
      <c r="G3481" t="s">
        <v>103</v>
      </c>
      <c r="H3481">
        <v>5</v>
      </c>
      <c r="I3481" t="s">
        <v>10687</v>
      </c>
      <c r="J3481" t="s">
        <v>357</v>
      </c>
    </row>
    <row r="3482" spans="1:10" x14ac:dyDescent="0.25">
      <c r="A3482" t="s">
        <v>10688</v>
      </c>
      <c r="B3482" t="s">
        <v>10689</v>
      </c>
      <c r="C3482" s="2">
        <v>46252.583333333336</v>
      </c>
      <c r="D3482" t="s">
        <v>418</v>
      </c>
      <c r="E3482" t="s">
        <v>57</v>
      </c>
      <c r="F3482" t="s">
        <v>299</v>
      </c>
      <c r="G3482" t="s">
        <v>131</v>
      </c>
      <c r="H3482">
        <v>2</v>
      </c>
      <c r="I3482" t="s">
        <v>10690</v>
      </c>
      <c r="J3482" t="s">
        <v>357</v>
      </c>
    </row>
    <row r="3483" spans="1:10" x14ac:dyDescent="0.25">
      <c r="A3483" t="s">
        <v>10691</v>
      </c>
      <c r="B3483" t="s">
        <v>10692</v>
      </c>
      <c r="C3483" s="2">
        <v>46252.583333333336</v>
      </c>
      <c r="D3483" t="s">
        <v>418</v>
      </c>
      <c r="E3483" t="s">
        <v>69</v>
      </c>
      <c r="F3483" t="s">
        <v>229</v>
      </c>
      <c r="G3483" t="s">
        <v>139</v>
      </c>
      <c r="H3483">
        <v>5</v>
      </c>
      <c r="I3483" t="s">
        <v>10693</v>
      </c>
      <c r="J3483" t="s">
        <v>357</v>
      </c>
    </row>
    <row r="3484" spans="1:10" x14ac:dyDescent="0.25">
      <c r="A3484" t="s">
        <v>10694</v>
      </c>
      <c r="B3484" t="s">
        <v>10695</v>
      </c>
      <c r="C3484" s="2">
        <v>46252.583333333336</v>
      </c>
      <c r="D3484" t="s">
        <v>418</v>
      </c>
      <c r="E3484" t="s">
        <v>75</v>
      </c>
      <c r="F3484" t="s">
        <v>259</v>
      </c>
      <c r="G3484" t="s">
        <v>145</v>
      </c>
      <c r="H3484">
        <v>1</v>
      </c>
      <c r="I3484" t="s">
        <v>10696</v>
      </c>
      <c r="J3484" t="s">
        <v>357</v>
      </c>
    </row>
    <row r="3485" spans="1:10" x14ac:dyDescent="0.25">
      <c r="A3485" t="s">
        <v>10697</v>
      </c>
      <c r="B3485" t="s">
        <v>10698</v>
      </c>
      <c r="C3485" s="2">
        <v>46252.583333333336</v>
      </c>
      <c r="D3485" t="s">
        <v>418</v>
      </c>
      <c r="E3485" t="s">
        <v>77</v>
      </c>
      <c r="F3485" t="s">
        <v>243</v>
      </c>
      <c r="G3485" t="s">
        <v>147</v>
      </c>
      <c r="H3485">
        <v>2</v>
      </c>
      <c r="I3485" t="s">
        <v>10699</v>
      </c>
      <c r="J3485" t="s">
        <v>357</v>
      </c>
    </row>
    <row r="3486" spans="1:10" x14ac:dyDescent="0.25">
      <c r="A3486" t="s">
        <v>10700</v>
      </c>
      <c r="B3486" t="s">
        <v>10701</v>
      </c>
      <c r="C3486" s="2">
        <v>46252.583333333336</v>
      </c>
      <c r="D3486" t="s">
        <v>418</v>
      </c>
      <c r="E3486" t="s">
        <v>18</v>
      </c>
      <c r="F3486" t="s">
        <v>305</v>
      </c>
      <c r="G3486" t="s">
        <v>95</v>
      </c>
      <c r="H3486">
        <v>6</v>
      </c>
      <c r="I3486" t="s">
        <v>10702</v>
      </c>
      <c r="J3486" t="s">
        <v>357</v>
      </c>
    </row>
    <row r="3487" spans="1:10" x14ac:dyDescent="0.25">
      <c r="A3487" t="s">
        <v>10703</v>
      </c>
      <c r="B3487" t="s">
        <v>10704</v>
      </c>
      <c r="C3487" s="2">
        <v>46252.583333333336</v>
      </c>
      <c r="D3487" t="s">
        <v>418</v>
      </c>
      <c r="E3487" t="s">
        <v>20</v>
      </c>
      <c r="F3487" t="s">
        <v>306</v>
      </c>
      <c r="G3487" t="s">
        <v>97</v>
      </c>
      <c r="H3487">
        <v>1</v>
      </c>
      <c r="I3487" t="s">
        <v>10705</v>
      </c>
      <c r="J3487" t="s">
        <v>357</v>
      </c>
    </row>
    <row r="3488" spans="1:10" x14ac:dyDescent="0.25">
      <c r="A3488" t="s">
        <v>10706</v>
      </c>
      <c r="B3488" t="s">
        <v>10707</v>
      </c>
      <c r="C3488" s="2">
        <v>46252.583333333336</v>
      </c>
      <c r="D3488" t="s">
        <v>418</v>
      </c>
      <c r="E3488" t="s">
        <v>22</v>
      </c>
      <c r="F3488" t="s">
        <v>277</v>
      </c>
      <c r="G3488" t="s">
        <v>99</v>
      </c>
      <c r="H3488">
        <v>1</v>
      </c>
      <c r="I3488" t="s">
        <v>10708</v>
      </c>
      <c r="J3488" t="s">
        <v>357</v>
      </c>
    </row>
    <row r="3489" spans="1:10" x14ac:dyDescent="0.25">
      <c r="A3489" t="s">
        <v>10709</v>
      </c>
      <c r="B3489" t="s">
        <v>10710</v>
      </c>
      <c r="C3489" s="2">
        <v>46252.583333333336</v>
      </c>
      <c r="D3489" t="s">
        <v>418</v>
      </c>
      <c r="E3489" t="s">
        <v>24</v>
      </c>
      <c r="F3489" t="s">
        <v>308</v>
      </c>
      <c r="G3489" t="s">
        <v>101</v>
      </c>
      <c r="H3489">
        <v>5</v>
      </c>
      <c r="I3489" t="s">
        <v>10711</v>
      </c>
      <c r="J3489" t="s">
        <v>357</v>
      </c>
    </row>
    <row r="3490" spans="1:10" x14ac:dyDescent="0.25">
      <c r="A3490" t="s">
        <v>10712</v>
      </c>
      <c r="B3490" t="s">
        <v>10713</v>
      </c>
      <c r="C3490" s="2">
        <v>46252.583333333336</v>
      </c>
      <c r="D3490" t="s">
        <v>418</v>
      </c>
      <c r="E3490" t="s">
        <v>32</v>
      </c>
      <c r="F3490" t="s">
        <v>108</v>
      </c>
      <c r="G3490" t="s">
        <v>109</v>
      </c>
      <c r="H3490">
        <v>2</v>
      </c>
      <c r="I3490" t="s">
        <v>10714</v>
      </c>
      <c r="J3490" t="s">
        <v>357</v>
      </c>
    </row>
    <row r="3491" spans="1:10" x14ac:dyDescent="0.25">
      <c r="A3491" t="s">
        <v>10715</v>
      </c>
      <c r="B3491" t="s">
        <v>10716</v>
      </c>
      <c r="C3491" s="2">
        <v>46252.583333333336</v>
      </c>
      <c r="D3491" t="s">
        <v>418</v>
      </c>
      <c r="E3491" t="s">
        <v>36</v>
      </c>
      <c r="F3491" t="s">
        <v>187</v>
      </c>
      <c r="G3491" t="s">
        <v>113</v>
      </c>
      <c r="H3491">
        <v>2</v>
      </c>
      <c r="I3491" t="s">
        <v>10717</v>
      </c>
      <c r="J3491" t="s">
        <v>357</v>
      </c>
    </row>
    <row r="3492" spans="1:10" x14ac:dyDescent="0.25">
      <c r="A3492" t="s">
        <v>10718</v>
      </c>
      <c r="B3492" t="s">
        <v>10719</v>
      </c>
      <c r="C3492" s="2">
        <v>46252.583333333336</v>
      </c>
      <c r="D3492" t="s">
        <v>418</v>
      </c>
      <c r="E3492" t="s">
        <v>43</v>
      </c>
      <c r="F3492" t="s">
        <v>237</v>
      </c>
      <c r="G3492" t="s">
        <v>117</v>
      </c>
      <c r="H3492">
        <v>6</v>
      </c>
      <c r="I3492" t="s">
        <v>10720</v>
      </c>
      <c r="J3492" t="s">
        <v>357</v>
      </c>
    </row>
    <row r="3493" spans="1:10" x14ac:dyDescent="0.25">
      <c r="A3493" t="s">
        <v>10721</v>
      </c>
      <c r="B3493" t="s">
        <v>10722</v>
      </c>
      <c r="C3493" s="2">
        <v>46252.583333333336</v>
      </c>
      <c r="D3493" t="s">
        <v>418</v>
      </c>
      <c r="E3493" t="s">
        <v>55</v>
      </c>
      <c r="F3493" t="s">
        <v>298</v>
      </c>
      <c r="G3493" t="s">
        <v>129</v>
      </c>
      <c r="H3493">
        <v>4</v>
      </c>
      <c r="I3493" t="s">
        <v>10723</v>
      </c>
      <c r="J3493" t="s">
        <v>357</v>
      </c>
    </row>
    <row r="3494" spans="1:10" x14ac:dyDescent="0.25">
      <c r="A3494" t="s">
        <v>10724</v>
      </c>
      <c r="B3494" t="s">
        <v>10725</v>
      </c>
      <c r="C3494" s="2">
        <v>46252.583333333336</v>
      </c>
      <c r="D3494" t="s">
        <v>418</v>
      </c>
      <c r="E3494" t="s">
        <v>75</v>
      </c>
      <c r="F3494" t="s">
        <v>259</v>
      </c>
      <c r="G3494" t="s">
        <v>145</v>
      </c>
      <c r="H3494">
        <v>6</v>
      </c>
      <c r="I3494" t="s">
        <v>10726</v>
      </c>
      <c r="J3494" t="s">
        <v>357</v>
      </c>
    </row>
    <row r="3495" spans="1:10" x14ac:dyDescent="0.25">
      <c r="A3495" t="s">
        <v>10727</v>
      </c>
      <c r="B3495" t="s">
        <v>10728</v>
      </c>
      <c r="C3495" s="2">
        <v>46252.583333333336</v>
      </c>
      <c r="D3495" t="s">
        <v>418</v>
      </c>
      <c r="E3495" t="s">
        <v>11</v>
      </c>
      <c r="F3495" t="s">
        <v>285</v>
      </c>
      <c r="G3495" t="s">
        <v>92</v>
      </c>
      <c r="H3495">
        <v>7</v>
      </c>
      <c r="I3495" t="s">
        <v>10729</v>
      </c>
      <c r="J3495" t="s">
        <v>357</v>
      </c>
    </row>
    <row r="3496" spans="1:10" x14ac:dyDescent="0.25">
      <c r="A3496" t="s">
        <v>10730</v>
      </c>
      <c r="B3496" t="s">
        <v>10731</v>
      </c>
      <c r="C3496" s="2">
        <v>46252.583333333336</v>
      </c>
      <c r="D3496" t="s">
        <v>418</v>
      </c>
      <c r="E3496" t="s">
        <v>18</v>
      </c>
      <c r="F3496" t="s">
        <v>305</v>
      </c>
      <c r="G3496" t="s">
        <v>95</v>
      </c>
      <c r="H3496">
        <v>1</v>
      </c>
      <c r="I3496" t="s">
        <v>10732</v>
      </c>
      <c r="J3496" t="s">
        <v>357</v>
      </c>
    </row>
    <row r="3497" spans="1:10" x14ac:dyDescent="0.25">
      <c r="A3497" t="s">
        <v>10733</v>
      </c>
      <c r="B3497" t="s">
        <v>10734</v>
      </c>
      <c r="C3497" s="2">
        <v>46252.583333333336</v>
      </c>
      <c r="D3497" t="s">
        <v>418</v>
      </c>
      <c r="E3497" t="s">
        <v>24</v>
      </c>
      <c r="F3497" t="s">
        <v>308</v>
      </c>
      <c r="G3497" t="s">
        <v>101</v>
      </c>
      <c r="H3497">
        <v>6</v>
      </c>
      <c r="I3497" t="s">
        <v>10735</v>
      </c>
      <c r="J3497" t="s">
        <v>357</v>
      </c>
    </row>
    <row r="3498" spans="1:10" x14ac:dyDescent="0.25">
      <c r="A3498" t="s">
        <v>10736</v>
      </c>
      <c r="B3498" t="s">
        <v>10737</v>
      </c>
      <c r="C3498" s="2">
        <v>46252.583333333336</v>
      </c>
      <c r="D3498" t="s">
        <v>418</v>
      </c>
      <c r="E3498" t="s">
        <v>28</v>
      </c>
      <c r="F3498" t="s">
        <v>249</v>
      </c>
      <c r="G3498" t="s">
        <v>105</v>
      </c>
      <c r="H3498">
        <v>4</v>
      </c>
      <c r="I3498" t="s">
        <v>10738</v>
      </c>
      <c r="J3498" t="s">
        <v>357</v>
      </c>
    </row>
    <row r="3499" spans="1:10" x14ac:dyDescent="0.25">
      <c r="A3499" t="s">
        <v>10739</v>
      </c>
      <c r="B3499" t="s">
        <v>10740</v>
      </c>
      <c r="C3499" s="2">
        <v>46252.583333333336</v>
      </c>
      <c r="D3499" t="s">
        <v>418</v>
      </c>
      <c r="E3499" t="s">
        <v>32</v>
      </c>
      <c r="F3499" t="s">
        <v>108</v>
      </c>
      <c r="G3499" t="s">
        <v>109</v>
      </c>
      <c r="H3499">
        <v>1</v>
      </c>
      <c r="I3499" t="s">
        <v>10741</v>
      </c>
      <c r="J3499" t="s">
        <v>357</v>
      </c>
    </row>
    <row r="3500" spans="1:10" x14ac:dyDescent="0.25">
      <c r="A3500" t="s">
        <v>10742</v>
      </c>
      <c r="B3500" t="s">
        <v>10743</v>
      </c>
      <c r="C3500" s="2">
        <v>46252.583333333336</v>
      </c>
      <c r="D3500" t="s">
        <v>418</v>
      </c>
      <c r="E3500" t="s">
        <v>65</v>
      </c>
      <c r="F3500" t="s">
        <v>284</v>
      </c>
      <c r="G3500" t="s">
        <v>135</v>
      </c>
      <c r="H3500">
        <v>4</v>
      </c>
      <c r="I3500" t="s">
        <v>10744</v>
      </c>
      <c r="J3500" t="s">
        <v>357</v>
      </c>
    </row>
    <row r="3501" spans="1:10" x14ac:dyDescent="0.25">
      <c r="A3501" t="s">
        <v>10745</v>
      </c>
      <c r="B3501" t="s">
        <v>10746</v>
      </c>
      <c r="C3501" s="2">
        <v>46252.583333333336</v>
      </c>
      <c r="D3501" t="s">
        <v>418</v>
      </c>
      <c r="E3501" t="s">
        <v>71</v>
      </c>
      <c r="F3501" t="s">
        <v>257</v>
      </c>
      <c r="G3501" t="s">
        <v>141</v>
      </c>
      <c r="H3501">
        <v>3</v>
      </c>
      <c r="I3501" t="s">
        <v>10747</v>
      </c>
      <c r="J3501" t="s">
        <v>357</v>
      </c>
    </row>
    <row r="3502" spans="1:10" x14ac:dyDescent="0.25">
      <c r="A3502" t="s">
        <v>10748</v>
      </c>
      <c r="B3502" t="s">
        <v>10749</v>
      </c>
      <c r="C3502" s="2">
        <v>46252.583333333336</v>
      </c>
      <c r="D3502" t="s">
        <v>418</v>
      </c>
      <c r="E3502" t="s">
        <v>73</v>
      </c>
      <c r="F3502" t="s">
        <v>258</v>
      </c>
      <c r="G3502" t="s">
        <v>143</v>
      </c>
      <c r="H3502">
        <v>3</v>
      </c>
      <c r="I3502" t="s">
        <v>10750</v>
      </c>
      <c r="J3502" t="s">
        <v>357</v>
      </c>
    </row>
    <row r="3503" spans="1:10" x14ac:dyDescent="0.25">
      <c r="A3503" t="s">
        <v>10751</v>
      </c>
      <c r="B3503" t="s">
        <v>10752</v>
      </c>
      <c r="C3503" s="2">
        <v>46252.583333333336</v>
      </c>
      <c r="D3503" t="s">
        <v>418</v>
      </c>
      <c r="E3503" t="s">
        <v>75</v>
      </c>
      <c r="F3503" t="s">
        <v>259</v>
      </c>
      <c r="G3503" t="s">
        <v>145</v>
      </c>
      <c r="H3503">
        <v>4</v>
      </c>
      <c r="I3503" t="s">
        <v>10753</v>
      </c>
      <c r="J3503" t="s">
        <v>357</v>
      </c>
    </row>
    <row r="3504" spans="1:10" x14ac:dyDescent="0.25">
      <c r="A3504" t="s">
        <v>10754</v>
      </c>
      <c r="B3504" t="s">
        <v>10755</v>
      </c>
      <c r="C3504" s="2">
        <v>46252.583333333336</v>
      </c>
      <c r="D3504" t="s">
        <v>418</v>
      </c>
      <c r="E3504" t="s">
        <v>11</v>
      </c>
      <c r="F3504" t="s">
        <v>285</v>
      </c>
      <c r="G3504" t="s">
        <v>92</v>
      </c>
      <c r="H3504">
        <v>4</v>
      </c>
      <c r="I3504" t="s">
        <v>10756</v>
      </c>
      <c r="J3504" t="s">
        <v>357</v>
      </c>
    </row>
    <row r="3505" spans="1:10" x14ac:dyDescent="0.25">
      <c r="A3505" t="s">
        <v>10757</v>
      </c>
      <c r="B3505" t="s">
        <v>10758</v>
      </c>
      <c r="C3505" s="2">
        <v>46252.583333333336</v>
      </c>
      <c r="D3505" t="s">
        <v>418</v>
      </c>
      <c r="E3505" t="s">
        <v>18</v>
      </c>
      <c r="F3505" t="s">
        <v>305</v>
      </c>
      <c r="G3505" t="s">
        <v>95</v>
      </c>
      <c r="H3505">
        <v>1</v>
      </c>
      <c r="I3505" t="s">
        <v>10759</v>
      </c>
      <c r="J3505" t="s">
        <v>357</v>
      </c>
    </row>
    <row r="3506" spans="1:10" x14ac:dyDescent="0.25">
      <c r="A3506" t="s">
        <v>10760</v>
      </c>
      <c r="B3506" t="s">
        <v>10761</v>
      </c>
      <c r="C3506" s="2">
        <v>46252.583333333336</v>
      </c>
      <c r="D3506" t="s">
        <v>418</v>
      </c>
      <c r="E3506" t="s">
        <v>20</v>
      </c>
      <c r="F3506" t="s">
        <v>306</v>
      </c>
      <c r="G3506" t="s">
        <v>97</v>
      </c>
      <c r="H3506">
        <v>3</v>
      </c>
      <c r="I3506" t="s">
        <v>10762</v>
      </c>
      <c r="J3506" t="s">
        <v>357</v>
      </c>
    </row>
    <row r="3507" spans="1:10" x14ac:dyDescent="0.25">
      <c r="A3507" t="s">
        <v>10763</v>
      </c>
      <c r="B3507" t="s">
        <v>10764</v>
      </c>
      <c r="C3507" s="2">
        <v>46252.583333333336</v>
      </c>
      <c r="D3507" t="s">
        <v>418</v>
      </c>
      <c r="E3507" t="s">
        <v>22</v>
      </c>
      <c r="F3507" t="s">
        <v>277</v>
      </c>
      <c r="G3507" t="s">
        <v>99</v>
      </c>
      <c r="H3507">
        <v>4</v>
      </c>
      <c r="I3507" t="s">
        <v>10765</v>
      </c>
      <c r="J3507" t="s">
        <v>357</v>
      </c>
    </row>
    <row r="3508" spans="1:10" x14ac:dyDescent="0.25">
      <c r="A3508" t="s">
        <v>10766</v>
      </c>
      <c r="B3508" t="s">
        <v>10767</v>
      </c>
      <c r="C3508" s="2">
        <v>46252.583333333336</v>
      </c>
      <c r="D3508" t="s">
        <v>418</v>
      </c>
      <c r="E3508" t="s">
        <v>24</v>
      </c>
      <c r="F3508" t="s">
        <v>308</v>
      </c>
      <c r="G3508" t="s">
        <v>101</v>
      </c>
      <c r="H3508">
        <v>4</v>
      </c>
      <c r="I3508" t="s">
        <v>10768</v>
      </c>
      <c r="J3508" t="s">
        <v>357</v>
      </c>
    </row>
    <row r="3509" spans="1:10" x14ac:dyDescent="0.25">
      <c r="A3509" t="s">
        <v>10769</v>
      </c>
      <c r="B3509" t="s">
        <v>10770</v>
      </c>
      <c r="C3509" s="2">
        <v>46252.583333333336</v>
      </c>
      <c r="D3509" t="s">
        <v>418</v>
      </c>
      <c r="E3509" t="s">
        <v>32</v>
      </c>
      <c r="F3509" t="s">
        <v>108</v>
      </c>
      <c r="G3509" t="s">
        <v>109</v>
      </c>
      <c r="H3509">
        <v>2</v>
      </c>
      <c r="I3509" t="s">
        <v>10771</v>
      </c>
      <c r="J3509" t="s">
        <v>357</v>
      </c>
    </row>
    <row r="3510" spans="1:10" x14ac:dyDescent="0.25">
      <c r="A3510" t="s">
        <v>10772</v>
      </c>
      <c r="B3510" t="s">
        <v>10773</v>
      </c>
      <c r="C3510" s="2">
        <v>46252.583333333336</v>
      </c>
      <c r="D3510" t="s">
        <v>418</v>
      </c>
      <c r="E3510" t="s">
        <v>32</v>
      </c>
      <c r="F3510" t="s">
        <v>311</v>
      </c>
      <c r="G3510" t="s">
        <v>109</v>
      </c>
      <c r="H3510">
        <v>1</v>
      </c>
      <c r="I3510" t="s">
        <v>10771</v>
      </c>
      <c r="J3510" t="s">
        <v>357</v>
      </c>
    </row>
    <row r="3511" spans="1:10" x14ac:dyDescent="0.25">
      <c r="A3511" t="s">
        <v>10774</v>
      </c>
      <c r="B3511" t="s">
        <v>10775</v>
      </c>
      <c r="C3511" s="2">
        <v>46252.583333333336</v>
      </c>
      <c r="D3511" t="s">
        <v>418</v>
      </c>
      <c r="E3511" t="s">
        <v>43</v>
      </c>
      <c r="F3511" t="s">
        <v>237</v>
      </c>
      <c r="G3511" t="s">
        <v>117</v>
      </c>
      <c r="H3511">
        <v>4</v>
      </c>
      <c r="I3511" t="s">
        <v>10776</v>
      </c>
      <c r="J3511" t="s">
        <v>357</v>
      </c>
    </row>
    <row r="3512" spans="1:10" x14ac:dyDescent="0.25">
      <c r="A3512" t="s">
        <v>10777</v>
      </c>
      <c r="B3512" t="s">
        <v>10778</v>
      </c>
      <c r="C3512" s="2">
        <v>46252.583333333336</v>
      </c>
      <c r="D3512" t="s">
        <v>418</v>
      </c>
      <c r="E3512" t="s">
        <v>53</v>
      </c>
      <c r="F3512" t="s">
        <v>239</v>
      </c>
      <c r="G3512" t="s">
        <v>127</v>
      </c>
      <c r="H3512">
        <v>1</v>
      </c>
      <c r="I3512" t="s">
        <v>10779</v>
      </c>
      <c r="J3512" t="s">
        <v>357</v>
      </c>
    </row>
    <row r="3513" spans="1:10" x14ac:dyDescent="0.25">
      <c r="A3513" t="s">
        <v>10780</v>
      </c>
      <c r="B3513" t="s">
        <v>10781</v>
      </c>
      <c r="C3513" s="2">
        <v>46252.583333333336</v>
      </c>
      <c r="D3513" t="s">
        <v>418</v>
      </c>
      <c r="E3513" t="s">
        <v>73</v>
      </c>
      <c r="F3513" t="s">
        <v>258</v>
      </c>
      <c r="G3513" t="s">
        <v>143</v>
      </c>
      <c r="H3513">
        <v>1</v>
      </c>
      <c r="I3513" t="s">
        <v>10782</v>
      </c>
      <c r="J3513" t="s">
        <v>357</v>
      </c>
    </row>
    <row r="3514" spans="1:10" x14ac:dyDescent="0.25">
      <c r="A3514" t="s">
        <v>10783</v>
      </c>
      <c r="B3514" t="s">
        <v>10784</v>
      </c>
      <c r="C3514" s="2">
        <v>46252.583333333336</v>
      </c>
      <c r="D3514" t="s">
        <v>418</v>
      </c>
      <c r="E3514" t="s">
        <v>77</v>
      </c>
      <c r="F3514" t="s">
        <v>243</v>
      </c>
      <c r="G3514" t="s">
        <v>147</v>
      </c>
      <c r="H3514">
        <v>1</v>
      </c>
      <c r="I3514" t="s">
        <v>10785</v>
      </c>
      <c r="J3514" t="s">
        <v>357</v>
      </c>
    </row>
    <row r="3515" spans="1:10" x14ac:dyDescent="0.25">
      <c r="A3515" t="s">
        <v>10786</v>
      </c>
      <c r="B3515" t="s">
        <v>10787</v>
      </c>
      <c r="C3515" s="2">
        <v>46253.583333333336</v>
      </c>
      <c r="D3515" t="s">
        <v>418</v>
      </c>
      <c r="E3515" t="s">
        <v>18</v>
      </c>
      <c r="F3515" t="s">
        <v>305</v>
      </c>
      <c r="G3515" t="s">
        <v>95</v>
      </c>
      <c r="H3515">
        <v>1</v>
      </c>
      <c r="I3515" t="s">
        <v>10788</v>
      </c>
      <c r="J3515" t="s">
        <v>357</v>
      </c>
    </row>
    <row r="3516" spans="1:10" x14ac:dyDescent="0.25">
      <c r="A3516" t="s">
        <v>10789</v>
      </c>
      <c r="B3516" t="s">
        <v>10790</v>
      </c>
      <c r="C3516" s="2">
        <v>46253.583333333336</v>
      </c>
      <c r="D3516" t="s">
        <v>418</v>
      </c>
      <c r="E3516" t="s">
        <v>20</v>
      </c>
      <c r="F3516" t="s">
        <v>306</v>
      </c>
      <c r="G3516" t="s">
        <v>97</v>
      </c>
      <c r="H3516">
        <v>2</v>
      </c>
      <c r="I3516" t="s">
        <v>10791</v>
      </c>
      <c r="J3516" t="s">
        <v>357</v>
      </c>
    </row>
    <row r="3517" spans="1:10" x14ac:dyDescent="0.25">
      <c r="A3517" t="s">
        <v>10792</v>
      </c>
      <c r="B3517" t="s">
        <v>10793</v>
      </c>
      <c r="C3517" s="2">
        <v>46253.583333333336</v>
      </c>
      <c r="D3517" t="s">
        <v>418</v>
      </c>
      <c r="E3517" t="s">
        <v>26</v>
      </c>
      <c r="F3517" t="s">
        <v>309</v>
      </c>
      <c r="G3517" t="s">
        <v>103</v>
      </c>
      <c r="H3517">
        <v>2</v>
      </c>
      <c r="I3517" t="s">
        <v>10794</v>
      </c>
      <c r="J3517" t="s">
        <v>357</v>
      </c>
    </row>
    <row r="3518" spans="1:10" x14ac:dyDescent="0.25">
      <c r="A3518" t="s">
        <v>10795</v>
      </c>
      <c r="B3518" t="s">
        <v>10796</v>
      </c>
      <c r="C3518" s="2">
        <v>46253.583333333336</v>
      </c>
      <c r="D3518" t="s">
        <v>418</v>
      </c>
      <c r="E3518" t="s">
        <v>32</v>
      </c>
      <c r="F3518" t="s">
        <v>311</v>
      </c>
      <c r="G3518" t="s">
        <v>109</v>
      </c>
      <c r="H3518">
        <v>2</v>
      </c>
      <c r="I3518" t="s">
        <v>10797</v>
      </c>
      <c r="J3518" t="s">
        <v>357</v>
      </c>
    </row>
    <row r="3519" spans="1:10" x14ac:dyDescent="0.25">
      <c r="A3519" t="s">
        <v>10798</v>
      </c>
      <c r="B3519" t="s">
        <v>10799</v>
      </c>
      <c r="C3519" s="2">
        <v>46253.583333333336</v>
      </c>
      <c r="D3519" t="s">
        <v>418</v>
      </c>
      <c r="E3519" t="s">
        <v>51</v>
      </c>
      <c r="F3519" t="s">
        <v>254</v>
      </c>
      <c r="G3519" t="s">
        <v>125</v>
      </c>
      <c r="H3519">
        <v>2</v>
      </c>
      <c r="I3519" t="s">
        <v>10800</v>
      </c>
      <c r="J3519" t="s">
        <v>357</v>
      </c>
    </row>
    <row r="3520" spans="1:10" x14ac:dyDescent="0.25">
      <c r="A3520" t="s">
        <v>10801</v>
      </c>
      <c r="B3520" t="s">
        <v>10802</v>
      </c>
      <c r="C3520" s="2">
        <v>46253.583333333336</v>
      </c>
      <c r="D3520" t="s">
        <v>418</v>
      </c>
      <c r="E3520" t="s">
        <v>59</v>
      </c>
      <c r="F3520" t="s">
        <v>270</v>
      </c>
      <c r="G3520" t="s">
        <v>133</v>
      </c>
      <c r="H3520">
        <v>2</v>
      </c>
      <c r="I3520" t="s">
        <v>10803</v>
      </c>
      <c r="J3520" t="s">
        <v>357</v>
      </c>
    </row>
    <row r="3521" spans="1:10" x14ac:dyDescent="0.25">
      <c r="A3521" t="s">
        <v>10804</v>
      </c>
      <c r="B3521" t="s">
        <v>10805</v>
      </c>
      <c r="C3521" s="2">
        <v>46253.583333333336</v>
      </c>
      <c r="D3521" t="s">
        <v>418</v>
      </c>
      <c r="E3521" t="s">
        <v>65</v>
      </c>
      <c r="F3521" t="s">
        <v>284</v>
      </c>
      <c r="G3521" t="s">
        <v>135</v>
      </c>
      <c r="H3521">
        <v>2</v>
      </c>
      <c r="I3521" t="s">
        <v>10806</v>
      </c>
      <c r="J3521" t="s">
        <v>357</v>
      </c>
    </row>
    <row r="3522" spans="1:10" x14ac:dyDescent="0.25">
      <c r="A3522" t="s">
        <v>10807</v>
      </c>
      <c r="B3522" t="s">
        <v>10808</v>
      </c>
      <c r="C3522" s="2">
        <v>46253.583333333336</v>
      </c>
      <c r="D3522" t="s">
        <v>418</v>
      </c>
      <c r="E3522" t="s">
        <v>71</v>
      </c>
      <c r="F3522" t="s">
        <v>257</v>
      </c>
      <c r="G3522" t="s">
        <v>141</v>
      </c>
      <c r="H3522">
        <v>4</v>
      </c>
      <c r="I3522" t="s">
        <v>10809</v>
      </c>
      <c r="J3522" t="s">
        <v>357</v>
      </c>
    </row>
    <row r="3523" spans="1:10" x14ac:dyDescent="0.25">
      <c r="A3523" t="s">
        <v>10810</v>
      </c>
      <c r="B3523" t="s">
        <v>10811</v>
      </c>
      <c r="C3523" s="2">
        <v>46253.583333333336</v>
      </c>
      <c r="D3523" t="s">
        <v>418</v>
      </c>
      <c r="E3523" t="s">
        <v>18</v>
      </c>
      <c r="F3523" t="s">
        <v>305</v>
      </c>
      <c r="G3523" t="s">
        <v>95</v>
      </c>
      <c r="H3523">
        <v>4</v>
      </c>
      <c r="I3523" t="s">
        <v>10812</v>
      </c>
      <c r="J3523" t="s">
        <v>357</v>
      </c>
    </row>
    <row r="3524" spans="1:10" x14ac:dyDescent="0.25">
      <c r="A3524" t="s">
        <v>10813</v>
      </c>
      <c r="B3524" t="s">
        <v>10814</v>
      </c>
      <c r="C3524" s="2">
        <v>46253.583333333336</v>
      </c>
      <c r="D3524" t="s">
        <v>418</v>
      </c>
      <c r="E3524" t="s">
        <v>20</v>
      </c>
      <c r="F3524" t="s">
        <v>306</v>
      </c>
      <c r="G3524" t="s">
        <v>97</v>
      </c>
      <c r="H3524">
        <v>5</v>
      </c>
      <c r="I3524" t="s">
        <v>10815</v>
      </c>
      <c r="J3524" t="s">
        <v>357</v>
      </c>
    </row>
    <row r="3525" spans="1:10" x14ac:dyDescent="0.25">
      <c r="A3525" t="s">
        <v>10816</v>
      </c>
      <c r="B3525" t="s">
        <v>10817</v>
      </c>
      <c r="C3525" s="2">
        <v>46253.583333333336</v>
      </c>
      <c r="D3525" t="s">
        <v>418</v>
      </c>
      <c r="E3525" t="s">
        <v>22</v>
      </c>
      <c r="F3525" t="s">
        <v>277</v>
      </c>
      <c r="G3525" t="s">
        <v>99</v>
      </c>
      <c r="H3525">
        <v>1</v>
      </c>
      <c r="I3525" t="s">
        <v>10818</v>
      </c>
      <c r="J3525" t="s">
        <v>357</v>
      </c>
    </row>
    <row r="3526" spans="1:10" x14ac:dyDescent="0.25">
      <c r="A3526" t="s">
        <v>10819</v>
      </c>
      <c r="B3526" t="s">
        <v>10820</v>
      </c>
      <c r="C3526" s="2">
        <v>46253.583333333336</v>
      </c>
      <c r="D3526" t="s">
        <v>418</v>
      </c>
      <c r="E3526" t="s">
        <v>30</v>
      </c>
      <c r="F3526" t="s">
        <v>207</v>
      </c>
      <c r="G3526" t="s">
        <v>107</v>
      </c>
      <c r="H3526">
        <v>1</v>
      </c>
      <c r="I3526" t="s">
        <v>10821</v>
      </c>
      <c r="J3526" t="s">
        <v>357</v>
      </c>
    </row>
    <row r="3527" spans="1:10" x14ac:dyDescent="0.25">
      <c r="A3527" t="s">
        <v>10822</v>
      </c>
      <c r="B3527" t="s">
        <v>10823</v>
      </c>
      <c r="C3527" s="2">
        <v>46253.583333333336</v>
      </c>
      <c r="D3527" t="s">
        <v>418</v>
      </c>
      <c r="E3527" t="s">
        <v>32</v>
      </c>
      <c r="F3527" t="s">
        <v>311</v>
      </c>
      <c r="G3527" t="s">
        <v>109</v>
      </c>
      <c r="H3527">
        <v>2</v>
      </c>
      <c r="I3527" t="s">
        <v>10824</v>
      </c>
      <c r="J3527" t="s">
        <v>357</v>
      </c>
    </row>
    <row r="3528" spans="1:10" x14ac:dyDescent="0.25">
      <c r="A3528" t="s">
        <v>10825</v>
      </c>
      <c r="B3528" t="s">
        <v>10826</v>
      </c>
      <c r="C3528" s="2">
        <v>46253.583333333336</v>
      </c>
      <c r="D3528" t="s">
        <v>418</v>
      </c>
      <c r="E3528" t="s">
        <v>36</v>
      </c>
      <c r="F3528" t="s">
        <v>187</v>
      </c>
      <c r="G3528" t="s">
        <v>113</v>
      </c>
      <c r="H3528">
        <v>3</v>
      </c>
      <c r="I3528" t="s">
        <v>10827</v>
      </c>
      <c r="J3528" t="s">
        <v>357</v>
      </c>
    </row>
    <row r="3529" spans="1:10" x14ac:dyDescent="0.25">
      <c r="A3529" t="s">
        <v>10828</v>
      </c>
      <c r="B3529" t="s">
        <v>10829</v>
      </c>
      <c r="C3529" s="2">
        <v>46253.583333333336</v>
      </c>
      <c r="D3529" t="s">
        <v>418</v>
      </c>
      <c r="E3529" t="s">
        <v>41</v>
      </c>
      <c r="F3529" t="s">
        <v>293</v>
      </c>
      <c r="G3529" t="s">
        <v>115</v>
      </c>
      <c r="H3529">
        <v>1</v>
      </c>
      <c r="I3529" t="s">
        <v>10830</v>
      </c>
      <c r="J3529" t="s">
        <v>357</v>
      </c>
    </row>
    <row r="3530" spans="1:10" x14ac:dyDescent="0.25">
      <c r="A3530" t="s">
        <v>10831</v>
      </c>
      <c r="B3530" t="s">
        <v>10832</v>
      </c>
      <c r="C3530" s="2">
        <v>46253.583333333336</v>
      </c>
      <c r="D3530" t="s">
        <v>418</v>
      </c>
      <c r="E3530" t="s">
        <v>47</v>
      </c>
      <c r="F3530" t="s">
        <v>268</v>
      </c>
      <c r="G3530" t="s">
        <v>121</v>
      </c>
      <c r="H3530">
        <v>4</v>
      </c>
      <c r="I3530" t="s">
        <v>10833</v>
      </c>
      <c r="J3530" t="s">
        <v>357</v>
      </c>
    </row>
    <row r="3531" spans="1:10" x14ac:dyDescent="0.25">
      <c r="A3531" t="s">
        <v>10834</v>
      </c>
      <c r="B3531" t="s">
        <v>10835</v>
      </c>
      <c r="C3531" s="2">
        <v>46253.583333333336</v>
      </c>
      <c r="D3531" t="s">
        <v>418</v>
      </c>
      <c r="E3531" t="s">
        <v>51</v>
      </c>
      <c r="F3531" t="s">
        <v>254</v>
      </c>
      <c r="G3531" t="s">
        <v>125</v>
      </c>
      <c r="H3531">
        <v>2</v>
      </c>
      <c r="I3531" t="s">
        <v>10836</v>
      </c>
      <c r="J3531" t="s">
        <v>357</v>
      </c>
    </row>
    <row r="3532" spans="1:10" x14ac:dyDescent="0.25">
      <c r="A3532" t="s">
        <v>10837</v>
      </c>
      <c r="B3532" t="s">
        <v>10838</v>
      </c>
      <c r="C3532" s="2">
        <v>46253.583333333336</v>
      </c>
      <c r="D3532" t="s">
        <v>418</v>
      </c>
      <c r="E3532" t="s">
        <v>53</v>
      </c>
      <c r="F3532" t="s">
        <v>239</v>
      </c>
      <c r="G3532" t="s">
        <v>127</v>
      </c>
      <c r="H3532">
        <v>3</v>
      </c>
      <c r="I3532" t="s">
        <v>10839</v>
      </c>
      <c r="J3532" t="s">
        <v>357</v>
      </c>
    </row>
    <row r="3533" spans="1:10" x14ac:dyDescent="0.25">
      <c r="A3533" t="s">
        <v>10840</v>
      </c>
      <c r="B3533" t="s">
        <v>10841</v>
      </c>
      <c r="C3533" s="2">
        <v>46253.583333333336</v>
      </c>
      <c r="D3533" t="s">
        <v>418</v>
      </c>
      <c r="E3533" t="s">
        <v>57</v>
      </c>
      <c r="F3533" t="s">
        <v>299</v>
      </c>
      <c r="G3533" t="s">
        <v>131</v>
      </c>
      <c r="H3533">
        <v>3</v>
      </c>
      <c r="I3533" t="s">
        <v>10842</v>
      </c>
      <c r="J3533" t="s">
        <v>357</v>
      </c>
    </row>
    <row r="3534" spans="1:10" x14ac:dyDescent="0.25">
      <c r="A3534" t="s">
        <v>10843</v>
      </c>
      <c r="B3534" t="s">
        <v>10844</v>
      </c>
      <c r="C3534" s="2">
        <v>46253.583333333336</v>
      </c>
      <c r="D3534" t="s">
        <v>418</v>
      </c>
      <c r="E3534" t="s">
        <v>73</v>
      </c>
      <c r="F3534" t="s">
        <v>258</v>
      </c>
      <c r="G3534" t="s">
        <v>143</v>
      </c>
      <c r="H3534">
        <v>1</v>
      </c>
      <c r="I3534" t="s">
        <v>10845</v>
      </c>
      <c r="J3534" t="s">
        <v>357</v>
      </c>
    </row>
    <row r="3535" spans="1:10" x14ac:dyDescent="0.25">
      <c r="A3535" t="s">
        <v>10846</v>
      </c>
      <c r="B3535" t="s">
        <v>10847</v>
      </c>
      <c r="C3535" s="2">
        <v>46253.583333333336</v>
      </c>
      <c r="D3535" t="s">
        <v>418</v>
      </c>
      <c r="E3535" t="s">
        <v>22</v>
      </c>
      <c r="F3535" t="s">
        <v>277</v>
      </c>
      <c r="G3535" t="s">
        <v>99</v>
      </c>
      <c r="H3535">
        <v>3</v>
      </c>
      <c r="I3535" t="s">
        <v>10848</v>
      </c>
      <c r="J3535" t="s">
        <v>357</v>
      </c>
    </row>
    <row r="3536" spans="1:10" x14ac:dyDescent="0.25">
      <c r="A3536" t="s">
        <v>10849</v>
      </c>
      <c r="B3536" t="s">
        <v>10850</v>
      </c>
      <c r="C3536" s="2">
        <v>46253.583333333336</v>
      </c>
      <c r="D3536" t="s">
        <v>418</v>
      </c>
      <c r="E3536" t="s">
        <v>22</v>
      </c>
      <c r="F3536" t="s">
        <v>307</v>
      </c>
      <c r="G3536" t="s">
        <v>99</v>
      </c>
      <c r="H3536">
        <v>3</v>
      </c>
      <c r="I3536" t="s">
        <v>10848</v>
      </c>
      <c r="J3536" t="s">
        <v>357</v>
      </c>
    </row>
    <row r="3537" spans="1:10" x14ac:dyDescent="0.25">
      <c r="A3537" t="s">
        <v>10851</v>
      </c>
      <c r="B3537" t="s">
        <v>10852</v>
      </c>
      <c r="C3537" s="2">
        <v>46253.583333333336</v>
      </c>
      <c r="D3537" t="s">
        <v>418</v>
      </c>
      <c r="E3537" t="s">
        <v>24</v>
      </c>
      <c r="F3537" t="s">
        <v>308</v>
      </c>
      <c r="G3537" t="s">
        <v>101</v>
      </c>
      <c r="H3537">
        <v>1</v>
      </c>
      <c r="I3537" t="s">
        <v>10853</v>
      </c>
      <c r="J3537" t="s">
        <v>357</v>
      </c>
    </row>
    <row r="3538" spans="1:10" x14ac:dyDescent="0.25">
      <c r="A3538" t="s">
        <v>10854</v>
      </c>
      <c r="B3538" t="s">
        <v>10855</v>
      </c>
      <c r="C3538" s="2">
        <v>46253.583333333336</v>
      </c>
      <c r="D3538" t="s">
        <v>418</v>
      </c>
      <c r="E3538" t="s">
        <v>26</v>
      </c>
      <c r="F3538" t="s">
        <v>309</v>
      </c>
      <c r="G3538" t="s">
        <v>103</v>
      </c>
      <c r="H3538">
        <v>1</v>
      </c>
      <c r="I3538" t="s">
        <v>10856</v>
      </c>
      <c r="J3538" t="s">
        <v>357</v>
      </c>
    </row>
    <row r="3539" spans="1:10" x14ac:dyDescent="0.25">
      <c r="A3539" t="s">
        <v>10857</v>
      </c>
      <c r="B3539" t="s">
        <v>10858</v>
      </c>
      <c r="C3539" s="2">
        <v>46253.583333333336</v>
      </c>
      <c r="D3539" t="s">
        <v>418</v>
      </c>
      <c r="E3539" t="s">
        <v>32</v>
      </c>
      <c r="F3539" t="s">
        <v>311</v>
      </c>
      <c r="G3539" t="s">
        <v>109</v>
      </c>
      <c r="H3539">
        <v>4</v>
      </c>
      <c r="I3539" t="s">
        <v>10859</v>
      </c>
      <c r="J3539" t="s">
        <v>357</v>
      </c>
    </row>
    <row r="3540" spans="1:10" x14ac:dyDescent="0.25">
      <c r="A3540" t="s">
        <v>10860</v>
      </c>
      <c r="B3540" t="s">
        <v>10861</v>
      </c>
      <c r="C3540" s="2">
        <v>46253.583333333336</v>
      </c>
      <c r="D3540" t="s">
        <v>418</v>
      </c>
      <c r="E3540" t="s">
        <v>49</v>
      </c>
      <c r="F3540" t="s">
        <v>295</v>
      </c>
      <c r="G3540" t="s">
        <v>123</v>
      </c>
      <c r="H3540">
        <v>6</v>
      </c>
      <c r="I3540" t="s">
        <v>10862</v>
      </c>
      <c r="J3540" t="s">
        <v>357</v>
      </c>
    </row>
    <row r="3541" spans="1:10" x14ac:dyDescent="0.25">
      <c r="A3541" t="s">
        <v>10863</v>
      </c>
      <c r="B3541" t="s">
        <v>10864</v>
      </c>
      <c r="C3541" s="2">
        <v>46253.583333333336</v>
      </c>
      <c r="D3541" t="s">
        <v>418</v>
      </c>
      <c r="E3541" t="s">
        <v>51</v>
      </c>
      <c r="F3541" t="s">
        <v>254</v>
      </c>
      <c r="G3541" t="s">
        <v>125</v>
      </c>
      <c r="H3541">
        <v>6</v>
      </c>
      <c r="I3541" t="s">
        <v>10865</v>
      </c>
      <c r="J3541" t="s">
        <v>357</v>
      </c>
    </row>
    <row r="3542" spans="1:10" x14ac:dyDescent="0.25">
      <c r="A3542" t="s">
        <v>10866</v>
      </c>
      <c r="B3542" t="s">
        <v>10867</v>
      </c>
      <c r="C3542" s="2">
        <v>46253.583333333336</v>
      </c>
      <c r="D3542" t="s">
        <v>418</v>
      </c>
      <c r="E3542" t="s">
        <v>55</v>
      </c>
      <c r="F3542" t="s">
        <v>298</v>
      </c>
      <c r="G3542" t="s">
        <v>129</v>
      </c>
      <c r="H3542">
        <v>2</v>
      </c>
      <c r="I3542" t="s">
        <v>10868</v>
      </c>
      <c r="J3542" t="s">
        <v>357</v>
      </c>
    </row>
    <row r="3543" spans="1:10" x14ac:dyDescent="0.25">
      <c r="A3543" t="s">
        <v>10869</v>
      </c>
      <c r="B3543" t="s">
        <v>10870</v>
      </c>
      <c r="C3543" s="2">
        <v>46253.583333333336</v>
      </c>
      <c r="D3543" t="s">
        <v>418</v>
      </c>
      <c r="E3543" t="s">
        <v>59</v>
      </c>
      <c r="F3543" t="s">
        <v>270</v>
      </c>
      <c r="G3543" t="s">
        <v>133</v>
      </c>
      <c r="H3543">
        <v>2</v>
      </c>
      <c r="I3543" t="s">
        <v>10871</v>
      </c>
      <c r="J3543" t="s">
        <v>357</v>
      </c>
    </row>
    <row r="3544" spans="1:10" x14ac:dyDescent="0.25">
      <c r="A3544" t="s">
        <v>10872</v>
      </c>
      <c r="B3544" t="s">
        <v>10873</v>
      </c>
      <c r="C3544" s="2">
        <v>46253.583333333336</v>
      </c>
      <c r="D3544" t="s">
        <v>418</v>
      </c>
      <c r="E3544" t="s">
        <v>71</v>
      </c>
      <c r="F3544" t="s">
        <v>257</v>
      </c>
      <c r="G3544" t="s">
        <v>141</v>
      </c>
      <c r="H3544">
        <v>4</v>
      </c>
      <c r="I3544" t="s">
        <v>10874</v>
      </c>
      <c r="J3544" t="s">
        <v>357</v>
      </c>
    </row>
    <row r="3545" spans="1:10" x14ac:dyDescent="0.25">
      <c r="A3545" t="s">
        <v>10875</v>
      </c>
      <c r="B3545" t="s">
        <v>10876</v>
      </c>
      <c r="C3545" s="2">
        <v>46253.583333333336</v>
      </c>
      <c r="D3545" t="s">
        <v>418</v>
      </c>
      <c r="E3545" t="s">
        <v>11</v>
      </c>
      <c r="F3545" t="s">
        <v>285</v>
      </c>
      <c r="G3545" t="s">
        <v>92</v>
      </c>
      <c r="H3545">
        <v>7</v>
      </c>
      <c r="I3545" t="s">
        <v>10877</v>
      </c>
      <c r="J3545" t="s">
        <v>357</v>
      </c>
    </row>
    <row r="3546" spans="1:10" x14ac:dyDescent="0.25">
      <c r="A3546" t="s">
        <v>10878</v>
      </c>
      <c r="B3546" t="s">
        <v>10879</v>
      </c>
      <c r="C3546" s="2">
        <v>46253.583333333336</v>
      </c>
      <c r="D3546" t="s">
        <v>418</v>
      </c>
      <c r="E3546" t="s">
        <v>20</v>
      </c>
      <c r="F3546" t="s">
        <v>306</v>
      </c>
      <c r="G3546" t="s">
        <v>97</v>
      </c>
      <c r="H3546">
        <v>1</v>
      </c>
      <c r="I3546" t="s">
        <v>10880</v>
      </c>
      <c r="J3546" t="s">
        <v>357</v>
      </c>
    </row>
    <row r="3547" spans="1:10" x14ac:dyDescent="0.25">
      <c r="A3547" t="s">
        <v>10881</v>
      </c>
      <c r="B3547" t="s">
        <v>10882</v>
      </c>
      <c r="C3547" s="2">
        <v>46253.583333333336</v>
      </c>
      <c r="D3547" t="s">
        <v>418</v>
      </c>
      <c r="E3547" t="s">
        <v>22</v>
      </c>
      <c r="F3547" t="s">
        <v>307</v>
      </c>
      <c r="G3547" t="s">
        <v>99</v>
      </c>
      <c r="H3547">
        <v>3</v>
      </c>
      <c r="I3547" t="s">
        <v>10883</v>
      </c>
      <c r="J3547" t="s">
        <v>357</v>
      </c>
    </row>
    <row r="3548" spans="1:10" x14ac:dyDescent="0.25">
      <c r="A3548" t="s">
        <v>10884</v>
      </c>
      <c r="B3548" t="s">
        <v>10885</v>
      </c>
      <c r="C3548" s="2">
        <v>46253.583333333336</v>
      </c>
      <c r="D3548" t="s">
        <v>418</v>
      </c>
      <c r="E3548" t="s">
        <v>45</v>
      </c>
      <c r="F3548" t="s">
        <v>225</v>
      </c>
      <c r="G3548" t="s">
        <v>119</v>
      </c>
      <c r="H3548">
        <v>1</v>
      </c>
      <c r="I3548" t="s">
        <v>10886</v>
      </c>
      <c r="J3548" t="s">
        <v>357</v>
      </c>
    </row>
    <row r="3549" spans="1:10" x14ac:dyDescent="0.25">
      <c r="A3549" t="s">
        <v>10887</v>
      </c>
      <c r="B3549" t="s">
        <v>10888</v>
      </c>
      <c r="C3549" s="2">
        <v>46253.583333333336</v>
      </c>
      <c r="D3549" t="s">
        <v>418</v>
      </c>
      <c r="E3549" t="s">
        <v>55</v>
      </c>
      <c r="F3549" t="s">
        <v>298</v>
      </c>
      <c r="G3549" t="s">
        <v>129</v>
      </c>
      <c r="H3549">
        <v>6</v>
      </c>
      <c r="I3549" t="s">
        <v>10889</v>
      </c>
      <c r="J3549" t="s">
        <v>357</v>
      </c>
    </row>
    <row r="3550" spans="1:10" x14ac:dyDescent="0.25">
      <c r="A3550" t="s">
        <v>10890</v>
      </c>
      <c r="B3550" t="s">
        <v>10891</v>
      </c>
      <c r="C3550" s="2">
        <v>46253.583333333336</v>
      </c>
      <c r="D3550" t="s">
        <v>418</v>
      </c>
      <c r="E3550" t="s">
        <v>59</v>
      </c>
      <c r="F3550" t="s">
        <v>270</v>
      </c>
      <c r="G3550" t="s">
        <v>133</v>
      </c>
      <c r="H3550">
        <v>6</v>
      </c>
      <c r="I3550" t="s">
        <v>10892</v>
      </c>
      <c r="J3550" t="s">
        <v>357</v>
      </c>
    </row>
    <row r="3551" spans="1:10" x14ac:dyDescent="0.25">
      <c r="A3551" t="s">
        <v>10893</v>
      </c>
      <c r="B3551" t="s">
        <v>10894</v>
      </c>
      <c r="C3551" s="2">
        <v>46253.583333333336</v>
      </c>
      <c r="D3551" t="s">
        <v>418</v>
      </c>
      <c r="E3551" t="s">
        <v>67</v>
      </c>
      <c r="F3551" t="s">
        <v>271</v>
      </c>
      <c r="G3551" t="s">
        <v>137</v>
      </c>
      <c r="H3551">
        <v>3</v>
      </c>
      <c r="I3551" t="s">
        <v>10895</v>
      </c>
      <c r="J3551" t="s">
        <v>357</v>
      </c>
    </row>
    <row r="3552" spans="1:10" x14ac:dyDescent="0.25">
      <c r="A3552" t="s">
        <v>10896</v>
      </c>
      <c r="B3552" t="s">
        <v>10897</v>
      </c>
      <c r="C3552" s="2">
        <v>46253.583333333336</v>
      </c>
      <c r="D3552" t="s">
        <v>418</v>
      </c>
      <c r="E3552" t="s">
        <v>75</v>
      </c>
      <c r="F3552" t="s">
        <v>259</v>
      </c>
      <c r="G3552" t="s">
        <v>145</v>
      </c>
      <c r="H3552">
        <v>4</v>
      </c>
      <c r="I3552" t="s">
        <v>10898</v>
      </c>
      <c r="J3552" t="s">
        <v>357</v>
      </c>
    </row>
    <row r="3553" spans="1:10" x14ac:dyDescent="0.25">
      <c r="A3553" t="s">
        <v>10899</v>
      </c>
      <c r="B3553" t="s">
        <v>10900</v>
      </c>
      <c r="C3553" s="2">
        <v>46253.583333333336</v>
      </c>
      <c r="D3553" t="s">
        <v>418</v>
      </c>
      <c r="E3553" t="s">
        <v>11</v>
      </c>
      <c r="F3553" t="s">
        <v>285</v>
      </c>
      <c r="G3553" t="s">
        <v>92</v>
      </c>
      <c r="H3553">
        <v>1</v>
      </c>
      <c r="I3553" t="s">
        <v>10901</v>
      </c>
      <c r="J3553" t="s">
        <v>357</v>
      </c>
    </row>
    <row r="3554" spans="1:10" x14ac:dyDescent="0.25">
      <c r="A3554" t="s">
        <v>10902</v>
      </c>
      <c r="B3554" t="s">
        <v>10903</v>
      </c>
      <c r="C3554" s="2">
        <v>46253.583333333336</v>
      </c>
      <c r="D3554" t="s">
        <v>418</v>
      </c>
      <c r="E3554" t="s">
        <v>20</v>
      </c>
      <c r="F3554" t="s">
        <v>306</v>
      </c>
      <c r="G3554" t="s">
        <v>97</v>
      </c>
      <c r="H3554">
        <v>2</v>
      </c>
      <c r="I3554" t="s">
        <v>10904</v>
      </c>
      <c r="J3554" t="s">
        <v>357</v>
      </c>
    </row>
    <row r="3555" spans="1:10" x14ac:dyDescent="0.25">
      <c r="A3555" t="s">
        <v>10905</v>
      </c>
      <c r="B3555" t="s">
        <v>10906</v>
      </c>
      <c r="C3555" s="2">
        <v>46253.583333333336</v>
      </c>
      <c r="D3555" t="s">
        <v>418</v>
      </c>
      <c r="E3555" t="s">
        <v>22</v>
      </c>
      <c r="F3555" t="s">
        <v>307</v>
      </c>
      <c r="G3555" t="s">
        <v>99</v>
      </c>
      <c r="H3555">
        <v>1</v>
      </c>
      <c r="I3555" t="s">
        <v>10907</v>
      </c>
      <c r="J3555" t="s">
        <v>357</v>
      </c>
    </row>
    <row r="3556" spans="1:10" x14ac:dyDescent="0.25">
      <c r="A3556" t="s">
        <v>10908</v>
      </c>
      <c r="B3556" t="s">
        <v>10909</v>
      </c>
      <c r="C3556" s="2">
        <v>46253.583333333336</v>
      </c>
      <c r="D3556" t="s">
        <v>418</v>
      </c>
      <c r="E3556" t="s">
        <v>24</v>
      </c>
      <c r="F3556" t="s">
        <v>308</v>
      </c>
      <c r="G3556" t="s">
        <v>101</v>
      </c>
      <c r="H3556">
        <v>1</v>
      </c>
      <c r="I3556" t="s">
        <v>10910</v>
      </c>
      <c r="J3556" t="s">
        <v>357</v>
      </c>
    </row>
    <row r="3557" spans="1:10" x14ac:dyDescent="0.25">
      <c r="A3557" t="s">
        <v>10911</v>
      </c>
      <c r="B3557" t="s">
        <v>10912</v>
      </c>
      <c r="C3557" s="2">
        <v>46253.583333333336</v>
      </c>
      <c r="D3557" t="s">
        <v>418</v>
      </c>
      <c r="E3557" t="s">
        <v>26</v>
      </c>
      <c r="F3557" t="s">
        <v>309</v>
      </c>
      <c r="G3557" t="s">
        <v>103</v>
      </c>
      <c r="H3557">
        <v>1</v>
      </c>
      <c r="I3557" t="s">
        <v>10913</v>
      </c>
      <c r="J3557" t="s">
        <v>357</v>
      </c>
    </row>
    <row r="3558" spans="1:10" x14ac:dyDescent="0.25">
      <c r="A3558" t="s">
        <v>10914</v>
      </c>
      <c r="B3558" t="s">
        <v>10915</v>
      </c>
      <c r="C3558" s="2">
        <v>46253.583333333336</v>
      </c>
      <c r="D3558" t="s">
        <v>418</v>
      </c>
      <c r="E3558" t="s">
        <v>30</v>
      </c>
      <c r="F3558" t="s">
        <v>207</v>
      </c>
      <c r="G3558" t="s">
        <v>107</v>
      </c>
      <c r="H3558">
        <v>4</v>
      </c>
      <c r="I3558" t="s">
        <v>10916</v>
      </c>
      <c r="J3558" t="s">
        <v>357</v>
      </c>
    </row>
    <row r="3559" spans="1:10" x14ac:dyDescent="0.25">
      <c r="A3559" t="s">
        <v>10917</v>
      </c>
      <c r="B3559" t="s">
        <v>10918</v>
      </c>
      <c r="C3559" s="2">
        <v>46253.583333333336</v>
      </c>
      <c r="D3559" t="s">
        <v>418</v>
      </c>
      <c r="E3559" t="s">
        <v>53</v>
      </c>
      <c r="F3559" t="s">
        <v>239</v>
      </c>
      <c r="G3559" t="s">
        <v>127</v>
      </c>
      <c r="H3559">
        <v>2</v>
      </c>
      <c r="I3559" t="s">
        <v>10919</v>
      </c>
      <c r="J3559" t="s">
        <v>357</v>
      </c>
    </row>
    <row r="3560" spans="1:10" x14ac:dyDescent="0.25">
      <c r="A3560" t="s">
        <v>10920</v>
      </c>
      <c r="B3560" t="s">
        <v>10921</v>
      </c>
      <c r="C3560" s="2">
        <v>46253.583333333336</v>
      </c>
      <c r="D3560" t="s">
        <v>418</v>
      </c>
      <c r="E3560" t="s">
        <v>55</v>
      </c>
      <c r="F3560" t="s">
        <v>298</v>
      </c>
      <c r="G3560" t="s">
        <v>129</v>
      </c>
      <c r="H3560">
        <v>4</v>
      </c>
      <c r="I3560" t="s">
        <v>10922</v>
      </c>
      <c r="J3560" t="s">
        <v>357</v>
      </c>
    </row>
    <row r="3561" spans="1:10" x14ac:dyDescent="0.25">
      <c r="A3561" t="s">
        <v>10923</v>
      </c>
      <c r="B3561" t="s">
        <v>10924</v>
      </c>
      <c r="C3561" s="2">
        <v>46253.583333333336</v>
      </c>
      <c r="D3561" t="s">
        <v>418</v>
      </c>
      <c r="E3561" t="s">
        <v>67</v>
      </c>
      <c r="F3561" t="s">
        <v>271</v>
      </c>
      <c r="G3561" t="s">
        <v>137</v>
      </c>
      <c r="H3561">
        <v>1</v>
      </c>
      <c r="I3561" t="s">
        <v>10925</v>
      </c>
      <c r="J3561" t="s">
        <v>357</v>
      </c>
    </row>
    <row r="3562" spans="1:10" x14ac:dyDescent="0.25">
      <c r="A3562" t="s">
        <v>10926</v>
      </c>
      <c r="B3562" t="s">
        <v>10927</v>
      </c>
      <c r="C3562" s="2">
        <v>46253.583333333336</v>
      </c>
      <c r="D3562" t="s">
        <v>418</v>
      </c>
      <c r="E3562" t="s">
        <v>73</v>
      </c>
      <c r="F3562" t="s">
        <v>258</v>
      </c>
      <c r="G3562" t="s">
        <v>143</v>
      </c>
      <c r="H3562">
        <v>2</v>
      </c>
      <c r="I3562" t="s">
        <v>10928</v>
      </c>
      <c r="J3562" t="s">
        <v>357</v>
      </c>
    </row>
    <row r="3563" spans="1:10" x14ac:dyDescent="0.25">
      <c r="A3563" t="s">
        <v>10929</v>
      </c>
      <c r="B3563" t="s">
        <v>10930</v>
      </c>
      <c r="C3563" s="2">
        <v>46253.583333333336</v>
      </c>
      <c r="D3563" t="s">
        <v>418</v>
      </c>
      <c r="E3563" t="s">
        <v>77</v>
      </c>
      <c r="F3563" t="s">
        <v>243</v>
      </c>
      <c r="G3563" t="s">
        <v>147</v>
      </c>
      <c r="H3563">
        <v>1</v>
      </c>
      <c r="I3563" t="s">
        <v>10931</v>
      </c>
      <c r="J3563" t="s">
        <v>357</v>
      </c>
    </row>
    <row r="3564" spans="1:10" x14ac:dyDescent="0.25">
      <c r="A3564" t="s">
        <v>10932</v>
      </c>
      <c r="B3564" t="s">
        <v>10933</v>
      </c>
      <c r="C3564" s="2">
        <v>46254.583333333336</v>
      </c>
      <c r="D3564" t="s">
        <v>418</v>
      </c>
      <c r="E3564" t="s">
        <v>11</v>
      </c>
      <c r="F3564" t="s">
        <v>285</v>
      </c>
      <c r="G3564" t="s">
        <v>92</v>
      </c>
      <c r="H3564">
        <v>1</v>
      </c>
      <c r="I3564" t="s">
        <v>10934</v>
      </c>
      <c r="J3564" t="s">
        <v>357</v>
      </c>
    </row>
    <row r="3565" spans="1:10" x14ac:dyDescent="0.25">
      <c r="A3565" t="s">
        <v>10935</v>
      </c>
      <c r="B3565" t="s">
        <v>10936</v>
      </c>
      <c r="C3565" s="2">
        <v>46254.583333333336</v>
      </c>
      <c r="D3565" t="s">
        <v>418</v>
      </c>
      <c r="E3565" t="s">
        <v>18</v>
      </c>
      <c r="F3565" t="s">
        <v>305</v>
      </c>
      <c r="G3565" t="s">
        <v>95</v>
      </c>
      <c r="H3565">
        <v>2</v>
      </c>
      <c r="I3565" t="s">
        <v>10937</v>
      </c>
      <c r="J3565" t="s">
        <v>357</v>
      </c>
    </row>
    <row r="3566" spans="1:10" x14ac:dyDescent="0.25">
      <c r="A3566" t="s">
        <v>10938</v>
      </c>
      <c r="B3566" t="s">
        <v>10939</v>
      </c>
      <c r="C3566" s="2">
        <v>46254.583333333336</v>
      </c>
      <c r="D3566" t="s">
        <v>418</v>
      </c>
      <c r="E3566" t="s">
        <v>20</v>
      </c>
      <c r="F3566" t="s">
        <v>306</v>
      </c>
      <c r="G3566" t="s">
        <v>97</v>
      </c>
      <c r="H3566">
        <v>1</v>
      </c>
      <c r="I3566" t="s">
        <v>10940</v>
      </c>
      <c r="J3566" t="s">
        <v>357</v>
      </c>
    </row>
    <row r="3567" spans="1:10" x14ac:dyDescent="0.25">
      <c r="A3567" t="s">
        <v>10941</v>
      </c>
      <c r="B3567" t="s">
        <v>10942</v>
      </c>
      <c r="C3567" s="2">
        <v>46254.583333333336</v>
      </c>
      <c r="D3567" t="s">
        <v>418</v>
      </c>
      <c r="E3567" t="s">
        <v>24</v>
      </c>
      <c r="F3567" t="s">
        <v>308</v>
      </c>
      <c r="G3567" t="s">
        <v>101</v>
      </c>
      <c r="H3567">
        <v>2</v>
      </c>
      <c r="I3567" t="s">
        <v>10943</v>
      </c>
      <c r="J3567" t="s">
        <v>357</v>
      </c>
    </row>
    <row r="3568" spans="1:10" x14ac:dyDescent="0.25">
      <c r="A3568" t="s">
        <v>10944</v>
      </c>
      <c r="B3568" t="s">
        <v>10945</v>
      </c>
      <c r="C3568" s="2">
        <v>46254.583333333336</v>
      </c>
      <c r="D3568" t="s">
        <v>418</v>
      </c>
      <c r="E3568" t="s">
        <v>26</v>
      </c>
      <c r="F3568" t="s">
        <v>309</v>
      </c>
      <c r="G3568" t="s">
        <v>103</v>
      </c>
      <c r="H3568">
        <v>4</v>
      </c>
      <c r="I3568" t="s">
        <v>10946</v>
      </c>
      <c r="J3568" t="s">
        <v>357</v>
      </c>
    </row>
    <row r="3569" spans="1:10" x14ac:dyDescent="0.25">
      <c r="A3569" t="s">
        <v>10947</v>
      </c>
      <c r="B3569" t="s">
        <v>10948</v>
      </c>
      <c r="C3569" s="2">
        <v>46254.583333333336</v>
      </c>
      <c r="D3569" t="s">
        <v>418</v>
      </c>
      <c r="E3569" t="s">
        <v>45</v>
      </c>
      <c r="F3569" t="s">
        <v>225</v>
      </c>
      <c r="G3569" t="s">
        <v>119</v>
      </c>
      <c r="H3569">
        <v>2</v>
      </c>
      <c r="I3569" t="s">
        <v>10949</v>
      </c>
      <c r="J3569" t="s">
        <v>357</v>
      </c>
    </row>
    <row r="3570" spans="1:10" x14ac:dyDescent="0.25">
      <c r="A3570" t="s">
        <v>10950</v>
      </c>
      <c r="B3570" t="s">
        <v>10951</v>
      </c>
      <c r="C3570" s="2">
        <v>46254.583333333336</v>
      </c>
      <c r="D3570" t="s">
        <v>418</v>
      </c>
      <c r="E3570" t="s">
        <v>49</v>
      </c>
      <c r="F3570" t="s">
        <v>295</v>
      </c>
      <c r="G3570" t="s">
        <v>123</v>
      </c>
      <c r="H3570">
        <v>2</v>
      </c>
      <c r="I3570" t="s">
        <v>10952</v>
      </c>
      <c r="J3570" t="s">
        <v>357</v>
      </c>
    </row>
    <row r="3571" spans="1:10" x14ac:dyDescent="0.25">
      <c r="A3571" t="s">
        <v>10953</v>
      </c>
      <c r="B3571" t="s">
        <v>10954</v>
      </c>
      <c r="C3571" s="2">
        <v>46254.583333333336</v>
      </c>
      <c r="D3571" t="s">
        <v>418</v>
      </c>
      <c r="E3571" t="s">
        <v>53</v>
      </c>
      <c r="F3571" t="s">
        <v>239</v>
      </c>
      <c r="G3571" t="s">
        <v>127</v>
      </c>
      <c r="H3571">
        <v>2</v>
      </c>
      <c r="I3571" t="s">
        <v>10955</v>
      </c>
      <c r="J3571" t="s">
        <v>357</v>
      </c>
    </row>
    <row r="3572" spans="1:10" x14ac:dyDescent="0.25">
      <c r="A3572" t="s">
        <v>10956</v>
      </c>
      <c r="B3572" t="s">
        <v>10957</v>
      </c>
      <c r="C3572" s="2">
        <v>46254.583333333336</v>
      </c>
      <c r="D3572" t="s">
        <v>418</v>
      </c>
      <c r="E3572" t="s">
        <v>59</v>
      </c>
      <c r="F3572" t="s">
        <v>270</v>
      </c>
      <c r="G3572" t="s">
        <v>133</v>
      </c>
      <c r="H3572">
        <v>2</v>
      </c>
      <c r="I3572" t="s">
        <v>10958</v>
      </c>
      <c r="J3572" t="s">
        <v>357</v>
      </c>
    </row>
    <row r="3573" spans="1:10" x14ac:dyDescent="0.25">
      <c r="A3573" t="s">
        <v>10959</v>
      </c>
      <c r="B3573" t="s">
        <v>10960</v>
      </c>
      <c r="C3573" s="2">
        <v>46254.583333333336</v>
      </c>
      <c r="D3573" t="s">
        <v>418</v>
      </c>
      <c r="E3573" t="s">
        <v>71</v>
      </c>
      <c r="F3573" t="s">
        <v>257</v>
      </c>
      <c r="G3573" t="s">
        <v>141</v>
      </c>
      <c r="H3573">
        <v>1</v>
      </c>
      <c r="I3573" t="s">
        <v>10961</v>
      </c>
      <c r="J3573" t="s">
        <v>357</v>
      </c>
    </row>
    <row r="3574" spans="1:10" x14ac:dyDescent="0.25">
      <c r="A3574" t="s">
        <v>10962</v>
      </c>
      <c r="B3574" t="s">
        <v>10963</v>
      </c>
      <c r="C3574" s="2">
        <v>46254.583333333336</v>
      </c>
      <c r="D3574" t="s">
        <v>418</v>
      </c>
      <c r="E3574" t="s">
        <v>75</v>
      </c>
      <c r="F3574" t="s">
        <v>259</v>
      </c>
      <c r="G3574" t="s">
        <v>145</v>
      </c>
      <c r="H3574">
        <v>4</v>
      </c>
      <c r="I3574" t="s">
        <v>10964</v>
      </c>
      <c r="J3574" t="s">
        <v>357</v>
      </c>
    </row>
    <row r="3575" spans="1:10" x14ac:dyDescent="0.25">
      <c r="A3575" t="s">
        <v>10965</v>
      </c>
      <c r="B3575" t="s">
        <v>10966</v>
      </c>
      <c r="C3575" s="2">
        <v>46254.583333333336</v>
      </c>
      <c r="D3575" t="s">
        <v>418</v>
      </c>
      <c r="E3575" t="s">
        <v>77</v>
      </c>
      <c r="F3575" t="s">
        <v>243</v>
      </c>
      <c r="G3575" t="s">
        <v>147</v>
      </c>
      <c r="H3575">
        <v>1</v>
      </c>
      <c r="I3575" t="s">
        <v>10967</v>
      </c>
      <c r="J3575" t="s">
        <v>357</v>
      </c>
    </row>
    <row r="3576" spans="1:10" x14ac:dyDescent="0.25">
      <c r="A3576" t="s">
        <v>10968</v>
      </c>
      <c r="B3576" t="s">
        <v>10969</v>
      </c>
      <c r="C3576" s="2">
        <v>46254.583333333336</v>
      </c>
      <c r="D3576" t="s">
        <v>418</v>
      </c>
      <c r="E3576" t="s">
        <v>77</v>
      </c>
      <c r="F3576" t="s">
        <v>273</v>
      </c>
      <c r="G3576" t="s">
        <v>147</v>
      </c>
      <c r="H3576">
        <v>3</v>
      </c>
      <c r="I3576" t="s">
        <v>10967</v>
      </c>
      <c r="J3576" t="s">
        <v>357</v>
      </c>
    </row>
    <row r="3577" spans="1:10" x14ac:dyDescent="0.25">
      <c r="A3577" t="s">
        <v>10970</v>
      </c>
      <c r="B3577" t="s">
        <v>10971</v>
      </c>
      <c r="C3577" s="2">
        <v>46254.583333333336</v>
      </c>
      <c r="D3577" t="s">
        <v>418</v>
      </c>
      <c r="E3577" t="s">
        <v>11</v>
      </c>
      <c r="F3577" t="s">
        <v>285</v>
      </c>
      <c r="G3577" t="s">
        <v>92</v>
      </c>
      <c r="H3577">
        <v>2</v>
      </c>
      <c r="I3577" t="s">
        <v>10972</v>
      </c>
      <c r="J3577" t="s">
        <v>357</v>
      </c>
    </row>
    <row r="3578" spans="1:10" x14ac:dyDescent="0.25">
      <c r="A3578" t="s">
        <v>10973</v>
      </c>
      <c r="B3578" t="s">
        <v>10974</v>
      </c>
      <c r="C3578" s="2">
        <v>46254.583333333336</v>
      </c>
      <c r="D3578" t="s">
        <v>418</v>
      </c>
      <c r="E3578" t="s">
        <v>18</v>
      </c>
      <c r="F3578" t="s">
        <v>305</v>
      </c>
      <c r="G3578" t="s">
        <v>95</v>
      </c>
      <c r="H3578">
        <v>5</v>
      </c>
      <c r="I3578" t="s">
        <v>10975</v>
      </c>
      <c r="J3578" t="s">
        <v>357</v>
      </c>
    </row>
    <row r="3579" spans="1:10" x14ac:dyDescent="0.25">
      <c r="A3579" t="s">
        <v>10976</v>
      </c>
      <c r="B3579" t="s">
        <v>10977</v>
      </c>
      <c r="C3579" s="2">
        <v>46254.583333333336</v>
      </c>
      <c r="D3579" t="s">
        <v>418</v>
      </c>
      <c r="E3579" t="s">
        <v>24</v>
      </c>
      <c r="F3579" t="s">
        <v>308</v>
      </c>
      <c r="G3579" t="s">
        <v>101</v>
      </c>
      <c r="H3579">
        <v>2</v>
      </c>
      <c r="I3579" t="s">
        <v>10978</v>
      </c>
      <c r="J3579" t="s">
        <v>357</v>
      </c>
    </row>
    <row r="3580" spans="1:10" x14ac:dyDescent="0.25">
      <c r="A3580" t="s">
        <v>10979</v>
      </c>
      <c r="B3580" t="s">
        <v>10980</v>
      </c>
      <c r="C3580" s="2">
        <v>46254.583333333336</v>
      </c>
      <c r="D3580" t="s">
        <v>418</v>
      </c>
      <c r="E3580" t="s">
        <v>26</v>
      </c>
      <c r="F3580" t="s">
        <v>309</v>
      </c>
      <c r="G3580" t="s">
        <v>103</v>
      </c>
      <c r="H3580">
        <v>5</v>
      </c>
      <c r="I3580" t="s">
        <v>10981</v>
      </c>
      <c r="J3580" t="s">
        <v>357</v>
      </c>
    </row>
    <row r="3581" spans="1:10" x14ac:dyDescent="0.25">
      <c r="A3581" t="s">
        <v>10982</v>
      </c>
      <c r="B3581" t="s">
        <v>10983</v>
      </c>
      <c r="C3581" s="2">
        <v>46254.583333333336</v>
      </c>
      <c r="D3581" t="s">
        <v>418</v>
      </c>
      <c r="E3581" t="s">
        <v>45</v>
      </c>
      <c r="F3581" t="s">
        <v>225</v>
      </c>
      <c r="G3581" t="s">
        <v>119</v>
      </c>
      <c r="H3581">
        <v>5</v>
      </c>
      <c r="I3581" t="s">
        <v>10984</v>
      </c>
      <c r="J3581" t="s">
        <v>357</v>
      </c>
    </row>
    <row r="3582" spans="1:10" x14ac:dyDescent="0.25">
      <c r="A3582" t="s">
        <v>10985</v>
      </c>
      <c r="B3582" t="s">
        <v>10986</v>
      </c>
      <c r="C3582" s="2">
        <v>46254.583333333336</v>
      </c>
      <c r="D3582" t="s">
        <v>418</v>
      </c>
      <c r="E3582" t="s">
        <v>49</v>
      </c>
      <c r="F3582" t="s">
        <v>295</v>
      </c>
      <c r="G3582" t="s">
        <v>123</v>
      </c>
      <c r="H3582">
        <v>1</v>
      </c>
      <c r="I3582" t="s">
        <v>10987</v>
      </c>
      <c r="J3582" t="s">
        <v>357</v>
      </c>
    </row>
    <row r="3583" spans="1:10" x14ac:dyDescent="0.25">
      <c r="A3583" t="s">
        <v>10988</v>
      </c>
      <c r="B3583" t="s">
        <v>10989</v>
      </c>
      <c r="C3583" s="2">
        <v>46254.583333333336</v>
      </c>
      <c r="D3583" t="s">
        <v>418</v>
      </c>
      <c r="E3583" t="s">
        <v>55</v>
      </c>
      <c r="F3583" t="s">
        <v>298</v>
      </c>
      <c r="G3583" t="s">
        <v>129</v>
      </c>
      <c r="H3583">
        <v>3</v>
      </c>
      <c r="I3583" t="s">
        <v>10990</v>
      </c>
      <c r="J3583" t="s">
        <v>357</v>
      </c>
    </row>
    <row r="3584" spans="1:10" x14ac:dyDescent="0.25">
      <c r="A3584" t="s">
        <v>10991</v>
      </c>
      <c r="B3584" t="s">
        <v>10992</v>
      </c>
      <c r="C3584" s="2">
        <v>46254.583333333336</v>
      </c>
      <c r="D3584" t="s">
        <v>418</v>
      </c>
      <c r="E3584" t="s">
        <v>67</v>
      </c>
      <c r="F3584" t="s">
        <v>271</v>
      </c>
      <c r="G3584" t="s">
        <v>137</v>
      </c>
      <c r="H3584">
        <v>4</v>
      </c>
      <c r="I3584" t="s">
        <v>10993</v>
      </c>
      <c r="J3584" t="s">
        <v>357</v>
      </c>
    </row>
    <row r="3585" spans="1:10" x14ac:dyDescent="0.25">
      <c r="A3585" t="s">
        <v>10994</v>
      </c>
      <c r="B3585" t="s">
        <v>10995</v>
      </c>
      <c r="C3585" s="2">
        <v>46254.583333333336</v>
      </c>
      <c r="D3585" t="s">
        <v>418</v>
      </c>
      <c r="E3585" t="s">
        <v>73</v>
      </c>
      <c r="F3585" t="s">
        <v>258</v>
      </c>
      <c r="G3585" t="s">
        <v>143</v>
      </c>
      <c r="H3585">
        <v>1</v>
      </c>
      <c r="I3585" t="s">
        <v>10996</v>
      </c>
      <c r="J3585" t="s">
        <v>357</v>
      </c>
    </row>
    <row r="3586" spans="1:10" x14ac:dyDescent="0.25">
      <c r="A3586" t="s">
        <v>10997</v>
      </c>
      <c r="B3586" t="s">
        <v>10998</v>
      </c>
      <c r="C3586" s="2">
        <v>46254.583333333336</v>
      </c>
      <c r="D3586" t="s">
        <v>418</v>
      </c>
      <c r="E3586" t="s">
        <v>75</v>
      </c>
      <c r="F3586" t="s">
        <v>259</v>
      </c>
      <c r="G3586" t="s">
        <v>145</v>
      </c>
      <c r="H3586">
        <v>2</v>
      </c>
      <c r="I3586" t="s">
        <v>10999</v>
      </c>
      <c r="J3586" t="s">
        <v>357</v>
      </c>
    </row>
    <row r="3587" spans="1:10" x14ac:dyDescent="0.25">
      <c r="A3587" t="s">
        <v>11000</v>
      </c>
      <c r="B3587" t="s">
        <v>11001</v>
      </c>
      <c r="C3587" s="2">
        <v>46254.583333333336</v>
      </c>
      <c r="D3587" t="s">
        <v>418</v>
      </c>
      <c r="E3587" t="s">
        <v>75</v>
      </c>
      <c r="F3587" t="s">
        <v>272</v>
      </c>
      <c r="G3587" t="s">
        <v>145</v>
      </c>
      <c r="H3587">
        <v>2</v>
      </c>
      <c r="I3587" t="s">
        <v>10999</v>
      </c>
      <c r="J3587" t="s">
        <v>357</v>
      </c>
    </row>
    <row r="3588" spans="1:10" x14ac:dyDescent="0.25">
      <c r="A3588" t="s">
        <v>11002</v>
      </c>
      <c r="B3588" t="s">
        <v>11003</v>
      </c>
      <c r="C3588" s="2">
        <v>46254.583333333336</v>
      </c>
      <c r="D3588" t="s">
        <v>418</v>
      </c>
      <c r="E3588" t="s">
        <v>77</v>
      </c>
      <c r="F3588" t="s">
        <v>273</v>
      </c>
      <c r="G3588" t="s">
        <v>147</v>
      </c>
      <c r="H3588">
        <v>3</v>
      </c>
      <c r="I3588" t="s">
        <v>11004</v>
      </c>
      <c r="J3588" t="s">
        <v>357</v>
      </c>
    </row>
    <row r="3589" spans="1:10" x14ac:dyDescent="0.25">
      <c r="A3589" t="s">
        <v>11005</v>
      </c>
      <c r="B3589" t="s">
        <v>11006</v>
      </c>
      <c r="C3589" s="2">
        <v>46254.583333333336</v>
      </c>
      <c r="D3589" t="s">
        <v>418</v>
      </c>
      <c r="E3589" t="s">
        <v>18</v>
      </c>
      <c r="F3589" t="s">
        <v>305</v>
      </c>
      <c r="G3589" t="s">
        <v>95</v>
      </c>
      <c r="H3589">
        <v>6</v>
      </c>
      <c r="I3589" t="s">
        <v>11007</v>
      </c>
      <c r="J3589" t="s">
        <v>357</v>
      </c>
    </row>
    <row r="3590" spans="1:10" x14ac:dyDescent="0.25">
      <c r="A3590" t="s">
        <v>11008</v>
      </c>
      <c r="B3590" t="s">
        <v>11009</v>
      </c>
      <c r="C3590" s="2">
        <v>46254.583333333336</v>
      </c>
      <c r="D3590" t="s">
        <v>418</v>
      </c>
      <c r="E3590" t="s">
        <v>20</v>
      </c>
      <c r="F3590" t="s">
        <v>306</v>
      </c>
      <c r="G3590" t="s">
        <v>97</v>
      </c>
      <c r="H3590">
        <v>2</v>
      </c>
      <c r="I3590" t="s">
        <v>11010</v>
      </c>
      <c r="J3590" t="s">
        <v>357</v>
      </c>
    </row>
    <row r="3591" spans="1:10" x14ac:dyDescent="0.25">
      <c r="A3591" t="s">
        <v>11011</v>
      </c>
      <c r="B3591" t="s">
        <v>11012</v>
      </c>
      <c r="C3591" s="2">
        <v>46254.583333333336</v>
      </c>
      <c r="D3591" t="s">
        <v>418</v>
      </c>
      <c r="E3591" t="s">
        <v>24</v>
      </c>
      <c r="F3591" t="s">
        <v>308</v>
      </c>
      <c r="G3591" t="s">
        <v>101</v>
      </c>
      <c r="H3591">
        <v>5</v>
      </c>
      <c r="I3591" t="s">
        <v>11013</v>
      </c>
      <c r="J3591" t="s">
        <v>357</v>
      </c>
    </row>
    <row r="3592" spans="1:10" x14ac:dyDescent="0.25">
      <c r="A3592" t="s">
        <v>11014</v>
      </c>
      <c r="B3592" t="s">
        <v>11015</v>
      </c>
      <c r="C3592" s="2">
        <v>46254.583333333336</v>
      </c>
      <c r="D3592" t="s">
        <v>418</v>
      </c>
      <c r="E3592" t="s">
        <v>30</v>
      </c>
      <c r="F3592" t="s">
        <v>207</v>
      </c>
      <c r="G3592" t="s">
        <v>107</v>
      </c>
      <c r="H3592">
        <v>5</v>
      </c>
      <c r="I3592" t="s">
        <v>11016</v>
      </c>
      <c r="J3592" t="s">
        <v>357</v>
      </c>
    </row>
    <row r="3593" spans="1:10" x14ac:dyDescent="0.25">
      <c r="A3593" t="s">
        <v>11017</v>
      </c>
      <c r="B3593" t="s">
        <v>11018</v>
      </c>
      <c r="C3593" s="2">
        <v>46254.583333333336</v>
      </c>
      <c r="D3593" t="s">
        <v>418</v>
      </c>
      <c r="E3593" t="s">
        <v>41</v>
      </c>
      <c r="F3593" t="s">
        <v>293</v>
      </c>
      <c r="G3593" t="s">
        <v>115</v>
      </c>
      <c r="H3593">
        <v>6</v>
      </c>
      <c r="I3593" t="s">
        <v>11019</v>
      </c>
      <c r="J3593" t="s">
        <v>357</v>
      </c>
    </row>
    <row r="3594" spans="1:10" x14ac:dyDescent="0.25">
      <c r="A3594" t="s">
        <v>11020</v>
      </c>
      <c r="B3594" t="s">
        <v>11021</v>
      </c>
      <c r="C3594" s="2">
        <v>46254.583333333336</v>
      </c>
      <c r="D3594" t="s">
        <v>418</v>
      </c>
      <c r="E3594" t="s">
        <v>43</v>
      </c>
      <c r="F3594" t="s">
        <v>237</v>
      </c>
      <c r="G3594" t="s">
        <v>117</v>
      </c>
      <c r="H3594">
        <v>5</v>
      </c>
      <c r="I3594" t="s">
        <v>11022</v>
      </c>
      <c r="J3594" t="s">
        <v>357</v>
      </c>
    </row>
    <row r="3595" spans="1:10" x14ac:dyDescent="0.25">
      <c r="A3595" t="s">
        <v>11023</v>
      </c>
      <c r="B3595" t="s">
        <v>11024</v>
      </c>
      <c r="C3595" s="2">
        <v>46254.583333333336</v>
      </c>
      <c r="D3595" t="s">
        <v>418</v>
      </c>
      <c r="E3595" t="s">
        <v>45</v>
      </c>
      <c r="F3595" t="s">
        <v>225</v>
      </c>
      <c r="G3595" t="s">
        <v>119</v>
      </c>
      <c r="H3595">
        <v>5</v>
      </c>
      <c r="I3595" t="s">
        <v>11025</v>
      </c>
      <c r="J3595" t="s">
        <v>357</v>
      </c>
    </row>
    <row r="3596" spans="1:10" x14ac:dyDescent="0.25">
      <c r="A3596" t="s">
        <v>11026</v>
      </c>
      <c r="B3596" t="s">
        <v>11027</v>
      </c>
      <c r="C3596" s="2">
        <v>46254.583333333336</v>
      </c>
      <c r="D3596" t="s">
        <v>418</v>
      </c>
      <c r="E3596" t="s">
        <v>65</v>
      </c>
      <c r="F3596" t="s">
        <v>284</v>
      </c>
      <c r="G3596" t="s">
        <v>135</v>
      </c>
      <c r="H3596">
        <v>2</v>
      </c>
      <c r="I3596" t="s">
        <v>11028</v>
      </c>
      <c r="J3596" t="s">
        <v>357</v>
      </c>
    </row>
    <row r="3597" spans="1:10" x14ac:dyDescent="0.25">
      <c r="A3597" t="s">
        <v>11029</v>
      </c>
      <c r="B3597" t="s">
        <v>11030</v>
      </c>
      <c r="C3597" s="2">
        <v>46254.583333333336</v>
      </c>
      <c r="D3597" t="s">
        <v>418</v>
      </c>
      <c r="E3597" t="s">
        <v>67</v>
      </c>
      <c r="F3597" t="s">
        <v>271</v>
      </c>
      <c r="G3597" t="s">
        <v>137</v>
      </c>
      <c r="H3597">
        <v>2</v>
      </c>
      <c r="I3597" t="s">
        <v>11031</v>
      </c>
      <c r="J3597" t="s">
        <v>357</v>
      </c>
    </row>
    <row r="3598" spans="1:10" x14ac:dyDescent="0.25">
      <c r="A3598" t="s">
        <v>11032</v>
      </c>
      <c r="B3598" t="s">
        <v>11033</v>
      </c>
      <c r="C3598" s="2">
        <v>46254.583333333336</v>
      </c>
      <c r="D3598" t="s">
        <v>418</v>
      </c>
      <c r="E3598" t="s">
        <v>18</v>
      </c>
      <c r="F3598" t="s">
        <v>305</v>
      </c>
      <c r="G3598" t="s">
        <v>95</v>
      </c>
      <c r="H3598">
        <v>4</v>
      </c>
      <c r="I3598" t="s">
        <v>11034</v>
      </c>
      <c r="J3598" t="s">
        <v>357</v>
      </c>
    </row>
    <row r="3599" spans="1:10" x14ac:dyDescent="0.25">
      <c r="A3599" t="s">
        <v>11035</v>
      </c>
      <c r="B3599" t="s">
        <v>11036</v>
      </c>
      <c r="C3599" s="2">
        <v>46254.583333333336</v>
      </c>
      <c r="D3599" t="s">
        <v>418</v>
      </c>
      <c r="E3599" t="s">
        <v>36</v>
      </c>
      <c r="F3599" t="s">
        <v>187</v>
      </c>
      <c r="G3599" t="s">
        <v>113</v>
      </c>
      <c r="H3599">
        <v>4</v>
      </c>
      <c r="I3599" t="s">
        <v>11037</v>
      </c>
      <c r="J3599" t="s">
        <v>357</v>
      </c>
    </row>
    <row r="3600" spans="1:10" x14ac:dyDescent="0.25">
      <c r="A3600" t="s">
        <v>11038</v>
      </c>
      <c r="B3600" t="s">
        <v>11039</v>
      </c>
      <c r="C3600" s="2">
        <v>46254.583333333336</v>
      </c>
      <c r="D3600" t="s">
        <v>418</v>
      </c>
      <c r="E3600" t="s">
        <v>47</v>
      </c>
      <c r="F3600" t="s">
        <v>268</v>
      </c>
      <c r="G3600" t="s">
        <v>121</v>
      </c>
      <c r="H3600">
        <v>6</v>
      </c>
      <c r="I3600" t="s">
        <v>11040</v>
      </c>
      <c r="J3600" t="s">
        <v>357</v>
      </c>
    </row>
    <row r="3601" spans="1:10" x14ac:dyDescent="0.25">
      <c r="A3601" t="s">
        <v>11041</v>
      </c>
      <c r="B3601" t="s">
        <v>11042</v>
      </c>
      <c r="C3601" s="2">
        <v>46254.583333333336</v>
      </c>
      <c r="D3601" t="s">
        <v>418</v>
      </c>
      <c r="E3601" t="s">
        <v>59</v>
      </c>
      <c r="F3601" t="s">
        <v>270</v>
      </c>
      <c r="G3601" t="s">
        <v>133</v>
      </c>
      <c r="H3601">
        <v>6</v>
      </c>
      <c r="I3601" t="s">
        <v>11043</v>
      </c>
      <c r="J3601" t="s">
        <v>357</v>
      </c>
    </row>
    <row r="3602" spans="1:10" x14ac:dyDescent="0.25">
      <c r="A3602" t="s">
        <v>11044</v>
      </c>
      <c r="B3602" t="s">
        <v>11045</v>
      </c>
      <c r="C3602" s="2">
        <v>46254.583333333336</v>
      </c>
      <c r="D3602" t="s">
        <v>418</v>
      </c>
      <c r="E3602" t="s">
        <v>11</v>
      </c>
      <c r="F3602" t="s">
        <v>285</v>
      </c>
      <c r="G3602" t="s">
        <v>92</v>
      </c>
      <c r="H3602">
        <v>1</v>
      </c>
      <c r="I3602" t="s">
        <v>11046</v>
      </c>
      <c r="J3602" t="s">
        <v>357</v>
      </c>
    </row>
    <row r="3603" spans="1:10" x14ac:dyDescent="0.25">
      <c r="A3603" t="s">
        <v>11047</v>
      </c>
      <c r="B3603" t="s">
        <v>11048</v>
      </c>
      <c r="C3603" s="2">
        <v>46254.583333333336</v>
      </c>
      <c r="D3603" t="s">
        <v>418</v>
      </c>
      <c r="E3603" t="s">
        <v>11</v>
      </c>
      <c r="F3603" t="s">
        <v>304</v>
      </c>
      <c r="G3603" t="s">
        <v>92</v>
      </c>
      <c r="H3603">
        <v>1</v>
      </c>
      <c r="I3603" t="s">
        <v>11046</v>
      </c>
      <c r="J3603" t="s">
        <v>357</v>
      </c>
    </row>
    <row r="3604" spans="1:10" x14ac:dyDescent="0.25">
      <c r="A3604" t="s">
        <v>11049</v>
      </c>
      <c r="B3604" t="s">
        <v>11050</v>
      </c>
      <c r="C3604" s="2">
        <v>46254.583333333336</v>
      </c>
      <c r="D3604" t="s">
        <v>418</v>
      </c>
      <c r="E3604" t="s">
        <v>20</v>
      </c>
      <c r="F3604" t="s">
        <v>306</v>
      </c>
      <c r="G3604" t="s">
        <v>97</v>
      </c>
      <c r="H3604">
        <v>1</v>
      </c>
      <c r="I3604" t="s">
        <v>11051</v>
      </c>
      <c r="J3604" t="s">
        <v>357</v>
      </c>
    </row>
    <row r="3605" spans="1:10" x14ac:dyDescent="0.25">
      <c r="A3605" t="s">
        <v>11052</v>
      </c>
      <c r="B3605" t="s">
        <v>11053</v>
      </c>
      <c r="C3605" s="2">
        <v>46254.583333333336</v>
      </c>
      <c r="D3605" t="s">
        <v>418</v>
      </c>
      <c r="E3605" t="s">
        <v>22</v>
      </c>
      <c r="F3605" t="s">
        <v>307</v>
      </c>
      <c r="G3605" t="s">
        <v>99</v>
      </c>
      <c r="H3605">
        <v>4</v>
      </c>
      <c r="I3605" t="s">
        <v>11054</v>
      </c>
      <c r="J3605" t="s">
        <v>357</v>
      </c>
    </row>
    <row r="3606" spans="1:10" x14ac:dyDescent="0.25">
      <c r="A3606" t="s">
        <v>11055</v>
      </c>
      <c r="B3606" t="s">
        <v>11056</v>
      </c>
      <c r="C3606" s="2">
        <v>46254.583333333336</v>
      </c>
      <c r="D3606" t="s">
        <v>418</v>
      </c>
      <c r="E3606" t="s">
        <v>24</v>
      </c>
      <c r="F3606" t="s">
        <v>308</v>
      </c>
      <c r="G3606" t="s">
        <v>101</v>
      </c>
      <c r="H3606">
        <v>4</v>
      </c>
      <c r="I3606" t="s">
        <v>11057</v>
      </c>
      <c r="J3606" t="s">
        <v>357</v>
      </c>
    </row>
    <row r="3607" spans="1:10" x14ac:dyDescent="0.25">
      <c r="A3607" t="s">
        <v>11058</v>
      </c>
      <c r="B3607" t="s">
        <v>11059</v>
      </c>
      <c r="C3607" s="2">
        <v>46254.583333333336</v>
      </c>
      <c r="D3607" t="s">
        <v>418</v>
      </c>
      <c r="E3607" t="s">
        <v>32</v>
      </c>
      <c r="F3607" t="s">
        <v>311</v>
      </c>
      <c r="G3607" t="s">
        <v>109</v>
      </c>
      <c r="H3607">
        <v>3</v>
      </c>
      <c r="I3607" t="s">
        <v>11060</v>
      </c>
      <c r="J3607" t="s">
        <v>357</v>
      </c>
    </row>
    <row r="3608" spans="1:10" x14ac:dyDescent="0.25">
      <c r="A3608" t="s">
        <v>11061</v>
      </c>
      <c r="B3608" t="s">
        <v>11062</v>
      </c>
      <c r="C3608" s="2">
        <v>46254.583333333336</v>
      </c>
      <c r="D3608" t="s">
        <v>418</v>
      </c>
      <c r="E3608" t="s">
        <v>36</v>
      </c>
      <c r="F3608" t="s">
        <v>187</v>
      </c>
      <c r="G3608" t="s">
        <v>113</v>
      </c>
      <c r="H3608">
        <v>4</v>
      </c>
      <c r="I3608" t="s">
        <v>11063</v>
      </c>
      <c r="J3608" t="s">
        <v>357</v>
      </c>
    </row>
    <row r="3609" spans="1:10" x14ac:dyDescent="0.25">
      <c r="A3609" t="s">
        <v>11064</v>
      </c>
      <c r="B3609" t="s">
        <v>11065</v>
      </c>
      <c r="C3609" s="2">
        <v>46254.583333333336</v>
      </c>
      <c r="D3609" t="s">
        <v>418</v>
      </c>
      <c r="E3609" t="s">
        <v>49</v>
      </c>
      <c r="F3609" t="s">
        <v>295</v>
      </c>
      <c r="G3609" t="s">
        <v>123</v>
      </c>
      <c r="H3609">
        <v>3</v>
      </c>
      <c r="I3609" t="s">
        <v>11066</v>
      </c>
      <c r="J3609" t="s">
        <v>357</v>
      </c>
    </row>
    <row r="3610" spans="1:10" x14ac:dyDescent="0.25">
      <c r="A3610" t="s">
        <v>11067</v>
      </c>
      <c r="B3610" t="s">
        <v>11068</v>
      </c>
      <c r="C3610" s="2">
        <v>46254.583333333336</v>
      </c>
      <c r="D3610" t="s">
        <v>418</v>
      </c>
      <c r="E3610" t="s">
        <v>51</v>
      </c>
      <c r="F3610" t="s">
        <v>254</v>
      </c>
      <c r="G3610" t="s">
        <v>125</v>
      </c>
      <c r="H3610">
        <v>3</v>
      </c>
      <c r="I3610" t="s">
        <v>11069</v>
      </c>
      <c r="J3610" t="s">
        <v>357</v>
      </c>
    </row>
    <row r="3611" spans="1:10" x14ac:dyDescent="0.25">
      <c r="A3611" t="s">
        <v>11070</v>
      </c>
      <c r="B3611" t="s">
        <v>11071</v>
      </c>
      <c r="C3611" s="2">
        <v>46254.583333333336</v>
      </c>
      <c r="D3611" t="s">
        <v>418</v>
      </c>
      <c r="E3611" t="s">
        <v>69</v>
      </c>
      <c r="F3611" t="s">
        <v>229</v>
      </c>
      <c r="G3611" t="s">
        <v>139</v>
      </c>
      <c r="H3611">
        <v>1</v>
      </c>
      <c r="I3611" t="s">
        <v>11072</v>
      </c>
      <c r="J3611" t="s">
        <v>357</v>
      </c>
    </row>
    <row r="3612" spans="1:10" x14ac:dyDescent="0.25">
      <c r="A3612" t="s">
        <v>11073</v>
      </c>
      <c r="B3612" t="s">
        <v>11074</v>
      </c>
      <c r="C3612" s="2">
        <v>46254.583333333336</v>
      </c>
      <c r="D3612" t="s">
        <v>418</v>
      </c>
      <c r="E3612" t="s">
        <v>71</v>
      </c>
      <c r="F3612" t="s">
        <v>257</v>
      </c>
      <c r="G3612" t="s">
        <v>141</v>
      </c>
      <c r="H3612">
        <v>4</v>
      </c>
      <c r="I3612" t="s">
        <v>11075</v>
      </c>
      <c r="J3612" t="s">
        <v>357</v>
      </c>
    </row>
    <row r="3613" spans="1:10" x14ac:dyDescent="0.25">
      <c r="A3613" t="s">
        <v>11076</v>
      </c>
      <c r="B3613" t="s">
        <v>11077</v>
      </c>
      <c r="C3613" s="2">
        <v>46254.583333333336</v>
      </c>
      <c r="D3613" t="s">
        <v>418</v>
      </c>
      <c r="E3613" t="s">
        <v>73</v>
      </c>
      <c r="F3613" t="s">
        <v>258</v>
      </c>
      <c r="G3613" t="s">
        <v>143</v>
      </c>
      <c r="H3613">
        <v>3</v>
      </c>
      <c r="I3613" t="s">
        <v>11078</v>
      </c>
      <c r="J3613" t="s">
        <v>357</v>
      </c>
    </row>
    <row r="3614" spans="1:10" x14ac:dyDescent="0.25">
      <c r="A3614" t="s">
        <v>11079</v>
      </c>
      <c r="B3614" t="s">
        <v>11080</v>
      </c>
      <c r="C3614" s="2">
        <v>46254.583333333336</v>
      </c>
      <c r="D3614" t="s">
        <v>418</v>
      </c>
      <c r="E3614" t="s">
        <v>77</v>
      </c>
      <c r="F3614" t="s">
        <v>273</v>
      </c>
      <c r="G3614" t="s">
        <v>147</v>
      </c>
      <c r="H3614">
        <v>1</v>
      </c>
      <c r="I3614" t="s">
        <v>11081</v>
      </c>
      <c r="J3614" t="s">
        <v>357</v>
      </c>
    </row>
    <row r="3615" spans="1:10" x14ac:dyDescent="0.25">
      <c r="A3615" t="s">
        <v>11082</v>
      </c>
      <c r="B3615" t="s">
        <v>11083</v>
      </c>
      <c r="C3615" s="2">
        <v>46255.583333333336</v>
      </c>
      <c r="D3615" t="s">
        <v>418</v>
      </c>
      <c r="E3615" t="s">
        <v>11</v>
      </c>
      <c r="F3615" t="s">
        <v>304</v>
      </c>
      <c r="G3615" t="s">
        <v>92</v>
      </c>
      <c r="H3615">
        <v>4</v>
      </c>
      <c r="I3615" t="s">
        <v>11084</v>
      </c>
      <c r="J3615" t="s">
        <v>357</v>
      </c>
    </row>
    <row r="3616" spans="1:10" x14ac:dyDescent="0.25">
      <c r="A3616" t="s">
        <v>11085</v>
      </c>
      <c r="B3616" t="s">
        <v>11086</v>
      </c>
      <c r="C3616" s="2">
        <v>46255.583333333336</v>
      </c>
      <c r="D3616" t="s">
        <v>418</v>
      </c>
      <c r="E3616" t="s">
        <v>20</v>
      </c>
      <c r="F3616" t="s">
        <v>306</v>
      </c>
      <c r="G3616" t="s">
        <v>97</v>
      </c>
      <c r="H3616">
        <v>1</v>
      </c>
      <c r="I3616" t="s">
        <v>11087</v>
      </c>
      <c r="J3616" t="s">
        <v>357</v>
      </c>
    </row>
    <row r="3617" spans="1:10" x14ac:dyDescent="0.25">
      <c r="A3617" t="s">
        <v>11088</v>
      </c>
      <c r="B3617" t="s">
        <v>11089</v>
      </c>
      <c r="C3617" s="2">
        <v>46255.583333333336</v>
      </c>
      <c r="D3617" t="s">
        <v>418</v>
      </c>
      <c r="E3617" t="s">
        <v>24</v>
      </c>
      <c r="F3617" t="s">
        <v>308</v>
      </c>
      <c r="G3617" t="s">
        <v>101</v>
      </c>
      <c r="H3617">
        <v>2</v>
      </c>
      <c r="I3617" t="s">
        <v>11090</v>
      </c>
      <c r="J3617" t="s">
        <v>357</v>
      </c>
    </row>
    <row r="3618" spans="1:10" x14ac:dyDescent="0.25">
      <c r="A3618" t="s">
        <v>11091</v>
      </c>
      <c r="B3618" t="s">
        <v>11092</v>
      </c>
      <c r="C3618" s="2">
        <v>46255.583333333336</v>
      </c>
      <c r="D3618" t="s">
        <v>418</v>
      </c>
      <c r="E3618" t="s">
        <v>26</v>
      </c>
      <c r="F3618" t="s">
        <v>309</v>
      </c>
      <c r="G3618" t="s">
        <v>103</v>
      </c>
      <c r="H3618">
        <v>2</v>
      </c>
      <c r="I3618" t="s">
        <v>11093</v>
      </c>
      <c r="J3618" t="s">
        <v>357</v>
      </c>
    </row>
    <row r="3619" spans="1:10" x14ac:dyDescent="0.25">
      <c r="A3619" t="s">
        <v>11094</v>
      </c>
      <c r="B3619" t="s">
        <v>11095</v>
      </c>
      <c r="C3619" s="2">
        <v>46255.583333333336</v>
      </c>
      <c r="D3619" t="s">
        <v>418</v>
      </c>
      <c r="E3619" t="s">
        <v>45</v>
      </c>
      <c r="F3619" t="s">
        <v>225</v>
      </c>
      <c r="G3619" t="s">
        <v>119</v>
      </c>
      <c r="H3619">
        <v>4</v>
      </c>
      <c r="I3619" t="s">
        <v>11096</v>
      </c>
      <c r="J3619" t="s">
        <v>357</v>
      </c>
    </row>
    <row r="3620" spans="1:10" x14ac:dyDescent="0.25">
      <c r="A3620" t="s">
        <v>11097</v>
      </c>
      <c r="B3620" t="s">
        <v>11098</v>
      </c>
      <c r="C3620" s="2">
        <v>46255.583333333336</v>
      </c>
      <c r="D3620" t="s">
        <v>418</v>
      </c>
      <c r="E3620" t="s">
        <v>49</v>
      </c>
      <c r="F3620" t="s">
        <v>295</v>
      </c>
      <c r="G3620" t="s">
        <v>123</v>
      </c>
      <c r="H3620">
        <v>1</v>
      </c>
      <c r="I3620" t="s">
        <v>11099</v>
      </c>
      <c r="J3620" t="s">
        <v>357</v>
      </c>
    </row>
    <row r="3621" spans="1:10" x14ac:dyDescent="0.25">
      <c r="A3621" t="s">
        <v>11100</v>
      </c>
      <c r="B3621" t="s">
        <v>11101</v>
      </c>
      <c r="C3621" s="2">
        <v>46255.583333333336</v>
      </c>
      <c r="D3621" t="s">
        <v>418</v>
      </c>
      <c r="E3621" t="s">
        <v>51</v>
      </c>
      <c r="F3621" t="s">
        <v>254</v>
      </c>
      <c r="G3621" t="s">
        <v>125</v>
      </c>
      <c r="H3621">
        <v>1</v>
      </c>
      <c r="I3621" t="s">
        <v>11102</v>
      </c>
      <c r="J3621" t="s">
        <v>357</v>
      </c>
    </row>
    <row r="3622" spans="1:10" x14ac:dyDescent="0.25">
      <c r="A3622" t="s">
        <v>11103</v>
      </c>
      <c r="B3622" t="s">
        <v>11104</v>
      </c>
      <c r="C3622" s="2">
        <v>46255.583333333336</v>
      </c>
      <c r="D3622" t="s">
        <v>418</v>
      </c>
      <c r="E3622" t="s">
        <v>65</v>
      </c>
      <c r="F3622" t="s">
        <v>284</v>
      </c>
      <c r="G3622" t="s">
        <v>135</v>
      </c>
      <c r="H3622">
        <v>3</v>
      </c>
      <c r="I3622" t="s">
        <v>11105</v>
      </c>
      <c r="J3622" t="s">
        <v>357</v>
      </c>
    </row>
    <row r="3623" spans="1:10" x14ac:dyDescent="0.25">
      <c r="A3623" t="s">
        <v>11106</v>
      </c>
      <c r="B3623" t="s">
        <v>11107</v>
      </c>
      <c r="C3623" s="2">
        <v>46255.583333333336</v>
      </c>
      <c r="D3623" t="s">
        <v>418</v>
      </c>
      <c r="E3623" t="s">
        <v>69</v>
      </c>
      <c r="F3623" t="s">
        <v>229</v>
      </c>
      <c r="G3623" t="s">
        <v>139</v>
      </c>
      <c r="H3623">
        <v>2</v>
      </c>
      <c r="I3623" t="s">
        <v>11108</v>
      </c>
      <c r="J3623" t="s">
        <v>357</v>
      </c>
    </row>
    <row r="3624" spans="1:10" x14ac:dyDescent="0.25">
      <c r="A3624" t="s">
        <v>11109</v>
      </c>
      <c r="B3624" t="s">
        <v>11110</v>
      </c>
      <c r="C3624" s="2">
        <v>46255.583333333336</v>
      </c>
      <c r="D3624" t="s">
        <v>418</v>
      </c>
      <c r="E3624" t="s">
        <v>18</v>
      </c>
      <c r="F3624" t="s">
        <v>305</v>
      </c>
      <c r="G3624" t="s">
        <v>95</v>
      </c>
      <c r="H3624">
        <v>4</v>
      </c>
      <c r="I3624" t="s">
        <v>11111</v>
      </c>
      <c r="J3624" t="s">
        <v>357</v>
      </c>
    </row>
    <row r="3625" spans="1:10" x14ac:dyDescent="0.25">
      <c r="A3625" t="s">
        <v>11112</v>
      </c>
      <c r="B3625" t="s">
        <v>11113</v>
      </c>
      <c r="C3625" s="2">
        <v>46255.583333333336</v>
      </c>
      <c r="D3625" t="s">
        <v>418</v>
      </c>
      <c r="E3625" t="s">
        <v>20</v>
      </c>
      <c r="F3625" t="s">
        <v>306</v>
      </c>
      <c r="G3625" t="s">
        <v>97</v>
      </c>
      <c r="H3625">
        <v>4</v>
      </c>
      <c r="I3625" t="s">
        <v>11114</v>
      </c>
      <c r="J3625" t="s">
        <v>357</v>
      </c>
    </row>
    <row r="3626" spans="1:10" x14ac:dyDescent="0.25">
      <c r="A3626" t="s">
        <v>11115</v>
      </c>
      <c r="B3626" t="s">
        <v>11116</v>
      </c>
      <c r="C3626" s="2">
        <v>46255.583333333336</v>
      </c>
      <c r="D3626" t="s">
        <v>418</v>
      </c>
      <c r="E3626" t="s">
        <v>22</v>
      </c>
      <c r="F3626" t="s">
        <v>307</v>
      </c>
      <c r="G3626" t="s">
        <v>99</v>
      </c>
      <c r="H3626">
        <v>3</v>
      </c>
      <c r="I3626" t="s">
        <v>11117</v>
      </c>
      <c r="J3626" t="s">
        <v>357</v>
      </c>
    </row>
    <row r="3627" spans="1:10" x14ac:dyDescent="0.25">
      <c r="A3627" t="s">
        <v>11118</v>
      </c>
      <c r="B3627" t="s">
        <v>11119</v>
      </c>
      <c r="C3627" s="2">
        <v>46255.583333333336</v>
      </c>
      <c r="D3627" t="s">
        <v>418</v>
      </c>
      <c r="E3627" t="s">
        <v>24</v>
      </c>
      <c r="F3627" t="s">
        <v>308</v>
      </c>
      <c r="G3627" t="s">
        <v>101</v>
      </c>
      <c r="H3627">
        <v>5</v>
      </c>
      <c r="I3627" t="s">
        <v>11120</v>
      </c>
      <c r="J3627" t="s">
        <v>357</v>
      </c>
    </row>
    <row r="3628" spans="1:10" x14ac:dyDescent="0.25">
      <c r="A3628" t="s">
        <v>11121</v>
      </c>
      <c r="B3628" t="s">
        <v>11122</v>
      </c>
      <c r="C3628" s="2">
        <v>46255.583333333336</v>
      </c>
      <c r="D3628" t="s">
        <v>418</v>
      </c>
      <c r="E3628" t="s">
        <v>32</v>
      </c>
      <c r="F3628" t="s">
        <v>311</v>
      </c>
      <c r="G3628" t="s">
        <v>109</v>
      </c>
      <c r="H3628">
        <v>1</v>
      </c>
      <c r="I3628" t="s">
        <v>11123</v>
      </c>
      <c r="J3628" t="s">
        <v>357</v>
      </c>
    </row>
    <row r="3629" spans="1:10" x14ac:dyDescent="0.25">
      <c r="A3629" t="s">
        <v>11124</v>
      </c>
      <c r="B3629" t="s">
        <v>11125</v>
      </c>
      <c r="C3629" s="2">
        <v>46255.583333333336</v>
      </c>
      <c r="D3629" t="s">
        <v>418</v>
      </c>
      <c r="E3629" t="s">
        <v>11</v>
      </c>
      <c r="F3629" t="s">
        <v>304</v>
      </c>
      <c r="G3629" t="s">
        <v>92</v>
      </c>
      <c r="H3629">
        <v>5</v>
      </c>
      <c r="I3629" t="s">
        <v>11126</v>
      </c>
      <c r="J3629" t="s">
        <v>357</v>
      </c>
    </row>
    <row r="3630" spans="1:10" x14ac:dyDescent="0.25">
      <c r="A3630" t="s">
        <v>11127</v>
      </c>
      <c r="B3630" t="s">
        <v>11128</v>
      </c>
      <c r="C3630" s="2">
        <v>46255.583333333336</v>
      </c>
      <c r="D3630" t="s">
        <v>418</v>
      </c>
      <c r="E3630" t="s">
        <v>20</v>
      </c>
      <c r="F3630" t="s">
        <v>306</v>
      </c>
      <c r="G3630" t="s">
        <v>97</v>
      </c>
      <c r="H3630">
        <v>2</v>
      </c>
      <c r="I3630" t="s">
        <v>11129</v>
      </c>
      <c r="J3630" t="s">
        <v>357</v>
      </c>
    </row>
    <row r="3631" spans="1:10" x14ac:dyDescent="0.25">
      <c r="A3631" t="s">
        <v>11130</v>
      </c>
      <c r="B3631" t="s">
        <v>11131</v>
      </c>
      <c r="C3631" s="2">
        <v>46255.583333333336</v>
      </c>
      <c r="D3631" t="s">
        <v>418</v>
      </c>
      <c r="E3631" t="s">
        <v>22</v>
      </c>
      <c r="F3631" t="s">
        <v>307</v>
      </c>
      <c r="G3631" t="s">
        <v>99</v>
      </c>
      <c r="H3631">
        <v>1</v>
      </c>
      <c r="I3631" t="s">
        <v>11132</v>
      </c>
      <c r="J3631" t="s">
        <v>357</v>
      </c>
    </row>
    <row r="3632" spans="1:10" x14ac:dyDescent="0.25">
      <c r="A3632" t="s">
        <v>11133</v>
      </c>
      <c r="B3632" t="s">
        <v>11134</v>
      </c>
      <c r="C3632" s="2">
        <v>46255.583333333336</v>
      </c>
      <c r="D3632" t="s">
        <v>418</v>
      </c>
      <c r="E3632" t="s">
        <v>24</v>
      </c>
      <c r="F3632" t="s">
        <v>308</v>
      </c>
      <c r="G3632" t="s">
        <v>101</v>
      </c>
      <c r="H3632">
        <v>5</v>
      </c>
      <c r="I3632" t="s">
        <v>11135</v>
      </c>
      <c r="J3632" t="s">
        <v>357</v>
      </c>
    </row>
    <row r="3633" spans="1:10" x14ac:dyDescent="0.25">
      <c r="A3633" t="s">
        <v>11136</v>
      </c>
      <c r="B3633" t="s">
        <v>11137</v>
      </c>
      <c r="C3633" s="2">
        <v>46255.583333333336</v>
      </c>
      <c r="D3633" t="s">
        <v>418</v>
      </c>
      <c r="E3633" t="s">
        <v>26</v>
      </c>
      <c r="F3633" t="s">
        <v>309</v>
      </c>
      <c r="G3633" t="s">
        <v>103</v>
      </c>
      <c r="H3633">
        <v>4</v>
      </c>
      <c r="I3633" t="s">
        <v>11138</v>
      </c>
      <c r="J3633" t="s">
        <v>357</v>
      </c>
    </row>
    <row r="3634" spans="1:10" x14ac:dyDescent="0.25">
      <c r="A3634" t="s">
        <v>11139</v>
      </c>
      <c r="B3634" t="s">
        <v>11140</v>
      </c>
      <c r="C3634" s="2">
        <v>46255.583333333336</v>
      </c>
      <c r="D3634" t="s">
        <v>418</v>
      </c>
      <c r="E3634" t="s">
        <v>28</v>
      </c>
      <c r="F3634" t="s">
        <v>249</v>
      </c>
      <c r="G3634" t="s">
        <v>105</v>
      </c>
      <c r="H3634">
        <v>6</v>
      </c>
      <c r="I3634" t="s">
        <v>11141</v>
      </c>
      <c r="J3634" t="s">
        <v>357</v>
      </c>
    </row>
    <row r="3635" spans="1:10" x14ac:dyDescent="0.25">
      <c r="A3635" t="s">
        <v>11142</v>
      </c>
      <c r="B3635" t="s">
        <v>11143</v>
      </c>
      <c r="C3635" s="2">
        <v>46255.583333333336</v>
      </c>
      <c r="D3635" t="s">
        <v>418</v>
      </c>
      <c r="E3635" t="s">
        <v>30</v>
      </c>
      <c r="F3635" t="s">
        <v>207</v>
      </c>
      <c r="G3635" t="s">
        <v>107</v>
      </c>
      <c r="H3635">
        <v>4</v>
      </c>
      <c r="I3635" t="s">
        <v>11144</v>
      </c>
      <c r="J3635" t="s">
        <v>357</v>
      </c>
    </row>
    <row r="3636" spans="1:10" x14ac:dyDescent="0.25">
      <c r="A3636" t="s">
        <v>11145</v>
      </c>
      <c r="B3636" t="s">
        <v>11146</v>
      </c>
      <c r="C3636" s="2">
        <v>46255.583333333336</v>
      </c>
      <c r="D3636" t="s">
        <v>418</v>
      </c>
      <c r="E3636" t="s">
        <v>47</v>
      </c>
      <c r="F3636" t="s">
        <v>268</v>
      </c>
      <c r="G3636" t="s">
        <v>121</v>
      </c>
      <c r="H3636">
        <v>2</v>
      </c>
      <c r="I3636" t="s">
        <v>11147</v>
      </c>
      <c r="J3636" t="s">
        <v>357</v>
      </c>
    </row>
    <row r="3637" spans="1:10" x14ac:dyDescent="0.25">
      <c r="A3637" t="s">
        <v>11148</v>
      </c>
      <c r="B3637" t="s">
        <v>11149</v>
      </c>
      <c r="C3637" s="2">
        <v>46255.583333333336</v>
      </c>
      <c r="D3637" t="s">
        <v>418</v>
      </c>
      <c r="E3637" t="s">
        <v>53</v>
      </c>
      <c r="F3637" t="s">
        <v>239</v>
      </c>
      <c r="G3637" t="s">
        <v>127</v>
      </c>
      <c r="H3637">
        <v>6</v>
      </c>
      <c r="I3637" t="s">
        <v>11150</v>
      </c>
      <c r="J3637" t="s">
        <v>357</v>
      </c>
    </row>
    <row r="3638" spans="1:10" x14ac:dyDescent="0.25">
      <c r="A3638" t="s">
        <v>11151</v>
      </c>
      <c r="B3638" t="s">
        <v>11152</v>
      </c>
      <c r="C3638" s="2">
        <v>46255.583333333336</v>
      </c>
      <c r="D3638" t="s">
        <v>418</v>
      </c>
      <c r="E3638" t="s">
        <v>22</v>
      </c>
      <c r="F3638" t="s">
        <v>307</v>
      </c>
      <c r="G3638" t="s">
        <v>99</v>
      </c>
      <c r="H3638">
        <v>7</v>
      </c>
      <c r="I3638" t="s">
        <v>11153</v>
      </c>
      <c r="J3638" t="s">
        <v>357</v>
      </c>
    </row>
    <row r="3639" spans="1:10" x14ac:dyDescent="0.25">
      <c r="A3639" t="s">
        <v>11154</v>
      </c>
      <c r="B3639" t="s">
        <v>11155</v>
      </c>
      <c r="C3639" s="2">
        <v>46255.583333333336</v>
      </c>
      <c r="D3639" t="s">
        <v>418</v>
      </c>
      <c r="E3639" t="s">
        <v>26</v>
      </c>
      <c r="F3639" t="s">
        <v>309</v>
      </c>
      <c r="G3639" t="s">
        <v>103</v>
      </c>
      <c r="H3639">
        <v>6</v>
      </c>
      <c r="I3639" t="s">
        <v>11156</v>
      </c>
      <c r="J3639" t="s">
        <v>357</v>
      </c>
    </row>
    <row r="3640" spans="1:10" x14ac:dyDescent="0.25">
      <c r="A3640" t="s">
        <v>11157</v>
      </c>
      <c r="B3640" t="s">
        <v>11158</v>
      </c>
      <c r="C3640" s="2">
        <v>46255.583333333336</v>
      </c>
      <c r="D3640" t="s">
        <v>418</v>
      </c>
      <c r="E3640" t="s">
        <v>32</v>
      </c>
      <c r="F3640" t="s">
        <v>311</v>
      </c>
      <c r="G3640" t="s">
        <v>109</v>
      </c>
      <c r="H3640">
        <v>4</v>
      </c>
      <c r="I3640" t="s">
        <v>11159</v>
      </c>
      <c r="J3640" t="s">
        <v>357</v>
      </c>
    </row>
    <row r="3641" spans="1:10" x14ac:dyDescent="0.25">
      <c r="A3641" t="s">
        <v>11160</v>
      </c>
      <c r="B3641" t="s">
        <v>11161</v>
      </c>
      <c r="C3641" s="2">
        <v>46255.583333333336</v>
      </c>
      <c r="D3641" t="s">
        <v>418</v>
      </c>
      <c r="E3641" t="s">
        <v>53</v>
      </c>
      <c r="F3641" t="s">
        <v>239</v>
      </c>
      <c r="G3641" t="s">
        <v>127</v>
      </c>
      <c r="H3641">
        <v>3</v>
      </c>
      <c r="I3641" t="s">
        <v>11162</v>
      </c>
      <c r="J3641" t="s">
        <v>357</v>
      </c>
    </row>
    <row r="3642" spans="1:10" x14ac:dyDescent="0.25">
      <c r="A3642" t="s">
        <v>11163</v>
      </c>
      <c r="B3642" t="s">
        <v>11164</v>
      </c>
      <c r="C3642" s="2">
        <v>46255.583333333336</v>
      </c>
      <c r="D3642" t="s">
        <v>418</v>
      </c>
      <c r="E3642" t="s">
        <v>73</v>
      </c>
      <c r="F3642" t="s">
        <v>258</v>
      </c>
      <c r="G3642" t="s">
        <v>143</v>
      </c>
      <c r="H3642">
        <v>1</v>
      </c>
      <c r="I3642" t="s">
        <v>11165</v>
      </c>
      <c r="J3642" t="s">
        <v>357</v>
      </c>
    </row>
    <row r="3643" spans="1:10" x14ac:dyDescent="0.25">
      <c r="A3643" t="s">
        <v>11166</v>
      </c>
      <c r="B3643" t="s">
        <v>11167</v>
      </c>
      <c r="C3643" s="2">
        <v>46255.583333333336</v>
      </c>
      <c r="D3643" t="s">
        <v>418</v>
      </c>
      <c r="E3643" t="s">
        <v>77</v>
      </c>
      <c r="F3643" t="s">
        <v>273</v>
      </c>
      <c r="G3643" t="s">
        <v>147</v>
      </c>
      <c r="H3643">
        <v>1</v>
      </c>
      <c r="I3643" t="s">
        <v>11168</v>
      </c>
      <c r="J3643" t="s">
        <v>357</v>
      </c>
    </row>
    <row r="3644" spans="1:10" x14ac:dyDescent="0.25">
      <c r="A3644" t="s">
        <v>11169</v>
      </c>
      <c r="B3644" t="s">
        <v>11170</v>
      </c>
      <c r="C3644" s="2">
        <v>46255.583333333336</v>
      </c>
      <c r="D3644" t="s">
        <v>418</v>
      </c>
      <c r="E3644" t="s">
        <v>18</v>
      </c>
      <c r="F3644" t="s">
        <v>305</v>
      </c>
      <c r="G3644" t="s">
        <v>95</v>
      </c>
      <c r="H3644">
        <v>2</v>
      </c>
      <c r="I3644" t="s">
        <v>11171</v>
      </c>
      <c r="J3644" t="s">
        <v>357</v>
      </c>
    </row>
    <row r="3645" spans="1:10" x14ac:dyDescent="0.25">
      <c r="A3645" t="s">
        <v>11172</v>
      </c>
      <c r="B3645" t="s">
        <v>11173</v>
      </c>
      <c r="C3645" s="2">
        <v>46255.583333333336</v>
      </c>
      <c r="D3645" t="s">
        <v>418</v>
      </c>
      <c r="E3645" t="s">
        <v>22</v>
      </c>
      <c r="F3645" t="s">
        <v>307</v>
      </c>
      <c r="G3645" t="s">
        <v>99</v>
      </c>
      <c r="H3645">
        <v>4</v>
      </c>
      <c r="I3645" t="s">
        <v>11174</v>
      </c>
      <c r="J3645" t="s">
        <v>357</v>
      </c>
    </row>
    <row r="3646" spans="1:10" x14ac:dyDescent="0.25">
      <c r="A3646" t="s">
        <v>11175</v>
      </c>
      <c r="B3646" t="s">
        <v>11176</v>
      </c>
      <c r="C3646" s="2">
        <v>46255.583333333336</v>
      </c>
      <c r="D3646" t="s">
        <v>418</v>
      </c>
      <c r="E3646" t="s">
        <v>24</v>
      </c>
      <c r="F3646" t="s">
        <v>308</v>
      </c>
      <c r="G3646" t="s">
        <v>101</v>
      </c>
      <c r="H3646">
        <v>4</v>
      </c>
      <c r="I3646" t="s">
        <v>11177</v>
      </c>
      <c r="J3646" t="s">
        <v>357</v>
      </c>
    </row>
    <row r="3647" spans="1:10" x14ac:dyDescent="0.25">
      <c r="A3647" t="s">
        <v>11178</v>
      </c>
      <c r="B3647" t="s">
        <v>11179</v>
      </c>
      <c r="C3647" s="2">
        <v>46255.583333333336</v>
      </c>
      <c r="D3647" t="s">
        <v>418</v>
      </c>
      <c r="E3647" t="s">
        <v>30</v>
      </c>
      <c r="F3647" t="s">
        <v>207</v>
      </c>
      <c r="G3647" t="s">
        <v>107</v>
      </c>
      <c r="H3647">
        <v>2</v>
      </c>
      <c r="I3647" t="s">
        <v>11180</v>
      </c>
      <c r="J3647" t="s">
        <v>357</v>
      </c>
    </row>
    <row r="3648" spans="1:10" x14ac:dyDescent="0.25">
      <c r="A3648" t="s">
        <v>11181</v>
      </c>
      <c r="B3648" t="s">
        <v>11182</v>
      </c>
      <c r="C3648" s="2">
        <v>46255.583333333336</v>
      </c>
      <c r="D3648" t="s">
        <v>418</v>
      </c>
      <c r="E3648" t="s">
        <v>43</v>
      </c>
      <c r="F3648" t="s">
        <v>237</v>
      </c>
      <c r="G3648" t="s">
        <v>117</v>
      </c>
      <c r="H3648">
        <v>4</v>
      </c>
      <c r="I3648" t="s">
        <v>11183</v>
      </c>
      <c r="J3648" t="s">
        <v>357</v>
      </c>
    </row>
    <row r="3649" spans="1:10" x14ac:dyDescent="0.25">
      <c r="A3649" t="s">
        <v>11184</v>
      </c>
      <c r="B3649" t="s">
        <v>11185</v>
      </c>
      <c r="C3649" s="2">
        <v>46255.583333333336</v>
      </c>
      <c r="D3649" t="s">
        <v>418</v>
      </c>
      <c r="E3649" t="s">
        <v>49</v>
      </c>
      <c r="F3649" t="s">
        <v>295</v>
      </c>
      <c r="G3649" t="s">
        <v>123</v>
      </c>
      <c r="H3649">
        <v>3</v>
      </c>
      <c r="I3649" t="s">
        <v>11186</v>
      </c>
      <c r="J3649" t="s">
        <v>357</v>
      </c>
    </row>
    <row r="3650" spans="1:10" x14ac:dyDescent="0.25">
      <c r="A3650" t="s">
        <v>11187</v>
      </c>
      <c r="B3650" t="s">
        <v>11188</v>
      </c>
      <c r="C3650" s="2">
        <v>46255.583333333336</v>
      </c>
      <c r="D3650" t="s">
        <v>418</v>
      </c>
      <c r="E3650" t="s">
        <v>51</v>
      </c>
      <c r="F3650" t="s">
        <v>254</v>
      </c>
      <c r="G3650" t="s">
        <v>125</v>
      </c>
      <c r="H3650">
        <v>4</v>
      </c>
      <c r="I3650" t="s">
        <v>11189</v>
      </c>
      <c r="J3650" t="s">
        <v>357</v>
      </c>
    </row>
    <row r="3651" spans="1:10" x14ac:dyDescent="0.25">
      <c r="A3651" t="s">
        <v>11190</v>
      </c>
      <c r="B3651" t="s">
        <v>11191</v>
      </c>
      <c r="C3651" s="2">
        <v>46255.583333333336</v>
      </c>
      <c r="D3651" t="s">
        <v>418</v>
      </c>
      <c r="E3651" t="s">
        <v>53</v>
      </c>
      <c r="F3651" t="s">
        <v>239</v>
      </c>
      <c r="G3651" t="s">
        <v>127</v>
      </c>
      <c r="H3651">
        <v>4</v>
      </c>
      <c r="I3651" t="s">
        <v>11192</v>
      </c>
      <c r="J3651" t="s">
        <v>357</v>
      </c>
    </row>
    <row r="3652" spans="1:10" x14ac:dyDescent="0.25">
      <c r="A3652" t="s">
        <v>11193</v>
      </c>
      <c r="B3652" t="s">
        <v>11194</v>
      </c>
      <c r="C3652" s="2">
        <v>46255.583333333336</v>
      </c>
      <c r="D3652" t="s">
        <v>418</v>
      </c>
      <c r="E3652" t="s">
        <v>59</v>
      </c>
      <c r="F3652" t="s">
        <v>270</v>
      </c>
      <c r="G3652" t="s">
        <v>133</v>
      </c>
      <c r="H3652">
        <v>4</v>
      </c>
      <c r="I3652" t="s">
        <v>11195</v>
      </c>
      <c r="J3652" t="s">
        <v>357</v>
      </c>
    </row>
    <row r="3653" spans="1:10" x14ac:dyDescent="0.25">
      <c r="A3653" t="s">
        <v>11196</v>
      </c>
      <c r="B3653" t="s">
        <v>11197</v>
      </c>
      <c r="C3653" s="2">
        <v>46255.583333333336</v>
      </c>
      <c r="D3653" t="s">
        <v>418</v>
      </c>
      <c r="E3653" t="s">
        <v>73</v>
      </c>
      <c r="F3653" t="s">
        <v>258</v>
      </c>
      <c r="G3653" t="s">
        <v>143</v>
      </c>
      <c r="H3653">
        <v>2</v>
      </c>
      <c r="I3653" t="s">
        <v>11198</v>
      </c>
      <c r="J3653" t="s">
        <v>357</v>
      </c>
    </row>
    <row r="3654" spans="1:10" x14ac:dyDescent="0.25">
      <c r="A3654" t="s">
        <v>11199</v>
      </c>
      <c r="B3654" t="s">
        <v>11200</v>
      </c>
      <c r="C3654" s="2">
        <v>46255.583333333336</v>
      </c>
      <c r="D3654" t="s">
        <v>418</v>
      </c>
      <c r="E3654" t="s">
        <v>75</v>
      </c>
      <c r="F3654" t="s">
        <v>272</v>
      </c>
      <c r="G3654" t="s">
        <v>145</v>
      </c>
      <c r="H3654">
        <v>1</v>
      </c>
      <c r="I3654" t="s">
        <v>11201</v>
      </c>
      <c r="J3654" t="s">
        <v>357</v>
      </c>
    </row>
    <row r="3655" spans="1:10" x14ac:dyDescent="0.25">
      <c r="A3655" t="s">
        <v>11202</v>
      </c>
      <c r="B3655" t="s">
        <v>11203</v>
      </c>
      <c r="C3655" s="2">
        <v>46256.583333333336</v>
      </c>
      <c r="D3655" t="s">
        <v>418</v>
      </c>
      <c r="E3655" t="s">
        <v>18</v>
      </c>
      <c r="F3655" t="s">
        <v>305</v>
      </c>
      <c r="G3655" t="s">
        <v>95</v>
      </c>
      <c r="H3655">
        <v>3</v>
      </c>
      <c r="I3655" t="s">
        <v>11204</v>
      </c>
      <c r="J3655" t="s">
        <v>357</v>
      </c>
    </row>
    <row r="3656" spans="1:10" x14ac:dyDescent="0.25">
      <c r="A3656" t="s">
        <v>11205</v>
      </c>
      <c r="B3656" t="s">
        <v>11206</v>
      </c>
      <c r="C3656" s="2">
        <v>46256.583333333336</v>
      </c>
      <c r="D3656" t="s">
        <v>418</v>
      </c>
      <c r="E3656" t="s">
        <v>22</v>
      </c>
      <c r="F3656" t="s">
        <v>307</v>
      </c>
      <c r="G3656" t="s">
        <v>99</v>
      </c>
      <c r="H3656">
        <v>4</v>
      </c>
      <c r="I3656" t="s">
        <v>11207</v>
      </c>
      <c r="J3656" t="s">
        <v>357</v>
      </c>
    </row>
    <row r="3657" spans="1:10" x14ac:dyDescent="0.25">
      <c r="A3657" t="s">
        <v>11208</v>
      </c>
      <c r="B3657" t="s">
        <v>11209</v>
      </c>
      <c r="C3657" s="2">
        <v>46256.583333333336</v>
      </c>
      <c r="D3657" t="s">
        <v>418</v>
      </c>
      <c r="E3657" t="s">
        <v>24</v>
      </c>
      <c r="F3657" t="s">
        <v>308</v>
      </c>
      <c r="G3657" t="s">
        <v>101</v>
      </c>
      <c r="H3657">
        <v>2</v>
      </c>
      <c r="I3657" t="s">
        <v>11210</v>
      </c>
      <c r="J3657" t="s">
        <v>357</v>
      </c>
    </row>
    <row r="3658" spans="1:10" x14ac:dyDescent="0.25">
      <c r="A3658" t="s">
        <v>11211</v>
      </c>
      <c r="B3658" t="s">
        <v>11212</v>
      </c>
      <c r="C3658" s="2">
        <v>46256.583333333336</v>
      </c>
      <c r="D3658" t="s">
        <v>418</v>
      </c>
      <c r="E3658" t="s">
        <v>26</v>
      </c>
      <c r="F3658" t="s">
        <v>309</v>
      </c>
      <c r="G3658" t="s">
        <v>103</v>
      </c>
      <c r="H3658">
        <v>5</v>
      </c>
      <c r="I3658" t="s">
        <v>11213</v>
      </c>
      <c r="J3658" t="s">
        <v>357</v>
      </c>
    </row>
    <row r="3659" spans="1:10" x14ac:dyDescent="0.25">
      <c r="A3659" t="s">
        <v>11214</v>
      </c>
      <c r="B3659" t="s">
        <v>11215</v>
      </c>
      <c r="C3659" s="2">
        <v>46256.583333333336</v>
      </c>
      <c r="D3659" t="s">
        <v>418</v>
      </c>
      <c r="E3659" t="s">
        <v>45</v>
      </c>
      <c r="F3659" t="s">
        <v>225</v>
      </c>
      <c r="G3659" t="s">
        <v>119</v>
      </c>
      <c r="H3659">
        <v>1</v>
      </c>
      <c r="I3659" t="s">
        <v>11216</v>
      </c>
      <c r="J3659" t="s">
        <v>357</v>
      </c>
    </row>
    <row r="3660" spans="1:10" x14ac:dyDescent="0.25">
      <c r="A3660" t="s">
        <v>11217</v>
      </c>
      <c r="B3660" t="s">
        <v>11218</v>
      </c>
      <c r="C3660" s="2">
        <v>46256.583333333336</v>
      </c>
      <c r="D3660" t="s">
        <v>418</v>
      </c>
      <c r="E3660" t="s">
        <v>65</v>
      </c>
      <c r="F3660" t="s">
        <v>284</v>
      </c>
      <c r="G3660" t="s">
        <v>135</v>
      </c>
      <c r="H3660">
        <v>1</v>
      </c>
      <c r="I3660" t="s">
        <v>11219</v>
      </c>
      <c r="J3660" t="s">
        <v>357</v>
      </c>
    </row>
    <row r="3661" spans="1:10" x14ac:dyDescent="0.25">
      <c r="A3661" t="s">
        <v>11220</v>
      </c>
      <c r="B3661" t="s">
        <v>11221</v>
      </c>
      <c r="C3661" s="2">
        <v>46256.583333333336</v>
      </c>
      <c r="D3661" t="s">
        <v>418</v>
      </c>
      <c r="E3661" t="s">
        <v>67</v>
      </c>
      <c r="F3661" t="s">
        <v>271</v>
      </c>
      <c r="G3661" t="s">
        <v>137</v>
      </c>
      <c r="H3661">
        <v>1</v>
      </c>
      <c r="I3661" t="s">
        <v>11222</v>
      </c>
      <c r="J3661" t="s">
        <v>357</v>
      </c>
    </row>
    <row r="3662" spans="1:10" x14ac:dyDescent="0.25">
      <c r="A3662" t="s">
        <v>11223</v>
      </c>
      <c r="B3662" t="s">
        <v>11224</v>
      </c>
      <c r="C3662" s="2">
        <v>46256.583333333336</v>
      </c>
      <c r="D3662" t="s">
        <v>418</v>
      </c>
      <c r="E3662" t="s">
        <v>73</v>
      </c>
      <c r="F3662" t="s">
        <v>258</v>
      </c>
      <c r="G3662" t="s">
        <v>143</v>
      </c>
      <c r="H3662">
        <v>5</v>
      </c>
      <c r="I3662" t="s">
        <v>11225</v>
      </c>
      <c r="J3662" t="s">
        <v>357</v>
      </c>
    </row>
    <row r="3663" spans="1:10" x14ac:dyDescent="0.25">
      <c r="A3663" t="s">
        <v>11226</v>
      </c>
      <c r="B3663" t="s">
        <v>11227</v>
      </c>
      <c r="C3663" s="2">
        <v>46256.583333333336</v>
      </c>
      <c r="D3663" t="s">
        <v>418</v>
      </c>
      <c r="E3663" t="s">
        <v>20</v>
      </c>
      <c r="F3663" t="s">
        <v>306</v>
      </c>
      <c r="G3663" t="s">
        <v>97</v>
      </c>
      <c r="H3663">
        <v>5</v>
      </c>
      <c r="I3663" t="s">
        <v>11228</v>
      </c>
      <c r="J3663" t="s">
        <v>357</v>
      </c>
    </row>
    <row r="3664" spans="1:10" x14ac:dyDescent="0.25">
      <c r="A3664" t="s">
        <v>11229</v>
      </c>
      <c r="B3664" t="s">
        <v>11230</v>
      </c>
      <c r="C3664" s="2">
        <v>46256.583333333336</v>
      </c>
      <c r="D3664" t="s">
        <v>418</v>
      </c>
      <c r="E3664" t="s">
        <v>24</v>
      </c>
      <c r="F3664" t="s">
        <v>308</v>
      </c>
      <c r="G3664" t="s">
        <v>101</v>
      </c>
      <c r="H3664">
        <v>6</v>
      </c>
      <c r="I3664" t="s">
        <v>11231</v>
      </c>
      <c r="J3664" t="s">
        <v>357</v>
      </c>
    </row>
    <row r="3665" spans="1:10" x14ac:dyDescent="0.25">
      <c r="A3665" t="s">
        <v>11232</v>
      </c>
      <c r="B3665" t="s">
        <v>11233</v>
      </c>
      <c r="C3665" s="2">
        <v>46256.583333333336</v>
      </c>
      <c r="D3665" t="s">
        <v>418</v>
      </c>
      <c r="E3665" t="s">
        <v>32</v>
      </c>
      <c r="F3665" t="s">
        <v>311</v>
      </c>
      <c r="G3665" t="s">
        <v>109</v>
      </c>
      <c r="H3665">
        <v>5</v>
      </c>
      <c r="I3665" t="s">
        <v>11234</v>
      </c>
      <c r="J3665" t="s">
        <v>357</v>
      </c>
    </row>
    <row r="3666" spans="1:10" x14ac:dyDescent="0.25">
      <c r="A3666" t="s">
        <v>11235</v>
      </c>
      <c r="B3666" t="s">
        <v>11236</v>
      </c>
      <c r="C3666" s="2">
        <v>46256.583333333336</v>
      </c>
      <c r="D3666" t="s">
        <v>418</v>
      </c>
      <c r="E3666" t="s">
        <v>41</v>
      </c>
      <c r="F3666" t="s">
        <v>293</v>
      </c>
      <c r="G3666" t="s">
        <v>115</v>
      </c>
      <c r="H3666">
        <v>3</v>
      </c>
      <c r="I3666" t="s">
        <v>11237</v>
      </c>
      <c r="J3666" t="s">
        <v>357</v>
      </c>
    </row>
    <row r="3667" spans="1:10" x14ac:dyDescent="0.25">
      <c r="A3667" t="s">
        <v>11238</v>
      </c>
      <c r="B3667" t="s">
        <v>11239</v>
      </c>
      <c r="C3667" s="2">
        <v>46256.583333333336</v>
      </c>
      <c r="D3667" t="s">
        <v>418</v>
      </c>
      <c r="E3667" t="s">
        <v>49</v>
      </c>
      <c r="F3667" t="s">
        <v>295</v>
      </c>
      <c r="G3667" t="s">
        <v>123</v>
      </c>
      <c r="H3667">
        <v>5</v>
      </c>
      <c r="I3667" t="s">
        <v>11240</v>
      </c>
      <c r="J3667" t="s">
        <v>357</v>
      </c>
    </row>
    <row r="3668" spans="1:10" x14ac:dyDescent="0.25">
      <c r="A3668" t="s">
        <v>11241</v>
      </c>
      <c r="B3668" t="s">
        <v>11242</v>
      </c>
      <c r="C3668" s="2">
        <v>46256.583333333336</v>
      </c>
      <c r="D3668" t="s">
        <v>418</v>
      </c>
      <c r="E3668" t="s">
        <v>53</v>
      </c>
      <c r="F3668" t="s">
        <v>239</v>
      </c>
      <c r="G3668" t="s">
        <v>127</v>
      </c>
      <c r="H3668">
        <v>6</v>
      </c>
      <c r="I3668" t="s">
        <v>11243</v>
      </c>
      <c r="J3668" t="s">
        <v>357</v>
      </c>
    </row>
    <row r="3669" spans="1:10" x14ac:dyDescent="0.25">
      <c r="A3669" t="s">
        <v>11244</v>
      </c>
      <c r="B3669" t="s">
        <v>11245</v>
      </c>
      <c r="C3669" s="2">
        <v>46256.583333333336</v>
      </c>
      <c r="D3669" t="s">
        <v>418</v>
      </c>
      <c r="E3669" t="s">
        <v>65</v>
      </c>
      <c r="F3669" t="s">
        <v>284</v>
      </c>
      <c r="G3669" t="s">
        <v>135</v>
      </c>
      <c r="H3669">
        <v>5</v>
      </c>
      <c r="I3669" t="s">
        <v>11246</v>
      </c>
      <c r="J3669" t="s">
        <v>357</v>
      </c>
    </row>
    <row r="3670" spans="1:10" x14ac:dyDescent="0.25">
      <c r="A3670" t="s">
        <v>11247</v>
      </c>
      <c r="B3670" t="s">
        <v>11248</v>
      </c>
      <c r="C3670" s="2">
        <v>46256.583333333336</v>
      </c>
      <c r="D3670" t="s">
        <v>418</v>
      </c>
      <c r="E3670" t="s">
        <v>69</v>
      </c>
      <c r="F3670" t="s">
        <v>256</v>
      </c>
      <c r="G3670" t="s">
        <v>139</v>
      </c>
      <c r="H3670">
        <v>3</v>
      </c>
      <c r="I3670" t="s">
        <v>11249</v>
      </c>
      <c r="J3670" t="s">
        <v>357</v>
      </c>
    </row>
    <row r="3671" spans="1:10" x14ac:dyDescent="0.25">
      <c r="A3671" t="s">
        <v>11250</v>
      </c>
      <c r="B3671" t="s">
        <v>11251</v>
      </c>
      <c r="C3671" s="2">
        <v>46256.583333333336</v>
      </c>
      <c r="D3671" t="s">
        <v>418</v>
      </c>
      <c r="E3671" t="s">
        <v>75</v>
      </c>
      <c r="F3671" t="s">
        <v>272</v>
      </c>
      <c r="G3671" t="s">
        <v>145</v>
      </c>
      <c r="H3671">
        <v>1</v>
      </c>
      <c r="I3671" t="s">
        <v>11252</v>
      </c>
      <c r="J3671" t="s">
        <v>357</v>
      </c>
    </row>
    <row r="3672" spans="1:10" x14ac:dyDescent="0.25">
      <c r="A3672" t="s">
        <v>11253</v>
      </c>
      <c r="B3672" t="s">
        <v>11254</v>
      </c>
      <c r="C3672" s="2">
        <v>46256.583333333336</v>
      </c>
      <c r="D3672" t="s">
        <v>418</v>
      </c>
      <c r="E3672" t="s">
        <v>11</v>
      </c>
      <c r="F3672" t="s">
        <v>304</v>
      </c>
      <c r="G3672" t="s">
        <v>92</v>
      </c>
      <c r="H3672">
        <v>8</v>
      </c>
      <c r="I3672" t="s">
        <v>11255</v>
      </c>
      <c r="J3672" t="s">
        <v>357</v>
      </c>
    </row>
    <row r="3673" spans="1:10" x14ac:dyDescent="0.25">
      <c r="A3673" t="s">
        <v>11256</v>
      </c>
      <c r="B3673" t="s">
        <v>11257</v>
      </c>
      <c r="C3673" s="2">
        <v>46256.583333333336</v>
      </c>
      <c r="D3673" t="s">
        <v>418</v>
      </c>
      <c r="E3673" t="s">
        <v>18</v>
      </c>
      <c r="F3673" t="s">
        <v>305</v>
      </c>
      <c r="G3673" t="s">
        <v>95</v>
      </c>
      <c r="H3673">
        <v>8</v>
      </c>
      <c r="I3673" t="s">
        <v>11258</v>
      </c>
      <c r="J3673" t="s">
        <v>357</v>
      </c>
    </row>
    <row r="3674" spans="1:10" x14ac:dyDescent="0.25">
      <c r="A3674" t="s">
        <v>11259</v>
      </c>
      <c r="B3674" t="s">
        <v>11260</v>
      </c>
      <c r="C3674" s="2">
        <v>46256.583333333336</v>
      </c>
      <c r="D3674" t="s">
        <v>418</v>
      </c>
      <c r="E3674" t="s">
        <v>20</v>
      </c>
      <c r="F3674" t="s">
        <v>306</v>
      </c>
      <c r="G3674" t="s">
        <v>97</v>
      </c>
      <c r="H3674">
        <v>8</v>
      </c>
      <c r="I3674" t="s">
        <v>11261</v>
      </c>
      <c r="J3674" t="s">
        <v>357</v>
      </c>
    </row>
    <row r="3675" spans="1:10" x14ac:dyDescent="0.25">
      <c r="A3675" t="s">
        <v>11262</v>
      </c>
      <c r="B3675" t="s">
        <v>11263</v>
      </c>
      <c r="C3675" s="2">
        <v>46256.583333333336</v>
      </c>
      <c r="D3675" t="s">
        <v>418</v>
      </c>
      <c r="E3675" t="s">
        <v>22</v>
      </c>
      <c r="F3675" t="s">
        <v>307</v>
      </c>
      <c r="G3675" t="s">
        <v>99</v>
      </c>
      <c r="H3675">
        <v>3</v>
      </c>
      <c r="I3675" t="s">
        <v>11264</v>
      </c>
      <c r="J3675" t="s">
        <v>357</v>
      </c>
    </row>
    <row r="3676" spans="1:10" x14ac:dyDescent="0.25">
      <c r="A3676" t="s">
        <v>11265</v>
      </c>
      <c r="B3676" t="s">
        <v>11266</v>
      </c>
      <c r="C3676" s="2">
        <v>46256.583333333336</v>
      </c>
      <c r="D3676" t="s">
        <v>418</v>
      </c>
      <c r="E3676" t="s">
        <v>26</v>
      </c>
      <c r="F3676" t="s">
        <v>309</v>
      </c>
      <c r="G3676" t="s">
        <v>103</v>
      </c>
      <c r="H3676">
        <v>3</v>
      </c>
      <c r="I3676" t="s">
        <v>11267</v>
      </c>
      <c r="J3676" t="s">
        <v>357</v>
      </c>
    </row>
    <row r="3677" spans="1:10" x14ac:dyDescent="0.25">
      <c r="A3677" t="s">
        <v>11268</v>
      </c>
      <c r="B3677" t="s">
        <v>11269</v>
      </c>
      <c r="C3677" s="2">
        <v>46256.583333333336</v>
      </c>
      <c r="D3677" t="s">
        <v>418</v>
      </c>
      <c r="E3677" t="s">
        <v>28</v>
      </c>
      <c r="F3677" t="s">
        <v>249</v>
      </c>
      <c r="G3677" t="s">
        <v>105</v>
      </c>
      <c r="H3677">
        <v>3</v>
      </c>
      <c r="I3677" t="s">
        <v>11270</v>
      </c>
      <c r="J3677" t="s">
        <v>357</v>
      </c>
    </row>
    <row r="3678" spans="1:10" x14ac:dyDescent="0.25">
      <c r="A3678" t="s">
        <v>11271</v>
      </c>
      <c r="B3678" t="s">
        <v>11272</v>
      </c>
      <c r="C3678" s="2">
        <v>46256.583333333336</v>
      </c>
      <c r="D3678" t="s">
        <v>418</v>
      </c>
      <c r="E3678" t="s">
        <v>43</v>
      </c>
      <c r="F3678" t="s">
        <v>237</v>
      </c>
      <c r="G3678" t="s">
        <v>117</v>
      </c>
      <c r="H3678">
        <v>8</v>
      </c>
      <c r="I3678" t="s">
        <v>11273</v>
      </c>
      <c r="J3678" t="s">
        <v>357</v>
      </c>
    </row>
    <row r="3679" spans="1:10" x14ac:dyDescent="0.25">
      <c r="A3679" t="s">
        <v>11274</v>
      </c>
      <c r="B3679" t="s">
        <v>11275</v>
      </c>
      <c r="C3679" s="2">
        <v>46256.583333333336</v>
      </c>
      <c r="D3679" t="s">
        <v>418</v>
      </c>
      <c r="E3679" t="s">
        <v>45</v>
      </c>
      <c r="F3679" t="s">
        <v>225</v>
      </c>
      <c r="G3679" t="s">
        <v>119</v>
      </c>
      <c r="H3679">
        <v>2</v>
      </c>
      <c r="I3679" t="s">
        <v>11276</v>
      </c>
      <c r="J3679" t="s">
        <v>357</v>
      </c>
    </row>
    <row r="3680" spans="1:10" x14ac:dyDescent="0.25">
      <c r="A3680" t="s">
        <v>11277</v>
      </c>
      <c r="B3680" t="s">
        <v>11278</v>
      </c>
      <c r="C3680" s="2">
        <v>46256.583333333336</v>
      </c>
      <c r="D3680" t="s">
        <v>418</v>
      </c>
      <c r="E3680" t="s">
        <v>45</v>
      </c>
      <c r="F3680" t="s">
        <v>312</v>
      </c>
      <c r="G3680" t="s">
        <v>119</v>
      </c>
      <c r="H3680">
        <v>6</v>
      </c>
      <c r="I3680" t="s">
        <v>11276</v>
      </c>
      <c r="J3680" t="s">
        <v>357</v>
      </c>
    </row>
    <row r="3681" spans="1:10" x14ac:dyDescent="0.25">
      <c r="A3681" t="s">
        <v>11279</v>
      </c>
      <c r="B3681" t="s">
        <v>11280</v>
      </c>
      <c r="C3681" s="2">
        <v>46256.583333333336</v>
      </c>
      <c r="D3681" t="s">
        <v>418</v>
      </c>
      <c r="E3681" t="s">
        <v>53</v>
      </c>
      <c r="F3681" t="s">
        <v>239</v>
      </c>
      <c r="G3681" t="s">
        <v>127</v>
      </c>
      <c r="H3681">
        <v>5</v>
      </c>
      <c r="I3681" t="s">
        <v>11281</v>
      </c>
      <c r="J3681" t="s">
        <v>357</v>
      </c>
    </row>
    <row r="3682" spans="1:10" x14ac:dyDescent="0.25">
      <c r="A3682" t="s">
        <v>11282</v>
      </c>
      <c r="B3682" t="s">
        <v>11283</v>
      </c>
      <c r="C3682" s="2">
        <v>46256.583333333336</v>
      </c>
      <c r="D3682" t="s">
        <v>418</v>
      </c>
      <c r="E3682" t="s">
        <v>57</v>
      </c>
      <c r="F3682" t="s">
        <v>299</v>
      </c>
      <c r="G3682" t="s">
        <v>131</v>
      </c>
      <c r="H3682">
        <v>3</v>
      </c>
      <c r="I3682" t="s">
        <v>11284</v>
      </c>
      <c r="J3682" t="s">
        <v>357</v>
      </c>
    </row>
    <row r="3683" spans="1:10" x14ac:dyDescent="0.25">
      <c r="A3683" t="s">
        <v>11285</v>
      </c>
      <c r="B3683" t="s">
        <v>11286</v>
      </c>
      <c r="C3683" s="2">
        <v>46256.583333333336</v>
      </c>
      <c r="D3683" t="s">
        <v>418</v>
      </c>
      <c r="E3683" t="s">
        <v>65</v>
      </c>
      <c r="F3683" t="s">
        <v>284</v>
      </c>
      <c r="G3683" t="s">
        <v>135</v>
      </c>
      <c r="H3683">
        <v>6</v>
      </c>
      <c r="I3683" t="s">
        <v>11287</v>
      </c>
      <c r="J3683" t="s">
        <v>357</v>
      </c>
    </row>
    <row r="3684" spans="1:10" x14ac:dyDescent="0.25">
      <c r="A3684" t="s">
        <v>11288</v>
      </c>
      <c r="B3684" t="s">
        <v>11289</v>
      </c>
      <c r="C3684" s="2">
        <v>46256.583333333336</v>
      </c>
      <c r="D3684" t="s">
        <v>418</v>
      </c>
      <c r="E3684" t="s">
        <v>67</v>
      </c>
      <c r="F3684" t="s">
        <v>271</v>
      </c>
      <c r="G3684" t="s">
        <v>137</v>
      </c>
      <c r="H3684">
        <v>6</v>
      </c>
      <c r="I3684" t="s">
        <v>11290</v>
      </c>
      <c r="J3684" t="s">
        <v>357</v>
      </c>
    </row>
    <row r="3685" spans="1:10" x14ac:dyDescent="0.25">
      <c r="A3685" t="s">
        <v>11291</v>
      </c>
      <c r="B3685" t="s">
        <v>11292</v>
      </c>
      <c r="C3685" s="2">
        <v>46256.583333333336</v>
      </c>
      <c r="D3685" t="s">
        <v>418</v>
      </c>
      <c r="E3685" t="s">
        <v>73</v>
      </c>
      <c r="F3685" t="s">
        <v>258</v>
      </c>
      <c r="G3685" t="s">
        <v>143</v>
      </c>
      <c r="H3685">
        <v>5</v>
      </c>
      <c r="I3685" t="s">
        <v>11293</v>
      </c>
      <c r="J3685" t="s">
        <v>357</v>
      </c>
    </row>
    <row r="3686" spans="1:10" x14ac:dyDescent="0.25">
      <c r="A3686" t="s">
        <v>11294</v>
      </c>
      <c r="B3686" t="s">
        <v>11295</v>
      </c>
      <c r="C3686" s="2">
        <v>46256.583333333336</v>
      </c>
      <c r="D3686" t="s">
        <v>418</v>
      </c>
      <c r="E3686" t="s">
        <v>77</v>
      </c>
      <c r="F3686" t="s">
        <v>273</v>
      </c>
      <c r="G3686" t="s">
        <v>147</v>
      </c>
      <c r="H3686">
        <v>8</v>
      </c>
      <c r="I3686" t="s">
        <v>11296</v>
      </c>
      <c r="J3686" t="s">
        <v>357</v>
      </c>
    </row>
    <row r="3687" spans="1:10" x14ac:dyDescent="0.25">
      <c r="A3687" t="s">
        <v>11297</v>
      </c>
      <c r="B3687" t="s">
        <v>11298</v>
      </c>
      <c r="C3687" s="2">
        <v>46256.583333333336</v>
      </c>
      <c r="D3687" t="s">
        <v>418</v>
      </c>
      <c r="E3687" t="s">
        <v>11</v>
      </c>
      <c r="F3687" t="s">
        <v>304</v>
      </c>
      <c r="G3687" t="s">
        <v>92</v>
      </c>
      <c r="H3687">
        <v>4</v>
      </c>
      <c r="I3687" t="s">
        <v>11299</v>
      </c>
      <c r="J3687" t="s">
        <v>357</v>
      </c>
    </row>
    <row r="3688" spans="1:10" x14ac:dyDescent="0.25">
      <c r="A3688" t="s">
        <v>11300</v>
      </c>
      <c r="B3688" t="s">
        <v>11301</v>
      </c>
      <c r="C3688" s="2">
        <v>46256.583333333336</v>
      </c>
      <c r="D3688" t="s">
        <v>418</v>
      </c>
      <c r="E3688" t="s">
        <v>28</v>
      </c>
      <c r="F3688" t="s">
        <v>249</v>
      </c>
      <c r="G3688" t="s">
        <v>105</v>
      </c>
      <c r="H3688">
        <v>7</v>
      </c>
      <c r="I3688" t="s">
        <v>11302</v>
      </c>
      <c r="J3688" t="s">
        <v>357</v>
      </c>
    </row>
    <row r="3689" spans="1:10" x14ac:dyDescent="0.25">
      <c r="A3689" t="s">
        <v>11303</v>
      </c>
      <c r="B3689" t="s">
        <v>11304</v>
      </c>
      <c r="C3689" s="2">
        <v>46256.583333333336</v>
      </c>
      <c r="D3689" t="s">
        <v>418</v>
      </c>
      <c r="E3689" t="s">
        <v>28</v>
      </c>
      <c r="F3689" t="s">
        <v>236</v>
      </c>
      <c r="G3689" t="s">
        <v>105</v>
      </c>
      <c r="H3689">
        <v>2</v>
      </c>
      <c r="I3689" t="s">
        <v>11302</v>
      </c>
      <c r="J3689" t="s">
        <v>357</v>
      </c>
    </row>
    <row r="3690" spans="1:10" x14ac:dyDescent="0.25">
      <c r="A3690" t="s">
        <v>11305</v>
      </c>
      <c r="B3690" t="s">
        <v>11306</v>
      </c>
      <c r="C3690" s="2">
        <v>46256.583333333336</v>
      </c>
      <c r="D3690" t="s">
        <v>418</v>
      </c>
      <c r="E3690" t="s">
        <v>30</v>
      </c>
      <c r="F3690" t="s">
        <v>207</v>
      </c>
      <c r="G3690" t="s">
        <v>107</v>
      </c>
      <c r="H3690">
        <v>4</v>
      </c>
      <c r="I3690" t="s">
        <v>11307</v>
      </c>
      <c r="J3690" t="s">
        <v>357</v>
      </c>
    </row>
    <row r="3691" spans="1:10" x14ac:dyDescent="0.25">
      <c r="A3691" t="s">
        <v>11308</v>
      </c>
      <c r="B3691" t="s">
        <v>11309</v>
      </c>
      <c r="C3691" s="2">
        <v>46256.583333333336</v>
      </c>
      <c r="D3691" t="s">
        <v>418</v>
      </c>
      <c r="E3691" t="s">
        <v>36</v>
      </c>
      <c r="F3691" t="s">
        <v>187</v>
      </c>
      <c r="G3691" t="s">
        <v>113</v>
      </c>
      <c r="H3691">
        <v>2</v>
      </c>
      <c r="I3691" t="s">
        <v>11310</v>
      </c>
      <c r="J3691" t="s">
        <v>357</v>
      </c>
    </row>
    <row r="3692" spans="1:10" x14ac:dyDescent="0.25">
      <c r="A3692" t="s">
        <v>11311</v>
      </c>
      <c r="B3692" t="s">
        <v>11312</v>
      </c>
      <c r="C3692" s="2">
        <v>46256.583333333336</v>
      </c>
      <c r="D3692" t="s">
        <v>418</v>
      </c>
      <c r="E3692" t="s">
        <v>47</v>
      </c>
      <c r="F3692" t="s">
        <v>268</v>
      </c>
      <c r="G3692" t="s">
        <v>121</v>
      </c>
      <c r="H3692">
        <v>5</v>
      </c>
      <c r="I3692" t="s">
        <v>11313</v>
      </c>
      <c r="J3692" t="s">
        <v>357</v>
      </c>
    </row>
    <row r="3693" spans="1:10" x14ac:dyDescent="0.25">
      <c r="A3693" t="s">
        <v>11314</v>
      </c>
      <c r="B3693" t="s">
        <v>11315</v>
      </c>
      <c r="C3693" s="2">
        <v>46256.583333333336</v>
      </c>
      <c r="D3693" t="s">
        <v>418</v>
      </c>
      <c r="E3693" t="s">
        <v>59</v>
      </c>
      <c r="F3693" t="s">
        <v>270</v>
      </c>
      <c r="G3693" t="s">
        <v>133</v>
      </c>
      <c r="H3693">
        <v>2</v>
      </c>
      <c r="I3693" t="s">
        <v>11316</v>
      </c>
      <c r="J3693" t="s">
        <v>357</v>
      </c>
    </row>
    <row r="3694" spans="1:10" x14ac:dyDescent="0.25">
      <c r="A3694" t="s">
        <v>11317</v>
      </c>
      <c r="B3694" t="s">
        <v>11318</v>
      </c>
      <c r="C3694" s="2">
        <v>46256.583333333336</v>
      </c>
      <c r="D3694" t="s">
        <v>418</v>
      </c>
      <c r="E3694" t="s">
        <v>73</v>
      </c>
      <c r="F3694" t="s">
        <v>258</v>
      </c>
      <c r="G3694" t="s">
        <v>143</v>
      </c>
      <c r="H3694">
        <v>2</v>
      </c>
      <c r="I3694" t="s">
        <v>11319</v>
      </c>
      <c r="J3694" t="s">
        <v>357</v>
      </c>
    </row>
    <row r="3695" spans="1:10" x14ac:dyDescent="0.25">
      <c r="A3695" t="s">
        <v>11320</v>
      </c>
      <c r="B3695" t="s">
        <v>11321</v>
      </c>
      <c r="C3695" s="2">
        <v>46256.583333333336</v>
      </c>
      <c r="D3695" t="s">
        <v>418</v>
      </c>
      <c r="E3695" t="s">
        <v>11</v>
      </c>
      <c r="F3695" t="s">
        <v>304</v>
      </c>
      <c r="G3695" t="s">
        <v>92</v>
      </c>
      <c r="H3695">
        <v>4</v>
      </c>
      <c r="I3695" t="s">
        <v>11322</v>
      </c>
      <c r="J3695" t="s">
        <v>357</v>
      </c>
    </row>
    <row r="3696" spans="1:10" x14ac:dyDescent="0.25">
      <c r="A3696" t="s">
        <v>11323</v>
      </c>
      <c r="B3696" t="s">
        <v>11324</v>
      </c>
      <c r="C3696" s="2">
        <v>46256.583333333336</v>
      </c>
      <c r="D3696" t="s">
        <v>418</v>
      </c>
      <c r="E3696" t="s">
        <v>18</v>
      </c>
      <c r="F3696" t="s">
        <v>305</v>
      </c>
      <c r="G3696" t="s">
        <v>95</v>
      </c>
      <c r="H3696">
        <v>4</v>
      </c>
      <c r="I3696" t="s">
        <v>11325</v>
      </c>
      <c r="J3696" t="s">
        <v>357</v>
      </c>
    </row>
    <row r="3697" spans="1:10" x14ac:dyDescent="0.25">
      <c r="A3697" t="s">
        <v>11326</v>
      </c>
      <c r="B3697" t="s">
        <v>11327</v>
      </c>
      <c r="C3697" s="2">
        <v>46256.583333333336</v>
      </c>
      <c r="D3697" t="s">
        <v>418</v>
      </c>
      <c r="E3697" t="s">
        <v>20</v>
      </c>
      <c r="F3697" t="s">
        <v>306</v>
      </c>
      <c r="G3697" t="s">
        <v>97</v>
      </c>
      <c r="H3697">
        <v>1</v>
      </c>
      <c r="I3697" t="s">
        <v>11328</v>
      </c>
      <c r="J3697" t="s">
        <v>357</v>
      </c>
    </row>
    <row r="3698" spans="1:10" x14ac:dyDescent="0.25">
      <c r="A3698" t="s">
        <v>11329</v>
      </c>
      <c r="B3698" t="s">
        <v>11330</v>
      </c>
      <c r="C3698" s="2">
        <v>46256.583333333336</v>
      </c>
      <c r="D3698" t="s">
        <v>418</v>
      </c>
      <c r="E3698" t="s">
        <v>22</v>
      </c>
      <c r="F3698" t="s">
        <v>307</v>
      </c>
      <c r="G3698" t="s">
        <v>99</v>
      </c>
      <c r="H3698">
        <v>1</v>
      </c>
      <c r="I3698" t="s">
        <v>11331</v>
      </c>
      <c r="J3698" t="s">
        <v>357</v>
      </c>
    </row>
    <row r="3699" spans="1:10" x14ac:dyDescent="0.25">
      <c r="A3699" t="s">
        <v>11332</v>
      </c>
      <c r="B3699" t="s">
        <v>11333</v>
      </c>
      <c r="C3699" s="2">
        <v>46256.583333333336</v>
      </c>
      <c r="D3699" t="s">
        <v>418</v>
      </c>
      <c r="E3699" t="s">
        <v>24</v>
      </c>
      <c r="F3699" t="s">
        <v>308</v>
      </c>
      <c r="G3699" t="s">
        <v>101</v>
      </c>
      <c r="H3699">
        <v>6</v>
      </c>
      <c r="I3699" t="s">
        <v>11334</v>
      </c>
      <c r="J3699" t="s">
        <v>357</v>
      </c>
    </row>
    <row r="3700" spans="1:10" x14ac:dyDescent="0.25">
      <c r="A3700" t="s">
        <v>11335</v>
      </c>
      <c r="B3700" t="s">
        <v>11336</v>
      </c>
      <c r="C3700" s="2">
        <v>46256.583333333336</v>
      </c>
      <c r="D3700" t="s">
        <v>418</v>
      </c>
      <c r="E3700" t="s">
        <v>57</v>
      </c>
      <c r="F3700" t="s">
        <v>299</v>
      </c>
      <c r="G3700" t="s">
        <v>131</v>
      </c>
      <c r="H3700">
        <v>1</v>
      </c>
      <c r="I3700" t="s">
        <v>11337</v>
      </c>
      <c r="J3700" t="s">
        <v>357</v>
      </c>
    </row>
    <row r="3701" spans="1:10" x14ac:dyDescent="0.25">
      <c r="A3701" t="s">
        <v>11338</v>
      </c>
      <c r="B3701" t="s">
        <v>11339</v>
      </c>
      <c r="C3701" s="2">
        <v>46256.583333333336</v>
      </c>
      <c r="D3701" t="s">
        <v>418</v>
      </c>
      <c r="E3701" t="s">
        <v>59</v>
      </c>
      <c r="F3701" t="s">
        <v>270</v>
      </c>
      <c r="G3701" t="s">
        <v>133</v>
      </c>
      <c r="H3701">
        <v>5</v>
      </c>
      <c r="I3701" t="s">
        <v>11340</v>
      </c>
      <c r="J3701" t="s">
        <v>357</v>
      </c>
    </row>
    <row r="3702" spans="1:10" x14ac:dyDescent="0.25">
      <c r="A3702" t="s">
        <v>11341</v>
      </c>
      <c r="B3702" t="s">
        <v>11342</v>
      </c>
      <c r="C3702" s="2">
        <v>46256.583333333336</v>
      </c>
      <c r="D3702" t="s">
        <v>418</v>
      </c>
      <c r="E3702" t="s">
        <v>77</v>
      </c>
      <c r="F3702" t="s">
        <v>273</v>
      </c>
      <c r="G3702" t="s">
        <v>147</v>
      </c>
      <c r="H3702">
        <v>5</v>
      </c>
      <c r="I3702" t="s">
        <v>11343</v>
      </c>
      <c r="J3702" t="s">
        <v>357</v>
      </c>
    </row>
    <row r="3703" spans="1:10" x14ac:dyDescent="0.25">
      <c r="A3703" t="s">
        <v>11344</v>
      </c>
      <c r="B3703" t="s">
        <v>11345</v>
      </c>
      <c r="C3703" s="2">
        <v>46257.583333333336</v>
      </c>
      <c r="D3703" t="s">
        <v>418</v>
      </c>
      <c r="E3703" t="s">
        <v>11</v>
      </c>
      <c r="F3703" t="s">
        <v>304</v>
      </c>
      <c r="G3703" t="s">
        <v>92</v>
      </c>
      <c r="H3703">
        <v>4</v>
      </c>
      <c r="I3703" t="s">
        <v>11346</v>
      </c>
      <c r="J3703" t="s">
        <v>357</v>
      </c>
    </row>
    <row r="3704" spans="1:10" x14ac:dyDescent="0.25">
      <c r="A3704" t="s">
        <v>11347</v>
      </c>
      <c r="B3704" t="s">
        <v>11348</v>
      </c>
      <c r="C3704" s="2">
        <v>46257.583333333336</v>
      </c>
      <c r="D3704" t="s">
        <v>418</v>
      </c>
      <c r="E3704" t="s">
        <v>20</v>
      </c>
      <c r="F3704" t="s">
        <v>306</v>
      </c>
      <c r="G3704" t="s">
        <v>97</v>
      </c>
      <c r="H3704">
        <v>3</v>
      </c>
      <c r="I3704" t="s">
        <v>11349</v>
      </c>
      <c r="J3704" t="s">
        <v>357</v>
      </c>
    </row>
    <row r="3705" spans="1:10" x14ac:dyDescent="0.25">
      <c r="A3705" t="s">
        <v>11350</v>
      </c>
      <c r="B3705" t="s">
        <v>11351</v>
      </c>
      <c r="C3705" s="2">
        <v>46257.583333333336</v>
      </c>
      <c r="D3705" t="s">
        <v>418</v>
      </c>
      <c r="E3705" t="s">
        <v>22</v>
      </c>
      <c r="F3705" t="s">
        <v>307</v>
      </c>
      <c r="G3705" t="s">
        <v>99</v>
      </c>
      <c r="H3705">
        <v>4</v>
      </c>
      <c r="I3705" t="s">
        <v>11352</v>
      </c>
      <c r="J3705" t="s">
        <v>357</v>
      </c>
    </row>
    <row r="3706" spans="1:10" x14ac:dyDescent="0.25">
      <c r="A3706" t="s">
        <v>11353</v>
      </c>
      <c r="B3706" t="s">
        <v>11354</v>
      </c>
      <c r="C3706" s="2">
        <v>46257.583333333336</v>
      </c>
      <c r="D3706" t="s">
        <v>418</v>
      </c>
      <c r="E3706" t="s">
        <v>24</v>
      </c>
      <c r="F3706" t="s">
        <v>308</v>
      </c>
      <c r="G3706" t="s">
        <v>101</v>
      </c>
      <c r="H3706">
        <v>3</v>
      </c>
      <c r="I3706" t="s">
        <v>11355</v>
      </c>
      <c r="J3706" t="s">
        <v>357</v>
      </c>
    </row>
    <row r="3707" spans="1:10" x14ac:dyDescent="0.25">
      <c r="A3707" t="s">
        <v>11356</v>
      </c>
      <c r="B3707" t="s">
        <v>11357</v>
      </c>
      <c r="C3707" s="2">
        <v>46257.583333333336</v>
      </c>
      <c r="D3707" t="s">
        <v>418</v>
      </c>
      <c r="E3707" t="s">
        <v>30</v>
      </c>
      <c r="F3707" t="s">
        <v>207</v>
      </c>
      <c r="G3707" t="s">
        <v>107</v>
      </c>
      <c r="H3707">
        <v>2</v>
      </c>
      <c r="I3707" t="s">
        <v>11358</v>
      </c>
      <c r="J3707" t="s">
        <v>357</v>
      </c>
    </row>
    <row r="3708" spans="1:10" x14ac:dyDescent="0.25">
      <c r="A3708" t="s">
        <v>11359</v>
      </c>
      <c r="B3708" t="s">
        <v>11360</v>
      </c>
      <c r="C3708" s="2">
        <v>46257.583333333336</v>
      </c>
      <c r="D3708" t="s">
        <v>418</v>
      </c>
      <c r="E3708" t="s">
        <v>43</v>
      </c>
      <c r="F3708" t="s">
        <v>237</v>
      </c>
      <c r="G3708" t="s">
        <v>117</v>
      </c>
      <c r="H3708">
        <v>5</v>
      </c>
      <c r="I3708" t="s">
        <v>11361</v>
      </c>
      <c r="J3708" t="s">
        <v>357</v>
      </c>
    </row>
    <row r="3709" spans="1:10" x14ac:dyDescent="0.25">
      <c r="A3709" t="s">
        <v>11362</v>
      </c>
      <c r="B3709" t="s">
        <v>11363</v>
      </c>
      <c r="C3709" s="2">
        <v>46257.583333333336</v>
      </c>
      <c r="D3709" t="s">
        <v>418</v>
      </c>
      <c r="E3709" t="s">
        <v>49</v>
      </c>
      <c r="F3709" t="s">
        <v>295</v>
      </c>
      <c r="G3709" t="s">
        <v>123</v>
      </c>
      <c r="H3709">
        <v>5</v>
      </c>
      <c r="I3709" t="s">
        <v>11364</v>
      </c>
      <c r="J3709" t="s">
        <v>357</v>
      </c>
    </row>
    <row r="3710" spans="1:10" x14ac:dyDescent="0.25">
      <c r="A3710" t="s">
        <v>11365</v>
      </c>
      <c r="B3710" t="s">
        <v>11366</v>
      </c>
      <c r="C3710" s="2">
        <v>46257.583333333336</v>
      </c>
      <c r="D3710" t="s">
        <v>418</v>
      </c>
      <c r="E3710" t="s">
        <v>57</v>
      </c>
      <c r="F3710" t="s">
        <v>299</v>
      </c>
      <c r="G3710" t="s">
        <v>131</v>
      </c>
      <c r="H3710">
        <v>2</v>
      </c>
      <c r="I3710" t="s">
        <v>11367</v>
      </c>
      <c r="J3710" t="s">
        <v>357</v>
      </c>
    </row>
    <row r="3711" spans="1:10" x14ac:dyDescent="0.25">
      <c r="A3711" t="s">
        <v>11368</v>
      </c>
      <c r="B3711" t="s">
        <v>11369</v>
      </c>
      <c r="C3711" s="2">
        <v>46257.583333333336</v>
      </c>
      <c r="D3711" t="s">
        <v>418</v>
      </c>
      <c r="E3711" t="s">
        <v>69</v>
      </c>
      <c r="F3711" t="s">
        <v>256</v>
      </c>
      <c r="G3711" t="s">
        <v>139</v>
      </c>
      <c r="H3711">
        <v>2</v>
      </c>
      <c r="I3711" t="s">
        <v>11370</v>
      </c>
      <c r="J3711" t="s">
        <v>357</v>
      </c>
    </row>
    <row r="3712" spans="1:10" x14ac:dyDescent="0.25">
      <c r="A3712" t="s">
        <v>11371</v>
      </c>
      <c r="B3712" t="s">
        <v>11372</v>
      </c>
      <c r="C3712" s="2">
        <v>46257.583333333336</v>
      </c>
      <c r="D3712" t="s">
        <v>418</v>
      </c>
      <c r="E3712" t="s">
        <v>71</v>
      </c>
      <c r="F3712" t="s">
        <v>257</v>
      </c>
      <c r="G3712" t="s">
        <v>141</v>
      </c>
      <c r="H3712">
        <v>2</v>
      </c>
      <c r="I3712" t="s">
        <v>11373</v>
      </c>
      <c r="J3712" t="s">
        <v>357</v>
      </c>
    </row>
    <row r="3713" spans="1:10" x14ac:dyDescent="0.25">
      <c r="A3713" t="s">
        <v>11374</v>
      </c>
      <c r="B3713" t="s">
        <v>11375</v>
      </c>
      <c r="C3713" s="2">
        <v>46257.583333333336</v>
      </c>
      <c r="D3713" t="s">
        <v>418</v>
      </c>
      <c r="E3713" t="s">
        <v>18</v>
      </c>
      <c r="F3713" t="s">
        <v>305</v>
      </c>
      <c r="G3713" t="s">
        <v>95</v>
      </c>
      <c r="H3713">
        <v>1</v>
      </c>
      <c r="I3713" t="s">
        <v>11376</v>
      </c>
      <c r="J3713" t="s">
        <v>357</v>
      </c>
    </row>
    <row r="3714" spans="1:10" x14ac:dyDescent="0.25">
      <c r="A3714" t="s">
        <v>11377</v>
      </c>
      <c r="B3714" t="s">
        <v>11378</v>
      </c>
      <c r="C3714" s="2">
        <v>46257.583333333336</v>
      </c>
      <c r="D3714" t="s">
        <v>418</v>
      </c>
      <c r="E3714" t="s">
        <v>20</v>
      </c>
      <c r="F3714" t="s">
        <v>306</v>
      </c>
      <c r="G3714" t="s">
        <v>97</v>
      </c>
      <c r="H3714">
        <v>4</v>
      </c>
      <c r="I3714" t="s">
        <v>11379</v>
      </c>
      <c r="J3714" t="s">
        <v>357</v>
      </c>
    </row>
    <row r="3715" spans="1:10" x14ac:dyDescent="0.25">
      <c r="A3715" t="s">
        <v>11380</v>
      </c>
      <c r="B3715" t="s">
        <v>11381</v>
      </c>
      <c r="C3715" s="2">
        <v>46257.583333333336</v>
      </c>
      <c r="D3715" t="s">
        <v>418</v>
      </c>
      <c r="E3715" t="s">
        <v>22</v>
      </c>
      <c r="F3715" t="s">
        <v>307</v>
      </c>
      <c r="G3715" t="s">
        <v>99</v>
      </c>
      <c r="H3715">
        <v>5</v>
      </c>
      <c r="I3715" t="s">
        <v>11382</v>
      </c>
      <c r="J3715" t="s">
        <v>357</v>
      </c>
    </row>
    <row r="3716" spans="1:10" x14ac:dyDescent="0.25">
      <c r="A3716" t="s">
        <v>11383</v>
      </c>
      <c r="B3716" t="s">
        <v>11384</v>
      </c>
      <c r="C3716" s="2">
        <v>46257.583333333336</v>
      </c>
      <c r="D3716" t="s">
        <v>418</v>
      </c>
      <c r="E3716" t="s">
        <v>26</v>
      </c>
      <c r="F3716" t="s">
        <v>309</v>
      </c>
      <c r="G3716" t="s">
        <v>103</v>
      </c>
      <c r="H3716">
        <v>6</v>
      </c>
      <c r="I3716" t="s">
        <v>11385</v>
      </c>
      <c r="J3716" t="s">
        <v>357</v>
      </c>
    </row>
    <row r="3717" spans="1:10" x14ac:dyDescent="0.25">
      <c r="A3717" t="s">
        <v>11386</v>
      </c>
      <c r="B3717" t="s">
        <v>11387</v>
      </c>
      <c r="C3717" s="2">
        <v>46257.583333333336</v>
      </c>
      <c r="D3717" t="s">
        <v>418</v>
      </c>
      <c r="E3717" t="s">
        <v>30</v>
      </c>
      <c r="F3717" t="s">
        <v>207</v>
      </c>
      <c r="G3717" t="s">
        <v>107</v>
      </c>
      <c r="H3717">
        <v>3</v>
      </c>
      <c r="I3717" t="s">
        <v>11388</v>
      </c>
      <c r="J3717" t="s">
        <v>357</v>
      </c>
    </row>
    <row r="3718" spans="1:10" x14ac:dyDescent="0.25">
      <c r="A3718" t="s">
        <v>11389</v>
      </c>
      <c r="B3718" t="s">
        <v>11390</v>
      </c>
      <c r="C3718" s="2">
        <v>46257.583333333336</v>
      </c>
      <c r="D3718" t="s">
        <v>418</v>
      </c>
      <c r="E3718" t="s">
        <v>51</v>
      </c>
      <c r="F3718" t="s">
        <v>254</v>
      </c>
      <c r="G3718" t="s">
        <v>125</v>
      </c>
      <c r="H3718">
        <v>6</v>
      </c>
      <c r="I3718" t="s">
        <v>11391</v>
      </c>
      <c r="J3718" t="s">
        <v>357</v>
      </c>
    </row>
    <row r="3719" spans="1:10" x14ac:dyDescent="0.25">
      <c r="A3719" t="s">
        <v>11392</v>
      </c>
      <c r="B3719" t="s">
        <v>11393</v>
      </c>
      <c r="C3719" s="2">
        <v>46257.583333333336</v>
      </c>
      <c r="D3719" t="s">
        <v>418</v>
      </c>
      <c r="E3719" t="s">
        <v>59</v>
      </c>
      <c r="F3719" t="s">
        <v>270</v>
      </c>
      <c r="G3719" t="s">
        <v>133</v>
      </c>
      <c r="H3719">
        <v>3</v>
      </c>
      <c r="I3719" t="s">
        <v>11394</v>
      </c>
      <c r="J3719" t="s">
        <v>357</v>
      </c>
    </row>
    <row r="3720" spans="1:10" x14ac:dyDescent="0.25">
      <c r="A3720" t="s">
        <v>11395</v>
      </c>
      <c r="B3720" t="s">
        <v>11396</v>
      </c>
      <c r="C3720" s="2">
        <v>46257.583333333336</v>
      </c>
      <c r="D3720" t="s">
        <v>418</v>
      </c>
      <c r="E3720" t="s">
        <v>69</v>
      </c>
      <c r="F3720" t="s">
        <v>256</v>
      </c>
      <c r="G3720" t="s">
        <v>139</v>
      </c>
      <c r="H3720">
        <v>5</v>
      </c>
      <c r="I3720" t="s">
        <v>11397</v>
      </c>
      <c r="J3720" t="s">
        <v>357</v>
      </c>
    </row>
    <row r="3721" spans="1:10" x14ac:dyDescent="0.25">
      <c r="A3721" t="s">
        <v>11398</v>
      </c>
      <c r="B3721" t="s">
        <v>11399</v>
      </c>
      <c r="C3721" s="2">
        <v>46257.583333333336</v>
      </c>
      <c r="D3721" t="s">
        <v>418</v>
      </c>
      <c r="E3721" t="s">
        <v>71</v>
      </c>
      <c r="F3721" t="s">
        <v>257</v>
      </c>
      <c r="G3721" t="s">
        <v>141</v>
      </c>
      <c r="H3721">
        <v>6</v>
      </c>
      <c r="I3721" t="s">
        <v>11400</v>
      </c>
      <c r="J3721" t="s">
        <v>357</v>
      </c>
    </row>
    <row r="3722" spans="1:10" x14ac:dyDescent="0.25">
      <c r="A3722" t="s">
        <v>11401</v>
      </c>
      <c r="B3722" t="s">
        <v>11402</v>
      </c>
      <c r="C3722" s="2">
        <v>46257.583333333336</v>
      </c>
      <c r="D3722" t="s">
        <v>418</v>
      </c>
      <c r="E3722" t="s">
        <v>11</v>
      </c>
      <c r="F3722" t="s">
        <v>304</v>
      </c>
      <c r="G3722" t="s">
        <v>92</v>
      </c>
      <c r="H3722">
        <v>5</v>
      </c>
      <c r="I3722" t="s">
        <v>11403</v>
      </c>
      <c r="J3722" t="s">
        <v>357</v>
      </c>
    </row>
    <row r="3723" spans="1:10" x14ac:dyDescent="0.25">
      <c r="A3723" t="s">
        <v>11404</v>
      </c>
      <c r="B3723" t="s">
        <v>11405</v>
      </c>
      <c r="C3723" s="2">
        <v>46257.583333333336</v>
      </c>
      <c r="D3723" t="s">
        <v>418</v>
      </c>
      <c r="E3723" t="s">
        <v>18</v>
      </c>
      <c r="F3723" t="s">
        <v>305</v>
      </c>
      <c r="G3723" t="s">
        <v>95</v>
      </c>
      <c r="H3723">
        <v>3</v>
      </c>
      <c r="I3723" t="s">
        <v>11406</v>
      </c>
      <c r="J3723" t="s">
        <v>357</v>
      </c>
    </row>
    <row r="3724" spans="1:10" x14ac:dyDescent="0.25">
      <c r="A3724" t="s">
        <v>11407</v>
      </c>
      <c r="B3724" t="s">
        <v>11408</v>
      </c>
      <c r="C3724" s="2">
        <v>46257.583333333336</v>
      </c>
      <c r="D3724" t="s">
        <v>418</v>
      </c>
      <c r="E3724" t="s">
        <v>20</v>
      </c>
      <c r="F3724" t="s">
        <v>306</v>
      </c>
      <c r="G3724" t="s">
        <v>97</v>
      </c>
      <c r="H3724">
        <v>3</v>
      </c>
      <c r="I3724" t="s">
        <v>11409</v>
      </c>
      <c r="J3724" t="s">
        <v>357</v>
      </c>
    </row>
    <row r="3725" spans="1:10" x14ac:dyDescent="0.25">
      <c r="A3725" t="s">
        <v>11410</v>
      </c>
      <c r="B3725" t="s">
        <v>11411</v>
      </c>
      <c r="C3725" s="2">
        <v>46257.583333333336</v>
      </c>
      <c r="D3725" t="s">
        <v>418</v>
      </c>
      <c r="E3725" t="s">
        <v>22</v>
      </c>
      <c r="F3725" t="s">
        <v>307</v>
      </c>
      <c r="G3725" t="s">
        <v>99</v>
      </c>
      <c r="H3725">
        <v>5</v>
      </c>
      <c r="I3725" t="s">
        <v>11412</v>
      </c>
      <c r="J3725" t="s">
        <v>357</v>
      </c>
    </row>
    <row r="3726" spans="1:10" x14ac:dyDescent="0.25">
      <c r="A3726" t="s">
        <v>11413</v>
      </c>
      <c r="B3726" t="s">
        <v>11414</v>
      </c>
      <c r="C3726" s="2">
        <v>46257.583333333336</v>
      </c>
      <c r="D3726" t="s">
        <v>418</v>
      </c>
      <c r="E3726" t="s">
        <v>26</v>
      </c>
      <c r="F3726" t="s">
        <v>309</v>
      </c>
      <c r="G3726" t="s">
        <v>103</v>
      </c>
      <c r="H3726">
        <v>6</v>
      </c>
      <c r="I3726" t="s">
        <v>11415</v>
      </c>
      <c r="J3726" t="s">
        <v>357</v>
      </c>
    </row>
    <row r="3727" spans="1:10" x14ac:dyDescent="0.25">
      <c r="A3727" t="s">
        <v>11416</v>
      </c>
      <c r="B3727" t="s">
        <v>11417</v>
      </c>
      <c r="C3727" s="2">
        <v>46257.583333333336</v>
      </c>
      <c r="D3727" t="s">
        <v>418</v>
      </c>
      <c r="E3727" t="s">
        <v>32</v>
      </c>
      <c r="F3727" t="s">
        <v>311</v>
      </c>
      <c r="G3727" t="s">
        <v>109</v>
      </c>
      <c r="H3727">
        <v>2</v>
      </c>
      <c r="I3727" t="s">
        <v>11418</v>
      </c>
      <c r="J3727" t="s">
        <v>357</v>
      </c>
    </row>
    <row r="3728" spans="1:10" x14ac:dyDescent="0.25">
      <c r="A3728" t="s">
        <v>11419</v>
      </c>
      <c r="B3728" t="s">
        <v>11420</v>
      </c>
      <c r="C3728" s="2">
        <v>46257.583333333336</v>
      </c>
      <c r="D3728" t="s">
        <v>418</v>
      </c>
      <c r="E3728" t="s">
        <v>36</v>
      </c>
      <c r="F3728" t="s">
        <v>187</v>
      </c>
      <c r="G3728" t="s">
        <v>113</v>
      </c>
      <c r="H3728">
        <v>5</v>
      </c>
      <c r="I3728" t="s">
        <v>11421</v>
      </c>
      <c r="J3728" t="s">
        <v>357</v>
      </c>
    </row>
    <row r="3729" spans="1:10" x14ac:dyDescent="0.25">
      <c r="A3729" t="s">
        <v>11422</v>
      </c>
      <c r="B3729" t="s">
        <v>11423</v>
      </c>
      <c r="C3729" s="2">
        <v>46257.583333333336</v>
      </c>
      <c r="D3729" t="s">
        <v>418</v>
      </c>
      <c r="E3729" t="s">
        <v>41</v>
      </c>
      <c r="F3729" t="s">
        <v>293</v>
      </c>
      <c r="G3729" t="s">
        <v>115</v>
      </c>
      <c r="H3729">
        <v>3</v>
      </c>
      <c r="I3729" t="s">
        <v>11424</v>
      </c>
      <c r="J3729" t="s">
        <v>357</v>
      </c>
    </row>
    <row r="3730" spans="1:10" x14ac:dyDescent="0.25">
      <c r="A3730" t="s">
        <v>11425</v>
      </c>
      <c r="B3730" t="s">
        <v>11426</v>
      </c>
      <c r="C3730" s="2">
        <v>46257.583333333336</v>
      </c>
      <c r="D3730" t="s">
        <v>418</v>
      </c>
      <c r="E3730" t="s">
        <v>47</v>
      </c>
      <c r="F3730" t="s">
        <v>268</v>
      </c>
      <c r="G3730" t="s">
        <v>121</v>
      </c>
      <c r="H3730">
        <v>2</v>
      </c>
      <c r="I3730" t="s">
        <v>11427</v>
      </c>
      <c r="J3730" t="s">
        <v>357</v>
      </c>
    </row>
    <row r="3731" spans="1:10" x14ac:dyDescent="0.25">
      <c r="A3731" t="s">
        <v>11428</v>
      </c>
      <c r="B3731" t="s">
        <v>11429</v>
      </c>
      <c r="C3731" s="2">
        <v>46257.583333333336</v>
      </c>
      <c r="D3731" t="s">
        <v>418</v>
      </c>
      <c r="E3731" t="s">
        <v>47</v>
      </c>
      <c r="F3731" t="s">
        <v>282</v>
      </c>
      <c r="G3731" t="s">
        <v>121</v>
      </c>
      <c r="H3731">
        <v>4</v>
      </c>
      <c r="I3731" t="s">
        <v>11427</v>
      </c>
      <c r="J3731" t="s">
        <v>357</v>
      </c>
    </row>
    <row r="3732" spans="1:10" x14ac:dyDescent="0.25">
      <c r="A3732" t="s">
        <v>11430</v>
      </c>
      <c r="B3732" t="s">
        <v>11431</v>
      </c>
      <c r="C3732" s="2">
        <v>46257.583333333336</v>
      </c>
      <c r="D3732" t="s">
        <v>418</v>
      </c>
      <c r="E3732" t="s">
        <v>65</v>
      </c>
      <c r="F3732" t="s">
        <v>284</v>
      </c>
      <c r="G3732" t="s">
        <v>135</v>
      </c>
      <c r="H3732">
        <v>6</v>
      </c>
      <c r="I3732" t="s">
        <v>11432</v>
      </c>
      <c r="J3732" t="s">
        <v>357</v>
      </c>
    </row>
    <row r="3733" spans="1:10" x14ac:dyDescent="0.25">
      <c r="A3733" t="s">
        <v>11433</v>
      </c>
      <c r="B3733" t="s">
        <v>11434</v>
      </c>
      <c r="C3733" s="2">
        <v>46257.583333333336</v>
      </c>
      <c r="D3733" t="s">
        <v>418</v>
      </c>
      <c r="E3733" t="s">
        <v>67</v>
      </c>
      <c r="F3733" t="s">
        <v>271</v>
      </c>
      <c r="G3733" t="s">
        <v>137</v>
      </c>
      <c r="H3733">
        <v>3</v>
      </c>
      <c r="I3733" t="s">
        <v>11435</v>
      </c>
      <c r="J3733" t="s">
        <v>357</v>
      </c>
    </row>
    <row r="3734" spans="1:10" x14ac:dyDescent="0.25">
      <c r="A3734" t="s">
        <v>11436</v>
      </c>
      <c r="B3734" t="s">
        <v>11437</v>
      </c>
      <c r="C3734" s="2">
        <v>46257.583333333336</v>
      </c>
      <c r="D3734" t="s">
        <v>418</v>
      </c>
      <c r="E3734" t="s">
        <v>11</v>
      </c>
      <c r="F3734" t="s">
        <v>304</v>
      </c>
      <c r="G3734" t="s">
        <v>92</v>
      </c>
      <c r="H3734">
        <v>7</v>
      </c>
      <c r="I3734" t="s">
        <v>11438</v>
      </c>
      <c r="J3734" t="s">
        <v>357</v>
      </c>
    </row>
    <row r="3735" spans="1:10" x14ac:dyDescent="0.25">
      <c r="A3735" t="s">
        <v>11439</v>
      </c>
      <c r="B3735" t="s">
        <v>11440</v>
      </c>
      <c r="C3735" s="2">
        <v>46257.583333333336</v>
      </c>
      <c r="D3735" t="s">
        <v>418</v>
      </c>
      <c r="E3735" t="s">
        <v>18</v>
      </c>
      <c r="F3735" t="s">
        <v>305</v>
      </c>
      <c r="G3735" t="s">
        <v>95</v>
      </c>
      <c r="H3735">
        <v>2</v>
      </c>
      <c r="I3735" t="s">
        <v>11441</v>
      </c>
      <c r="J3735" t="s">
        <v>357</v>
      </c>
    </row>
    <row r="3736" spans="1:10" x14ac:dyDescent="0.25">
      <c r="A3736" t="s">
        <v>11442</v>
      </c>
      <c r="B3736" t="s">
        <v>11443</v>
      </c>
      <c r="C3736" s="2">
        <v>46257.583333333336</v>
      </c>
      <c r="D3736" t="s">
        <v>418</v>
      </c>
      <c r="E3736" t="s">
        <v>20</v>
      </c>
      <c r="F3736" t="s">
        <v>306</v>
      </c>
      <c r="G3736" t="s">
        <v>97</v>
      </c>
      <c r="H3736">
        <v>4</v>
      </c>
      <c r="I3736" t="s">
        <v>11444</v>
      </c>
      <c r="J3736" t="s">
        <v>357</v>
      </c>
    </row>
    <row r="3737" spans="1:10" x14ac:dyDescent="0.25">
      <c r="A3737" t="s">
        <v>11445</v>
      </c>
      <c r="B3737" t="s">
        <v>11446</v>
      </c>
      <c r="C3737" s="2">
        <v>46257.583333333336</v>
      </c>
      <c r="D3737" t="s">
        <v>418</v>
      </c>
      <c r="E3737" t="s">
        <v>22</v>
      </c>
      <c r="F3737" t="s">
        <v>307</v>
      </c>
      <c r="G3737" t="s">
        <v>99</v>
      </c>
      <c r="H3737">
        <v>5</v>
      </c>
      <c r="I3737" t="s">
        <v>11447</v>
      </c>
      <c r="J3737" t="s">
        <v>357</v>
      </c>
    </row>
    <row r="3738" spans="1:10" x14ac:dyDescent="0.25">
      <c r="A3738" t="s">
        <v>11448</v>
      </c>
      <c r="B3738" t="s">
        <v>11449</v>
      </c>
      <c r="C3738" s="2">
        <v>46257.583333333336</v>
      </c>
      <c r="D3738" t="s">
        <v>418</v>
      </c>
      <c r="E3738" t="s">
        <v>24</v>
      </c>
      <c r="F3738" t="s">
        <v>308</v>
      </c>
      <c r="G3738" t="s">
        <v>101</v>
      </c>
      <c r="H3738">
        <v>4</v>
      </c>
      <c r="I3738" t="s">
        <v>11450</v>
      </c>
      <c r="J3738" t="s">
        <v>357</v>
      </c>
    </row>
    <row r="3739" spans="1:10" x14ac:dyDescent="0.25">
      <c r="A3739" t="s">
        <v>11451</v>
      </c>
      <c r="B3739" t="s">
        <v>11452</v>
      </c>
      <c r="C3739" s="2">
        <v>46257.583333333336</v>
      </c>
      <c r="D3739" t="s">
        <v>418</v>
      </c>
      <c r="E3739" t="s">
        <v>26</v>
      </c>
      <c r="F3739" t="s">
        <v>309</v>
      </c>
      <c r="G3739" t="s">
        <v>103</v>
      </c>
      <c r="H3739">
        <v>7</v>
      </c>
      <c r="I3739" t="s">
        <v>11453</v>
      </c>
      <c r="J3739" t="s">
        <v>357</v>
      </c>
    </row>
    <row r="3740" spans="1:10" x14ac:dyDescent="0.25">
      <c r="A3740" t="s">
        <v>11454</v>
      </c>
      <c r="B3740" t="s">
        <v>11455</v>
      </c>
      <c r="C3740" s="2">
        <v>46257.583333333336</v>
      </c>
      <c r="D3740" t="s">
        <v>418</v>
      </c>
      <c r="E3740" t="s">
        <v>36</v>
      </c>
      <c r="F3740" t="s">
        <v>187</v>
      </c>
      <c r="G3740" t="s">
        <v>113</v>
      </c>
      <c r="H3740">
        <v>2</v>
      </c>
      <c r="I3740" t="s">
        <v>11456</v>
      </c>
      <c r="J3740" t="s">
        <v>357</v>
      </c>
    </row>
    <row r="3741" spans="1:10" x14ac:dyDescent="0.25">
      <c r="A3741" t="s">
        <v>11457</v>
      </c>
      <c r="B3741" t="s">
        <v>11458</v>
      </c>
      <c r="C3741" s="2">
        <v>46257.583333333336</v>
      </c>
      <c r="D3741" t="s">
        <v>418</v>
      </c>
      <c r="E3741" t="s">
        <v>41</v>
      </c>
      <c r="F3741" t="s">
        <v>293</v>
      </c>
      <c r="G3741" t="s">
        <v>115</v>
      </c>
      <c r="H3741">
        <v>5</v>
      </c>
      <c r="I3741" t="s">
        <v>11459</v>
      </c>
      <c r="J3741" t="s">
        <v>357</v>
      </c>
    </row>
    <row r="3742" spans="1:10" x14ac:dyDescent="0.25">
      <c r="A3742" t="s">
        <v>11460</v>
      </c>
      <c r="B3742" t="s">
        <v>11461</v>
      </c>
      <c r="C3742" s="2">
        <v>46257.583333333336</v>
      </c>
      <c r="D3742" t="s">
        <v>418</v>
      </c>
      <c r="E3742" t="s">
        <v>43</v>
      </c>
      <c r="F3742" t="s">
        <v>237</v>
      </c>
      <c r="G3742" t="s">
        <v>117</v>
      </c>
      <c r="H3742">
        <v>4</v>
      </c>
      <c r="I3742" t="s">
        <v>11462</v>
      </c>
      <c r="J3742" t="s">
        <v>357</v>
      </c>
    </row>
    <row r="3743" spans="1:10" x14ac:dyDescent="0.25">
      <c r="A3743" t="s">
        <v>11463</v>
      </c>
      <c r="B3743" t="s">
        <v>11464</v>
      </c>
      <c r="C3743" s="2">
        <v>46257.583333333336</v>
      </c>
      <c r="D3743" t="s">
        <v>418</v>
      </c>
      <c r="E3743" t="s">
        <v>45</v>
      </c>
      <c r="F3743" t="s">
        <v>312</v>
      </c>
      <c r="G3743" t="s">
        <v>119</v>
      </c>
      <c r="H3743">
        <v>5</v>
      </c>
      <c r="I3743" t="s">
        <v>11465</v>
      </c>
      <c r="J3743" t="s">
        <v>357</v>
      </c>
    </row>
    <row r="3744" spans="1:10" x14ac:dyDescent="0.25">
      <c r="A3744" t="s">
        <v>11466</v>
      </c>
      <c r="B3744" t="s">
        <v>11467</v>
      </c>
      <c r="C3744" s="2">
        <v>46257.583333333336</v>
      </c>
      <c r="D3744" t="s">
        <v>418</v>
      </c>
      <c r="E3744" t="s">
        <v>49</v>
      </c>
      <c r="F3744" t="s">
        <v>295</v>
      </c>
      <c r="G3744" t="s">
        <v>123</v>
      </c>
      <c r="H3744">
        <v>7</v>
      </c>
      <c r="I3744" t="s">
        <v>11468</v>
      </c>
      <c r="J3744" t="s">
        <v>357</v>
      </c>
    </row>
    <row r="3745" spans="1:10" x14ac:dyDescent="0.25">
      <c r="A3745" t="s">
        <v>11469</v>
      </c>
      <c r="B3745" t="s">
        <v>11470</v>
      </c>
      <c r="C3745" s="2">
        <v>46257.583333333336</v>
      </c>
      <c r="D3745" t="s">
        <v>418</v>
      </c>
      <c r="E3745" t="s">
        <v>51</v>
      </c>
      <c r="F3745" t="s">
        <v>254</v>
      </c>
      <c r="G3745" t="s">
        <v>125</v>
      </c>
      <c r="H3745">
        <v>9</v>
      </c>
      <c r="I3745" t="s">
        <v>11471</v>
      </c>
      <c r="J3745" t="s">
        <v>357</v>
      </c>
    </row>
    <row r="3746" spans="1:10" x14ac:dyDescent="0.25">
      <c r="A3746" t="s">
        <v>11472</v>
      </c>
      <c r="B3746" t="s">
        <v>11473</v>
      </c>
      <c r="C3746" s="2">
        <v>46257.583333333336</v>
      </c>
      <c r="D3746" t="s">
        <v>418</v>
      </c>
      <c r="E3746" t="s">
        <v>79</v>
      </c>
      <c r="F3746" t="s">
        <v>148</v>
      </c>
      <c r="G3746" t="s">
        <v>149</v>
      </c>
      <c r="H3746">
        <v>9</v>
      </c>
      <c r="I3746" t="s">
        <v>11474</v>
      </c>
      <c r="J3746" t="s">
        <v>357</v>
      </c>
    </row>
    <row r="3747" spans="1:10" x14ac:dyDescent="0.25">
      <c r="A3747" t="s">
        <v>11475</v>
      </c>
      <c r="B3747" t="s">
        <v>11476</v>
      </c>
      <c r="C3747" s="2">
        <v>46257.583333333336</v>
      </c>
      <c r="D3747" t="s">
        <v>418</v>
      </c>
      <c r="E3747" t="s">
        <v>11</v>
      </c>
      <c r="F3747" t="s">
        <v>304</v>
      </c>
      <c r="G3747" t="s">
        <v>92</v>
      </c>
      <c r="H3747">
        <v>5</v>
      </c>
      <c r="I3747" t="s">
        <v>11477</v>
      </c>
      <c r="J3747" t="s">
        <v>357</v>
      </c>
    </row>
    <row r="3748" spans="1:10" x14ac:dyDescent="0.25">
      <c r="A3748" t="s">
        <v>11478</v>
      </c>
      <c r="B3748" t="s">
        <v>11479</v>
      </c>
      <c r="C3748" s="2">
        <v>46257.583333333336</v>
      </c>
      <c r="D3748" t="s">
        <v>418</v>
      </c>
      <c r="E3748" t="s">
        <v>18</v>
      </c>
      <c r="F3748" t="s">
        <v>305</v>
      </c>
      <c r="G3748" t="s">
        <v>95</v>
      </c>
      <c r="H3748">
        <v>1</v>
      </c>
      <c r="I3748" t="s">
        <v>11480</v>
      </c>
      <c r="J3748" t="s">
        <v>357</v>
      </c>
    </row>
    <row r="3749" spans="1:10" x14ac:dyDescent="0.25">
      <c r="A3749" t="s">
        <v>11481</v>
      </c>
      <c r="B3749" t="s">
        <v>11482</v>
      </c>
      <c r="C3749" s="2">
        <v>46257.583333333336</v>
      </c>
      <c r="D3749" t="s">
        <v>418</v>
      </c>
      <c r="E3749" t="s">
        <v>22</v>
      </c>
      <c r="F3749" t="s">
        <v>307</v>
      </c>
      <c r="G3749" t="s">
        <v>99</v>
      </c>
      <c r="H3749">
        <v>1</v>
      </c>
      <c r="I3749" t="s">
        <v>11483</v>
      </c>
      <c r="J3749" t="s">
        <v>357</v>
      </c>
    </row>
    <row r="3750" spans="1:10" x14ac:dyDescent="0.25">
      <c r="A3750" t="s">
        <v>11484</v>
      </c>
      <c r="B3750" t="s">
        <v>11485</v>
      </c>
      <c r="C3750" s="2">
        <v>46257.583333333336</v>
      </c>
      <c r="D3750" t="s">
        <v>418</v>
      </c>
      <c r="E3750" t="s">
        <v>30</v>
      </c>
      <c r="F3750" t="s">
        <v>207</v>
      </c>
      <c r="G3750" t="s">
        <v>107</v>
      </c>
      <c r="H3750">
        <v>4</v>
      </c>
      <c r="I3750" t="s">
        <v>11486</v>
      </c>
      <c r="J3750" t="s">
        <v>357</v>
      </c>
    </row>
    <row r="3751" spans="1:10" x14ac:dyDescent="0.25">
      <c r="A3751" t="s">
        <v>11487</v>
      </c>
      <c r="B3751" t="s">
        <v>11488</v>
      </c>
      <c r="C3751" s="2">
        <v>46257.583333333336</v>
      </c>
      <c r="D3751" t="s">
        <v>418</v>
      </c>
      <c r="E3751" t="s">
        <v>45</v>
      </c>
      <c r="F3751" t="s">
        <v>312</v>
      </c>
      <c r="G3751" t="s">
        <v>119</v>
      </c>
      <c r="H3751">
        <v>4</v>
      </c>
      <c r="I3751" t="s">
        <v>11489</v>
      </c>
      <c r="J3751" t="s">
        <v>357</v>
      </c>
    </row>
    <row r="3752" spans="1:10" x14ac:dyDescent="0.25">
      <c r="A3752" t="s">
        <v>11490</v>
      </c>
      <c r="B3752" t="s">
        <v>11491</v>
      </c>
      <c r="C3752" s="2">
        <v>46257.583333333336</v>
      </c>
      <c r="D3752" t="s">
        <v>418</v>
      </c>
      <c r="E3752" t="s">
        <v>51</v>
      </c>
      <c r="F3752" t="s">
        <v>254</v>
      </c>
      <c r="G3752" t="s">
        <v>125</v>
      </c>
      <c r="H3752">
        <v>4</v>
      </c>
      <c r="I3752" t="s">
        <v>11492</v>
      </c>
      <c r="J3752" t="s">
        <v>357</v>
      </c>
    </row>
    <row r="3753" spans="1:10" x14ac:dyDescent="0.25">
      <c r="A3753" t="s">
        <v>11493</v>
      </c>
      <c r="B3753" t="s">
        <v>11494</v>
      </c>
      <c r="C3753" s="2">
        <v>46257.583333333336</v>
      </c>
      <c r="D3753" t="s">
        <v>418</v>
      </c>
      <c r="E3753" t="s">
        <v>55</v>
      </c>
      <c r="F3753" t="s">
        <v>298</v>
      </c>
      <c r="G3753" t="s">
        <v>129</v>
      </c>
      <c r="H3753">
        <v>5</v>
      </c>
      <c r="I3753" t="s">
        <v>11495</v>
      </c>
      <c r="J3753" t="s">
        <v>357</v>
      </c>
    </row>
    <row r="3754" spans="1:10" x14ac:dyDescent="0.25">
      <c r="A3754" t="s">
        <v>11496</v>
      </c>
      <c r="B3754" t="s">
        <v>11497</v>
      </c>
      <c r="C3754" s="2">
        <v>46257.583333333336</v>
      </c>
      <c r="D3754" t="s">
        <v>418</v>
      </c>
      <c r="E3754" t="s">
        <v>65</v>
      </c>
      <c r="F3754" t="s">
        <v>284</v>
      </c>
      <c r="G3754" t="s">
        <v>135</v>
      </c>
      <c r="H3754">
        <v>6</v>
      </c>
      <c r="I3754" t="s">
        <v>11498</v>
      </c>
      <c r="J3754" t="s">
        <v>357</v>
      </c>
    </row>
    <row r="3755" spans="1:10" x14ac:dyDescent="0.25">
      <c r="A3755" t="s">
        <v>11499</v>
      </c>
      <c r="B3755" t="s">
        <v>11500</v>
      </c>
      <c r="C3755" s="2">
        <v>46257.583333333336</v>
      </c>
      <c r="D3755" t="s">
        <v>418</v>
      </c>
      <c r="E3755" t="s">
        <v>67</v>
      </c>
      <c r="F3755" t="s">
        <v>271</v>
      </c>
      <c r="G3755" t="s">
        <v>137</v>
      </c>
      <c r="H3755">
        <v>4</v>
      </c>
      <c r="I3755" t="s">
        <v>11501</v>
      </c>
      <c r="J3755" t="s">
        <v>357</v>
      </c>
    </row>
    <row r="3756" spans="1:10" x14ac:dyDescent="0.25">
      <c r="A3756" t="s">
        <v>11502</v>
      </c>
      <c r="B3756" t="s">
        <v>11503</v>
      </c>
      <c r="C3756" s="2">
        <v>46257.583333333336</v>
      </c>
      <c r="D3756" t="s">
        <v>418</v>
      </c>
      <c r="E3756" t="s">
        <v>75</v>
      </c>
      <c r="F3756" t="s">
        <v>272</v>
      </c>
      <c r="G3756" t="s">
        <v>145</v>
      </c>
      <c r="H3756">
        <v>6</v>
      </c>
      <c r="I3756" t="s">
        <v>11504</v>
      </c>
      <c r="J3756" t="s">
        <v>357</v>
      </c>
    </row>
    <row r="3757" spans="1:10" x14ac:dyDescent="0.25">
      <c r="A3757" t="s">
        <v>11505</v>
      </c>
      <c r="B3757" t="s">
        <v>11506</v>
      </c>
      <c r="C3757" s="2">
        <v>46258.583333333336</v>
      </c>
      <c r="D3757" t="s">
        <v>418</v>
      </c>
      <c r="E3757" t="s">
        <v>22</v>
      </c>
      <c r="F3757" t="s">
        <v>307</v>
      </c>
      <c r="G3757" t="s">
        <v>99</v>
      </c>
      <c r="H3757">
        <v>2</v>
      </c>
      <c r="I3757" t="s">
        <v>11507</v>
      </c>
      <c r="J3757" t="s">
        <v>357</v>
      </c>
    </row>
    <row r="3758" spans="1:10" x14ac:dyDescent="0.25">
      <c r="A3758" t="s">
        <v>11508</v>
      </c>
      <c r="B3758" t="s">
        <v>11509</v>
      </c>
      <c r="C3758" s="2">
        <v>46258.583333333336</v>
      </c>
      <c r="D3758" t="s">
        <v>418</v>
      </c>
      <c r="E3758" t="s">
        <v>26</v>
      </c>
      <c r="F3758" t="s">
        <v>309</v>
      </c>
      <c r="G3758" t="s">
        <v>103</v>
      </c>
      <c r="H3758">
        <v>1</v>
      </c>
      <c r="I3758" t="s">
        <v>11510</v>
      </c>
      <c r="J3758" t="s">
        <v>357</v>
      </c>
    </row>
    <row r="3759" spans="1:10" x14ac:dyDescent="0.25">
      <c r="A3759" t="s">
        <v>11511</v>
      </c>
      <c r="B3759" t="s">
        <v>11512</v>
      </c>
      <c r="C3759" s="2">
        <v>46258.583333333336</v>
      </c>
      <c r="D3759" t="s">
        <v>418</v>
      </c>
      <c r="E3759" t="s">
        <v>30</v>
      </c>
      <c r="F3759" t="s">
        <v>207</v>
      </c>
      <c r="G3759" t="s">
        <v>107</v>
      </c>
      <c r="H3759">
        <v>4</v>
      </c>
      <c r="I3759" t="s">
        <v>11513</v>
      </c>
      <c r="J3759" t="s">
        <v>357</v>
      </c>
    </row>
    <row r="3760" spans="1:10" x14ac:dyDescent="0.25">
      <c r="A3760" t="s">
        <v>11514</v>
      </c>
      <c r="B3760" t="s">
        <v>11515</v>
      </c>
      <c r="C3760" s="2">
        <v>46258.583333333336</v>
      </c>
      <c r="D3760" t="s">
        <v>418</v>
      </c>
      <c r="E3760" t="s">
        <v>41</v>
      </c>
      <c r="F3760" t="s">
        <v>293</v>
      </c>
      <c r="G3760" t="s">
        <v>115</v>
      </c>
      <c r="H3760">
        <v>2</v>
      </c>
      <c r="I3760" t="s">
        <v>11516</v>
      </c>
      <c r="J3760" t="s">
        <v>357</v>
      </c>
    </row>
    <row r="3761" spans="1:10" x14ac:dyDescent="0.25">
      <c r="A3761" t="s">
        <v>11517</v>
      </c>
      <c r="B3761" t="s">
        <v>11518</v>
      </c>
      <c r="C3761" s="2">
        <v>46258.583333333336</v>
      </c>
      <c r="D3761" t="s">
        <v>418</v>
      </c>
      <c r="E3761" t="s">
        <v>47</v>
      </c>
      <c r="F3761" t="s">
        <v>282</v>
      </c>
      <c r="G3761" t="s">
        <v>121</v>
      </c>
      <c r="H3761">
        <v>2</v>
      </c>
      <c r="I3761" t="s">
        <v>11519</v>
      </c>
      <c r="J3761" t="s">
        <v>357</v>
      </c>
    </row>
    <row r="3762" spans="1:10" x14ac:dyDescent="0.25">
      <c r="A3762" t="s">
        <v>11520</v>
      </c>
      <c r="B3762" t="s">
        <v>11521</v>
      </c>
      <c r="C3762" s="2">
        <v>46258.583333333336</v>
      </c>
      <c r="D3762" t="s">
        <v>418</v>
      </c>
      <c r="E3762" t="s">
        <v>49</v>
      </c>
      <c r="F3762" t="s">
        <v>295</v>
      </c>
      <c r="G3762" t="s">
        <v>123</v>
      </c>
      <c r="H3762">
        <v>3</v>
      </c>
      <c r="I3762" t="s">
        <v>11522</v>
      </c>
      <c r="J3762" t="s">
        <v>357</v>
      </c>
    </row>
    <row r="3763" spans="1:10" x14ac:dyDescent="0.25">
      <c r="A3763" t="s">
        <v>11523</v>
      </c>
      <c r="B3763" t="s">
        <v>11524</v>
      </c>
      <c r="C3763" s="2">
        <v>46258.583333333336</v>
      </c>
      <c r="D3763" t="s">
        <v>418</v>
      </c>
      <c r="E3763" t="s">
        <v>59</v>
      </c>
      <c r="F3763" t="s">
        <v>270</v>
      </c>
      <c r="G3763" t="s">
        <v>133</v>
      </c>
      <c r="H3763">
        <v>2</v>
      </c>
      <c r="I3763" t="s">
        <v>11525</v>
      </c>
      <c r="J3763" t="s">
        <v>357</v>
      </c>
    </row>
    <row r="3764" spans="1:10" x14ac:dyDescent="0.25">
      <c r="A3764" t="s">
        <v>11526</v>
      </c>
      <c r="B3764" t="s">
        <v>11527</v>
      </c>
      <c r="C3764" s="2">
        <v>46258.583333333336</v>
      </c>
      <c r="D3764" t="s">
        <v>418</v>
      </c>
      <c r="E3764" t="s">
        <v>65</v>
      </c>
      <c r="F3764" t="s">
        <v>284</v>
      </c>
      <c r="G3764" t="s">
        <v>135</v>
      </c>
      <c r="H3764">
        <v>4</v>
      </c>
      <c r="I3764" t="s">
        <v>11528</v>
      </c>
      <c r="J3764" t="s">
        <v>357</v>
      </c>
    </row>
    <row r="3765" spans="1:10" x14ac:dyDescent="0.25">
      <c r="A3765" t="s">
        <v>11529</v>
      </c>
      <c r="B3765" t="s">
        <v>11530</v>
      </c>
      <c r="C3765" s="2">
        <v>46258.583333333336</v>
      </c>
      <c r="D3765" t="s">
        <v>418</v>
      </c>
      <c r="E3765" t="s">
        <v>11</v>
      </c>
      <c r="F3765" t="s">
        <v>304</v>
      </c>
      <c r="G3765" t="s">
        <v>92</v>
      </c>
      <c r="H3765">
        <v>1</v>
      </c>
      <c r="I3765" t="s">
        <v>11531</v>
      </c>
      <c r="J3765" t="s">
        <v>357</v>
      </c>
    </row>
    <row r="3766" spans="1:10" x14ac:dyDescent="0.25">
      <c r="A3766" t="s">
        <v>11532</v>
      </c>
      <c r="B3766" t="s">
        <v>11533</v>
      </c>
      <c r="C3766" s="2">
        <v>46258.583333333336</v>
      </c>
      <c r="D3766" t="s">
        <v>418</v>
      </c>
      <c r="E3766" t="s">
        <v>18</v>
      </c>
      <c r="F3766" t="s">
        <v>305</v>
      </c>
      <c r="G3766" t="s">
        <v>95</v>
      </c>
      <c r="H3766">
        <v>2</v>
      </c>
      <c r="I3766" t="s">
        <v>11534</v>
      </c>
      <c r="J3766" t="s">
        <v>357</v>
      </c>
    </row>
    <row r="3767" spans="1:10" x14ac:dyDescent="0.25">
      <c r="A3767" t="s">
        <v>11535</v>
      </c>
      <c r="B3767" t="s">
        <v>11536</v>
      </c>
      <c r="C3767" s="2">
        <v>46258.583333333336</v>
      </c>
      <c r="D3767" t="s">
        <v>418</v>
      </c>
      <c r="E3767" t="s">
        <v>22</v>
      </c>
      <c r="F3767" t="s">
        <v>307</v>
      </c>
      <c r="G3767" t="s">
        <v>99</v>
      </c>
      <c r="H3767">
        <v>1</v>
      </c>
      <c r="I3767" t="s">
        <v>11537</v>
      </c>
      <c r="J3767" t="s">
        <v>357</v>
      </c>
    </row>
    <row r="3768" spans="1:10" x14ac:dyDescent="0.25">
      <c r="A3768" t="s">
        <v>11538</v>
      </c>
      <c r="B3768" t="s">
        <v>11539</v>
      </c>
      <c r="C3768" s="2">
        <v>46258.583333333336</v>
      </c>
      <c r="D3768" t="s">
        <v>418</v>
      </c>
      <c r="E3768" t="s">
        <v>24</v>
      </c>
      <c r="F3768" t="s">
        <v>308</v>
      </c>
      <c r="G3768" t="s">
        <v>101</v>
      </c>
      <c r="H3768">
        <v>1</v>
      </c>
      <c r="I3768" t="s">
        <v>11540</v>
      </c>
      <c r="J3768" t="s">
        <v>357</v>
      </c>
    </row>
    <row r="3769" spans="1:10" x14ac:dyDescent="0.25">
      <c r="A3769" t="s">
        <v>11541</v>
      </c>
      <c r="B3769" t="s">
        <v>11542</v>
      </c>
      <c r="C3769" s="2">
        <v>46258.583333333336</v>
      </c>
      <c r="D3769" t="s">
        <v>418</v>
      </c>
      <c r="E3769" t="s">
        <v>28</v>
      </c>
      <c r="F3769" t="s">
        <v>236</v>
      </c>
      <c r="G3769" t="s">
        <v>105</v>
      </c>
      <c r="H3769">
        <v>4</v>
      </c>
      <c r="I3769" t="s">
        <v>11543</v>
      </c>
      <c r="J3769" t="s">
        <v>357</v>
      </c>
    </row>
    <row r="3770" spans="1:10" x14ac:dyDescent="0.25">
      <c r="A3770" t="s">
        <v>11544</v>
      </c>
      <c r="B3770" t="s">
        <v>11545</v>
      </c>
      <c r="C3770" s="2">
        <v>46258.583333333336</v>
      </c>
      <c r="D3770" t="s">
        <v>418</v>
      </c>
      <c r="E3770" t="s">
        <v>47</v>
      </c>
      <c r="F3770" t="s">
        <v>282</v>
      </c>
      <c r="G3770" t="s">
        <v>121</v>
      </c>
      <c r="H3770">
        <v>4</v>
      </c>
      <c r="I3770" t="s">
        <v>11546</v>
      </c>
      <c r="J3770" t="s">
        <v>357</v>
      </c>
    </row>
    <row r="3771" spans="1:10" x14ac:dyDescent="0.25">
      <c r="A3771" t="s">
        <v>11547</v>
      </c>
      <c r="B3771" t="s">
        <v>11548</v>
      </c>
      <c r="C3771" s="2">
        <v>46258.583333333336</v>
      </c>
      <c r="D3771" t="s">
        <v>418</v>
      </c>
      <c r="E3771" t="s">
        <v>49</v>
      </c>
      <c r="F3771" t="s">
        <v>295</v>
      </c>
      <c r="G3771" t="s">
        <v>123</v>
      </c>
      <c r="H3771">
        <v>5</v>
      </c>
      <c r="I3771" t="s">
        <v>11549</v>
      </c>
      <c r="J3771" t="s">
        <v>357</v>
      </c>
    </row>
    <row r="3772" spans="1:10" x14ac:dyDescent="0.25">
      <c r="A3772" t="s">
        <v>11550</v>
      </c>
      <c r="B3772" t="s">
        <v>11551</v>
      </c>
      <c r="C3772" s="2">
        <v>46258.583333333336</v>
      </c>
      <c r="D3772" t="s">
        <v>418</v>
      </c>
      <c r="E3772" t="s">
        <v>55</v>
      </c>
      <c r="F3772" t="s">
        <v>298</v>
      </c>
      <c r="G3772" t="s">
        <v>129</v>
      </c>
      <c r="H3772">
        <v>4</v>
      </c>
      <c r="I3772" t="s">
        <v>11552</v>
      </c>
      <c r="J3772" t="s">
        <v>357</v>
      </c>
    </row>
    <row r="3773" spans="1:10" x14ac:dyDescent="0.25">
      <c r="A3773" t="s">
        <v>11553</v>
      </c>
      <c r="B3773" t="s">
        <v>11554</v>
      </c>
      <c r="C3773" s="2">
        <v>46258.583333333336</v>
      </c>
      <c r="D3773" t="s">
        <v>418</v>
      </c>
      <c r="E3773" t="s">
        <v>57</v>
      </c>
      <c r="F3773" t="s">
        <v>299</v>
      </c>
      <c r="G3773" t="s">
        <v>131</v>
      </c>
      <c r="H3773">
        <v>1</v>
      </c>
      <c r="I3773" t="s">
        <v>11555</v>
      </c>
      <c r="J3773" t="s">
        <v>357</v>
      </c>
    </row>
    <row r="3774" spans="1:10" x14ac:dyDescent="0.25">
      <c r="A3774" t="s">
        <v>11556</v>
      </c>
      <c r="B3774" t="s">
        <v>11557</v>
      </c>
      <c r="C3774" s="2">
        <v>46258.583333333336</v>
      </c>
      <c r="D3774" t="s">
        <v>418</v>
      </c>
      <c r="E3774" t="s">
        <v>69</v>
      </c>
      <c r="F3774" t="s">
        <v>256</v>
      </c>
      <c r="G3774" t="s">
        <v>139</v>
      </c>
      <c r="H3774">
        <v>1</v>
      </c>
      <c r="I3774" t="s">
        <v>11558</v>
      </c>
      <c r="J3774" t="s">
        <v>357</v>
      </c>
    </row>
    <row r="3775" spans="1:10" x14ac:dyDescent="0.25">
      <c r="A3775" t="s">
        <v>11559</v>
      </c>
      <c r="B3775" t="s">
        <v>11560</v>
      </c>
      <c r="C3775" s="2">
        <v>46258.583333333336</v>
      </c>
      <c r="D3775" t="s">
        <v>418</v>
      </c>
      <c r="E3775" t="s">
        <v>71</v>
      </c>
      <c r="F3775" t="s">
        <v>257</v>
      </c>
      <c r="G3775" t="s">
        <v>141</v>
      </c>
      <c r="H3775">
        <v>2</v>
      </c>
      <c r="I3775" t="s">
        <v>11561</v>
      </c>
      <c r="J3775" t="s">
        <v>357</v>
      </c>
    </row>
    <row r="3776" spans="1:10" x14ac:dyDescent="0.25">
      <c r="A3776" t="s">
        <v>11562</v>
      </c>
      <c r="B3776" t="s">
        <v>11563</v>
      </c>
      <c r="C3776" s="2">
        <v>46258.583333333336</v>
      </c>
      <c r="D3776" t="s">
        <v>418</v>
      </c>
      <c r="E3776" t="s">
        <v>18</v>
      </c>
      <c r="F3776" t="s">
        <v>305</v>
      </c>
      <c r="G3776" t="s">
        <v>95</v>
      </c>
      <c r="H3776">
        <v>5</v>
      </c>
      <c r="I3776" t="s">
        <v>11564</v>
      </c>
      <c r="J3776" t="s">
        <v>357</v>
      </c>
    </row>
    <row r="3777" spans="1:10" x14ac:dyDescent="0.25">
      <c r="A3777" t="s">
        <v>11565</v>
      </c>
      <c r="B3777" t="s">
        <v>11566</v>
      </c>
      <c r="C3777" s="2">
        <v>46258.583333333336</v>
      </c>
      <c r="D3777" t="s">
        <v>418</v>
      </c>
      <c r="E3777" t="s">
        <v>20</v>
      </c>
      <c r="F3777" t="s">
        <v>306</v>
      </c>
      <c r="G3777" t="s">
        <v>97</v>
      </c>
      <c r="H3777">
        <v>5</v>
      </c>
      <c r="I3777" t="s">
        <v>11567</v>
      </c>
      <c r="J3777" t="s">
        <v>357</v>
      </c>
    </row>
    <row r="3778" spans="1:10" x14ac:dyDescent="0.25">
      <c r="A3778" t="s">
        <v>11568</v>
      </c>
      <c r="B3778" t="s">
        <v>11569</v>
      </c>
      <c r="C3778" s="2">
        <v>46258.583333333336</v>
      </c>
      <c r="D3778" t="s">
        <v>418</v>
      </c>
      <c r="E3778" t="s">
        <v>24</v>
      </c>
      <c r="F3778" t="s">
        <v>308</v>
      </c>
      <c r="G3778" t="s">
        <v>101</v>
      </c>
      <c r="H3778">
        <v>2</v>
      </c>
      <c r="I3778" t="s">
        <v>11570</v>
      </c>
      <c r="J3778" t="s">
        <v>357</v>
      </c>
    </row>
    <row r="3779" spans="1:10" x14ac:dyDescent="0.25">
      <c r="A3779" t="s">
        <v>11571</v>
      </c>
      <c r="B3779" t="s">
        <v>11572</v>
      </c>
      <c r="C3779" s="2">
        <v>46258.583333333336</v>
      </c>
      <c r="D3779" t="s">
        <v>418</v>
      </c>
      <c r="E3779" t="s">
        <v>26</v>
      </c>
      <c r="F3779" t="s">
        <v>309</v>
      </c>
      <c r="G3779" t="s">
        <v>103</v>
      </c>
      <c r="H3779">
        <v>4</v>
      </c>
      <c r="I3779" t="s">
        <v>11573</v>
      </c>
      <c r="J3779" t="s">
        <v>357</v>
      </c>
    </row>
    <row r="3780" spans="1:10" x14ac:dyDescent="0.25">
      <c r="A3780" t="s">
        <v>11574</v>
      </c>
      <c r="B3780" t="s">
        <v>11575</v>
      </c>
      <c r="C3780" s="2">
        <v>46258.583333333336</v>
      </c>
      <c r="D3780" t="s">
        <v>418</v>
      </c>
      <c r="E3780" t="s">
        <v>30</v>
      </c>
      <c r="F3780" t="s">
        <v>207</v>
      </c>
      <c r="G3780" t="s">
        <v>107</v>
      </c>
      <c r="H3780">
        <v>1</v>
      </c>
      <c r="I3780" t="s">
        <v>11576</v>
      </c>
      <c r="J3780" t="s">
        <v>357</v>
      </c>
    </row>
    <row r="3781" spans="1:10" x14ac:dyDescent="0.25">
      <c r="A3781" t="s">
        <v>11577</v>
      </c>
      <c r="B3781" t="s">
        <v>11578</v>
      </c>
      <c r="C3781" s="2">
        <v>46258.583333333336</v>
      </c>
      <c r="D3781" t="s">
        <v>418</v>
      </c>
      <c r="E3781" t="s">
        <v>47</v>
      </c>
      <c r="F3781" t="s">
        <v>282</v>
      </c>
      <c r="G3781" t="s">
        <v>121</v>
      </c>
      <c r="H3781">
        <v>1</v>
      </c>
      <c r="I3781" t="s">
        <v>11579</v>
      </c>
      <c r="J3781" t="s">
        <v>357</v>
      </c>
    </row>
    <row r="3782" spans="1:10" x14ac:dyDescent="0.25">
      <c r="A3782" t="s">
        <v>11580</v>
      </c>
      <c r="B3782" t="s">
        <v>11581</v>
      </c>
      <c r="C3782" s="2">
        <v>46258.583333333336</v>
      </c>
      <c r="D3782" t="s">
        <v>418</v>
      </c>
      <c r="E3782" t="s">
        <v>57</v>
      </c>
      <c r="F3782" t="s">
        <v>299</v>
      </c>
      <c r="G3782" t="s">
        <v>131</v>
      </c>
      <c r="H3782">
        <v>2</v>
      </c>
      <c r="I3782" t="s">
        <v>11582</v>
      </c>
      <c r="J3782" t="s">
        <v>357</v>
      </c>
    </row>
    <row r="3783" spans="1:10" x14ac:dyDescent="0.25">
      <c r="A3783" t="s">
        <v>11583</v>
      </c>
      <c r="B3783" t="s">
        <v>11584</v>
      </c>
      <c r="C3783" s="2">
        <v>46258.583333333336</v>
      </c>
      <c r="D3783" t="s">
        <v>418</v>
      </c>
      <c r="E3783" t="s">
        <v>59</v>
      </c>
      <c r="F3783" t="s">
        <v>270</v>
      </c>
      <c r="G3783" t="s">
        <v>133</v>
      </c>
      <c r="H3783">
        <v>3</v>
      </c>
      <c r="I3783" t="s">
        <v>11585</v>
      </c>
      <c r="J3783" t="s">
        <v>357</v>
      </c>
    </row>
    <row r="3784" spans="1:10" x14ac:dyDescent="0.25">
      <c r="A3784" t="s">
        <v>11586</v>
      </c>
      <c r="B3784" t="s">
        <v>11587</v>
      </c>
      <c r="C3784" s="2">
        <v>46258.583333333336</v>
      </c>
      <c r="D3784" t="s">
        <v>418</v>
      </c>
      <c r="E3784" t="s">
        <v>59</v>
      </c>
      <c r="F3784" t="s">
        <v>283</v>
      </c>
      <c r="G3784" t="s">
        <v>133</v>
      </c>
      <c r="H3784">
        <v>1</v>
      </c>
      <c r="I3784" t="s">
        <v>11585</v>
      </c>
      <c r="J3784" t="s">
        <v>357</v>
      </c>
    </row>
    <row r="3785" spans="1:10" x14ac:dyDescent="0.25">
      <c r="A3785" t="s">
        <v>11588</v>
      </c>
      <c r="B3785" t="s">
        <v>11589</v>
      </c>
      <c r="C3785" s="2">
        <v>46258.583333333336</v>
      </c>
      <c r="D3785" t="s">
        <v>418</v>
      </c>
      <c r="E3785" t="s">
        <v>77</v>
      </c>
      <c r="F3785" t="s">
        <v>273</v>
      </c>
      <c r="G3785" t="s">
        <v>147</v>
      </c>
      <c r="H3785">
        <v>2</v>
      </c>
      <c r="I3785" t="s">
        <v>11590</v>
      </c>
      <c r="J3785" t="s">
        <v>357</v>
      </c>
    </row>
    <row r="3786" spans="1:10" x14ac:dyDescent="0.25">
      <c r="A3786" t="s">
        <v>11591</v>
      </c>
      <c r="B3786" t="s">
        <v>11592</v>
      </c>
      <c r="C3786" s="2">
        <v>46258.583333333336</v>
      </c>
      <c r="D3786" t="s">
        <v>418</v>
      </c>
      <c r="E3786" t="s">
        <v>11</v>
      </c>
      <c r="F3786" t="s">
        <v>304</v>
      </c>
      <c r="G3786" t="s">
        <v>92</v>
      </c>
      <c r="H3786">
        <v>4</v>
      </c>
      <c r="I3786" t="s">
        <v>11593</v>
      </c>
      <c r="J3786" t="s">
        <v>357</v>
      </c>
    </row>
    <row r="3787" spans="1:10" x14ac:dyDescent="0.25">
      <c r="A3787" t="s">
        <v>11594</v>
      </c>
      <c r="B3787" t="s">
        <v>11595</v>
      </c>
      <c r="C3787" s="2">
        <v>46258.583333333336</v>
      </c>
      <c r="D3787" t="s">
        <v>418</v>
      </c>
      <c r="E3787" t="s">
        <v>22</v>
      </c>
      <c r="F3787" t="s">
        <v>307</v>
      </c>
      <c r="G3787" t="s">
        <v>99</v>
      </c>
      <c r="H3787">
        <v>3</v>
      </c>
      <c r="I3787" t="s">
        <v>11596</v>
      </c>
      <c r="J3787" t="s">
        <v>357</v>
      </c>
    </row>
    <row r="3788" spans="1:10" x14ac:dyDescent="0.25">
      <c r="A3788" t="s">
        <v>11597</v>
      </c>
      <c r="B3788" t="s">
        <v>11598</v>
      </c>
      <c r="C3788" s="2">
        <v>46258.583333333336</v>
      </c>
      <c r="D3788" t="s">
        <v>418</v>
      </c>
      <c r="E3788" t="s">
        <v>24</v>
      </c>
      <c r="F3788" t="s">
        <v>308</v>
      </c>
      <c r="G3788" t="s">
        <v>101</v>
      </c>
      <c r="H3788">
        <v>3</v>
      </c>
      <c r="I3788" t="s">
        <v>11599</v>
      </c>
      <c r="J3788" t="s">
        <v>357</v>
      </c>
    </row>
    <row r="3789" spans="1:10" x14ac:dyDescent="0.25">
      <c r="A3789" t="s">
        <v>11600</v>
      </c>
      <c r="B3789" t="s">
        <v>11601</v>
      </c>
      <c r="C3789" s="2">
        <v>46258.583333333336</v>
      </c>
      <c r="D3789" t="s">
        <v>418</v>
      </c>
      <c r="E3789" t="s">
        <v>32</v>
      </c>
      <c r="F3789" t="s">
        <v>311</v>
      </c>
      <c r="G3789" t="s">
        <v>109</v>
      </c>
      <c r="H3789">
        <v>7</v>
      </c>
      <c r="I3789" t="s">
        <v>11602</v>
      </c>
      <c r="J3789" t="s">
        <v>357</v>
      </c>
    </row>
    <row r="3790" spans="1:10" x14ac:dyDescent="0.25">
      <c r="A3790" t="s">
        <v>11603</v>
      </c>
      <c r="B3790" t="s">
        <v>11604</v>
      </c>
      <c r="C3790" s="2">
        <v>46258.583333333336</v>
      </c>
      <c r="D3790" t="s">
        <v>418</v>
      </c>
      <c r="E3790" t="s">
        <v>36</v>
      </c>
      <c r="F3790" t="s">
        <v>187</v>
      </c>
      <c r="G3790" t="s">
        <v>113</v>
      </c>
      <c r="H3790">
        <v>4</v>
      </c>
      <c r="I3790" t="s">
        <v>11605</v>
      </c>
      <c r="J3790" t="s">
        <v>357</v>
      </c>
    </row>
    <row r="3791" spans="1:10" x14ac:dyDescent="0.25">
      <c r="A3791" t="s">
        <v>11606</v>
      </c>
      <c r="B3791" t="s">
        <v>11607</v>
      </c>
      <c r="C3791" s="2">
        <v>46258.583333333336</v>
      </c>
      <c r="D3791" t="s">
        <v>418</v>
      </c>
      <c r="E3791" t="s">
        <v>45</v>
      </c>
      <c r="F3791" t="s">
        <v>312</v>
      </c>
      <c r="G3791" t="s">
        <v>119</v>
      </c>
      <c r="H3791">
        <v>4</v>
      </c>
      <c r="I3791" t="s">
        <v>11608</v>
      </c>
      <c r="J3791" t="s">
        <v>357</v>
      </c>
    </row>
    <row r="3792" spans="1:10" x14ac:dyDescent="0.25">
      <c r="A3792" t="s">
        <v>11609</v>
      </c>
      <c r="B3792" t="s">
        <v>11610</v>
      </c>
      <c r="C3792" s="2">
        <v>46258.583333333336</v>
      </c>
      <c r="D3792" t="s">
        <v>418</v>
      </c>
      <c r="E3792" t="s">
        <v>51</v>
      </c>
      <c r="F3792" t="s">
        <v>254</v>
      </c>
      <c r="G3792" t="s">
        <v>125</v>
      </c>
      <c r="H3792">
        <v>1</v>
      </c>
      <c r="I3792" t="s">
        <v>11611</v>
      </c>
      <c r="J3792" t="s">
        <v>357</v>
      </c>
    </row>
    <row r="3793" spans="1:10" x14ac:dyDescent="0.25">
      <c r="A3793" t="s">
        <v>11612</v>
      </c>
      <c r="B3793" t="s">
        <v>11613</v>
      </c>
      <c r="C3793" s="2">
        <v>46258.583333333336</v>
      </c>
      <c r="D3793" t="s">
        <v>418</v>
      </c>
      <c r="E3793" t="s">
        <v>73</v>
      </c>
      <c r="F3793" t="s">
        <v>258</v>
      </c>
      <c r="G3793" t="s">
        <v>143</v>
      </c>
      <c r="H3793">
        <v>1</v>
      </c>
      <c r="I3793" t="s">
        <v>11614</v>
      </c>
      <c r="J3793" t="s">
        <v>357</v>
      </c>
    </row>
    <row r="3794" spans="1:10" x14ac:dyDescent="0.25">
      <c r="A3794" t="s">
        <v>11615</v>
      </c>
      <c r="B3794" t="s">
        <v>11616</v>
      </c>
      <c r="C3794" s="2">
        <v>46258.583333333336</v>
      </c>
      <c r="D3794" t="s">
        <v>418</v>
      </c>
      <c r="E3794" t="s">
        <v>18</v>
      </c>
      <c r="F3794" t="s">
        <v>305</v>
      </c>
      <c r="G3794" t="s">
        <v>95</v>
      </c>
      <c r="H3794">
        <v>2</v>
      </c>
      <c r="I3794" t="s">
        <v>11617</v>
      </c>
      <c r="J3794" t="s">
        <v>357</v>
      </c>
    </row>
    <row r="3795" spans="1:10" x14ac:dyDescent="0.25">
      <c r="A3795" t="s">
        <v>11618</v>
      </c>
      <c r="B3795" t="s">
        <v>11619</v>
      </c>
      <c r="C3795" s="2">
        <v>46258.583333333336</v>
      </c>
      <c r="D3795" t="s">
        <v>418</v>
      </c>
      <c r="E3795" t="s">
        <v>20</v>
      </c>
      <c r="F3795" t="s">
        <v>306</v>
      </c>
      <c r="G3795" t="s">
        <v>97</v>
      </c>
      <c r="H3795">
        <v>2</v>
      </c>
      <c r="I3795" t="s">
        <v>11620</v>
      </c>
      <c r="J3795" t="s">
        <v>357</v>
      </c>
    </row>
    <row r="3796" spans="1:10" x14ac:dyDescent="0.25">
      <c r="A3796" t="s">
        <v>11621</v>
      </c>
      <c r="B3796" t="s">
        <v>11622</v>
      </c>
      <c r="C3796" s="2">
        <v>46258.583333333336</v>
      </c>
      <c r="D3796" t="s">
        <v>418</v>
      </c>
      <c r="E3796" t="s">
        <v>45</v>
      </c>
      <c r="F3796" t="s">
        <v>312</v>
      </c>
      <c r="G3796" t="s">
        <v>119</v>
      </c>
      <c r="H3796">
        <v>3</v>
      </c>
      <c r="I3796" t="s">
        <v>11623</v>
      </c>
      <c r="J3796" t="s">
        <v>357</v>
      </c>
    </row>
    <row r="3797" spans="1:10" x14ac:dyDescent="0.25">
      <c r="A3797" t="s">
        <v>11624</v>
      </c>
      <c r="B3797" t="s">
        <v>11625</v>
      </c>
      <c r="C3797" s="2">
        <v>46258.583333333336</v>
      </c>
      <c r="D3797" t="s">
        <v>418</v>
      </c>
      <c r="E3797" t="s">
        <v>49</v>
      </c>
      <c r="F3797" t="s">
        <v>295</v>
      </c>
      <c r="G3797" t="s">
        <v>123</v>
      </c>
      <c r="H3797">
        <v>4</v>
      </c>
      <c r="I3797" t="s">
        <v>11626</v>
      </c>
      <c r="J3797" t="s">
        <v>357</v>
      </c>
    </row>
    <row r="3798" spans="1:10" x14ac:dyDescent="0.25">
      <c r="A3798" t="s">
        <v>11627</v>
      </c>
      <c r="B3798" t="s">
        <v>11628</v>
      </c>
      <c r="C3798" s="2">
        <v>46258.583333333336</v>
      </c>
      <c r="D3798" t="s">
        <v>418</v>
      </c>
      <c r="E3798" t="s">
        <v>57</v>
      </c>
      <c r="F3798" t="s">
        <v>299</v>
      </c>
      <c r="G3798" t="s">
        <v>131</v>
      </c>
      <c r="H3798">
        <v>3</v>
      </c>
      <c r="I3798" t="s">
        <v>11629</v>
      </c>
      <c r="J3798" t="s">
        <v>357</v>
      </c>
    </row>
    <row r="3799" spans="1:10" x14ac:dyDescent="0.25">
      <c r="A3799" t="s">
        <v>11630</v>
      </c>
      <c r="B3799" t="s">
        <v>11631</v>
      </c>
      <c r="C3799" s="2">
        <v>46258.583333333336</v>
      </c>
      <c r="D3799" t="s">
        <v>418</v>
      </c>
      <c r="E3799" t="s">
        <v>77</v>
      </c>
      <c r="F3799" t="s">
        <v>273</v>
      </c>
      <c r="G3799" t="s">
        <v>147</v>
      </c>
      <c r="H3799">
        <v>4</v>
      </c>
      <c r="I3799" t="s">
        <v>11632</v>
      </c>
      <c r="J3799" t="s">
        <v>357</v>
      </c>
    </row>
    <row r="3800" spans="1:10" x14ac:dyDescent="0.25">
      <c r="A3800" t="s">
        <v>11633</v>
      </c>
      <c r="B3800" t="s">
        <v>11634</v>
      </c>
      <c r="C3800" s="2">
        <v>46259.333333333336</v>
      </c>
      <c r="D3800" t="s">
        <v>1412</v>
      </c>
      <c r="E3800" t="s">
        <v>11</v>
      </c>
      <c r="F3800" t="s">
        <v>316</v>
      </c>
      <c r="G3800" t="s">
        <v>92</v>
      </c>
      <c r="H3800">
        <v>90</v>
      </c>
      <c r="I3800" t="s">
        <v>357</v>
      </c>
      <c r="J3800" t="s">
        <v>11635</v>
      </c>
    </row>
    <row r="3801" spans="1:10" x14ac:dyDescent="0.25">
      <c r="A3801" t="s">
        <v>11636</v>
      </c>
      <c r="B3801" t="s">
        <v>11637</v>
      </c>
      <c r="C3801" s="2">
        <v>46259.333333333336</v>
      </c>
      <c r="D3801" t="s">
        <v>1412</v>
      </c>
      <c r="E3801" t="s">
        <v>20</v>
      </c>
      <c r="F3801" t="s">
        <v>317</v>
      </c>
      <c r="G3801" t="s">
        <v>97</v>
      </c>
      <c r="H3801">
        <v>73</v>
      </c>
      <c r="I3801" t="s">
        <v>357</v>
      </c>
      <c r="J3801" t="s">
        <v>11638</v>
      </c>
    </row>
    <row r="3802" spans="1:10" x14ac:dyDescent="0.25">
      <c r="A3802" t="s">
        <v>11639</v>
      </c>
      <c r="B3802" t="s">
        <v>11640</v>
      </c>
      <c r="C3802" s="2">
        <v>46259.333333333336</v>
      </c>
      <c r="D3802" t="s">
        <v>1412</v>
      </c>
      <c r="E3802" t="s">
        <v>22</v>
      </c>
      <c r="F3802" t="s">
        <v>318</v>
      </c>
      <c r="G3802" t="s">
        <v>99</v>
      </c>
      <c r="H3802">
        <v>69</v>
      </c>
      <c r="I3802" t="s">
        <v>357</v>
      </c>
      <c r="J3802" t="s">
        <v>11641</v>
      </c>
    </row>
    <row r="3803" spans="1:10" x14ac:dyDescent="0.25">
      <c r="A3803" t="s">
        <v>11642</v>
      </c>
      <c r="B3803" t="s">
        <v>11643</v>
      </c>
      <c r="C3803" s="2">
        <v>46259.333333333336</v>
      </c>
      <c r="D3803" t="s">
        <v>1412</v>
      </c>
      <c r="E3803" t="s">
        <v>24</v>
      </c>
      <c r="F3803" t="s">
        <v>319</v>
      </c>
      <c r="G3803" t="s">
        <v>101</v>
      </c>
      <c r="H3803">
        <v>75</v>
      </c>
      <c r="I3803" t="s">
        <v>357</v>
      </c>
      <c r="J3803" t="s">
        <v>11644</v>
      </c>
    </row>
    <row r="3804" spans="1:10" x14ac:dyDescent="0.25">
      <c r="A3804" t="s">
        <v>11645</v>
      </c>
      <c r="B3804" t="s">
        <v>11646</v>
      </c>
      <c r="C3804" s="2">
        <v>46259.333333333336</v>
      </c>
      <c r="D3804" t="s">
        <v>1412</v>
      </c>
      <c r="E3804" t="s">
        <v>26</v>
      </c>
      <c r="F3804" t="s">
        <v>320</v>
      </c>
      <c r="G3804" t="s">
        <v>103</v>
      </c>
      <c r="H3804">
        <v>96</v>
      </c>
      <c r="I3804" t="s">
        <v>357</v>
      </c>
      <c r="J3804" t="s">
        <v>11647</v>
      </c>
    </row>
    <row r="3805" spans="1:10" x14ac:dyDescent="0.25">
      <c r="A3805" t="s">
        <v>11648</v>
      </c>
      <c r="B3805" t="s">
        <v>11649</v>
      </c>
      <c r="C3805" s="2">
        <v>46259.333333333336</v>
      </c>
      <c r="D3805" t="s">
        <v>1412</v>
      </c>
      <c r="E3805" t="s">
        <v>36</v>
      </c>
      <c r="F3805" t="s">
        <v>321</v>
      </c>
      <c r="G3805" t="s">
        <v>113</v>
      </c>
      <c r="H3805">
        <v>88</v>
      </c>
      <c r="I3805" t="s">
        <v>357</v>
      </c>
      <c r="J3805" t="s">
        <v>11650</v>
      </c>
    </row>
    <row r="3806" spans="1:10" x14ac:dyDescent="0.25">
      <c r="A3806" t="s">
        <v>11651</v>
      </c>
      <c r="B3806" t="s">
        <v>11652</v>
      </c>
      <c r="C3806" s="2">
        <v>46259.333333333336</v>
      </c>
      <c r="D3806" t="s">
        <v>1412</v>
      </c>
      <c r="E3806" t="s">
        <v>47</v>
      </c>
      <c r="F3806" t="s">
        <v>322</v>
      </c>
      <c r="G3806" t="s">
        <v>121</v>
      </c>
      <c r="H3806">
        <v>63</v>
      </c>
      <c r="I3806" t="s">
        <v>357</v>
      </c>
      <c r="J3806" t="s">
        <v>11653</v>
      </c>
    </row>
    <row r="3807" spans="1:10" x14ac:dyDescent="0.25">
      <c r="A3807" t="s">
        <v>11654</v>
      </c>
      <c r="B3807" t="s">
        <v>11655</v>
      </c>
      <c r="C3807" s="2">
        <v>46259.333333333336</v>
      </c>
      <c r="D3807" t="s">
        <v>1412</v>
      </c>
      <c r="E3807" t="s">
        <v>51</v>
      </c>
      <c r="F3807" t="s">
        <v>323</v>
      </c>
      <c r="G3807" t="s">
        <v>125</v>
      </c>
      <c r="H3807">
        <v>65</v>
      </c>
      <c r="I3807" t="s">
        <v>357</v>
      </c>
      <c r="J3807" t="s">
        <v>11656</v>
      </c>
    </row>
    <row r="3808" spans="1:10" x14ac:dyDescent="0.25">
      <c r="A3808" t="s">
        <v>11657</v>
      </c>
      <c r="B3808" t="s">
        <v>11658</v>
      </c>
      <c r="C3808" s="2">
        <v>46259.333333333336</v>
      </c>
      <c r="D3808" t="s">
        <v>1412</v>
      </c>
      <c r="E3808" t="s">
        <v>53</v>
      </c>
      <c r="F3808" t="s">
        <v>324</v>
      </c>
      <c r="G3808" t="s">
        <v>127</v>
      </c>
      <c r="H3808">
        <v>87</v>
      </c>
      <c r="I3808" t="s">
        <v>357</v>
      </c>
      <c r="J3808" t="s">
        <v>11659</v>
      </c>
    </row>
    <row r="3809" spans="1:10" x14ac:dyDescent="0.25">
      <c r="A3809" t="s">
        <v>11660</v>
      </c>
      <c r="B3809" t="s">
        <v>11661</v>
      </c>
      <c r="C3809" s="2">
        <v>46259.333333333336</v>
      </c>
      <c r="D3809" t="s">
        <v>1412</v>
      </c>
      <c r="E3809" t="s">
        <v>55</v>
      </c>
      <c r="F3809" t="s">
        <v>325</v>
      </c>
      <c r="G3809" t="s">
        <v>129</v>
      </c>
      <c r="H3809">
        <v>68</v>
      </c>
      <c r="I3809" t="s">
        <v>357</v>
      </c>
      <c r="J3809" t="s">
        <v>11662</v>
      </c>
    </row>
    <row r="3810" spans="1:10" x14ac:dyDescent="0.25">
      <c r="A3810" t="s">
        <v>11663</v>
      </c>
      <c r="B3810" t="s">
        <v>11664</v>
      </c>
      <c r="C3810" s="2">
        <v>46259.333333333336</v>
      </c>
      <c r="D3810" t="s">
        <v>1412</v>
      </c>
      <c r="E3810" t="s">
        <v>59</v>
      </c>
      <c r="F3810" t="s">
        <v>326</v>
      </c>
      <c r="G3810" t="s">
        <v>133</v>
      </c>
      <c r="H3810">
        <v>69</v>
      </c>
      <c r="I3810" t="s">
        <v>357</v>
      </c>
      <c r="J3810" t="s">
        <v>11665</v>
      </c>
    </row>
    <row r="3811" spans="1:10" x14ac:dyDescent="0.25">
      <c r="A3811" t="s">
        <v>11666</v>
      </c>
      <c r="B3811" t="s">
        <v>11667</v>
      </c>
      <c r="C3811" s="2">
        <v>46259.333333333336</v>
      </c>
      <c r="D3811" t="s">
        <v>1412</v>
      </c>
      <c r="E3811" t="s">
        <v>65</v>
      </c>
      <c r="F3811" t="s">
        <v>327</v>
      </c>
      <c r="G3811" t="s">
        <v>135</v>
      </c>
      <c r="H3811">
        <v>94</v>
      </c>
      <c r="I3811" t="s">
        <v>357</v>
      </c>
      <c r="J3811" t="s">
        <v>11668</v>
      </c>
    </row>
    <row r="3812" spans="1:10" x14ac:dyDescent="0.25">
      <c r="A3812" t="s">
        <v>11669</v>
      </c>
      <c r="B3812" t="s">
        <v>11670</v>
      </c>
      <c r="C3812" s="2">
        <v>46259.333333333336</v>
      </c>
      <c r="D3812" t="s">
        <v>1412</v>
      </c>
      <c r="E3812" t="s">
        <v>67</v>
      </c>
      <c r="F3812" t="s">
        <v>328</v>
      </c>
      <c r="G3812" t="s">
        <v>137</v>
      </c>
      <c r="H3812">
        <v>87</v>
      </c>
      <c r="I3812" t="s">
        <v>357</v>
      </c>
      <c r="J3812" t="s">
        <v>11671</v>
      </c>
    </row>
    <row r="3813" spans="1:10" x14ac:dyDescent="0.25">
      <c r="A3813" t="s">
        <v>11672</v>
      </c>
      <c r="B3813" t="s">
        <v>11673</v>
      </c>
      <c r="C3813" s="2">
        <v>46259.333333333336</v>
      </c>
      <c r="D3813" t="s">
        <v>1412</v>
      </c>
      <c r="E3813" t="s">
        <v>71</v>
      </c>
      <c r="F3813" t="s">
        <v>329</v>
      </c>
      <c r="G3813" t="s">
        <v>141</v>
      </c>
      <c r="H3813">
        <v>61</v>
      </c>
      <c r="I3813" t="s">
        <v>357</v>
      </c>
      <c r="J3813" t="s">
        <v>11674</v>
      </c>
    </row>
    <row r="3814" spans="1:10" x14ac:dyDescent="0.25">
      <c r="A3814" t="s">
        <v>11675</v>
      </c>
      <c r="B3814" t="s">
        <v>11676</v>
      </c>
      <c r="C3814" s="2">
        <v>46259.583333333336</v>
      </c>
      <c r="D3814" t="s">
        <v>418</v>
      </c>
      <c r="E3814" t="s">
        <v>11</v>
      </c>
      <c r="F3814" t="s">
        <v>304</v>
      </c>
      <c r="G3814" t="s">
        <v>92</v>
      </c>
      <c r="H3814">
        <v>2</v>
      </c>
      <c r="I3814" t="s">
        <v>11677</v>
      </c>
      <c r="J3814" t="s">
        <v>357</v>
      </c>
    </row>
    <row r="3815" spans="1:10" x14ac:dyDescent="0.25">
      <c r="A3815" t="s">
        <v>11678</v>
      </c>
      <c r="B3815" t="s">
        <v>11679</v>
      </c>
      <c r="C3815" s="2">
        <v>46259.583333333336</v>
      </c>
      <c r="D3815" t="s">
        <v>418</v>
      </c>
      <c r="E3815" t="s">
        <v>18</v>
      </c>
      <c r="F3815" t="s">
        <v>305</v>
      </c>
      <c r="G3815" t="s">
        <v>95</v>
      </c>
      <c r="H3815">
        <v>2</v>
      </c>
      <c r="I3815" t="s">
        <v>11680</v>
      </c>
      <c r="J3815" t="s">
        <v>357</v>
      </c>
    </row>
    <row r="3816" spans="1:10" x14ac:dyDescent="0.25">
      <c r="A3816" t="s">
        <v>11681</v>
      </c>
      <c r="B3816" t="s">
        <v>11682</v>
      </c>
      <c r="C3816" s="2">
        <v>46259.583333333336</v>
      </c>
      <c r="D3816" t="s">
        <v>418</v>
      </c>
      <c r="E3816" t="s">
        <v>20</v>
      </c>
      <c r="F3816" t="s">
        <v>306</v>
      </c>
      <c r="G3816" t="s">
        <v>97</v>
      </c>
      <c r="H3816">
        <v>4</v>
      </c>
      <c r="I3816" t="s">
        <v>11683</v>
      </c>
      <c r="J3816" t="s">
        <v>357</v>
      </c>
    </row>
    <row r="3817" spans="1:10" x14ac:dyDescent="0.25">
      <c r="A3817" t="s">
        <v>11684</v>
      </c>
      <c r="B3817" t="s">
        <v>11685</v>
      </c>
      <c r="C3817" s="2">
        <v>46259.583333333336</v>
      </c>
      <c r="D3817" t="s">
        <v>418</v>
      </c>
      <c r="E3817" t="s">
        <v>22</v>
      </c>
      <c r="F3817" t="s">
        <v>318</v>
      </c>
      <c r="G3817" t="s">
        <v>99</v>
      </c>
      <c r="H3817">
        <v>3</v>
      </c>
      <c r="I3817" t="s">
        <v>11686</v>
      </c>
      <c r="J3817" t="s">
        <v>357</v>
      </c>
    </row>
    <row r="3818" spans="1:10" x14ac:dyDescent="0.25">
      <c r="A3818" t="s">
        <v>11687</v>
      </c>
      <c r="B3818" t="s">
        <v>11688</v>
      </c>
      <c r="C3818" s="2">
        <v>46259.583333333336</v>
      </c>
      <c r="D3818" t="s">
        <v>418</v>
      </c>
      <c r="E3818" t="s">
        <v>41</v>
      </c>
      <c r="F3818" t="s">
        <v>293</v>
      </c>
      <c r="G3818" t="s">
        <v>115</v>
      </c>
      <c r="H3818">
        <v>3</v>
      </c>
      <c r="I3818" t="s">
        <v>11689</v>
      </c>
      <c r="J3818" t="s">
        <v>357</v>
      </c>
    </row>
    <row r="3819" spans="1:10" x14ac:dyDescent="0.25">
      <c r="A3819" t="s">
        <v>11690</v>
      </c>
      <c r="B3819" t="s">
        <v>11691</v>
      </c>
      <c r="C3819" s="2">
        <v>46259.583333333336</v>
      </c>
      <c r="D3819" t="s">
        <v>418</v>
      </c>
      <c r="E3819" t="s">
        <v>55</v>
      </c>
      <c r="F3819" t="s">
        <v>298</v>
      </c>
      <c r="G3819" t="s">
        <v>129</v>
      </c>
      <c r="H3819">
        <v>2</v>
      </c>
      <c r="I3819" t="s">
        <v>11692</v>
      </c>
      <c r="J3819" t="s">
        <v>357</v>
      </c>
    </row>
    <row r="3820" spans="1:10" x14ac:dyDescent="0.25">
      <c r="A3820" t="s">
        <v>11693</v>
      </c>
      <c r="B3820" t="s">
        <v>11694</v>
      </c>
      <c r="C3820" s="2">
        <v>46259.583333333336</v>
      </c>
      <c r="D3820" t="s">
        <v>418</v>
      </c>
      <c r="E3820" t="s">
        <v>55</v>
      </c>
      <c r="F3820" t="s">
        <v>240</v>
      </c>
      <c r="G3820" t="s">
        <v>129</v>
      </c>
      <c r="H3820">
        <v>2</v>
      </c>
      <c r="I3820" t="s">
        <v>11692</v>
      </c>
      <c r="J3820" t="s">
        <v>357</v>
      </c>
    </row>
    <row r="3821" spans="1:10" x14ac:dyDescent="0.25">
      <c r="A3821" t="s">
        <v>11695</v>
      </c>
      <c r="B3821" t="s">
        <v>11696</v>
      </c>
      <c r="C3821" s="2">
        <v>46259.583333333336</v>
      </c>
      <c r="D3821" t="s">
        <v>418</v>
      </c>
      <c r="E3821" t="s">
        <v>11</v>
      </c>
      <c r="F3821" t="s">
        <v>304</v>
      </c>
      <c r="G3821" t="s">
        <v>92</v>
      </c>
      <c r="H3821">
        <v>3</v>
      </c>
      <c r="I3821" t="s">
        <v>11697</v>
      </c>
      <c r="J3821" t="s">
        <v>357</v>
      </c>
    </row>
    <row r="3822" spans="1:10" x14ac:dyDescent="0.25">
      <c r="A3822" t="s">
        <v>11698</v>
      </c>
      <c r="B3822" t="s">
        <v>11699</v>
      </c>
      <c r="C3822" s="2">
        <v>46259.583333333336</v>
      </c>
      <c r="D3822" t="s">
        <v>418</v>
      </c>
      <c r="E3822" t="s">
        <v>18</v>
      </c>
      <c r="F3822" t="s">
        <v>305</v>
      </c>
      <c r="G3822" t="s">
        <v>95</v>
      </c>
      <c r="H3822">
        <v>3</v>
      </c>
      <c r="I3822" t="s">
        <v>11700</v>
      </c>
      <c r="J3822" t="s">
        <v>357</v>
      </c>
    </row>
    <row r="3823" spans="1:10" x14ac:dyDescent="0.25">
      <c r="A3823" t="s">
        <v>11701</v>
      </c>
      <c r="B3823" t="s">
        <v>11702</v>
      </c>
      <c r="C3823" s="2">
        <v>46259.583333333336</v>
      </c>
      <c r="D3823" t="s">
        <v>418</v>
      </c>
      <c r="E3823" t="s">
        <v>20</v>
      </c>
      <c r="F3823" t="s">
        <v>306</v>
      </c>
      <c r="G3823" t="s">
        <v>97</v>
      </c>
      <c r="H3823">
        <v>2</v>
      </c>
      <c r="I3823" t="s">
        <v>11703</v>
      </c>
      <c r="J3823" t="s">
        <v>357</v>
      </c>
    </row>
    <row r="3824" spans="1:10" x14ac:dyDescent="0.25">
      <c r="A3824" t="s">
        <v>11704</v>
      </c>
      <c r="B3824" t="s">
        <v>11705</v>
      </c>
      <c r="C3824" s="2">
        <v>46259.583333333336</v>
      </c>
      <c r="D3824" t="s">
        <v>418</v>
      </c>
      <c r="E3824" t="s">
        <v>22</v>
      </c>
      <c r="F3824" t="s">
        <v>318</v>
      </c>
      <c r="G3824" t="s">
        <v>99</v>
      </c>
      <c r="H3824">
        <v>4</v>
      </c>
      <c r="I3824" t="s">
        <v>11706</v>
      </c>
      <c r="J3824" t="s">
        <v>357</v>
      </c>
    </row>
    <row r="3825" spans="1:10" x14ac:dyDescent="0.25">
      <c r="A3825" t="s">
        <v>11707</v>
      </c>
      <c r="B3825" t="s">
        <v>11708</v>
      </c>
      <c r="C3825" s="2">
        <v>46259.583333333336</v>
      </c>
      <c r="D3825" t="s">
        <v>418</v>
      </c>
      <c r="E3825" t="s">
        <v>26</v>
      </c>
      <c r="F3825" t="s">
        <v>309</v>
      </c>
      <c r="G3825" t="s">
        <v>103</v>
      </c>
      <c r="H3825">
        <v>2</v>
      </c>
      <c r="I3825" t="s">
        <v>11709</v>
      </c>
      <c r="J3825" t="s">
        <v>357</v>
      </c>
    </row>
    <row r="3826" spans="1:10" x14ac:dyDescent="0.25">
      <c r="A3826" t="s">
        <v>11710</v>
      </c>
      <c r="B3826" t="s">
        <v>11711</v>
      </c>
      <c r="C3826" s="2">
        <v>46259.583333333336</v>
      </c>
      <c r="D3826" t="s">
        <v>418</v>
      </c>
      <c r="E3826" t="s">
        <v>26</v>
      </c>
      <c r="F3826" t="s">
        <v>320</v>
      </c>
      <c r="G3826" t="s">
        <v>103</v>
      </c>
      <c r="H3826">
        <v>3</v>
      </c>
      <c r="I3826" t="s">
        <v>11709</v>
      </c>
      <c r="J3826" t="s">
        <v>357</v>
      </c>
    </row>
    <row r="3827" spans="1:10" x14ac:dyDescent="0.25">
      <c r="A3827" t="s">
        <v>11712</v>
      </c>
      <c r="B3827" t="s">
        <v>11713</v>
      </c>
      <c r="C3827" s="2">
        <v>46259.583333333336</v>
      </c>
      <c r="D3827" t="s">
        <v>418</v>
      </c>
      <c r="E3827" t="s">
        <v>32</v>
      </c>
      <c r="F3827" t="s">
        <v>311</v>
      </c>
      <c r="G3827" t="s">
        <v>109</v>
      </c>
      <c r="H3827">
        <v>1</v>
      </c>
      <c r="I3827" t="s">
        <v>11714</v>
      </c>
      <c r="J3827" t="s">
        <v>357</v>
      </c>
    </row>
    <row r="3828" spans="1:10" x14ac:dyDescent="0.25">
      <c r="A3828" t="s">
        <v>11715</v>
      </c>
      <c r="B3828" t="s">
        <v>11716</v>
      </c>
      <c r="C3828" s="2">
        <v>46259.583333333336</v>
      </c>
      <c r="D3828" t="s">
        <v>418</v>
      </c>
      <c r="E3828" t="s">
        <v>36</v>
      </c>
      <c r="F3828" t="s">
        <v>187</v>
      </c>
      <c r="G3828" t="s">
        <v>113</v>
      </c>
      <c r="H3828">
        <v>3</v>
      </c>
      <c r="I3828" t="s">
        <v>11717</v>
      </c>
      <c r="J3828" t="s">
        <v>357</v>
      </c>
    </row>
    <row r="3829" spans="1:10" x14ac:dyDescent="0.25">
      <c r="A3829" t="s">
        <v>11718</v>
      </c>
      <c r="B3829" t="s">
        <v>11719</v>
      </c>
      <c r="C3829" s="2">
        <v>46259.583333333336</v>
      </c>
      <c r="D3829" t="s">
        <v>418</v>
      </c>
      <c r="E3829" t="s">
        <v>36</v>
      </c>
      <c r="F3829" t="s">
        <v>281</v>
      </c>
      <c r="G3829" t="s">
        <v>113</v>
      </c>
      <c r="H3829">
        <v>2</v>
      </c>
      <c r="I3829" t="s">
        <v>11717</v>
      </c>
      <c r="J3829" t="s">
        <v>357</v>
      </c>
    </row>
    <row r="3830" spans="1:10" x14ac:dyDescent="0.25">
      <c r="A3830" t="s">
        <v>11720</v>
      </c>
      <c r="B3830" t="s">
        <v>11721</v>
      </c>
      <c r="C3830" s="2">
        <v>46259.583333333336</v>
      </c>
      <c r="D3830" t="s">
        <v>418</v>
      </c>
      <c r="E3830" t="s">
        <v>43</v>
      </c>
      <c r="F3830" t="s">
        <v>237</v>
      </c>
      <c r="G3830" t="s">
        <v>117</v>
      </c>
      <c r="H3830">
        <v>5</v>
      </c>
      <c r="I3830" t="s">
        <v>11722</v>
      </c>
      <c r="J3830" t="s">
        <v>357</v>
      </c>
    </row>
    <row r="3831" spans="1:10" x14ac:dyDescent="0.25">
      <c r="A3831" t="s">
        <v>11723</v>
      </c>
      <c r="B3831" t="s">
        <v>11724</v>
      </c>
      <c r="C3831" s="2">
        <v>46259.583333333336</v>
      </c>
      <c r="D3831" t="s">
        <v>418</v>
      </c>
      <c r="E3831" t="s">
        <v>45</v>
      </c>
      <c r="F3831" t="s">
        <v>312</v>
      </c>
      <c r="G3831" t="s">
        <v>119</v>
      </c>
      <c r="H3831">
        <v>5</v>
      </c>
      <c r="I3831" t="s">
        <v>11725</v>
      </c>
      <c r="J3831" t="s">
        <v>357</v>
      </c>
    </row>
    <row r="3832" spans="1:10" x14ac:dyDescent="0.25">
      <c r="A3832" t="s">
        <v>11726</v>
      </c>
      <c r="B3832" t="s">
        <v>11727</v>
      </c>
      <c r="C3832" s="2">
        <v>46259.583333333336</v>
      </c>
      <c r="D3832" t="s">
        <v>418</v>
      </c>
      <c r="E3832" t="s">
        <v>47</v>
      </c>
      <c r="F3832" t="s">
        <v>322</v>
      </c>
      <c r="G3832" t="s">
        <v>121</v>
      </c>
      <c r="H3832">
        <v>1</v>
      </c>
      <c r="I3832" t="s">
        <v>11728</v>
      </c>
      <c r="J3832" t="s">
        <v>357</v>
      </c>
    </row>
    <row r="3833" spans="1:10" x14ac:dyDescent="0.25">
      <c r="A3833" t="s">
        <v>11729</v>
      </c>
      <c r="B3833" t="s">
        <v>11730</v>
      </c>
      <c r="C3833" s="2">
        <v>46259.583333333336</v>
      </c>
      <c r="D3833" t="s">
        <v>418</v>
      </c>
      <c r="E3833" t="s">
        <v>67</v>
      </c>
      <c r="F3833" t="s">
        <v>271</v>
      </c>
      <c r="G3833" t="s">
        <v>137</v>
      </c>
      <c r="H3833">
        <v>3</v>
      </c>
      <c r="I3833" t="s">
        <v>11731</v>
      </c>
      <c r="J3833" t="s">
        <v>357</v>
      </c>
    </row>
    <row r="3834" spans="1:10" x14ac:dyDescent="0.25">
      <c r="A3834" t="s">
        <v>11732</v>
      </c>
      <c r="B3834" t="s">
        <v>11733</v>
      </c>
      <c r="C3834" s="2">
        <v>46259.583333333336</v>
      </c>
      <c r="D3834" t="s">
        <v>418</v>
      </c>
      <c r="E3834" t="s">
        <v>24</v>
      </c>
      <c r="F3834" t="s">
        <v>308</v>
      </c>
      <c r="G3834" t="s">
        <v>101</v>
      </c>
      <c r="H3834">
        <v>2</v>
      </c>
      <c r="I3834" t="s">
        <v>11734</v>
      </c>
      <c r="J3834" t="s">
        <v>357</v>
      </c>
    </row>
    <row r="3835" spans="1:10" x14ac:dyDescent="0.25">
      <c r="A3835" t="s">
        <v>11735</v>
      </c>
      <c r="B3835" t="s">
        <v>11736</v>
      </c>
      <c r="C3835" s="2">
        <v>46259.583333333336</v>
      </c>
      <c r="D3835" t="s">
        <v>418</v>
      </c>
      <c r="E3835" t="s">
        <v>45</v>
      </c>
      <c r="F3835" t="s">
        <v>312</v>
      </c>
      <c r="G3835" t="s">
        <v>119</v>
      </c>
      <c r="H3835">
        <v>6</v>
      </c>
      <c r="I3835" t="s">
        <v>11737</v>
      </c>
      <c r="J3835" t="s">
        <v>357</v>
      </c>
    </row>
    <row r="3836" spans="1:10" x14ac:dyDescent="0.25">
      <c r="A3836" t="s">
        <v>11738</v>
      </c>
      <c r="B3836" t="s">
        <v>11739</v>
      </c>
      <c r="C3836" s="2">
        <v>46259.583333333336</v>
      </c>
      <c r="D3836" t="s">
        <v>418</v>
      </c>
      <c r="E3836" t="s">
        <v>47</v>
      </c>
      <c r="F3836" t="s">
        <v>322</v>
      </c>
      <c r="G3836" t="s">
        <v>121</v>
      </c>
      <c r="H3836">
        <v>2</v>
      </c>
      <c r="I3836" t="s">
        <v>11740</v>
      </c>
      <c r="J3836" t="s">
        <v>357</v>
      </c>
    </row>
    <row r="3837" spans="1:10" x14ac:dyDescent="0.25">
      <c r="A3837" t="s">
        <v>11741</v>
      </c>
      <c r="B3837" t="s">
        <v>11742</v>
      </c>
      <c r="C3837" s="2">
        <v>46259.583333333336</v>
      </c>
      <c r="D3837" t="s">
        <v>418</v>
      </c>
      <c r="E3837" t="s">
        <v>51</v>
      </c>
      <c r="F3837" t="s">
        <v>254</v>
      </c>
      <c r="G3837" t="s">
        <v>125</v>
      </c>
      <c r="H3837">
        <v>6</v>
      </c>
      <c r="I3837" t="s">
        <v>11743</v>
      </c>
      <c r="J3837" t="s">
        <v>357</v>
      </c>
    </row>
    <row r="3838" spans="1:10" x14ac:dyDescent="0.25">
      <c r="A3838" t="s">
        <v>11744</v>
      </c>
      <c r="B3838" t="s">
        <v>11745</v>
      </c>
      <c r="C3838" s="2">
        <v>46259.583333333336</v>
      </c>
      <c r="D3838" t="s">
        <v>418</v>
      </c>
      <c r="E3838" t="s">
        <v>77</v>
      </c>
      <c r="F3838" t="s">
        <v>273</v>
      </c>
      <c r="G3838" t="s">
        <v>147</v>
      </c>
      <c r="H3838">
        <v>6</v>
      </c>
      <c r="I3838" t="s">
        <v>11746</v>
      </c>
      <c r="J3838" t="s">
        <v>357</v>
      </c>
    </row>
    <row r="3839" spans="1:10" x14ac:dyDescent="0.25">
      <c r="A3839" t="s">
        <v>11747</v>
      </c>
      <c r="B3839" t="s">
        <v>11748</v>
      </c>
      <c r="C3839" s="2">
        <v>46259.583333333336</v>
      </c>
      <c r="D3839" t="s">
        <v>418</v>
      </c>
      <c r="E3839" t="s">
        <v>11</v>
      </c>
      <c r="F3839" t="s">
        <v>304</v>
      </c>
      <c r="G3839" t="s">
        <v>92</v>
      </c>
      <c r="H3839">
        <v>1</v>
      </c>
      <c r="I3839" t="s">
        <v>11749</v>
      </c>
      <c r="J3839" t="s">
        <v>357</v>
      </c>
    </row>
    <row r="3840" spans="1:10" x14ac:dyDescent="0.25">
      <c r="A3840" t="s">
        <v>11750</v>
      </c>
      <c r="B3840" t="s">
        <v>11751</v>
      </c>
      <c r="C3840" s="2">
        <v>46259.583333333336</v>
      </c>
      <c r="D3840" t="s">
        <v>418</v>
      </c>
      <c r="E3840" t="s">
        <v>18</v>
      </c>
      <c r="F3840" t="s">
        <v>305</v>
      </c>
      <c r="G3840" t="s">
        <v>95</v>
      </c>
      <c r="H3840">
        <v>7</v>
      </c>
      <c r="I3840" t="s">
        <v>11752</v>
      </c>
      <c r="J3840" t="s">
        <v>357</v>
      </c>
    </row>
    <row r="3841" spans="1:10" x14ac:dyDescent="0.25">
      <c r="A3841" t="s">
        <v>11753</v>
      </c>
      <c r="B3841" t="s">
        <v>11754</v>
      </c>
      <c r="C3841" s="2">
        <v>46259.583333333336</v>
      </c>
      <c r="D3841" t="s">
        <v>418</v>
      </c>
      <c r="E3841" t="s">
        <v>20</v>
      </c>
      <c r="F3841" t="s">
        <v>306</v>
      </c>
      <c r="G3841" t="s">
        <v>97</v>
      </c>
      <c r="H3841">
        <v>3</v>
      </c>
      <c r="I3841" t="s">
        <v>11755</v>
      </c>
      <c r="J3841" t="s">
        <v>357</v>
      </c>
    </row>
    <row r="3842" spans="1:10" x14ac:dyDescent="0.25">
      <c r="A3842" t="s">
        <v>11756</v>
      </c>
      <c r="B3842" t="s">
        <v>11757</v>
      </c>
      <c r="C3842" s="2">
        <v>46259.583333333336</v>
      </c>
      <c r="D3842" t="s">
        <v>418</v>
      </c>
      <c r="E3842" t="s">
        <v>22</v>
      </c>
      <c r="F3842" t="s">
        <v>318</v>
      </c>
      <c r="G3842" t="s">
        <v>99</v>
      </c>
      <c r="H3842">
        <v>1</v>
      </c>
      <c r="I3842" t="s">
        <v>11758</v>
      </c>
      <c r="J3842" t="s">
        <v>357</v>
      </c>
    </row>
    <row r="3843" spans="1:10" x14ac:dyDescent="0.25">
      <c r="A3843" t="s">
        <v>11759</v>
      </c>
      <c r="B3843" t="s">
        <v>11760</v>
      </c>
      <c r="C3843" s="2">
        <v>46259.583333333336</v>
      </c>
      <c r="D3843" t="s">
        <v>418</v>
      </c>
      <c r="E3843" t="s">
        <v>24</v>
      </c>
      <c r="F3843" t="s">
        <v>308</v>
      </c>
      <c r="G3843" t="s">
        <v>101</v>
      </c>
      <c r="H3843">
        <v>4</v>
      </c>
      <c r="I3843" t="s">
        <v>11761</v>
      </c>
      <c r="J3843" t="s">
        <v>357</v>
      </c>
    </row>
    <row r="3844" spans="1:10" x14ac:dyDescent="0.25">
      <c r="A3844" t="s">
        <v>11762</v>
      </c>
      <c r="B3844" t="s">
        <v>11763</v>
      </c>
      <c r="C3844" s="2">
        <v>46259.583333333336</v>
      </c>
      <c r="D3844" t="s">
        <v>418</v>
      </c>
      <c r="E3844" t="s">
        <v>24</v>
      </c>
      <c r="F3844" t="s">
        <v>319</v>
      </c>
      <c r="G3844" t="s">
        <v>101</v>
      </c>
      <c r="H3844">
        <v>3</v>
      </c>
      <c r="I3844" t="s">
        <v>11761</v>
      </c>
      <c r="J3844" t="s">
        <v>357</v>
      </c>
    </row>
    <row r="3845" spans="1:10" x14ac:dyDescent="0.25">
      <c r="A3845" t="s">
        <v>11764</v>
      </c>
      <c r="B3845" t="s">
        <v>11765</v>
      </c>
      <c r="C3845" s="2">
        <v>46259.583333333336</v>
      </c>
      <c r="D3845" t="s">
        <v>418</v>
      </c>
      <c r="E3845" t="s">
        <v>26</v>
      </c>
      <c r="F3845" t="s">
        <v>320</v>
      </c>
      <c r="G3845" t="s">
        <v>103</v>
      </c>
      <c r="H3845">
        <v>1</v>
      </c>
      <c r="I3845" t="s">
        <v>11766</v>
      </c>
      <c r="J3845" t="s">
        <v>357</v>
      </c>
    </row>
    <row r="3846" spans="1:10" x14ac:dyDescent="0.25">
      <c r="A3846" t="s">
        <v>11767</v>
      </c>
      <c r="B3846" t="s">
        <v>11768</v>
      </c>
      <c r="C3846" s="2">
        <v>46259.583333333336</v>
      </c>
      <c r="D3846" t="s">
        <v>418</v>
      </c>
      <c r="E3846" t="s">
        <v>41</v>
      </c>
      <c r="F3846" t="s">
        <v>293</v>
      </c>
      <c r="G3846" t="s">
        <v>115</v>
      </c>
      <c r="H3846">
        <v>3</v>
      </c>
      <c r="I3846" t="s">
        <v>11769</v>
      </c>
      <c r="J3846" t="s">
        <v>357</v>
      </c>
    </row>
    <row r="3847" spans="1:10" x14ac:dyDescent="0.25">
      <c r="A3847" t="s">
        <v>11770</v>
      </c>
      <c r="B3847" t="s">
        <v>11771</v>
      </c>
      <c r="C3847" s="2">
        <v>46259.583333333336</v>
      </c>
      <c r="D3847" t="s">
        <v>418</v>
      </c>
      <c r="E3847" t="s">
        <v>45</v>
      </c>
      <c r="F3847" t="s">
        <v>312</v>
      </c>
      <c r="G3847" t="s">
        <v>119</v>
      </c>
      <c r="H3847">
        <v>3</v>
      </c>
      <c r="I3847" t="s">
        <v>11772</v>
      </c>
      <c r="J3847" t="s">
        <v>357</v>
      </c>
    </row>
    <row r="3848" spans="1:10" x14ac:dyDescent="0.25">
      <c r="A3848" t="s">
        <v>11773</v>
      </c>
      <c r="B3848" t="s">
        <v>11774</v>
      </c>
      <c r="C3848" s="2">
        <v>46259.583333333336</v>
      </c>
      <c r="D3848" t="s">
        <v>418</v>
      </c>
      <c r="E3848" t="s">
        <v>51</v>
      </c>
      <c r="F3848" t="s">
        <v>254</v>
      </c>
      <c r="G3848" t="s">
        <v>125</v>
      </c>
      <c r="H3848">
        <v>7</v>
      </c>
      <c r="I3848" t="s">
        <v>11775</v>
      </c>
      <c r="J3848" t="s">
        <v>357</v>
      </c>
    </row>
    <row r="3849" spans="1:10" x14ac:dyDescent="0.25">
      <c r="A3849" t="s">
        <v>11776</v>
      </c>
      <c r="B3849" t="s">
        <v>11777</v>
      </c>
      <c r="C3849" s="2">
        <v>46259.583333333336</v>
      </c>
      <c r="D3849" t="s">
        <v>418</v>
      </c>
      <c r="E3849" t="s">
        <v>55</v>
      </c>
      <c r="F3849" t="s">
        <v>240</v>
      </c>
      <c r="G3849" t="s">
        <v>129</v>
      </c>
      <c r="H3849">
        <v>4</v>
      </c>
      <c r="I3849" t="s">
        <v>11778</v>
      </c>
      <c r="J3849" t="s">
        <v>357</v>
      </c>
    </row>
    <row r="3850" spans="1:10" x14ac:dyDescent="0.25">
      <c r="A3850" t="s">
        <v>11779</v>
      </c>
      <c r="B3850" t="s">
        <v>11780</v>
      </c>
      <c r="C3850" s="2">
        <v>46259.583333333336</v>
      </c>
      <c r="D3850" t="s">
        <v>418</v>
      </c>
      <c r="E3850" t="s">
        <v>59</v>
      </c>
      <c r="F3850" t="s">
        <v>283</v>
      </c>
      <c r="G3850" t="s">
        <v>133</v>
      </c>
      <c r="H3850">
        <v>4</v>
      </c>
      <c r="I3850" t="s">
        <v>11781</v>
      </c>
      <c r="J3850" t="s">
        <v>357</v>
      </c>
    </row>
    <row r="3851" spans="1:10" x14ac:dyDescent="0.25">
      <c r="A3851" t="s">
        <v>11782</v>
      </c>
      <c r="B3851" t="s">
        <v>11783</v>
      </c>
      <c r="C3851" s="2">
        <v>46259.583333333336</v>
      </c>
      <c r="D3851" t="s">
        <v>418</v>
      </c>
      <c r="E3851" t="s">
        <v>71</v>
      </c>
      <c r="F3851" t="s">
        <v>257</v>
      </c>
      <c r="G3851" t="s">
        <v>141</v>
      </c>
      <c r="H3851">
        <v>7</v>
      </c>
      <c r="I3851" t="s">
        <v>11784</v>
      </c>
      <c r="J3851" t="s">
        <v>357</v>
      </c>
    </row>
    <row r="3852" spans="1:10" x14ac:dyDescent="0.25">
      <c r="A3852" t="s">
        <v>11785</v>
      </c>
      <c r="B3852" t="s">
        <v>11786</v>
      </c>
      <c r="C3852" s="2">
        <v>46259.583333333336</v>
      </c>
      <c r="D3852" t="s">
        <v>418</v>
      </c>
      <c r="E3852" t="s">
        <v>75</v>
      </c>
      <c r="F3852" t="s">
        <v>272</v>
      </c>
      <c r="G3852" t="s">
        <v>145</v>
      </c>
      <c r="H3852">
        <v>1</v>
      </c>
      <c r="I3852" t="s">
        <v>11787</v>
      </c>
      <c r="J3852" t="s">
        <v>357</v>
      </c>
    </row>
    <row r="3853" spans="1:10" x14ac:dyDescent="0.25">
      <c r="A3853" t="s">
        <v>11788</v>
      </c>
      <c r="B3853" t="s">
        <v>11789</v>
      </c>
      <c r="C3853" s="2">
        <v>46259.583333333336</v>
      </c>
      <c r="D3853" t="s">
        <v>418</v>
      </c>
      <c r="E3853" t="s">
        <v>77</v>
      </c>
      <c r="F3853" t="s">
        <v>273</v>
      </c>
      <c r="G3853" t="s">
        <v>147</v>
      </c>
      <c r="H3853">
        <v>3</v>
      </c>
      <c r="I3853" t="s">
        <v>11790</v>
      </c>
      <c r="J3853" t="s">
        <v>357</v>
      </c>
    </row>
    <row r="3854" spans="1:10" x14ac:dyDescent="0.25">
      <c r="A3854" t="s">
        <v>11791</v>
      </c>
      <c r="B3854" t="s">
        <v>11792</v>
      </c>
      <c r="C3854" s="2">
        <v>46259.583333333336</v>
      </c>
      <c r="D3854" t="s">
        <v>418</v>
      </c>
      <c r="E3854" t="s">
        <v>11</v>
      </c>
      <c r="F3854" t="s">
        <v>304</v>
      </c>
      <c r="G3854" t="s">
        <v>92</v>
      </c>
      <c r="H3854">
        <v>2</v>
      </c>
      <c r="I3854" t="s">
        <v>11793</v>
      </c>
      <c r="J3854" t="s">
        <v>357</v>
      </c>
    </row>
    <row r="3855" spans="1:10" x14ac:dyDescent="0.25">
      <c r="A3855" t="s">
        <v>11794</v>
      </c>
      <c r="B3855" t="s">
        <v>11795</v>
      </c>
      <c r="C3855" s="2">
        <v>46259.583333333336</v>
      </c>
      <c r="D3855" t="s">
        <v>418</v>
      </c>
      <c r="E3855" t="s">
        <v>18</v>
      </c>
      <c r="F3855" t="s">
        <v>305</v>
      </c>
      <c r="G3855" t="s">
        <v>95</v>
      </c>
      <c r="H3855">
        <v>2</v>
      </c>
      <c r="I3855" t="s">
        <v>11796</v>
      </c>
      <c r="J3855" t="s">
        <v>357</v>
      </c>
    </row>
    <row r="3856" spans="1:10" x14ac:dyDescent="0.25">
      <c r="A3856" t="s">
        <v>11797</v>
      </c>
      <c r="B3856" t="s">
        <v>11798</v>
      </c>
      <c r="C3856" s="2">
        <v>46259.583333333336</v>
      </c>
      <c r="D3856" t="s">
        <v>418</v>
      </c>
      <c r="E3856" t="s">
        <v>26</v>
      </c>
      <c r="F3856" t="s">
        <v>320</v>
      </c>
      <c r="G3856" t="s">
        <v>103</v>
      </c>
      <c r="H3856">
        <v>3</v>
      </c>
      <c r="I3856" t="s">
        <v>11799</v>
      </c>
      <c r="J3856" t="s">
        <v>357</v>
      </c>
    </row>
    <row r="3857" spans="1:10" x14ac:dyDescent="0.25">
      <c r="A3857" t="s">
        <v>11800</v>
      </c>
      <c r="B3857" t="s">
        <v>11801</v>
      </c>
      <c r="C3857" s="2">
        <v>46259.583333333336</v>
      </c>
      <c r="D3857" t="s">
        <v>418</v>
      </c>
      <c r="E3857" t="s">
        <v>36</v>
      </c>
      <c r="F3857" t="s">
        <v>281</v>
      </c>
      <c r="G3857" t="s">
        <v>113</v>
      </c>
      <c r="H3857">
        <v>2</v>
      </c>
      <c r="I3857" t="s">
        <v>11802</v>
      </c>
      <c r="J3857" t="s">
        <v>357</v>
      </c>
    </row>
    <row r="3858" spans="1:10" x14ac:dyDescent="0.25">
      <c r="A3858" t="s">
        <v>11803</v>
      </c>
      <c r="B3858" t="s">
        <v>11804</v>
      </c>
      <c r="C3858" s="2">
        <v>46259.583333333336</v>
      </c>
      <c r="D3858" t="s">
        <v>418</v>
      </c>
      <c r="E3858" t="s">
        <v>43</v>
      </c>
      <c r="F3858" t="s">
        <v>237</v>
      </c>
      <c r="G3858" t="s">
        <v>117</v>
      </c>
      <c r="H3858">
        <v>4</v>
      </c>
      <c r="I3858" t="s">
        <v>11805</v>
      </c>
      <c r="J3858" t="s">
        <v>357</v>
      </c>
    </row>
    <row r="3859" spans="1:10" x14ac:dyDescent="0.25">
      <c r="A3859" t="s">
        <v>11806</v>
      </c>
      <c r="B3859" t="s">
        <v>11807</v>
      </c>
      <c r="C3859" s="2">
        <v>46259.583333333336</v>
      </c>
      <c r="D3859" t="s">
        <v>418</v>
      </c>
      <c r="E3859" t="s">
        <v>45</v>
      </c>
      <c r="F3859" t="s">
        <v>312</v>
      </c>
      <c r="G3859" t="s">
        <v>119</v>
      </c>
      <c r="H3859">
        <v>4</v>
      </c>
      <c r="I3859" t="s">
        <v>11808</v>
      </c>
      <c r="J3859" t="s">
        <v>357</v>
      </c>
    </row>
    <row r="3860" spans="1:10" x14ac:dyDescent="0.25">
      <c r="A3860" t="s">
        <v>11809</v>
      </c>
      <c r="B3860" t="s">
        <v>11810</v>
      </c>
      <c r="C3860" s="2">
        <v>46259.583333333336</v>
      </c>
      <c r="D3860" t="s">
        <v>418</v>
      </c>
      <c r="E3860" t="s">
        <v>53</v>
      </c>
      <c r="F3860" t="s">
        <v>239</v>
      </c>
      <c r="G3860" t="s">
        <v>127</v>
      </c>
      <c r="H3860">
        <v>3</v>
      </c>
      <c r="I3860" t="s">
        <v>11811</v>
      </c>
      <c r="J3860" t="s">
        <v>357</v>
      </c>
    </row>
    <row r="3861" spans="1:10" x14ac:dyDescent="0.25">
      <c r="A3861" t="s">
        <v>11812</v>
      </c>
      <c r="B3861" t="s">
        <v>11813</v>
      </c>
      <c r="C3861" s="2">
        <v>46260.583333333336</v>
      </c>
      <c r="D3861" t="s">
        <v>418</v>
      </c>
      <c r="E3861" t="s">
        <v>11</v>
      </c>
      <c r="F3861" t="s">
        <v>304</v>
      </c>
      <c r="G3861" t="s">
        <v>92</v>
      </c>
      <c r="H3861">
        <v>2</v>
      </c>
      <c r="I3861" t="s">
        <v>11814</v>
      </c>
      <c r="J3861" t="s">
        <v>357</v>
      </c>
    </row>
    <row r="3862" spans="1:10" x14ac:dyDescent="0.25">
      <c r="A3862" t="s">
        <v>11815</v>
      </c>
      <c r="B3862" t="s">
        <v>11816</v>
      </c>
      <c r="C3862" s="2">
        <v>46260.583333333336</v>
      </c>
      <c r="D3862" t="s">
        <v>418</v>
      </c>
      <c r="E3862" t="s">
        <v>18</v>
      </c>
      <c r="F3862" t="s">
        <v>305</v>
      </c>
      <c r="G3862" t="s">
        <v>95</v>
      </c>
      <c r="H3862">
        <v>2</v>
      </c>
      <c r="I3862" t="s">
        <v>11817</v>
      </c>
      <c r="J3862" t="s">
        <v>357</v>
      </c>
    </row>
    <row r="3863" spans="1:10" x14ac:dyDescent="0.25">
      <c r="A3863" t="s">
        <v>11818</v>
      </c>
      <c r="B3863" t="s">
        <v>11819</v>
      </c>
      <c r="C3863" s="2">
        <v>46260.583333333336</v>
      </c>
      <c r="D3863" t="s">
        <v>418</v>
      </c>
      <c r="E3863" t="s">
        <v>24</v>
      </c>
      <c r="F3863" t="s">
        <v>319</v>
      </c>
      <c r="G3863" t="s">
        <v>101</v>
      </c>
      <c r="H3863">
        <v>2</v>
      </c>
      <c r="I3863" t="s">
        <v>11820</v>
      </c>
      <c r="J3863" t="s">
        <v>357</v>
      </c>
    </row>
    <row r="3864" spans="1:10" x14ac:dyDescent="0.25">
      <c r="A3864" t="s">
        <v>11821</v>
      </c>
      <c r="B3864" t="s">
        <v>11822</v>
      </c>
      <c r="C3864" s="2">
        <v>46260.583333333336</v>
      </c>
      <c r="D3864" t="s">
        <v>418</v>
      </c>
      <c r="E3864" t="s">
        <v>26</v>
      </c>
      <c r="F3864" t="s">
        <v>320</v>
      </c>
      <c r="G3864" t="s">
        <v>103</v>
      </c>
      <c r="H3864">
        <v>3</v>
      </c>
      <c r="I3864" t="s">
        <v>11823</v>
      </c>
      <c r="J3864" t="s">
        <v>357</v>
      </c>
    </row>
    <row r="3865" spans="1:10" x14ac:dyDescent="0.25">
      <c r="A3865" t="s">
        <v>11824</v>
      </c>
      <c r="B3865" t="s">
        <v>11825</v>
      </c>
      <c r="C3865" s="2">
        <v>46260.583333333336</v>
      </c>
      <c r="D3865" t="s">
        <v>418</v>
      </c>
      <c r="E3865" t="s">
        <v>28</v>
      </c>
      <c r="F3865" t="s">
        <v>236</v>
      </c>
      <c r="G3865" t="s">
        <v>105</v>
      </c>
      <c r="H3865">
        <v>2</v>
      </c>
      <c r="I3865" t="s">
        <v>11826</v>
      </c>
      <c r="J3865" t="s">
        <v>357</v>
      </c>
    </row>
    <row r="3866" spans="1:10" x14ac:dyDescent="0.25">
      <c r="A3866" t="s">
        <v>11827</v>
      </c>
      <c r="B3866" t="s">
        <v>11828</v>
      </c>
      <c r="C3866" s="2">
        <v>46260.583333333336</v>
      </c>
      <c r="D3866" t="s">
        <v>418</v>
      </c>
      <c r="E3866" t="s">
        <v>41</v>
      </c>
      <c r="F3866" t="s">
        <v>293</v>
      </c>
      <c r="G3866" t="s">
        <v>115</v>
      </c>
      <c r="H3866">
        <v>1</v>
      </c>
      <c r="I3866" t="s">
        <v>11829</v>
      </c>
      <c r="J3866" t="s">
        <v>357</v>
      </c>
    </row>
    <row r="3867" spans="1:10" x14ac:dyDescent="0.25">
      <c r="A3867" t="s">
        <v>11830</v>
      </c>
      <c r="B3867" t="s">
        <v>11831</v>
      </c>
      <c r="C3867" s="2">
        <v>46260.583333333336</v>
      </c>
      <c r="D3867" t="s">
        <v>418</v>
      </c>
      <c r="E3867" t="s">
        <v>47</v>
      </c>
      <c r="F3867" t="s">
        <v>322</v>
      </c>
      <c r="G3867" t="s">
        <v>121</v>
      </c>
      <c r="H3867">
        <v>3</v>
      </c>
      <c r="I3867" t="s">
        <v>11832</v>
      </c>
      <c r="J3867" t="s">
        <v>357</v>
      </c>
    </row>
    <row r="3868" spans="1:10" x14ac:dyDescent="0.25">
      <c r="A3868" t="s">
        <v>11833</v>
      </c>
      <c r="B3868" t="s">
        <v>11834</v>
      </c>
      <c r="C3868" s="2">
        <v>46260.583333333336</v>
      </c>
      <c r="D3868" t="s">
        <v>418</v>
      </c>
      <c r="E3868" t="s">
        <v>65</v>
      </c>
      <c r="F3868" t="s">
        <v>284</v>
      </c>
      <c r="G3868" t="s">
        <v>135</v>
      </c>
      <c r="H3868">
        <v>2</v>
      </c>
      <c r="I3868" t="s">
        <v>11835</v>
      </c>
      <c r="J3868" t="s">
        <v>357</v>
      </c>
    </row>
    <row r="3869" spans="1:10" x14ac:dyDescent="0.25">
      <c r="A3869" t="s">
        <v>11836</v>
      </c>
      <c r="B3869" t="s">
        <v>11837</v>
      </c>
      <c r="C3869" s="2">
        <v>46260.583333333336</v>
      </c>
      <c r="D3869" t="s">
        <v>418</v>
      </c>
      <c r="E3869" t="s">
        <v>67</v>
      </c>
      <c r="F3869" t="s">
        <v>271</v>
      </c>
      <c r="G3869" t="s">
        <v>137</v>
      </c>
      <c r="H3869">
        <v>2</v>
      </c>
      <c r="I3869" t="s">
        <v>11838</v>
      </c>
      <c r="J3869" t="s">
        <v>357</v>
      </c>
    </row>
    <row r="3870" spans="1:10" x14ac:dyDescent="0.25">
      <c r="A3870" t="s">
        <v>11839</v>
      </c>
      <c r="B3870" t="s">
        <v>11840</v>
      </c>
      <c r="C3870" s="2">
        <v>46260.583333333336</v>
      </c>
      <c r="D3870" t="s">
        <v>418</v>
      </c>
      <c r="E3870" t="s">
        <v>73</v>
      </c>
      <c r="F3870" t="s">
        <v>258</v>
      </c>
      <c r="G3870" t="s">
        <v>143</v>
      </c>
      <c r="H3870">
        <v>2</v>
      </c>
      <c r="I3870" t="s">
        <v>11841</v>
      </c>
      <c r="J3870" t="s">
        <v>357</v>
      </c>
    </row>
    <row r="3871" spans="1:10" x14ac:dyDescent="0.25">
      <c r="A3871" t="s">
        <v>11842</v>
      </c>
      <c r="B3871" t="s">
        <v>11843</v>
      </c>
      <c r="C3871" s="2">
        <v>46260.583333333336</v>
      </c>
      <c r="D3871" t="s">
        <v>418</v>
      </c>
      <c r="E3871" t="s">
        <v>75</v>
      </c>
      <c r="F3871" t="s">
        <v>272</v>
      </c>
      <c r="G3871" t="s">
        <v>145</v>
      </c>
      <c r="H3871">
        <v>3</v>
      </c>
      <c r="I3871" t="s">
        <v>11844</v>
      </c>
      <c r="J3871" t="s">
        <v>357</v>
      </c>
    </row>
    <row r="3872" spans="1:10" x14ac:dyDescent="0.25">
      <c r="A3872" t="s">
        <v>11845</v>
      </c>
      <c r="B3872" t="s">
        <v>11846</v>
      </c>
      <c r="C3872" s="2">
        <v>46260.583333333336</v>
      </c>
      <c r="D3872" t="s">
        <v>418</v>
      </c>
      <c r="E3872" t="s">
        <v>18</v>
      </c>
      <c r="F3872" t="s">
        <v>305</v>
      </c>
      <c r="G3872" t="s">
        <v>95</v>
      </c>
      <c r="H3872">
        <v>1</v>
      </c>
      <c r="I3872" t="s">
        <v>11847</v>
      </c>
      <c r="J3872" t="s">
        <v>357</v>
      </c>
    </row>
    <row r="3873" spans="1:10" x14ac:dyDescent="0.25">
      <c r="A3873" t="s">
        <v>11848</v>
      </c>
      <c r="B3873" t="s">
        <v>11849</v>
      </c>
      <c r="C3873" s="2">
        <v>46260.583333333336</v>
      </c>
      <c r="D3873" t="s">
        <v>418</v>
      </c>
      <c r="E3873" t="s">
        <v>22</v>
      </c>
      <c r="F3873" t="s">
        <v>318</v>
      </c>
      <c r="G3873" t="s">
        <v>99</v>
      </c>
      <c r="H3873">
        <v>2</v>
      </c>
      <c r="I3873" t="s">
        <v>11850</v>
      </c>
      <c r="J3873" t="s">
        <v>357</v>
      </c>
    </row>
    <row r="3874" spans="1:10" x14ac:dyDescent="0.25">
      <c r="A3874" t="s">
        <v>11851</v>
      </c>
      <c r="B3874" t="s">
        <v>11852</v>
      </c>
      <c r="C3874" s="2">
        <v>46260.583333333336</v>
      </c>
      <c r="D3874" t="s">
        <v>418</v>
      </c>
      <c r="E3874" t="s">
        <v>24</v>
      </c>
      <c r="F3874" t="s">
        <v>319</v>
      </c>
      <c r="G3874" t="s">
        <v>101</v>
      </c>
      <c r="H3874">
        <v>5</v>
      </c>
      <c r="I3874" t="s">
        <v>11853</v>
      </c>
      <c r="J3874" t="s">
        <v>357</v>
      </c>
    </row>
    <row r="3875" spans="1:10" x14ac:dyDescent="0.25">
      <c r="A3875" t="s">
        <v>11854</v>
      </c>
      <c r="B3875" t="s">
        <v>11855</v>
      </c>
      <c r="C3875" s="2">
        <v>46260.583333333336</v>
      </c>
      <c r="D3875" t="s">
        <v>418</v>
      </c>
      <c r="E3875" t="s">
        <v>28</v>
      </c>
      <c r="F3875" t="s">
        <v>236</v>
      </c>
      <c r="G3875" t="s">
        <v>105</v>
      </c>
      <c r="H3875">
        <v>2</v>
      </c>
      <c r="I3875" t="s">
        <v>11856</v>
      </c>
      <c r="J3875" t="s">
        <v>357</v>
      </c>
    </row>
    <row r="3876" spans="1:10" x14ac:dyDescent="0.25">
      <c r="A3876" t="s">
        <v>11857</v>
      </c>
      <c r="B3876" t="s">
        <v>11858</v>
      </c>
      <c r="C3876" s="2">
        <v>46260.583333333336</v>
      </c>
      <c r="D3876" t="s">
        <v>418</v>
      </c>
      <c r="E3876" t="s">
        <v>32</v>
      </c>
      <c r="F3876" t="s">
        <v>311</v>
      </c>
      <c r="G3876" t="s">
        <v>109</v>
      </c>
      <c r="H3876">
        <v>5</v>
      </c>
      <c r="I3876" t="s">
        <v>11859</v>
      </c>
      <c r="J3876" t="s">
        <v>357</v>
      </c>
    </row>
    <row r="3877" spans="1:10" x14ac:dyDescent="0.25">
      <c r="A3877" t="s">
        <v>11860</v>
      </c>
      <c r="B3877" t="s">
        <v>11861</v>
      </c>
      <c r="C3877" s="2">
        <v>46260.583333333336</v>
      </c>
      <c r="D3877" t="s">
        <v>418</v>
      </c>
      <c r="E3877" t="s">
        <v>36</v>
      </c>
      <c r="F3877" t="s">
        <v>281</v>
      </c>
      <c r="G3877" t="s">
        <v>113</v>
      </c>
      <c r="H3877">
        <v>1</v>
      </c>
      <c r="I3877" t="s">
        <v>11862</v>
      </c>
      <c r="J3877" t="s">
        <v>357</v>
      </c>
    </row>
    <row r="3878" spans="1:10" x14ac:dyDescent="0.25">
      <c r="A3878" t="s">
        <v>11863</v>
      </c>
      <c r="B3878" t="s">
        <v>11864</v>
      </c>
      <c r="C3878" s="2">
        <v>46260.583333333336</v>
      </c>
      <c r="D3878" t="s">
        <v>418</v>
      </c>
      <c r="E3878" t="s">
        <v>45</v>
      </c>
      <c r="F3878" t="s">
        <v>312</v>
      </c>
      <c r="G3878" t="s">
        <v>119</v>
      </c>
      <c r="H3878">
        <v>2</v>
      </c>
      <c r="I3878" t="s">
        <v>11865</v>
      </c>
      <c r="J3878" t="s">
        <v>357</v>
      </c>
    </row>
    <row r="3879" spans="1:10" x14ac:dyDescent="0.25">
      <c r="A3879" t="s">
        <v>11866</v>
      </c>
      <c r="B3879" t="s">
        <v>11867</v>
      </c>
      <c r="C3879" s="2">
        <v>46260.583333333336</v>
      </c>
      <c r="D3879" t="s">
        <v>418</v>
      </c>
      <c r="E3879" t="s">
        <v>49</v>
      </c>
      <c r="F3879" t="s">
        <v>295</v>
      </c>
      <c r="G3879" t="s">
        <v>123</v>
      </c>
      <c r="H3879">
        <v>3</v>
      </c>
      <c r="I3879" t="s">
        <v>11868</v>
      </c>
      <c r="J3879" t="s">
        <v>357</v>
      </c>
    </row>
    <row r="3880" spans="1:10" x14ac:dyDescent="0.25">
      <c r="A3880" t="s">
        <v>11869</v>
      </c>
      <c r="B3880" t="s">
        <v>11870</v>
      </c>
      <c r="C3880" s="2">
        <v>46260.583333333336</v>
      </c>
      <c r="D3880" t="s">
        <v>418</v>
      </c>
      <c r="E3880" t="s">
        <v>57</v>
      </c>
      <c r="F3880" t="s">
        <v>299</v>
      </c>
      <c r="G3880" t="s">
        <v>131</v>
      </c>
      <c r="H3880">
        <v>5</v>
      </c>
      <c r="I3880" t="s">
        <v>11871</v>
      </c>
      <c r="J3880" t="s">
        <v>357</v>
      </c>
    </row>
    <row r="3881" spans="1:10" x14ac:dyDescent="0.25">
      <c r="A3881" t="s">
        <v>11872</v>
      </c>
      <c r="B3881" t="s">
        <v>11873</v>
      </c>
      <c r="C3881" s="2">
        <v>46260.583333333336</v>
      </c>
      <c r="D3881" t="s">
        <v>418</v>
      </c>
      <c r="E3881" t="s">
        <v>69</v>
      </c>
      <c r="F3881" t="s">
        <v>256</v>
      </c>
      <c r="G3881" t="s">
        <v>139</v>
      </c>
      <c r="H3881">
        <v>2</v>
      </c>
      <c r="I3881" t="s">
        <v>11874</v>
      </c>
      <c r="J3881" t="s">
        <v>357</v>
      </c>
    </row>
    <row r="3882" spans="1:10" x14ac:dyDescent="0.25">
      <c r="A3882" t="s">
        <v>11875</v>
      </c>
      <c r="B3882" t="s">
        <v>11876</v>
      </c>
      <c r="C3882" s="2">
        <v>46260.583333333336</v>
      </c>
      <c r="D3882" t="s">
        <v>418</v>
      </c>
      <c r="E3882" t="s">
        <v>71</v>
      </c>
      <c r="F3882" t="s">
        <v>257</v>
      </c>
      <c r="G3882" t="s">
        <v>141</v>
      </c>
      <c r="H3882">
        <v>5</v>
      </c>
      <c r="I3882" t="s">
        <v>11877</v>
      </c>
      <c r="J3882" t="s">
        <v>357</v>
      </c>
    </row>
    <row r="3883" spans="1:10" x14ac:dyDescent="0.25">
      <c r="A3883" t="s">
        <v>11878</v>
      </c>
      <c r="B3883" t="s">
        <v>11879</v>
      </c>
      <c r="C3883" s="2">
        <v>46260.583333333336</v>
      </c>
      <c r="D3883" t="s">
        <v>418</v>
      </c>
      <c r="E3883" t="s">
        <v>75</v>
      </c>
      <c r="F3883" t="s">
        <v>272</v>
      </c>
      <c r="G3883" t="s">
        <v>145</v>
      </c>
      <c r="H3883">
        <v>3</v>
      </c>
      <c r="I3883" t="s">
        <v>11880</v>
      </c>
      <c r="J3883" t="s">
        <v>357</v>
      </c>
    </row>
    <row r="3884" spans="1:10" x14ac:dyDescent="0.25">
      <c r="A3884" t="s">
        <v>11881</v>
      </c>
      <c r="B3884" t="s">
        <v>11882</v>
      </c>
      <c r="C3884" s="2">
        <v>46260.583333333336</v>
      </c>
      <c r="D3884" t="s">
        <v>418</v>
      </c>
      <c r="E3884" t="s">
        <v>18</v>
      </c>
      <c r="F3884" t="s">
        <v>305</v>
      </c>
      <c r="G3884" t="s">
        <v>95</v>
      </c>
      <c r="H3884">
        <v>4</v>
      </c>
      <c r="I3884" t="s">
        <v>11883</v>
      </c>
      <c r="J3884" t="s">
        <v>357</v>
      </c>
    </row>
    <row r="3885" spans="1:10" x14ac:dyDescent="0.25">
      <c r="A3885" t="s">
        <v>11884</v>
      </c>
      <c r="B3885" t="s">
        <v>11885</v>
      </c>
      <c r="C3885" s="2">
        <v>46260.583333333336</v>
      </c>
      <c r="D3885" t="s">
        <v>418</v>
      </c>
      <c r="E3885" t="s">
        <v>20</v>
      </c>
      <c r="F3885" t="s">
        <v>306</v>
      </c>
      <c r="G3885" t="s">
        <v>97</v>
      </c>
      <c r="H3885">
        <v>4</v>
      </c>
      <c r="I3885" t="s">
        <v>11886</v>
      </c>
      <c r="J3885" t="s">
        <v>357</v>
      </c>
    </row>
    <row r="3886" spans="1:10" x14ac:dyDescent="0.25">
      <c r="A3886" t="s">
        <v>11887</v>
      </c>
      <c r="B3886" t="s">
        <v>11888</v>
      </c>
      <c r="C3886" s="2">
        <v>46260.583333333336</v>
      </c>
      <c r="D3886" t="s">
        <v>418</v>
      </c>
      <c r="E3886" t="s">
        <v>26</v>
      </c>
      <c r="F3886" t="s">
        <v>320</v>
      </c>
      <c r="G3886" t="s">
        <v>103</v>
      </c>
      <c r="H3886">
        <v>5</v>
      </c>
      <c r="I3886" t="s">
        <v>11889</v>
      </c>
      <c r="J3886" t="s">
        <v>357</v>
      </c>
    </row>
    <row r="3887" spans="1:10" x14ac:dyDescent="0.25">
      <c r="A3887" t="s">
        <v>11890</v>
      </c>
      <c r="B3887" t="s">
        <v>11891</v>
      </c>
      <c r="C3887" s="2">
        <v>46260.583333333336</v>
      </c>
      <c r="D3887" t="s">
        <v>418</v>
      </c>
      <c r="E3887" t="s">
        <v>30</v>
      </c>
      <c r="F3887" t="s">
        <v>207</v>
      </c>
      <c r="G3887" t="s">
        <v>107</v>
      </c>
      <c r="H3887">
        <v>2</v>
      </c>
      <c r="I3887" t="s">
        <v>11892</v>
      </c>
      <c r="J3887" t="s">
        <v>357</v>
      </c>
    </row>
    <row r="3888" spans="1:10" x14ac:dyDescent="0.25">
      <c r="A3888" t="s">
        <v>11893</v>
      </c>
      <c r="B3888" t="s">
        <v>11894</v>
      </c>
      <c r="C3888" s="2">
        <v>46260.583333333336</v>
      </c>
      <c r="D3888" t="s">
        <v>418</v>
      </c>
      <c r="E3888" t="s">
        <v>36</v>
      </c>
      <c r="F3888" t="s">
        <v>281</v>
      </c>
      <c r="G3888" t="s">
        <v>113</v>
      </c>
      <c r="H3888">
        <v>2</v>
      </c>
      <c r="I3888" t="s">
        <v>11895</v>
      </c>
      <c r="J3888" t="s">
        <v>357</v>
      </c>
    </row>
    <row r="3889" spans="1:10" x14ac:dyDescent="0.25">
      <c r="A3889" t="s">
        <v>11896</v>
      </c>
      <c r="B3889" t="s">
        <v>11897</v>
      </c>
      <c r="C3889" s="2">
        <v>46260.583333333336</v>
      </c>
      <c r="D3889" t="s">
        <v>418</v>
      </c>
      <c r="E3889" t="s">
        <v>49</v>
      </c>
      <c r="F3889" t="s">
        <v>295</v>
      </c>
      <c r="G3889" t="s">
        <v>123</v>
      </c>
      <c r="H3889">
        <v>4</v>
      </c>
      <c r="I3889" t="s">
        <v>11898</v>
      </c>
      <c r="J3889" t="s">
        <v>357</v>
      </c>
    </row>
    <row r="3890" spans="1:10" x14ac:dyDescent="0.25">
      <c r="A3890" t="s">
        <v>11899</v>
      </c>
      <c r="B3890" t="s">
        <v>11900</v>
      </c>
      <c r="C3890" s="2">
        <v>46260.583333333336</v>
      </c>
      <c r="D3890" t="s">
        <v>418</v>
      </c>
      <c r="E3890" t="s">
        <v>55</v>
      </c>
      <c r="F3890" t="s">
        <v>240</v>
      </c>
      <c r="G3890" t="s">
        <v>129</v>
      </c>
      <c r="H3890">
        <v>6</v>
      </c>
      <c r="I3890" t="s">
        <v>11901</v>
      </c>
      <c r="J3890" t="s">
        <v>357</v>
      </c>
    </row>
    <row r="3891" spans="1:10" x14ac:dyDescent="0.25">
      <c r="A3891" t="s">
        <v>11902</v>
      </c>
      <c r="B3891" t="s">
        <v>11903</v>
      </c>
      <c r="C3891" s="2">
        <v>46260.583333333336</v>
      </c>
      <c r="D3891" t="s">
        <v>418</v>
      </c>
      <c r="E3891" t="s">
        <v>67</v>
      </c>
      <c r="F3891" t="s">
        <v>271</v>
      </c>
      <c r="G3891" t="s">
        <v>137</v>
      </c>
      <c r="H3891">
        <v>1</v>
      </c>
      <c r="I3891" t="s">
        <v>11904</v>
      </c>
      <c r="J3891" t="s">
        <v>357</v>
      </c>
    </row>
    <row r="3892" spans="1:10" x14ac:dyDescent="0.25">
      <c r="A3892" t="s">
        <v>11905</v>
      </c>
      <c r="B3892" t="s">
        <v>11906</v>
      </c>
      <c r="C3892" s="2">
        <v>46260.583333333336</v>
      </c>
      <c r="D3892" t="s">
        <v>418</v>
      </c>
      <c r="E3892" t="s">
        <v>71</v>
      </c>
      <c r="F3892" t="s">
        <v>257</v>
      </c>
      <c r="G3892" t="s">
        <v>141</v>
      </c>
      <c r="H3892">
        <v>4</v>
      </c>
      <c r="I3892" t="s">
        <v>11907</v>
      </c>
      <c r="J3892" t="s">
        <v>357</v>
      </c>
    </row>
    <row r="3893" spans="1:10" x14ac:dyDescent="0.25">
      <c r="A3893" t="s">
        <v>11908</v>
      </c>
      <c r="B3893" t="s">
        <v>11909</v>
      </c>
      <c r="C3893" s="2">
        <v>46260.583333333336</v>
      </c>
      <c r="D3893" t="s">
        <v>418</v>
      </c>
      <c r="E3893" t="s">
        <v>73</v>
      </c>
      <c r="F3893" t="s">
        <v>258</v>
      </c>
      <c r="G3893" t="s">
        <v>143</v>
      </c>
      <c r="H3893">
        <v>4</v>
      </c>
      <c r="I3893" t="s">
        <v>11910</v>
      </c>
      <c r="J3893" t="s">
        <v>357</v>
      </c>
    </row>
    <row r="3894" spans="1:10" x14ac:dyDescent="0.25">
      <c r="A3894" t="s">
        <v>11911</v>
      </c>
      <c r="B3894" t="s">
        <v>11912</v>
      </c>
      <c r="C3894" s="2">
        <v>46260.583333333336</v>
      </c>
      <c r="D3894" t="s">
        <v>418</v>
      </c>
      <c r="E3894" t="s">
        <v>75</v>
      </c>
      <c r="F3894" t="s">
        <v>272</v>
      </c>
      <c r="G3894" t="s">
        <v>145</v>
      </c>
      <c r="H3894">
        <v>1</v>
      </c>
      <c r="I3894" t="s">
        <v>11913</v>
      </c>
      <c r="J3894" t="s">
        <v>357</v>
      </c>
    </row>
    <row r="3895" spans="1:10" x14ac:dyDescent="0.25">
      <c r="A3895" t="s">
        <v>11914</v>
      </c>
      <c r="B3895" t="s">
        <v>11915</v>
      </c>
      <c r="C3895" s="2">
        <v>46260.583333333336</v>
      </c>
      <c r="D3895" t="s">
        <v>418</v>
      </c>
      <c r="E3895" t="s">
        <v>77</v>
      </c>
      <c r="F3895" t="s">
        <v>273</v>
      </c>
      <c r="G3895" t="s">
        <v>147</v>
      </c>
      <c r="H3895">
        <v>1</v>
      </c>
      <c r="I3895" t="s">
        <v>11916</v>
      </c>
      <c r="J3895" t="s">
        <v>357</v>
      </c>
    </row>
    <row r="3896" spans="1:10" x14ac:dyDescent="0.25">
      <c r="A3896" t="s">
        <v>11917</v>
      </c>
      <c r="B3896" t="s">
        <v>11918</v>
      </c>
      <c r="C3896" s="2">
        <v>46260.583333333336</v>
      </c>
      <c r="D3896" t="s">
        <v>418</v>
      </c>
      <c r="E3896" t="s">
        <v>11</v>
      </c>
      <c r="F3896" t="s">
        <v>304</v>
      </c>
      <c r="G3896" t="s">
        <v>92</v>
      </c>
      <c r="H3896">
        <v>1</v>
      </c>
      <c r="I3896" t="s">
        <v>11919</v>
      </c>
      <c r="J3896" t="s">
        <v>357</v>
      </c>
    </row>
    <row r="3897" spans="1:10" x14ac:dyDescent="0.25">
      <c r="A3897" t="s">
        <v>11920</v>
      </c>
      <c r="B3897" t="s">
        <v>11921</v>
      </c>
      <c r="C3897" s="2">
        <v>46260.583333333336</v>
      </c>
      <c r="D3897" t="s">
        <v>418</v>
      </c>
      <c r="E3897" t="s">
        <v>26</v>
      </c>
      <c r="F3897" t="s">
        <v>320</v>
      </c>
      <c r="G3897" t="s">
        <v>103</v>
      </c>
      <c r="H3897">
        <v>7</v>
      </c>
      <c r="I3897" t="s">
        <v>11922</v>
      </c>
      <c r="J3897" t="s">
        <v>357</v>
      </c>
    </row>
    <row r="3898" spans="1:10" x14ac:dyDescent="0.25">
      <c r="A3898" t="s">
        <v>11923</v>
      </c>
      <c r="B3898" t="s">
        <v>11924</v>
      </c>
      <c r="C3898" s="2">
        <v>46260.583333333336</v>
      </c>
      <c r="D3898" t="s">
        <v>418</v>
      </c>
      <c r="E3898" t="s">
        <v>30</v>
      </c>
      <c r="F3898" t="s">
        <v>207</v>
      </c>
      <c r="G3898" t="s">
        <v>107</v>
      </c>
      <c r="H3898">
        <v>6</v>
      </c>
      <c r="I3898" t="s">
        <v>11925</v>
      </c>
      <c r="J3898" t="s">
        <v>357</v>
      </c>
    </row>
    <row r="3899" spans="1:10" x14ac:dyDescent="0.25">
      <c r="A3899" t="s">
        <v>11926</v>
      </c>
      <c r="B3899" t="s">
        <v>11927</v>
      </c>
      <c r="C3899" s="2">
        <v>46260.583333333336</v>
      </c>
      <c r="D3899" t="s">
        <v>418</v>
      </c>
      <c r="E3899" t="s">
        <v>36</v>
      </c>
      <c r="F3899" t="s">
        <v>281</v>
      </c>
      <c r="G3899" t="s">
        <v>113</v>
      </c>
      <c r="H3899">
        <v>7</v>
      </c>
      <c r="I3899" t="s">
        <v>11928</v>
      </c>
      <c r="J3899" t="s">
        <v>357</v>
      </c>
    </row>
    <row r="3900" spans="1:10" x14ac:dyDescent="0.25">
      <c r="A3900" t="s">
        <v>11929</v>
      </c>
      <c r="B3900" t="s">
        <v>11930</v>
      </c>
      <c r="C3900" s="2">
        <v>46260.583333333336</v>
      </c>
      <c r="D3900" t="s">
        <v>418</v>
      </c>
      <c r="E3900" t="s">
        <v>69</v>
      </c>
      <c r="F3900" t="s">
        <v>256</v>
      </c>
      <c r="G3900" t="s">
        <v>139</v>
      </c>
      <c r="H3900">
        <v>1</v>
      </c>
      <c r="I3900" t="s">
        <v>11931</v>
      </c>
      <c r="J3900" t="s">
        <v>357</v>
      </c>
    </row>
    <row r="3901" spans="1:10" x14ac:dyDescent="0.25">
      <c r="A3901" t="s">
        <v>11932</v>
      </c>
      <c r="B3901" t="s">
        <v>11933</v>
      </c>
      <c r="C3901" s="2">
        <v>46260.583333333336</v>
      </c>
      <c r="D3901" t="s">
        <v>418</v>
      </c>
      <c r="E3901" t="s">
        <v>71</v>
      </c>
      <c r="F3901" t="s">
        <v>257</v>
      </c>
      <c r="G3901" t="s">
        <v>141</v>
      </c>
      <c r="H3901">
        <v>1</v>
      </c>
      <c r="I3901" t="s">
        <v>11934</v>
      </c>
      <c r="J3901" t="s">
        <v>357</v>
      </c>
    </row>
    <row r="3902" spans="1:10" x14ac:dyDescent="0.25">
      <c r="A3902" t="s">
        <v>11935</v>
      </c>
      <c r="B3902" t="s">
        <v>11936</v>
      </c>
      <c r="C3902" s="2">
        <v>46260.583333333336</v>
      </c>
      <c r="D3902" t="s">
        <v>418</v>
      </c>
      <c r="E3902" t="s">
        <v>11</v>
      </c>
      <c r="F3902" t="s">
        <v>304</v>
      </c>
      <c r="G3902" t="s">
        <v>92</v>
      </c>
      <c r="H3902">
        <v>4</v>
      </c>
      <c r="I3902" t="s">
        <v>11937</v>
      </c>
      <c r="J3902" t="s">
        <v>357</v>
      </c>
    </row>
    <row r="3903" spans="1:10" x14ac:dyDescent="0.25">
      <c r="A3903" t="s">
        <v>11938</v>
      </c>
      <c r="B3903" t="s">
        <v>11939</v>
      </c>
      <c r="C3903" s="2">
        <v>46260.583333333336</v>
      </c>
      <c r="D3903" t="s">
        <v>418</v>
      </c>
      <c r="E3903" t="s">
        <v>18</v>
      </c>
      <c r="F3903" t="s">
        <v>305</v>
      </c>
      <c r="G3903" t="s">
        <v>95</v>
      </c>
      <c r="H3903">
        <v>4</v>
      </c>
      <c r="I3903" t="s">
        <v>11940</v>
      </c>
      <c r="J3903" t="s">
        <v>357</v>
      </c>
    </row>
    <row r="3904" spans="1:10" x14ac:dyDescent="0.25">
      <c r="A3904" t="s">
        <v>11941</v>
      </c>
      <c r="B3904" t="s">
        <v>11942</v>
      </c>
      <c r="C3904" s="2">
        <v>46260.583333333336</v>
      </c>
      <c r="D3904" t="s">
        <v>418</v>
      </c>
      <c r="E3904" t="s">
        <v>20</v>
      </c>
      <c r="F3904" t="s">
        <v>306</v>
      </c>
      <c r="G3904" t="s">
        <v>97</v>
      </c>
      <c r="H3904">
        <v>2</v>
      </c>
      <c r="I3904" t="s">
        <v>11943</v>
      </c>
      <c r="J3904" t="s">
        <v>357</v>
      </c>
    </row>
    <row r="3905" spans="1:10" x14ac:dyDescent="0.25">
      <c r="A3905" t="s">
        <v>11944</v>
      </c>
      <c r="B3905" t="s">
        <v>11945</v>
      </c>
      <c r="C3905" s="2">
        <v>46260.583333333336</v>
      </c>
      <c r="D3905" t="s">
        <v>418</v>
      </c>
      <c r="E3905" t="s">
        <v>22</v>
      </c>
      <c r="F3905" t="s">
        <v>318</v>
      </c>
      <c r="G3905" t="s">
        <v>99</v>
      </c>
      <c r="H3905">
        <v>1</v>
      </c>
      <c r="I3905" t="s">
        <v>11946</v>
      </c>
      <c r="J3905" t="s">
        <v>357</v>
      </c>
    </row>
    <row r="3906" spans="1:10" x14ac:dyDescent="0.25">
      <c r="A3906" t="s">
        <v>11947</v>
      </c>
      <c r="B3906" t="s">
        <v>11948</v>
      </c>
      <c r="C3906" s="2">
        <v>46260.583333333336</v>
      </c>
      <c r="D3906" t="s">
        <v>418</v>
      </c>
      <c r="E3906" t="s">
        <v>24</v>
      </c>
      <c r="F3906" t="s">
        <v>319</v>
      </c>
      <c r="G3906" t="s">
        <v>101</v>
      </c>
      <c r="H3906">
        <v>1</v>
      </c>
      <c r="I3906" t="s">
        <v>11949</v>
      </c>
      <c r="J3906" t="s">
        <v>357</v>
      </c>
    </row>
    <row r="3907" spans="1:10" x14ac:dyDescent="0.25">
      <c r="A3907" t="s">
        <v>11950</v>
      </c>
      <c r="B3907" t="s">
        <v>11951</v>
      </c>
      <c r="C3907" s="2">
        <v>46260.583333333336</v>
      </c>
      <c r="D3907" t="s">
        <v>418</v>
      </c>
      <c r="E3907" t="s">
        <v>26</v>
      </c>
      <c r="F3907" t="s">
        <v>320</v>
      </c>
      <c r="G3907" t="s">
        <v>103</v>
      </c>
      <c r="H3907">
        <v>3</v>
      </c>
      <c r="I3907" t="s">
        <v>11952</v>
      </c>
      <c r="J3907" t="s">
        <v>357</v>
      </c>
    </row>
    <row r="3908" spans="1:10" x14ac:dyDescent="0.25">
      <c r="A3908" t="s">
        <v>11953</v>
      </c>
      <c r="B3908" t="s">
        <v>11954</v>
      </c>
      <c r="C3908" s="2">
        <v>46260.583333333336</v>
      </c>
      <c r="D3908" t="s">
        <v>418</v>
      </c>
      <c r="E3908" t="s">
        <v>41</v>
      </c>
      <c r="F3908" t="s">
        <v>293</v>
      </c>
      <c r="G3908" t="s">
        <v>115</v>
      </c>
      <c r="H3908">
        <v>3</v>
      </c>
      <c r="I3908" t="s">
        <v>11955</v>
      </c>
      <c r="J3908" t="s">
        <v>357</v>
      </c>
    </row>
    <row r="3909" spans="1:10" x14ac:dyDescent="0.25">
      <c r="A3909" t="s">
        <v>11956</v>
      </c>
      <c r="B3909" t="s">
        <v>11957</v>
      </c>
      <c r="C3909" s="2">
        <v>46260.583333333336</v>
      </c>
      <c r="D3909" t="s">
        <v>418</v>
      </c>
      <c r="E3909" t="s">
        <v>43</v>
      </c>
      <c r="F3909" t="s">
        <v>237</v>
      </c>
      <c r="G3909" t="s">
        <v>117</v>
      </c>
      <c r="H3909">
        <v>3</v>
      </c>
      <c r="I3909" t="s">
        <v>11958</v>
      </c>
      <c r="J3909" t="s">
        <v>357</v>
      </c>
    </row>
    <row r="3910" spans="1:10" x14ac:dyDescent="0.25">
      <c r="A3910" t="s">
        <v>11959</v>
      </c>
      <c r="B3910" t="s">
        <v>11960</v>
      </c>
      <c r="C3910" s="2">
        <v>46260.583333333336</v>
      </c>
      <c r="D3910" t="s">
        <v>418</v>
      </c>
      <c r="E3910" t="s">
        <v>45</v>
      </c>
      <c r="F3910" t="s">
        <v>312</v>
      </c>
      <c r="G3910" t="s">
        <v>119</v>
      </c>
      <c r="H3910">
        <v>4</v>
      </c>
      <c r="I3910" t="s">
        <v>11961</v>
      </c>
      <c r="J3910" t="s">
        <v>357</v>
      </c>
    </row>
    <row r="3911" spans="1:10" x14ac:dyDescent="0.25">
      <c r="A3911" t="s">
        <v>11962</v>
      </c>
      <c r="B3911" t="s">
        <v>11963</v>
      </c>
      <c r="C3911" s="2">
        <v>46260.583333333336</v>
      </c>
      <c r="D3911" t="s">
        <v>418</v>
      </c>
      <c r="E3911" t="s">
        <v>51</v>
      </c>
      <c r="F3911" t="s">
        <v>254</v>
      </c>
      <c r="G3911" t="s">
        <v>125</v>
      </c>
      <c r="H3911">
        <v>1</v>
      </c>
      <c r="I3911" t="s">
        <v>11964</v>
      </c>
      <c r="J3911" t="s">
        <v>357</v>
      </c>
    </row>
    <row r="3912" spans="1:10" x14ac:dyDescent="0.25">
      <c r="A3912" t="s">
        <v>11965</v>
      </c>
      <c r="B3912" t="s">
        <v>11966</v>
      </c>
      <c r="C3912" s="2">
        <v>46260.583333333336</v>
      </c>
      <c r="D3912" t="s">
        <v>418</v>
      </c>
      <c r="E3912" t="s">
        <v>53</v>
      </c>
      <c r="F3912" t="s">
        <v>239</v>
      </c>
      <c r="G3912" t="s">
        <v>127</v>
      </c>
      <c r="H3912">
        <v>4</v>
      </c>
      <c r="I3912" t="s">
        <v>11967</v>
      </c>
      <c r="J3912" t="s">
        <v>357</v>
      </c>
    </row>
    <row r="3913" spans="1:10" x14ac:dyDescent="0.25">
      <c r="A3913" t="s">
        <v>11968</v>
      </c>
      <c r="B3913" t="s">
        <v>11969</v>
      </c>
      <c r="C3913" s="2">
        <v>46260.583333333336</v>
      </c>
      <c r="D3913" t="s">
        <v>418</v>
      </c>
      <c r="E3913" t="s">
        <v>59</v>
      </c>
      <c r="F3913" t="s">
        <v>283</v>
      </c>
      <c r="G3913" t="s">
        <v>133</v>
      </c>
      <c r="H3913">
        <v>3</v>
      </c>
      <c r="I3913" t="s">
        <v>11970</v>
      </c>
      <c r="J3913" t="s">
        <v>357</v>
      </c>
    </row>
    <row r="3914" spans="1:10" x14ac:dyDescent="0.25">
      <c r="A3914" t="s">
        <v>11971</v>
      </c>
      <c r="B3914" t="s">
        <v>11972</v>
      </c>
      <c r="C3914" s="2">
        <v>46260.583333333336</v>
      </c>
      <c r="D3914" t="s">
        <v>418</v>
      </c>
      <c r="E3914" t="s">
        <v>65</v>
      </c>
      <c r="F3914" t="s">
        <v>284</v>
      </c>
      <c r="G3914" t="s">
        <v>135</v>
      </c>
      <c r="H3914">
        <v>2</v>
      </c>
      <c r="I3914" t="s">
        <v>11973</v>
      </c>
      <c r="J3914" t="s">
        <v>357</v>
      </c>
    </row>
    <row r="3915" spans="1:10" x14ac:dyDescent="0.25">
      <c r="A3915" t="s">
        <v>11974</v>
      </c>
      <c r="B3915" t="s">
        <v>11975</v>
      </c>
      <c r="C3915" s="2">
        <v>46260.583333333336</v>
      </c>
      <c r="D3915" t="s">
        <v>418</v>
      </c>
      <c r="E3915" t="s">
        <v>69</v>
      </c>
      <c r="F3915" t="s">
        <v>256</v>
      </c>
      <c r="G3915" t="s">
        <v>139</v>
      </c>
      <c r="H3915">
        <v>4</v>
      </c>
      <c r="I3915" t="s">
        <v>11976</v>
      </c>
      <c r="J3915" t="s">
        <v>357</v>
      </c>
    </row>
    <row r="3916" spans="1:10" x14ac:dyDescent="0.25">
      <c r="A3916" t="s">
        <v>11977</v>
      </c>
      <c r="B3916" t="s">
        <v>11978</v>
      </c>
      <c r="C3916" s="2">
        <v>46260.583333333336</v>
      </c>
      <c r="D3916" t="s">
        <v>418</v>
      </c>
      <c r="E3916" t="s">
        <v>77</v>
      </c>
      <c r="F3916" t="s">
        <v>273</v>
      </c>
      <c r="G3916" t="s">
        <v>147</v>
      </c>
      <c r="H3916">
        <v>3</v>
      </c>
      <c r="I3916" t="s">
        <v>11979</v>
      </c>
      <c r="J3916" t="s">
        <v>357</v>
      </c>
    </row>
    <row r="3917" spans="1:10" x14ac:dyDescent="0.25">
      <c r="A3917" t="s">
        <v>11980</v>
      </c>
      <c r="B3917" t="s">
        <v>11981</v>
      </c>
      <c r="C3917" s="2">
        <v>46261.583333333336</v>
      </c>
      <c r="D3917" t="s">
        <v>418</v>
      </c>
      <c r="E3917" t="s">
        <v>11</v>
      </c>
      <c r="F3917" t="s">
        <v>304</v>
      </c>
      <c r="G3917" t="s">
        <v>92</v>
      </c>
      <c r="H3917">
        <v>4</v>
      </c>
      <c r="I3917" t="s">
        <v>11982</v>
      </c>
      <c r="J3917" t="s">
        <v>357</v>
      </c>
    </row>
    <row r="3918" spans="1:10" x14ac:dyDescent="0.25">
      <c r="A3918" t="s">
        <v>11983</v>
      </c>
      <c r="B3918" t="s">
        <v>11984</v>
      </c>
      <c r="C3918" s="2">
        <v>46261.583333333336</v>
      </c>
      <c r="D3918" t="s">
        <v>418</v>
      </c>
      <c r="E3918" t="s">
        <v>18</v>
      </c>
      <c r="F3918" t="s">
        <v>305</v>
      </c>
      <c r="G3918" t="s">
        <v>95</v>
      </c>
      <c r="H3918">
        <v>2</v>
      </c>
      <c r="I3918" t="s">
        <v>11985</v>
      </c>
      <c r="J3918" t="s">
        <v>357</v>
      </c>
    </row>
    <row r="3919" spans="1:10" x14ac:dyDescent="0.25">
      <c r="A3919" t="s">
        <v>11986</v>
      </c>
      <c r="B3919" t="s">
        <v>11987</v>
      </c>
      <c r="C3919" s="2">
        <v>46261.583333333336</v>
      </c>
      <c r="D3919" t="s">
        <v>418</v>
      </c>
      <c r="E3919" t="s">
        <v>20</v>
      </c>
      <c r="F3919" t="s">
        <v>306</v>
      </c>
      <c r="G3919" t="s">
        <v>97</v>
      </c>
      <c r="H3919">
        <v>4</v>
      </c>
      <c r="I3919" t="s">
        <v>11988</v>
      </c>
      <c r="J3919" t="s">
        <v>357</v>
      </c>
    </row>
    <row r="3920" spans="1:10" x14ac:dyDescent="0.25">
      <c r="A3920" t="s">
        <v>11989</v>
      </c>
      <c r="B3920" t="s">
        <v>11990</v>
      </c>
      <c r="C3920" s="2">
        <v>46261.583333333336</v>
      </c>
      <c r="D3920" t="s">
        <v>418</v>
      </c>
      <c r="E3920" t="s">
        <v>22</v>
      </c>
      <c r="F3920" t="s">
        <v>318</v>
      </c>
      <c r="G3920" t="s">
        <v>99</v>
      </c>
      <c r="H3920">
        <v>3</v>
      </c>
      <c r="I3920" t="s">
        <v>11991</v>
      </c>
      <c r="J3920" t="s">
        <v>357</v>
      </c>
    </row>
    <row r="3921" spans="1:10" x14ac:dyDescent="0.25">
      <c r="A3921" t="s">
        <v>11992</v>
      </c>
      <c r="B3921" t="s">
        <v>11993</v>
      </c>
      <c r="C3921" s="2">
        <v>46261.583333333336</v>
      </c>
      <c r="D3921" t="s">
        <v>418</v>
      </c>
      <c r="E3921" t="s">
        <v>26</v>
      </c>
      <c r="F3921" t="s">
        <v>320</v>
      </c>
      <c r="G3921" t="s">
        <v>103</v>
      </c>
      <c r="H3921">
        <v>4</v>
      </c>
      <c r="I3921" t="s">
        <v>11994</v>
      </c>
      <c r="J3921" t="s">
        <v>357</v>
      </c>
    </row>
    <row r="3922" spans="1:10" x14ac:dyDescent="0.25">
      <c r="A3922" t="s">
        <v>11995</v>
      </c>
      <c r="B3922" t="s">
        <v>11996</v>
      </c>
      <c r="C3922" s="2">
        <v>46261.583333333336</v>
      </c>
      <c r="D3922" t="s">
        <v>418</v>
      </c>
      <c r="E3922" t="s">
        <v>30</v>
      </c>
      <c r="F3922" t="s">
        <v>207</v>
      </c>
      <c r="G3922" t="s">
        <v>107</v>
      </c>
      <c r="H3922">
        <v>2</v>
      </c>
      <c r="I3922" t="s">
        <v>11997</v>
      </c>
      <c r="J3922" t="s">
        <v>357</v>
      </c>
    </row>
    <row r="3923" spans="1:10" x14ac:dyDescent="0.25">
      <c r="A3923" t="s">
        <v>11998</v>
      </c>
      <c r="B3923" t="s">
        <v>11999</v>
      </c>
      <c r="C3923" s="2">
        <v>46261.583333333336</v>
      </c>
      <c r="D3923" t="s">
        <v>418</v>
      </c>
      <c r="E3923" t="s">
        <v>32</v>
      </c>
      <c r="F3923" t="s">
        <v>311</v>
      </c>
      <c r="G3923" t="s">
        <v>109</v>
      </c>
      <c r="H3923">
        <v>2</v>
      </c>
      <c r="I3923" t="s">
        <v>12000</v>
      </c>
      <c r="J3923" t="s">
        <v>357</v>
      </c>
    </row>
    <row r="3924" spans="1:10" x14ac:dyDescent="0.25">
      <c r="A3924" t="s">
        <v>12001</v>
      </c>
      <c r="B3924" t="s">
        <v>12002</v>
      </c>
      <c r="C3924" s="2">
        <v>46261.583333333336</v>
      </c>
      <c r="D3924" t="s">
        <v>418</v>
      </c>
      <c r="E3924" t="s">
        <v>53</v>
      </c>
      <c r="F3924" t="s">
        <v>239</v>
      </c>
      <c r="G3924" t="s">
        <v>127</v>
      </c>
      <c r="H3924">
        <v>2</v>
      </c>
      <c r="I3924" t="s">
        <v>12003</v>
      </c>
      <c r="J3924" t="s">
        <v>357</v>
      </c>
    </row>
    <row r="3925" spans="1:10" x14ac:dyDescent="0.25">
      <c r="A3925" t="s">
        <v>12004</v>
      </c>
      <c r="B3925" t="s">
        <v>12005</v>
      </c>
      <c r="C3925" s="2">
        <v>46261.583333333336</v>
      </c>
      <c r="D3925" t="s">
        <v>418</v>
      </c>
      <c r="E3925" t="s">
        <v>59</v>
      </c>
      <c r="F3925" t="s">
        <v>283</v>
      </c>
      <c r="G3925" t="s">
        <v>133</v>
      </c>
      <c r="H3925">
        <v>2</v>
      </c>
      <c r="I3925" t="s">
        <v>12006</v>
      </c>
      <c r="J3925" t="s">
        <v>357</v>
      </c>
    </row>
    <row r="3926" spans="1:10" x14ac:dyDescent="0.25">
      <c r="A3926" t="s">
        <v>12007</v>
      </c>
      <c r="B3926" t="s">
        <v>12008</v>
      </c>
      <c r="C3926" s="2">
        <v>46261.583333333336</v>
      </c>
      <c r="D3926" t="s">
        <v>418</v>
      </c>
      <c r="E3926" t="s">
        <v>11</v>
      </c>
      <c r="F3926" t="s">
        <v>304</v>
      </c>
      <c r="G3926" t="s">
        <v>92</v>
      </c>
      <c r="H3926">
        <v>1</v>
      </c>
      <c r="I3926" t="s">
        <v>12009</v>
      </c>
      <c r="J3926" t="s">
        <v>357</v>
      </c>
    </row>
    <row r="3927" spans="1:10" x14ac:dyDescent="0.25">
      <c r="A3927" t="s">
        <v>12010</v>
      </c>
      <c r="B3927" t="s">
        <v>12011</v>
      </c>
      <c r="C3927" s="2">
        <v>46261.583333333336</v>
      </c>
      <c r="D3927" t="s">
        <v>418</v>
      </c>
      <c r="E3927" t="s">
        <v>20</v>
      </c>
      <c r="F3927" t="s">
        <v>287</v>
      </c>
      <c r="G3927" t="s">
        <v>97</v>
      </c>
      <c r="H3927">
        <v>4</v>
      </c>
      <c r="I3927" t="s">
        <v>12012</v>
      </c>
      <c r="J3927" t="s">
        <v>357</v>
      </c>
    </row>
    <row r="3928" spans="1:10" x14ac:dyDescent="0.25">
      <c r="A3928" t="s">
        <v>12013</v>
      </c>
      <c r="B3928" t="s">
        <v>12014</v>
      </c>
      <c r="C3928" s="2">
        <v>46261.583333333336</v>
      </c>
      <c r="D3928" t="s">
        <v>418</v>
      </c>
      <c r="E3928" t="s">
        <v>22</v>
      </c>
      <c r="F3928" t="s">
        <v>318</v>
      </c>
      <c r="G3928" t="s">
        <v>99</v>
      </c>
      <c r="H3928">
        <v>5</v>
      </c>
      <c r="I3928" t="s">
        <v>12015</v>
      </c>
      <c r="J3928" t="s">
        <v>357</v>
      </c>
    </row>
    <row r="3929" spans="1:10" x14ac:dyDescent="0.25">
      <c r="A3929" t="s">
        <v>12016</v>
      </c>
      <c r="B3929" t="s">
        <v>12017</v>
      </c>
      <c r="C3929" s="2">
        <v>46261.583333333336</v>
      </c>
      <c r="D3929" t="s">
        <v>418</v>
      </c>
      <c r="E3929" t="s">
        <v>24</v>
      </c>
      <c r="F3929" t="s">
        <v>319</v>
      </c>
      <c r="G3929" t="s">
        <v>101</v>
      </c>
      <c r="H3929">
        <v>3</v>
      </c>
      <c r="I3929" t="s">
        <v>12018</v>
      </c>
      <c r="J3929" t="s">
        <v>357</v>
      </c>
    </row>
    <row r="3930" spans="1:10" x14ac:dyDescent="0.25">
      <c r="A3930" t="s">
        <v>12019</v>
      </c>
      <c r="B3930" t="s">
        <v>12020</v>
      </c>
      <c r="C3930" s="2">
        <v>46261.583333333336</v>
      </c>
      <c r="D3930" t="s">
        <v>418</v>
      </c>
      <c r="E3930" t="s">
        <v>26</v>
      </c>
      <c r="F3930" t="s">
        <v>320</v>
      </c>
      <c r="G3930" t="s">
        <v>103</v>
      </c>
      <c r="H3930">
        <v>1</v>
      </c>
      <c r="I3930" t="s">
        <v>12021</v>
      </c>
      <c r="J3930" t="s">
        <v>357</v>
      </c>
    </row>
    <row r="3931" spans="1:10" x14ac:dyDescent="0.25">
      <c r="A3931" t="s">
        <v>12022</v>
      </c>
      <c r="B3931" t="s">
        <v>12023</v>
      </c>
      <c r="C3931" s="2">
        <v>46261.583333333336</v>
      </c>
      <c r="D3931" t="s">
        <v>418</v>
      </c>
      <c r="E3931" t="s">
        <v>28</v>
      </c>
      <c r="F3931" t="s">
        <v>236</v>
      </c>
      <c r="G3931" t="s">
        <v>105</v>
      </c>
      <c r="H3931">
        <v>5</v>
      </c>
      <c r="I3931" t="s">
        <v>12024</v>
      </c>
      <c r="J3931" t="s">
        <v>357</v>
      </c>
    </row>
    <row r="3932" spans="1:10" x14ac:dyDescent="0.25">
      <c r="A3932" t="s">
        <v>12025</v>
      </c>
      <c r="B3932" t="s">
        <v>12026</v>
      </c>
      <c r="C3932" s="2">
        <v>46261.583333333336</v>
      </c>
      <c r="D3932" t="s">
        <v>418</v>
      </c>
      <c r="E3932" t="s">
        <v>57</v>
      </c>
      <c r="F3932" t="s">
        <v>299</v>
      </c>
      <c r="G3932" t="s">
        <v>131</v>
      </c>
      <c r="H3932">
        <v>1</v>
      </c>
      <c r="I3932" t="s">
        <v>12027</v>
      </c>
      <c r="J3932" t="s">
        <v>357</v>
      </c>
    </row>
    <row r="3933" spans="1:10" x14ac:dyDescent="0.25">
      <c r="A3933" t="s">
        <v>12028</v>
      </c>
      <c r="B3933" t="s">
        <v>12029</v>
      </c>
      <c r="C3933" s="2">
        <v>46261.583333333336</v>
      </c>
      <c r="D3933" t="s">
        <v>418</v>
      </c>
      <c r="E3933" t="s">
        <v>59</v>
      </c>
      <c r="F3933" t="s">
        <v>283</v>
      </c>
      <c r="G3933" t="s">
        <v>133</v>
      </c>
      <c r="H3933">
        <v>2</v>
      </c>
      <c r="I3933" t="s">
        <v>12030</v>
      </c>
      <c r="J3933" t="s">
        <v>357</v>
      </c>
    </row>
    <row r="3934" spans="1:10" x14ac:dyDescent="0.25">
      <c r="A3934" t="s">
        <v>12031</v>
      </c>
      <c r="B3934" t="s">
        <v>12032</v>
      </c>
      <c r="C3934" s="2">
        <v>46261.583333333336</v>
      </c>
      <c r="D3934" t="s">
        <v>418</v>
      </c>
      <c r="E3934" t="s">
        <v>65</v>
      </c>
      <c r="F3934" t="s">
        <v>284</v>
      </c>
      <c r="G3934" t="s">
        <v>135</v>
      </c>
      <c r="H3934">
        <v>2</v>
      </c>
      <c r="I3934" t="s">
        <v>12033</v>
      </c>
      <c r="J3934" t="s">
        <v>357</v>
      </c>
    </row>
    <row r="3935" spans="1:10" x14ac:dyDescent="0.25">
      <c r="A3935" t="s">
        <v>12034</v>
      </c>
      <c r="B3935" t="s">
        <v>12035</v>
      </c>
      <c r="C3935" s="2">
        <v>46261.583333333336</v>
      </c>
      <c r="D3935" t="s">
        <v>418</v>
      </c>
      <c r="E3935" t="s">
        <v>71</v>
      </c>
      <c r="F3935" t="s">
        <v>257</v>
      </c>
      <c r="G3935" t="s">
        <v>141</v>
      </c>
      <c r="H3935">
        <v>4</v>
      </c>
      <c r="I3935" t="s">
        <v>12036</v>
      </c>
      <c r="J3935" t="s">
        <v>357</v>
      </c>
    </row>
    <row r="3936" spans="1:10" x14ac:dyDescent="0.25">
      <c r="A3936" t="s">
        <v>12037</v>
      </c>
      <c r="B3936" t="s">
        <v>12038</v>
      </c>
      <c r="C3936" s="2">
        <v>46261.583333333336</v>
      </c>
      <c r="D3936" t="s">
        <v>418</v>
      </c>
      <c r="E3936" t="s">
        <v>11</v>
      </c>
      <c r="F3936" t="s">
        <v>304</v>
      </c>
      <c r="G3936" t="s">
        <v>92</v>
      </c>
      <c r="H3936">
        <v>2</v>
      </c>
      <c r="I3936" t="s">
        <v>12039</v>
      </c>
      <c r="J3936" t="s">
        <v>357</v>
      </c>
    </row>
    <row r="3937" spans="1:10" x14ac:dyDescent="0.25">
      <c r="A3937" t="s">
        <v>12040</v>
      </c>
      <c r="B3937" t="s">
        <v>12041</v>
      </c>
      <c r="C3937" s="2">
        <v>46261.583333333336</v>
      </c>
      <c r="D3937" t="s">
        <v>418</v>
      </c>
      <c r="E3937" t="s">
        <v>18</v>
      </c>
      <c r="F3937" t="s">
        <v>305</v>
      </c>
      <c r="G3937" t="s">
        <v>95</v>
      </c>
      <c r="H3937">
        <v>1</v>
      </c>
      <c r="I3937" t="s">
        <v>12042</v>
      </c>
      <c r="J3937" t="s">
        <v>357</v>
      </c>
    </row>
    <row r="3938" spans="1:10" x14ac:dyDescent="0.25">
      <c r="A3938" t="s">
        <v>12043</v>
      </c>
      <c r="B3938" t="s">
        <v>12044</v>
      </c>
      <c r="C3938" s="2">
        <v>46261.583333333336</v>
      </c>
      <c r="D3938" t="s">
        <v>418</v>
      </c>
      <c r="E3938" t="s">
        <v>18</v>
      </c>
      <c r="F3938" t="s">
        <v>286</v>
      </c>
      <c r="G3938" t="s">
        <v>95</v>
      </c>
      <c r="H3938">
        <v>5</v>
      </c>
      <c r="I3938" t="s">
        <v>12042</v>
      </c>
      <c r="J3938" t="s">
        <v>357</v>
      </c>
    </row>
    <row r="3939" spans="1:10" x14ac:dyDescent="0.25">
      <c r="A3939" t="s">
        <v>12045</v>
      </c>
      <c r="B3939" t="s">
        <v>12046</v>
      </c>
      <c r="C3939" s="2">
        <v>46261.583333333336</v>
      </c>
      <c r="D3939" t="s">
        <v>418</v>
      </c>
      <c r="E3939" t="s">
        <v>20</v>
      </c>
      <c r="F3939" t="s">
        <v>287</v>
      </c>
      <c r="G3939" t="s">
        <v>97</v>
      </c>
      <c r="H3939">
        <v>5</v>
      </c>
      <c r="I3939" t="s">
        <v>12047</v>
      </c>
      <c r="J3939" t="s">
        <v>357</v>
      </c>
    </row>
    <row r="3940" spans="1:10" x14ac:dyDescent="0.25">
      <c r="A3940" t="s">
        <v>12048</v>
      </c>
      <c r="B3940" t="s">
        <v>12049</v>
      </c>
      <c r="C3940" s="2">
        <v>46261.583333333336</v>
      </c>
      <c r="D3940" t="s">
        <v>418</v>
      </c>
      <c r="E3940" t="s">
        <v>24</v>
      </c>
      <c r="F3940" t="s">
        <v>319</v>
      </c>
      <c r="G3940" t="s">
        <v>101</v>
      </c>
      <c r="H3940">
        <v>1</v>
      </c>
      <c r="I3940" t="s">
        <v>12050</v>
      </c>
      <c r="J3940" t="s">
        <v>357</v>
      </c>
    </row>
    <row r="3941" spans="1:10" x14ac:dyDescent="0.25">
      <c r="A3941" t="s">
        <v>12051</v>
      </c>
      <c r="B3941" t="s">
        <v>12052</v>
      </c>
      <c r="C3941" s="2">
        <v>46261.583333333336</v>
      </c>
      <c r="D3941" t="s">
        <v>418</v>
      </c>
      <c r="E3941" t="s">
        <v>26</v>
      </c>
      <c r="F3941" t="s">
        <v>320</v>
      </c>
      <c r="G3941" t="s">
        <v>103</v>
      </c>
      <c r="H3941">
        <v>1</v>
      </c>
      <c r="I3941" t="s">
        <v>12053</v>
      </c>
      <c r="J3941" t="s">
        <v>357</v>
      </c>
    </row>
    <row r="3942" spans="1:10" x14ac:dyDescent="0.25">
      <c r="A3942" t="s">
        <v>12054</v>
      </c>
      <c r="B3942" t="s">
        <v>12055</v>
      </c>
      <c r="C3942" s="2">
        <v>46261.583333333336</v>
      </c>
      <c r="D3942" t="s">
        <v>418</v>
      </c>
      <c r="E3942" t="s">
        <v>32</v>
      </c>
      <c r="F3942" t="s">
        <v>311</v>
      </c>
      <c r="G3942" t="s">
        <v>109</v>
      </c>
      <c r="H3942">
        <v>5</v>
      </c>
      <c r="I3942" t="s">
        <v>12056</v>
      </c>
      <c r="J3942" t="s">
        <v>357</v>
      </c>
    </row>
    <row r="3943" spans="1:10" x14ac:dyDescent="0.25">
      <c r="A3943" t="s">
        <v>12057</v>
      </c>
      <c r="B3943" t="s">
        <v>12058</v>
      </c>
      <c r="C3943" s="2">
        <v>46261.583333333336</v>
      </c>
      <c r="D3943" t="s">
        <v>418</v>
      </c>
      <c r="E3943" t="s">
        <v>49</v>
      </c>
      <c r="F3943" t="s">
        <v>295</v>
      </c>
      <c r="G3943" t="s">
        <v>123</v>
      </c>
      <c r="H3943">
        <v>1</v>
      </c>
      <c r="I3943" t="s">
        <v>12059</v>
      </c>
      <c r="J3943" t="s">
        <v>357</v>
      </c>
    </row>
    <row r="3944" spans="1:10" x14ac:dyDescent="0.25">
      <c r="A3944" t="s">
        <v>12060</v>
      </c>
      <c r="B3944" t="s">
        <v>12061</v>
      </c>
      <c r="C3944" s="2">
        <v>46261.583333333336</v>
      </c>
      <c r="D3944" t="s">
        <v>418</v>
      </c>
      <c r="E3944" t="s">
        <v>51</v>
      </c>
      <c r="F3944" t="s">
        <v>254</v>
      </c>
      <c r="G3944" t="s">
        <v>125</v>
      </c>
      <c r="H3944">
        <v>5</v>
      </c>
      <c r="I3944" t="s">
        <v>12062</v>
      </c>
      <c r="J3944" t="s">
        <v>357</v>
      </c>
    </row>
    <row r="3945" spans="1:10" x14ac:dyDescent="0.25">
      <c r="A3945" t="s">
        <v>12063</v>
      </c>
      <c r="B3945" t="s">
        <v>12064</v>
      </c>
      <c r="C3945" s="2">
        <v>46261.583333333336</v>
      </c>
      <c r="D3945" t="s">
        <v>418</v>
      </c>
      <c r="E3945" t="s">
        <v>53</v>
      </c>
      <c r="F3945" t="s">
        <v>239</v>
      </c>
      <c r="G3945" t="s">
        <v>127</v>
      </c>
      <c r="H3945">
        <v>1</v>
      </c>
      <c r="I3945" t="s">
        <v>12065</v>
      </c>
      <c r="J3945" t="s">
        <v>357</v>
      </c>
    </row>
    <row r="3946" spans="1:10" x14ac:dyDescent="0.25">
      <c r="A3946" t="s">
        <v>12066</v>
      </c>
      <c r="B3946" t="s">
        <v>12067</v>
      </c>
      <c r="C3946" s="2">
        <v>46261.583333333336</v>
      </c>
      <c r="D3946" t="s">
        <v>418</v>
      </c>
      <c r="E3946" t="s">
        <v>57</v>
      </c>
      <c r="F3946" t="s">
        <v>299</v>
      </c>
      <c r="G3946" t="s">
        <v>131</v>
      </c>
      <c r="H3946">
        <v>1</v>
      </c>
      <c r="I3946" t="s">
        <v>12068</v>
      </c>
      <c r="J3946" t="s">
        <v>357</v>
      </c>
    </row>
    <row r="3947" spans="1:10" x14ac:dyDescent="0.25">
      <c r="A3947" t="s">
        <v>12069</v>
      </c>
      <c r="B3947" t="s">
        <v>12070</v>
      </c>
      <c r="C3947" s="2">
        <v>46261.583333333336</v>
      </c>
      <c r="D3947" t="s">
        <v>418</v>
      </c>
      <c r="E3947" t="s">
        <v>77</v>
      </c>
      <c r="F3947" t="s">
        <v>273</v>
      </c>
      <c r="G3947" t="s">
        <v>147</v>
      </c>
      <c r="H3947">
        <v>1</v>
      </c>
      <c r="I3947" t="s">
        <v>12071</v>
      </c>
      <c r="J3947" t="s">
        <v>357</v>
      </c>
    </row>
    <row r="3948" spans="1:10" x14ac:dyDescent="0.25">
      <c r="A3948" t="s">
        <v>12072</v>
      </c>
      <c r="B3948" t="s">
        <v>12073</v>
      </c>
      <c r="C3948" s="2">
        <v>46261.583333333336</v>
      </c>
      <c r="D3948" t="s">
        <v>418</v>
      </c>
      <c r="E3948" t="s">
        <v>18</v>
      </c>
      <c r="F3948" t="s">
        <v>286</v>
      </c>
      <c r="G3948" t="s">
        <v>95</v>
      </c>
      <c r="H3948">
        <v>4</v>
      </c>
      <c r="I3948" t="s">
        <v>12074</v>
      </c>
      <c r="J3948" t="s">
        <v>357</v>
      </c>
    </row>
    <row r="3949" spans="1:10" x14ac:dyDescent="0.25">
      <c r="A3949" t="s">
        <v>12075</v>
      </c>
      <c r="B3949" t="s">
        <v>12076</v>
      </c>
      <c r="C3949" s="2">
        <v>46261.583333333336</v>
      </c>
      <c r="D3949" t="s">
        <v>418</v>
      </c>
      <c r="E3949" t="s">
        <v>20</v>
      </c>
      <c r="F3949" t="s">
        <v>287</v>
      </c>
      <c r="G3949" t="s">
        <v>97</v>
      </c>
      <c r="H3949">
        <v>4</v>
      </c>
      <c r="I3949" t="s">
        <v>12077</v>
      </c>
      <c r="J3949" t="s">
        <v>357</v>
      </c>
    </row>
    <row r="3950" spans="1:10" x14ac:dyDescent="0.25">
      <c r="A3950" t="s">
        <v>12078</v>
      </c>
      <c r="B3950" t="s">
        <v>12079</v>
      </c>
      <c r="C3950" s="2">
        <v>46261.583333333336</v>
      </c>
      <c r="D3950" t="s">
        <v>418</v>
      </c>
      <c r="E3950" t="s">
        <v>22</v>
      </c>
      <c r="F3950" t="s">
        <v>318</v>
      </c>
      <c r="G3950" t="s">
        <v>99</v>
      </c>
      <c r="H3950">
        <v>7</v>
      </c>
      <c r="I3950" t="s">
        <v>12080</v>
      </c>
      <c r="J3950" t="s">
        <v>357</v>
      </c>
    </row>
    <row r="3951" spans="1:10" x14ac:dyDescent="0.25">
      <c r="A3951" t="s">
        <v>12081</v>
      </c>
      <c r="B3951" t="s">
        <v>12082</v>
      </c>
      <c r="C3951" s="2">
        <v>46261.583333333336</v>
      </c>
      <c r="D3951" t="s">
        <v>418</v>
      </c>
      <c r="E3951" t="s">
        <v>24</v>
      </c>
      <c r="F3951" t="s">
        <v>319</v>
      </c>
      <c r="G3951" t="s">
        <v>101</v>
      </c>
      <c r="H3951">
        <v>1</v>
      </c>
      <c r="I3951" t="s">
        <v>12083</v>
      </c>
      <c r="J3951" t="s">
        <v>357</v>
      </c>
    </row>
    <row r="3952" spans="1:10" x14ac:dyDescent="0.25">
      <c r="A3952" t="s">
        <v>12084</v>
      </c>
      <c r="B3952" t="s">
        <v>12085</v>
      </c>
      <c r="C3952" s="2">
        <v>46261.583333333336</v>
      </c>
      <c r="D3952" t="s">
        <v>418</v>
      </c>
      <c r="E3952" t="s">
        <v>26</v>
      </c>
      <c r="F3952" t="s">
        <v>320</v>
      </c>
      <c r="G3952" t="s">
        <v>103</v>
      </c>
      <c r="H3952">
        <v>3</v>
      </c>
      <c r="I3952" t="s">
        <v>12086</v>
      </c>
      <c r="J3952" t="s">
        <v>357</v>
      </c>
    </row>
    <row r="3953" spans="1:10" x14ac:dyDescent="0.25">
      <c r="A3953" t="s">
        <v>12087</v>
      </c>
      <c r="B3953" t="s">
        <v>12088</v>
      </c>
      <c r="C3953" s="2">
        <v>46261.583333333336</v>
      </c>
      <c r="D3953" t="s">
        <v>418</v>
      </c>
      <c r="E3953" t="s">
        <v>28</v>
      </c>
      <c r="F3953" t="s">
        <v>236</v>
      </c>
      <c r="G3953" t="s">
        <v>105</v>
      </c>
      <c r="H3953">
        <v>4</v>
      </c>
      <c r="I3953" t="s">
        <v>12089</v>
      </c>
      <c r="J3953" t="s">
        <v>357</v>
      </c>
    </row>
    <row r="3954" spans="1:10" x14ac:dyDescent="0.25">
      <c r="A3954" t="s">
        <v>12090</v>
      </c>
      <c r="B3954" t="s">
        <v>12091</v>
      </c>
      <c r="C3954" s="2">
        <v>46261.583333333336</v>
      </c>
      <c r="D3954" t="s">
        <v>418</v>
      </c>
      <c r="E3954" t="s">
        <v>32</v>
      </c>
      <c r="F3954" t="s">
        <v>311</v>
      </c>
      <c r="G3954" t="s">
        <v>109</v>
      </c>
      <c r="H3954">
        <v>4</v>
      </c>
      <c r="I3954" t="s">
        <v>12092</v>
      </c>
      <c r="J3954" t="s">
        <v>357</v>
      </c>
    </row>
    <row r="3955" spans="1:10" x14ac:dyDescent="0.25">
      <c r="A3955" t="s">
        <v>12093</v>
      </c>
      <c r="B3955" t="s">
        <v>12094</v>
      </c>
      <c r="C3955" s="2">
        <v>46261.583333333336</v>
      </c>
      <c r="D3955" t="s">
        <v>418</v>
      </c>
      <c r="E3955" t="s">
        <v>41</v>
      </c>
      <c r="F3955" t="s">
        <v>293</v>
      </c>
      <c r="G3955" t="s">
        <v>115</v>
      </c>
      <c r="H3955">
        <v>1</v>
      </c>
      <c r="I3955" t="s">
        <v>12095</v>
      </c>
      <c r="J3955" t="s">
        <v>357</v>
      </c>
    </row>
    <row r="3956" spans="1:10" x14ac:dyDescent="0.25">
      <c r="A3956" t="s">
        <v>12096</v>
      </c>
      <c r="B3956" t="s">
        <v>12097</v>
      </c>
      <c r="C3956" s="2">
        <v>46261.583333333336</v>
      </c>
      <c r="D3956" t="s">
        <v>418</v>
      </c>
      <c r="E3956" t="s">
        <v>43</v>
      </c>
      <c r="F3956" t="s">
        <v>237</v>
      </c>
      <c r="G3956" t="s">
        <v>117</v>
      </c>
      <c r="H3956">
        <v>6</v>
      </c>
      <c r="I3956" t="s">
        <v>12098</v>
      </c>
      <c r="J3956" t="s">
        <v>357</v>
      </c>
    </row>
    <row r="3957" spans="1:10" x14ac:dyDescent="0.25">
      <c r="A3957" t="s">
        <v>12099</v>
      </c>
      <c r="B3957" t="s">
        <v>12100</v>
      </c>
      <c r="C3957" s="2">
        <v>46261.583333333336</v>
      </c>
      <c r="D3957" t="s">
        <v>418</v>
      </c>
      <c r="E3957" t="s">
        <v>45</v>
      </c>
      <c r="F3957" t="s">
        <v>312</v>
      </c>
      <c r="G3957" t="s">
        <v>119</v>
      </c>
      <c r="H3957">
        <v>4</v>
      </c>
      <c r="I3957" t="s">
        <v>12101</v>
      </c>
      <c r="J3957" t="s">
        <v>357</v>
      </c>
    </row>
    <row r="3958" spans="1:10" x14ac:dyDescent="0.25">
      <c r="A3958" t="s">
        <v>12102</v>
      </c>
      <c r="B3958" t="s">
        <v>12103</v>
      </c>
      <c r="C3958" s="2">
        <v>46261.583333333336</v>
      </c>
      <c r="D3958" t="s">
        <v>418</v>
      </c>
      <c r="E3958" t="s">
        <v>51</v>
      </c>
      <c r="F3958" t="s">
        <v>254</v>
      </c>
      <c r="G3958" t="s">
        <v>125</v>
      </c>
      <c r="H3958">
        <v>1</v>
      </c>
      <c r="I3958" t="s">
        <v>12104</v>
      </c>
      <c r="J3958" t="s">
        <v>357</v>
      </c>
    </row>
    <row r="3959" spans="1:10" x14ac:dyDescent="0.25">
      <c r="A3959" t="s">
        <v>12105</v>
      </c>
      <c r="B3959" t="s">
        <v>12106</v>
      </c>
      <c r="C3959" s="2">
        <v>46261.583333333336</v>
      </c>
      <c r="D3959" t="s">
        <v>418</v>
      </c>
      <c r="E3959" t="s">
        <v>59</v>
      </c>
      <c r="F3959" t="s">
        <v>283</v>
      </c>
      <c r="G3959" t="s">
        <v>133</v>
      </c>
      <c r="H3959">
        <v>1</v>
      </c>
      <c r="I3959" t="s">
        <v>12107</v>
      </c>
      <c r="J3959" t="s">
        <v>357</v>
      </c>
    </row>
    <row r="3960" spans="1:10" x14ac:dyDescent="0.25">
      <c r="A3960" t="s">
        <v>12108</v>
      </c>
      <c r="B3960" t="s">
        <v>12109</v>
      </c>
      <c r="C3960" s="2">
        <v>46261.583333333336</v>
      </c>
      <c r="D3960" t="s">
        <v>418</v>
      </c>
      <c r="E3960" t="s">
        <v>71</v>
      </c>
      <c r="F3960" t="s">
        <v>257</v>
      </c>
      <c r="G3960" t="s">
        <v>141</v>
      </c>
      <c r="H3960">
        <v>1</v>
      </c>
      <c r="I3960" t="s">
        <v>12110</v>
      </c>
      <c r="J3960" t="s">
        <v>357</v>
      </c>
    </row>
    <row r="3961" spans="1:10" x14ac:dyDescent="0.25">
      <c r="A3961" t="s">
        <v>12111</v>
      </c>
      <c r="B3961" t="s">
        <v>12112</v>
      </c>
      <c r="C3961" s="2">
        <v>46261.583333333336</v>
      </c>
      <c r="D3961" t="s">
        <v>418</v>
      </c>
      <c r="E3961" t="s">
        <v>71</v>
      </c>
      <c r="F3961" t="s">
        <v>302</v>
      </c>
      <c r="G3961" t="s">
        <v>141</v>
      </c>
      <c r="H3961">
        <v>5</v>
      </c>
      <c r="I3961" t="s">
        <v>12110</v>
      </c>
      <c r="J3961" t="s">
        <v>357</v>
      </c>
    </row>
    <row r="3962" spans="1:10" x14ac:dyDescent="0.25">
      <c r="A3962" t="s">
        <v>12113</v>
      </c>
      <c r="B3962" t="s">
        <v>12114</v>
      </c>
      <c r="C3962" s="2">
        <v>46261.583333333336</v>
      </c>
      <c r="D3962" t="s">
        <v>418</v>
      </c>
      <c r="E3962" t="s">
        <v>11</v>
      </c>
      <c r="F3962" t="s">
        <v>304</v>
      </c>
      <c r="G3962" t="s">
        <v>92</v>
      </c>
      <c r="H3962">
        <v>3</v>
      </c>
      <c r="I3962" t="s">
        <v>12115</v>
      </c>
      <c r="J3962" t="s">
        <v>357</v>
      </c>
    </row>
    <row r="3963" spans="1:10" x14ac:dyDescent="0.25">
      <c r="A3963" t="s">
        <v>12116</v>
      </c>
      <c r="B3963" t="s">
        <v>12117</v>
      </c>
      <c r="C3963" s="2">
        <v>46261.583333333336</v>
      </c>
      <c r="D3963" t="s">
        <v>418</v>
      </c>
      <c r="E3963" t="s">
        <v>20</v>
      </c>
      <c r="F3963" t="s">
        <v>287</v>
      </c>
      <c r="G3963" t="s">
        <v>97</v>
      </c>
      <c r="H3963">
        <v>1</v>
      </c>
      <c r="I3963" t="s">
        <v>12118</v>
      </c>
      <c r="J3963" t="s">
        <v>357</v>
      </c>
    </row>
    <row r="3964" spans="1:10" x14ac:dyDescent="0.25">
      <c r="A3964" t="s">
        <v>12119</v>
      </c>
      <c r="B3964" t="s">
        <v>12120</v>
      </c>
      <c r="C3964" s="2">
        <v>46261.583333333336</v>
      </c>
      <c r="D3964" t="s">
        <v>418</v>
      </c>
      <c r="E3964" t="s">
        <v>20</v>
      </c>
      <c r="F3964" t="s">
        <v>317</v>
      </c>
      <c r="G3964" t="s">
        <v>97</v>
      </c>
      <c r="H3964">
        <v>3</v>
      </c>
      <c r="I3964" t="s">
        <v>12118</v>
      </c>
      <c r="J3964" t="s">
        <v>357</v>
      </c>
    </row>
    <row r="3965" spans="1:10" x14ac:dyDescent="0.25">
      <c r="A3965" t="s">
        <v>12121</v>
      </c>
      <c r="B3965" t="s">
        <v>12122</v>
      </c>
      <c r="C3965" s="2">
        <v>46261.583333333336</v>
      </c>
      <c r="D3965" t="s">
        <v>418</v>
      </c>
      <c r="E3965" t="s">
        <v>30</v>
      </c>
      <c r="F3965" t="s">
        <v>207</v>
      </c>
      <c r="G3965" t="s">
        <v>107</v>
      </c>
      <c r="H3965">
        <v>4</v>
      </c>
      <c r="I3965" t="s">
        <v>12123</v>
      </c>
      <c r="J3965" t="s">
        <v>357</v>
      </c>
    </row>
    <row r="3966" spans="1:10" x14ac:dyDescent="0.25">
      <c r="A3966" t="s">
        <v>12124</v>
      </c>
      <c r="B3966" t="s">
        <v>12125</v>
      </c>
      <c r="C3966" s="2">
        <v>46261.583333333336</v>
      </c>
      <c r="D3966" t="s">
        <v>418</v>
      </c>
      <c r="E3966" t="s">
        <v>36</v>
      </c>
      <c r="F3966" t="s">
        <v>281</v>
      </c>
      <c r="G3966" t="s">
        <v>113</v>
      </c>
      <c r="H3966">
        <v>3</v>
      </c>
      <c r="I3966" t="s">
        <v>12126</v>
      </c>
      <c r="J3966" t="s">
        <v>357</v>
      </c>
    </row>
    <row r="3967" spans="1:10" x14ac:dyDescent="0.25">
      <c r="A3967" t="s">
        <v>12127</v>
      </c>
      <c r="B3967" t="s">
        <v>12128</v>
      </c>
      <c r="C3967" s="2">
        <v>46261.583333333336</v>
      </c>
      <c r="D3967" t="s">
        <v>418</v>
      </c>
      <c r="E3967" t="s">
        <v>43</v>
      </c>
      <c r="F3967" t="s">
        <v>237</v>
      </c>
      <c r="G3967" t="s">
        <v>117</v>
      </c>
      <c r="H3967">
        <v>1</v>
      </c>
      <c r="I3967" t="s">
        <v>12129</v>
      </c>
      <c r="J3967" t="s">
        <v>357</v>
      </c>
    </row>
    <row r="3968" spans="1:10" x14ac:dyDescent="0.25">
      <c r="A3968" t="s">
        <v>12130</v>
      </c>
      <c r="B3968" t="s">
        <v>12131</v>
      </c>
      <c r="C3968" s="2">
        <v>46261.583333333336</v>
      </c>
      <c r="D3968" t="s">
        <v>418</v>
      </c>
      <c r="E3968" t="s">
        <v>47</v>
      </c>
      <c r="F3968" t="s">
        <v>322</v>
      </c>
      <c r="G3968" t="s">
        <v>121</v>
      </c>
      <c r="H3968">
        <v>4</v>
      </c>
      <c r="I3968" t="s">
        <v>12132</v>
      </c>
      <c r="J3968" t="s">
        <v>357</v>
      </c>
    </row>
    <row r="3969" spans="1:10" x14ac:dyDescent="0.25">
      <c r="A3969" t="s">
        <v>12133</v>
      </c>
      <c r="B3969" t="s">
        <v>12134</v>
      </c>
      <c r="C3969" s="2">
        <v>46261.583333333336</v>
      </c>
      <c r="D3969" t="s">
        <v>418</v>
      </c>
      <c r="E3969" t="s">
        <v>57</v>
      </c>
      <c r="F3969" t="s">
        <v>299</v>
      </c>
      <c r="G3969" t="s">
        <v>131</v>
      </c>
      <c r="H3969">
        <v>4</v>
      </c>
      <c r="I3969" t="s">
        <v>12135</v>
      </c>
      <c r="J3969" t="s">
        <v>357</v>
      </c>
    </row>
    <row r="3970" spans="1:10" x14ac:dyDescent="0.25">
      <c r="A3970" t="s">
        <v>12136</v>
      </c>
      <c r="B3970" t="s">
        <v>12137</v>
      </c>
      <c r="C3970" s="2">
        <v>46261.583333333336</v>
      </c>
      <c r="D3970" t="s">
        <v>418</v>
      </c>
      <c r="E3970" t="s">
        <v>73</v>
      </c>
      <c r="F3970" t="s">
        <v>258</v>
      </c>
      <c r="G3970" t="s">
        <v>143</v>
      </c>
      <c r="H3970">
        <v>4</v>
      </c>
      <c r="I3970" t="s">
        <v>12138</v>
      </c>
      <c r="J3970" t="s">
        <v>357</v>
      </c>
    </row>
    <row r="3971" spans="1:10" x14ac:dyDescent="0.25">
      <c r="A3971" t="s">
        <v>12139</v>
      </c>
      <c r="B3971" t="s">
        <v>12140</v>
      </c>
      <c r="C3971" s="2">
        <v>46261.583333333336</v>
      </c>
      <c r="D3971" t="s">
        <v>418</v>
      </c>
      <c r="E3971" t="s">
        <v>77</v>
      </c>
      <c r="F3971" t="s">
        <v>273</v>
      </c>
      <c r="G3971" t="s">
        <v>147</v>
      </c>
      <c r="H3971">
        <v>2</v>
      </c>
      <c r="I3971" t="s">
        <v>12141</v>
      </c>
      <c r="J3971" t="s">
        <v>357</v>
      </c>
    </row>
    <row r="3972" spans="1:10" x14ac:dyDescent="0.25">
      <c r="A3972" t="s">
        <v>12142</v>
      </c>
      <c r="B3972" t="s">
        <v>12143</v>
      </c>
      <c r="C3972" s="2">
        <v>46262.583333333336</v>
      </c>
      <c r="D3972" t="s">
        <v>418</v>
      </c>
      <c r="E3972" t="s">
        <v>18</v>
      </c>
      <c r="F3972" t="s">
        <v>286</v>
      </c>
      <c r="G3972" t="s">
        <v>95</v>
      </c>
      <c r="H3972">
        <v>2</v>
      </c>
      <c r="I3972" t="s">
        <v>12144</v>
      </c>
      <c r="J3972" t="s">
        <v>357</v>
      </c>
    </row>
    <row r="3973" spans="1:10" x14ac:dyDescent="0.25">
      <c r="A3973" t="s">
        <v>12145</v>
      </c>
      <c r="B3973" t="s">
        <v>12146</v>
      </c>
      <c r="C3973" s="2">
        <v>46262.583333333336</v>
      </c>
      <c r="D3973" t="s">
        <v>418</v>
      </c>
      <c r="E3973" t="s">
        <v>20</v>
      </c>
      <c r="F3973" t="s">
        <v>317</v>
      </c>
      <c r="G3973" t="s">
        <v>97</v>
      </c>
      <c r="H3973">
        <v>4</v>
      </c>
      <c r="I3973" t="s">
        <v>12147</v>
      </c>
      <c r="J3973" t="s">
        <v>357</v>
      </c>
    </row>
    <row r="3974" spans="1:10" x14ac:dyDescent="0.25">
      <c r="A3974" t="s">
        <v>12148</v>
      </c>
      <c r="B3974" t="s">
        <v>12149</v>
      </c>
      <c r="C3974" s="2">
        <v>46262.583333333336</v>
      </c>
      <c r="D3974" t="s">
        <v>418</v>
      </c>
      <c r="E3974" t="s">
        <v>22</v>
      </c>
      <c r="F3974" t="s">
        <v>318</v>
      </c>
      <c r="G3974" t="s">
        <v>99</v>
      </c>
      <c r="H3974">
        <v>3</v>
      </c>
      <c r="I3974" t="s">
        <v>12150</v>
      </c>
      <c r="J3974" t="s">
        <v>357</v>
      </c>
    </row>
    <row r="3975" spans="1:10" x14ac:dyDescent="0.25">
      <c r="A3975" t="s">
        <v>12151</v>
      </c>
      <c r="B3975" t="s">
        <v>12152</v>
      </c>
      <c r="C3975" s="2">
        <v>46262.583333333336</v>
      </c>
      <c r="D3975" t="s">
        <v>418</v>
      </c>
      <c r="E3975" t="s">
        <v>24</v>
      </c>
      <c r="F3975" t="s">
        <v>319</v>
      </c>
      <c r="G3975" t="s">
        <v>101</v>
      </c>
      <c r="H3975">
        <v>3</v>
      </c>
      <c r="I3975" t="s">
        <v>12153</v>
      </c>
      <c r="J3975" t="s">
        <v>357</v>
      </c>
    </row>
    <row r="3976" spans="1:10" x14ac:dyDescent="0.25">
      <c r="A3976" t="s">
        <v>12154</v>
      </c>
      <c r="B3976" t="s">
        <v>12155</v>
      </c>
      <c r="C3976" s="2">
        <v>46262.583333333336</v>
      </c>
      <c r="D3976" t="s">
        <v>418</v>
      </c>
      <c r="E3976" t="s">
        <v>26</v>
      </c>
      <c r="F3976" t="s">
        <v>320</v>
      </c>
      <c r="G3976" t="s">
        <v>103</v>
      </c>
      <c r="H3976">
        <v>1</v>
      </c>
      <c r="I3976" t="s">
        <v>12156</v>
      </c>
      <c r="J3976" t="s">
        <v>357</v>
      </c>
    </row>
    <row r="3977" spans="1:10" x14ac:dyDescent="0.25">
      <c r="A3977" t="s">
        <v>12157</v>
      </c>
      <c r="B3977" t="s">
        <v>12158</v>
      </c>
      <c r="C3977" s="2">
        <v>46262.583333333336</v>
      </c>
      <c r="D3977" t="s">
        <v>418</v>
      </c>
      <c r="E3977" t="s">
        <v>28</v>
      </c>
      <c r="F3977" t="s">
        <v>236</v>
      </c>
      <c r="G3977" t="s">
        <v>105</v>
      </c>
      <c r="H3977">
        <v>4</v>
      </c>
      <c r="I3977" t="s">
        <v>12159</v>
      </c>
      <c r="J3977" t="s">
        <v>357</v>
      </c>
    </row>
    <row r="3978" spans="1:10" x14ac:dyDescent="0.25">
      <c r="A3978" t="s">
        <v>12160</v>
      </c>
      <c r="B3978" t="s">
        <v>12161</v>
      </c>
      <c r="C3978" s="2">
        <v>46262.583333333336</v>
      </c>
      <c r="D3978" t="s">
        <v>418</v>
      </c>
      <c r="E3978" t="s">
        <v>41</v>
      </c>
      <c r="F3978" t="s">
        <v>293</v>
      </c>
      <c r="G3978" t="s">
        <v>115</v>
      </c>
      <c r="H3978">
        <v>2</v>
      </c>
      <c r="I3978" t="s">
        <v>12162</v>
      </c>
      <c r="J3978" t="s">
        <v>357</v>
      </c>
    </row>
    <row r="3979" spans="1:10" x14ac:dyDescent="0.25">
      <c r="A3979" t="s">
        <v>12163</v>
      </c>
      <c r="B3979" t="s">
        <v>12164</v>
      </c>
      <c r="C3979" s="2">
        <v>46262.583333333336</v>
      </c>
      <c r="D3979" t="s">
        <v>418</v>
      </c>
      <c r="E3979" t="s">
        <v>51</v>
      </c>
      <c r="F3979" t="s">
        <v>254</v>
      </c>
      <c r="G3979" t="s">
        <v>125</v>
      </c>
      <c r="H3979">
        <v>3</v>
      </c>
      <c r="I3979" t="s">
        <v>12165</v>
      </c>
      <c r="J3979" t="s">
        <v>357</v>
      </c>
    </row>
    <row r="3980" spans="1:10" x14ac:dyDescent="0.25">
      <c r="A3980" t="s">
        <v>12166</v>
      </c>
      <c r="B3980" t="s">
        <v>12167</v>
      </c>
      <c r="C3980" s="2">
        <v>46262.583333333336</v>
      </c>
      <c r="D3980" t="s">
        <v>418</v>
      </c>
      <c r="E3980" t="s">
        <v>55</v>
      </c>
      <c r="F3980" t="s">
        <v>240</v>
      </c>
      <c r="G3980" t="s">
        <v>129</v>
      </c>
      <c r="H3980">
        <v>2</v>
      </c>
      <c r="I3980" t="s">
        <v>12168</v>
      </c>
      <c r="J3980" t="s">
        <v>357</v>
      </c>
    </row>
    <row r="3981" spans="1:10" x14ac:dyDescent="0.25">
      <c r="A3981" t="s">
        <v>12169</v>
      </c>
      <c r="B3981" t="s">
        <v>12170</v>
      </c>
      <c r="C3981" s="2">
        <v>46262.583333333336</v>
      </c>
      <c r="D3981" t="s">
        <v>418</v>
      </c>
      <c r="E3981" t="s">
        <v>73</v>
      </c>
      <c r="F3981" t="s">
        <v>258</v>
      </c>
      <c r="G3981" t="s">
        <v>143</v>
      </c>
      <c r="H3981">
        <v>2</v>
      </c>
      <c r="I3981" t="s">
        <v>12171</v>
      </c>
      <c r="J3981" t="s">
        <v>357</v>
      </c>
    </row>
    <row r="3982" spans="1:10" x14ac:dyDescent="0.25">
      <c r="A3982" t="s">
        <v>12172</v>
      </c>
      <c r="B3982" t="s">
        <v>12173</v>
      </c>
      <c r="C3982" s="2">
        <v>46262.583333333336</v>
      </c>
      <c r="D3982" t="s">
        <v>418</v>
      </c>
      <c r="E3982" t="s">
        <v>75</v>
      </c>
      <c r="F3982" t="s">
        <v>272</v>
      </c>
      <c r="G3982" t="s">
        <v>145</v>
      </c>
      <c r="H3982">
        <v>1</v>
      </c>
      <c r="I3982" t="s">
        <v>12174</v>
      </c>
      <c r="J3982" t="s">
        <v>357</v>
      </c>
    </row>
    <row r="3983" spans="1:10" x14ac:dyDescent="0.25">
      <c r="A3983" t="s">
        <v>12175</v>
      </c>
      <c r="B3983" t="s">
        <v>12176</v>
      </c>
      <c r="C3983" s="2">
        <v>46262.583333333336</v>
      </c>
      <c r="D3983" t="s">
        <v>418</v>
      </c>
      <c r="E3983" t="s">
        <v>18</v>
      </c>
      <c r="F3983" t="s">
        <v>286</v>
      </c>
      <c r="G3983" t="s">
        <v>95</v>
      </c>
      <c r="H3983">
        <v>4</v>
      </c>
      <c r="I3983" t="s">
        <v>12177</v>
      </c>
      <c r="J3983" t="s">
        <v>357</v>
      </c>
    </row>
    <row r="3984" spans="1:10" x14ac:dyDescent="0.25">
      <c r="A3984" t="s">
        <v>12178</v>
      </c>
      <c r="B3984" t="s">
        <v>12179</v>
      </c>
      <c r="C3984" s="2">
        <v>46262.583333333336</v>
      </c>
      <c r="D3984" t="s">
        <v>418</v>
      </c>
      <c r="E3984" t="s">
        <v>24</v>
      </c>
      <c r="F3984" t="s">
        <v>319</v>
      </c>
      <c r="G3984" t="s">
        <v>101</v>
      </c>
      <c r="H3984">
        <v>3</v>
      </c>
      <c r="I3984" t="s">
        <v>12180</v>
      </c>
      <c r="J3984" t="s">
        <v>357</v>
      </c>
    </row>
    <row r="3985" spans="1:10" x14ac:dyDescent="0.25">
      <c r="A3985" t="s">
        <v>12181</v>
      </c>
      <c r="B3985" t="s">
        <v>12182</v>
      </c>
      <c r="C3985" s="2">
        <v>46262.583333333336</v>
      </c>
      <c r="D3985" t="s">
        <v>418</v>
      </c>
      <c r="E3985" t="s">
        <v>30</v>
      </c>
      <c r="F3985" t="s">
        <v>207</v>
      </c>
      <c r="G3985" t="s">
        <v>107</v>
      </c>
      <c r="H3985">
        <v>4</v>
      </c>
      <c r="I3985" t="s">
        <v>12183</v>
      </c>
      <c r="J3985" t="s">
        <v>357</v>
      </c>
    </row>
    <row r="3986" spans="1:10" x14ac:dyDescent="0.25">
      <c r="A3986" t="s">
        <v>12184</v>
      </c>
      <c r="B3986" t="s">
        <v>12185</v>
      </c>
      <c r="C3986" s="2">
        <v>46262.583333333336</v>
      </c>
      <c r="D3986" t="s">
        <v>418</v>
      </c>
      <c r="E3986" t="s">
        <v>41</v>
      </c>
      <c r="F3986" t="s">
        <v>293</v>
      </c>
      <c r="G3986" t="s">
        <v>115</v>
      </c>
      <c r="H3986">
        <v>2</v>
      </c>
      <c r="I3986" t="s">
        <v>12186</v>
      </c>
      <c r="J3986" t="s">
        <v>357</v>
      </c>
    </row>
    <row r="3987" spans="1:10" x14ac:dyDescent="0.25">
      <c r="A3987" t="s">
        <v>12187</v>
      </c>
      <c r="B3987" t="s">
        <v>12188</v>
      </c>
      <c r="C3987" s="2">
        <v>46262.583333333336</v>
      </c>
      <c r="D3987" t="s">
        <v>418</v>
      </c>
      <c r="E3987" t="s">
        <v>47</v>
      </c>
      <c r="F3987" t="s">
        <v>322</v>
      </c>
      <c r="G3987" t="s">
        <v>121</v>
      </c>
      <c r="H3987">
        <v>3</v>
      </c>
      <c r="I3987" t="s">
        <v>12189</v>
      </c>
      <c r="J3987" t="s">
        <v>357</v>
      </c>
    </row>
    <row r="3988" spans="1:10" x14ac:dyDescent="0.25">
      <c r="A3988" t="s">
        <v>12190</v>
      </c>
      <c r="B3988" t="s">
        <v>12191</v>
      </c>
      <c r="C3988" s="2">
        <v>46262.583333333336</v>
      </c>
      <c r="D3988" t="s">
        <v>418</v>
      </c>
      <c r="E3988" t="s">
        <v>55</v>
      </c>
      <c r="F3988" t="s">
        <v>269</v>
      </c>
      <c r="G3988" t="s">
        <v>129</v>
      </c>
      <c r="H3988">
        <v>5</v>
      </c>
      <c r="I3988" t="s">
        <v>12192</v>
      </c>
      <c r="J3988" t="s">
        <v>357</v>
      </c>
    </row>
    <row r="3989" spans="1:10" x14ac:dyDescent="0.25">
      <c r="A3989" t="s">
        <v>12193</v>
      </c>
      <c r="B3989" t="s">
        <v>12194</v>
      </c>
      <c r="C3989" s="2">
        <v>46262.583333333336</v>
      </c>
      <c r="D3989" t="s">
        <v>418</v>
      </c>
      <c r="E3989" t="s">
        <v>69</v>
      </c>
      <c r="F3989" t="s">
        <v>256</v>
      </c>
      <c r="G3989" t="s">
        <v>139</v>
      </c>
      <c r="H3989">
        <v>1</v>
      </c>
      <c r="I3989" t="s">
        <v>12195</v>
      </c>
      <c r="J3989" t="s">
        <v>357</v>
      </c>
    </row>
    <row r="3990" spans="1:10" x14ac:dyDescent="0.25">
      <c r="A3990" t="s">
        <v>12196</v>
      </c>
      <c r="B3990" t="s">
        <v>12197</v>
      </c>
      <c r="C3990" s="2">
        <v>46262.583333333336</v>
      </c>
      <c r="D3990" t="s">
        <v>418</v>
      </c>
      <c r="E3990" t="s">
        <v>75</v>
      </c>
      <c r="F3990" t="s">
        <v>272</v>
      </c>
      <c r="G3990" t="s">
        <v>145</v>
      </c>
      <c r="H3990">
        <v>4</v>
      </c>
      <c r="I3990" t="s">
        <v>12198</v>
      </c>
      <c r="J3990" t="s">
        <v>357</v>
      </c>
    </row>
    <row r="3991" spans="1:10" x14ac:dyDescent="0.25">
      <c r="A3991" t="s">
        <v>12199</v>
      </c>
      <c r="B3991" t="s">
        <v>12200</v>
      </c>
      <c r="C3991" s="2">
        <v>46262.583333333336</v>
      </c>
      <c r="D3991" t="s">
        <v>418</v>
      </c>
      <c r="E3991" t="s">
        <v>11</v>
      </c>
      <c r="F3991" t="s">
        <v>304</v>
      </c>
      <c r="G3991" t="s">
        <v>92</v>
      </c>
      <c r="H3991">
        <v>4</v>
      </c>
      <c r="I3991" t="s">
        <v>12201</v>
      </c>
      <c r="J3991" t="s">
        <v>357</v>
      </c>
    </row>
    <row r="3992" spans="1:10" x14ac:dyDescent="0.25">
      <c r="A3992" t="s">
        <v>12202</v>
      </c>
      <c r="B3992" t="s">
        <v>12203</v>
      </c>
      <c r="C3992" s="2">
        <v>46262.583333333336</v>
      </c>
      <c r="D3992" t="s">
        <v>418</v>
      </c>
      <c r="E3992" t="s">
        <v>18</v>
      </c>
      <c r="F3992" t="s">
        <v>286</v>
      </c>
      <c r="G3992" t="s">
        <v>95</v>
      </c>
      <c r="H3992">
        <v>2</v>
      </c>
      <c r="I3992" t="s">
        <v>12204</v>
      </c>
      <c r="J3992" t="s">
        <v>357</v>
      </c>
    </row>
    <row r="3993" spans="1:10" x14ac:dyDescent="0.25">
      <c r="A3993" t="s">
        <v>12205</v>
      </c>
      <c r="B3993" t="s">
        <v>12206</v>
      </c>
      <c r="C3993" s="2">
        <v>46262.583333333336</v>
      </c>
      <c r="D3993" t="s">
        <v>418</v>
      </c>
      <c r="E3993" t="s">
        <v>20</v>
      </c>
      <c r="F3993" t="s">
        <v>317</v>
      </c>
      <c r="G3993" t="s">
        <v>97</v>
      </c>
      <c r="H3993">
        <v>4</v>
      </c>
      <c r="I3993" t="s">
        <v>12207</v>
      </c>
      <c r="J3993" t="s">
        <v>357</v>
      </c>
    </row>
    <row r="3994" spans="1:10" x14ac:dyDescent="0.25">
      <c r="A3994" t="s">
        <v>12208</v>
      </c>
      <c r="B3994" t="s">
        <v>12209</v>
      </c>
      <c r="C3994" s="2">
        <v>46262.583333333336</v>
      </c>
      <c r="D3994" t="s">
        <v>418</v>
      </c>
      <c r="E3994" t="s">
        <v>22</v>
      </c>
      <c r="F3994" t="s">
        <v>318</v>
      </c>
      <c r="G3994" t="s">
        <v>99</v>
      </c>
      <c r="H3994">
        <v>5</v>
      </c>
      <c r="I3994" t="s">
        <v>12210</v>
      </c>
      <c r="J3994" t="s">
        <v>357</v>
      </c>
    </row>
    <row r="3995" spans="1:10" x14ac:dyDescent="0.25">
      <c r="A3995" t="s">
        <v>12211</v>
      </c>
      <c r="B3995" t="s">
        <v>12212</v>
      </c>
      <c r="C3995" s="2">
        <v>46262.583333333336</v>
      </c>
      <c r="D3995" t="s">
        <v>418</v>
      </c>
      <c r="E3995" t="s">
        <v>24</v>
      </c>
      <c r="F3995" t="s">
        <v>319</v>
      </c>
      <c r="G3995" t="s">
        <v>101</v>
      </c>
      <c r="H3995">
        <v>1</v>
      </c>
      <c r="I3995" t="s">
        <v>12213</v>
      </c>
      <c r="J3995" t="s">
        <v>357</v>
      </c>
    </row>
    <row r="3996" spans="1:10" x14ac:dyDescent="0.25">
      <c r="A3996" t="s">
        <v>12214</v>
      </c>
      <c r="B3996" t="s">
        <v>12215</v>
      </c>
      <c r="C3996" s="2">
        <v>46262.583333333336</v>
      </c>
      <c r="D3996" t="s">
        <v>418</v>
      </c>
      <c r="E3996" t="s">
        <v>26</v>
      </c>
      <c r="F3996" t="s">
        <v>320</v>
      </c>
      <c r="G3996" t="s">
        <v>103</v>
      </c>
      <c r="H3996">
        <v>6</v>
      </c>
      <c r="I3996" t="s">
        <v>12216</v>
      </c>
      <c r="J3996" t="s">
        <v>357</v>
      </c>
    </row>
    <row r="3997" spans="1:10" x14ac:dyDescent="0.25">
      <c r="A3997" t="s">
        <v>12217</v>
      </c>
      <c r="B3997" t="s">
        <v>12218</v>
      </c>
      <c r="C3997" s="2">
        <v>46262.583333333336</v>
      </c>
      <c r="D3997" t="s">
        <v>418</v>
      </c>
      <c r="E3997" t="s">
        <v>32</v>
      </c>
      <c r="F3997" t="s">
        <v>311</v>
      </c>
      <c r="G3997" t="s">
        <v>109</v>
      </c>
      <c r="H3997">
        <v>6</v>
      </c>
      <c r="I3997" t="s">
        <v>12219</v>
      </c>
      <c r="J3997" t="s">
        <v>357</v>
      </c>
    </row>
    <row r="3998" spans="1:10" x14ac:dyDescent="0.25">
      <c r="A3998" t="s">
        <v>12220</v>
      </c>
      <c r="B3998" t="s">
        <v>12221</v>
      </c>
      <c r="C3998" s="2">
        <v>46262.583333333336</v>
      </c>
      <c r="D3998" t="s">
        <v>418</v>
      </c>
      <c r="E3998" t="s">
        <v>43</v>
      </c>
      <c r="F3998" t="s">
        <v>237</v>
      </c>
      <c r="G3998" t="s">
        <v>117</v>
      </c>
      <c r="H3998">
        <v>2</v>
      </c>
      <c r="I3998" t="s">
        <v>12222</v>
      </c>
      <c r="J3998" t="s">
        <v>357</v>
      </c>
    </row>
    <row r="3999" spans="1:10" x14ac:dyDescent="0.25">
      <c r="A3999" t="s">
        <v>12223</v>
      </c>
      <c r="B3999" t="s">
        <v>12224</v>
      </c>
      <c r="C3999" s="2">
        <v>46262.583333333336</v>
      </c>
      <c r="D3999" t="s">
        <v>418</v>
      </c>
      <c r="E3999" t="s">
        <v>49</v>
      </c>
      <c r="F3999" t="s">
        <v>295</v>
      </c>
      <c r="G3999" t="s">
        <v>123</v>
      </c>
      <c r="H3999">
        <v>4</v>
      </c>
      <c r="I3999" t="s">
        <v>12225</v>
      </c>
      <c r="J3999" t="s">
        <v>357</v>
      </c>
    </row>
    <row r="4000" spans="1:10" x14ac:dyDescent="0.25">
      <c r="A4000" t="s">
        <v>12226</v>
      </c>
      <c r="B4000" t="s">
        <v>12227</v>
      </c>
      <c r="C4000" s="2">
        <v>46262.583333333336</v>
      </c>
      <c r="D4000" t="s">
        <v>418</v>
      </c>
      <c r="E4000" t="s">
        <v>49</v>
      </c>
      <c r="F4000" t="s">
        <v>167</v>
      </c>
      <c r="G4000" t="s">
        <v>123</v>
      </c>
      <c r="H4000">
        <v>2</v>
      </c>
      <c r="I4000" t="s">
        <v>12225</v>
      </c>
      <c r="J4000" t="s">
        <v>357</v>
      </c>
    </row>
    <row r="4001" spans="1:10" x14ac:dyDescent="0.25">
      <c r="A4001" t="s">
        <v>12228</v>
      </c>
      <c r="B4001" t="s">
        <v>12229</v>
      </c>
      <c r="C4001" s="2">
        <v>46262.583333333336</v>
      </c>
      <c r="D4001" t="s">
        <v>418</v>
      </c>
      <c r="E4001" t="s">
        <v>53</v>
      </c>
      <c r="F4001" t="s">
        <v>239</v>
      </c>
      <c r="G4001" t="s">
        <v>127</v>
      </c>
      <c r="H4001">
        <v>5</v>
      </c>
      <c r="I4001" t="s">
        <v>12230</v>
      </c>
      <c r="J4001" t="s">
        <v>357</v>
      </c>
    </row>
    <row r="4002" spans="1:10" x14ac:dyDescent="0.25">
      <c r="A4002" t="s">
        <v>12231</v>
      </c>
      <c r="B4002" t="s">
        <v>12232</v>
      </c>
      <c r="C4002" s="2">
        <v>46262.583333333336</v>
      </c>
      <c r="D4002" t="s">
        <v>418</v>
      </c>
      <c r="E4002" t="s">
        <v>75</v>
      </c>
      <c r="F4002" t="s">
        <v>272</v>
      </c>
      <c r="G4002" t="s">
        <v>145</v>
      </c>
      <c r="H4002">
        <v>6</v>
      </c>
      <c r="I4002" t="s">
        <v>12233</v>
      </c>
      <c r="J4002" t="s">
        <v>357</v>
      </c>
    </row>
    <row r="4003" spans="1:10" x14ac:dyDescent="0.25">
      <c r="A4003" t="s">
        <v>12234</v>
      </c>
      <c r="B4003" t="s">
        <v>12235</v>
      </c>
      <c r="C4003" s="2">
        <v>46262.583333333336</v>
      </c>
      <c r="D4003" t="s">
        <v>418</v>
      </c>
      <c r="E4003" t="s">
        <v>11</v>
      </c>
      <c r="F4003" t="s">
        <v>304</v>
      </c>
      <c r="G4003" t="s">
        <v>92</v>
      </c>
      <c r="H4003">
        <v>1</v>
      </c>
      <c r="I4003" t="s">
        <v>12236</v>
      </c>
      <c r="J4003" t="s">
        <v>357</v>
      </c>
    </row>
    <row r="4004" spans="1:10" x14ac:dyDescent="0.25">
      <c r="A4004" t="s">
        <v>12237</v>
      </c>
      <c r="B4004" t="s">
        <v>12238</v>
      </c>
      <c r="C4004" s="2">
        <v>46262.583333333336</v>
      </c>
      <c r="D4004" t="s">
        <v>418</v>
      </c>
      <c r="E4004" t="s">
        <v>18</v>
      </c>
      <c r="F4004" t="s">
        <v>286</v>
      </c>
      <c r="G4004" t="s">
        <v>95</v>
      </c>
      <c r="H4004">
        <v>6</v>
      </c>
      <c r="I4004" t="s">
        <v>12239</v>
      </c>
      <c r="J4004" t="s">
        <v>357</v>
      </c>
    </row>
    <row r="4005" spans="1:10" x14ac:dyDescent="0.25">
      <c r="A4005" t="s">
        <v>12240</v>
      </c>
      <c r="B4005" t="s">
        <v>12241</v>
      </c>
      <c r="C4005" s="2">
        <v>46262.583333333336</v>
      </c>
      <c r="D4005" t="s">
        <v>418</v>
      </c>
      <c r="E4005" t="s">
        <v>20</v>
      </c>
      <c r="F4005" t="s">
        <v>317</v>
      </c>
      <c r="G4005" t="s">
        <v>97</v>
      </c>
      <c r="H4005">
        <v>7</v>
      </c>
      <c r="I4005" t="s">
        <v>12242</v>
      </c>
      <c r="J4005" t="s">
        <v>357</v>
      </c>
    </row>
    <row r="4006" spans="1:10" x14ac:dyDescent="0.25">
      <c r="A4006" t="s">
        <v>12243</v>
      </c>
      <c r="B4006" t="s">
        <v>12244</v>
      </c>
      <c r="C4006" s="2">
        <v>46262.583333333336</v>
      </c>
      <c r="D4006" t="s">
        <v>418</v>
      </c>
      <c r="E4006" t="s">
        <v>26</v>
      </c>
      <c r="F4006" t="s">
        <v>320</v>
      </c>
      <c r="G4006" t="s">
        <v>103</v>
      </c>
      <c r="H4006">
        <v>6</v>
      </c>
      <c r="I4006" t="s">
        <v>12245</v>
      </c>
      <c r="J4006" t="s">
        <v>357</v>
      </c>
    </row>
    <row r="4007" spans="1:10" x14ac:dyDescent="0.25">
      <c r="A4007" t="s">
        <v>12246</v>
      </c>
      <c r="B4007" t="s">
        <v>12247</v>
      </c>
      <c r="C4007" s="2">
        <v>46262.583333333336</v>
      </c>
      <c r="D4007" t="s">
        <v>418</v>
      </c>
      <c r="E4007" t="s">
        <v>28</v>
      </c>
      <c r="F4007" t="s">
        <v>236</v>
      </c>
      <c r="G4007" t="s">
        <v>105</v>
      </c>
      <c r="H4007">
        <v>3</v>
      </c>
      <c r="I4007" t="s">
        <v>12248</v>
      </c>
      <c r="J4007" t="s">
        <v>357</v>
      </c>
    </row>
    <row r="4008" spans="1:10" x14ac:dyDescent="0.25">
      <c r="A4008" t="s">
        <v>12249</v>
      </c>
      <c r="B4008" t="s">
        <v>12250</v>
      </c>
      <c r="C4008" s="2">
        <v>46262.583333333336</v>
      </c>
      <c r="D4008" t="s">
        <v>418</v>
      </c>
      <c r="E4008" t="s">
        <v>30</v>
      </c>
      <c r="F4008" t="s">
        <v>207</v>
      </c>
      <c r="G4008" t="s">
        <v>107</v>
      </c>
      <c r="H4008">
        <v>4</v>
      </c>
      <c r="I4008" t="s">
        <v>12251</v>
      </c>
      <c r="J4008" t="s">
        <v>357</v>
      </c>
    </row>
    <row r="4009" spans="1:10" x14ac:dyDescent="0.25">
      <c r="A4009" t="s">
        <v>12252</v>
      </c>
      <c r="B4009" t="s">
        <v>12253</v>
      </c>
      <c r="C4009" s="2">
        <v>46262.583333333336</v>
      </c>
      <c r="D4009" t="s">
        <v>418</v>
      </c>
      <c r="E4009" t="s">
        <v>32</v>
      </c>
      <c r="F4009" t="s">
        <v>311</v>
      </c>
      <c r="G4009" t="s">
        <v>109</v>
      </c>
      <c r="H4009">
        <v>4</v>
      </c>
      <c r="I4009" t="s">
        <v>12254</v>
      </c>
      <c r="J4009" t="s">
        <v>357</v>
      </c>
    </row>
    <row r="4010" spans="1:10" x14ac:dyDescent="0.25">
      <c r="A4010" t="s">
        <v>12255</v>
      </c>
      <c r="B4010" t="s">
        <v>12256</v>
      </c>
      <c r="C4010" s="2">
        <v>46262.583333333336</v>
      </c>
      <c r="D4010" t="s">
        <v>418</v>
      </c>
      <c r="E4010" t="s">
        <v>36</v>
      </c>
      <c r="F4010" t="s">
        <v>281</v>
      </c>
      <c r="G4010" t="s">
        <v>113</v>
      </c>
      <c r="H4010">
        <v>3</v>
      </c>
      <c r="I4010" t="s">
        <v>12257</v>
      </c>
      <c r="J4010" t="s">
        <v>357</v>
      </c>
    </row>
    <row r="4011" spans="1:10" x14ac:dyDescent="0.25">
      <c r="A4011" t="s">
        <v>12258</v>
      </c>
      <c r="B4011" t="s">
        <v>12259</v>
      </c>
      <c r="C4011" s="2">
        <v>46262.583333333336</v>
      </c>
      <c r="D4011" t="s">
        <v>418</v>
      </c>
      <c r="E4011" t="s">
        <v>57</v>
      </c>
      <c r="F4011" t="s">
        <v>299</v>
      </c>
      <c r="G4011" t="s">
        <v>131</v>
      </c>
      <c r="H4011">
        <v>7</v>
      </c>
      <c r="I4011" t="s">
        <v>12260</v>
      </c>
      <c r="J4011" t="s">
        <v>357</v>
      </c>
    </row>
    <row r="4012" spans="1:10" x14ac:dyDescent="0.25">
      <c r="A4012" t="s">
        <v>12261</v>
      </c>
      <c r="B4012" t="s">
        <v>12262</v>
      </c>
      <c r="C4012" s="2">
        <v>46262.583333333336</v>
      </c>
      <c r="D4012" t="s">
        <v>418</v>
      </c>
      <c r="E4012" t="s">
        <v>75</v>
      </c>
      <c r="F4012" t="s">
        <v>272</v>
      </c>
      <c r="G4012" t="s">
        <v>145</v>
      </c>
      <c r="H4012">
        <v>3</v>
      </c>
      <c r="I4012" t="s">
        <v>12263</v>
      </c>
      <c r="J4012" t="s">
        <v>357</v>
      </c>
    </row>
    <row r="4013" spans="1:10" x14ac:dyDescent="0.25">
      <c r="A4013" t="s">
        <v>12264</v>
      </c>
      <c r="B4013" t="s">
        <v>12265</v>
      </c>
      <c r="C4013" s="2">
        <v>46262.583333333336</v>
      </c>
      <c r="D4013" t="s">
        <v>418</v>
      </c>
      <c r="E4013" t="s">
        <v>18</v>
      </c>
      <c r="F4013" t="s">
        <v>286</v>
      </c>
      <c r="G4013" t="s">
        <v>95</v>
      </c>
      <c r="H4013">
        <v>1</v>
      </c>
      <c r="I4013" t="s">
        <v>12266</v>
      </c>
      <c r="J4013" t="s">
        <v>357</v>
      </c>
    </row>
    <row r="4014" spans="1:10" x14ac:dyDescent="0.25">
      <c r="A4014" t="s">
        <v>12267</v>
      </c>
      <c r="B4014" t="s">
        <v>12268</v>
      </c>
      <c r="C4014" s="2">
        <v>46262.583333333336</v>
      </c>
      <c r="D4014" t="s">
        <v>418</v>
      </c>
      <c r="E4014" t="s">
        <v>20</v>
      </c>
      <c r="F4014" t="s">
        <v>317</v>
      </c>
      <c r="G4014" t="s">
        <v>97</v>
      </c>
      <c r="H4014">
        <v>4</v>
      </c>
      <c r="I4014" t="s">
        <v>12269</v>
      </c>
      <c r="J4014" t="s">
        <v>357</v>
      </c>
    </row>
    <row r="4015" spans="1:10" x14ac:dyDescent="0.25">
      <c r="A4015" t="s">
        <v>12270</v>
      </c>
      <c r="B4015" t="s">
        <v>12271</v>
      </c>
      <c r="C4015" s="2">
        <v>46262.583333333336</v>
      </c>
      <c r="D4015" t="s">
        <v>418</v>
      </c>
      <c r="E4015" t="s">
        <v>22</v>
      </c>
      <c r="F4015" t="s">
        <v>318</v>
      </c>
      <c r="G4015" t="s">
        <v>99</v>
      </c>
      <c r="H4015">
        <v>4</v>
      </c>
      <c r="I4015" t="s">
        <v>12272</v>
      </c>
      <c r="J4015" t="s">
        <v>357</v>
      </c>
    </row>
    <row r="4016" spans="1:10" x14ac:dyDescent="0.25">
      <c r="A4016" t="s">
        <v>12273</v>
      </c>
      <c r="B4016" t="s">
        <v>12274</v>
      </c>
      <c r="C4016" s="2">
        <v>46262.583333333336</v>
      </c>
      <c r="D4016" t="s">
        <v>418</v>
      </c>
      <c r="E4016" t="s">
        <v>24</v>
      </c>
      <c r="F4016" t="s">
        <v>319</v>
      </c>
      <c r="G4016" t="s">
        <v>101</v>
      </c>
      <c r="H4016">
        <v>4</v>
      </c>
      <c r="I4016" t="s">
        <v>12275</v>
      </c>
      <c r="J4016" t="s">
        <v>357</v>
      </c>
    </row>
    <row r="4017" spans="1:10" x14ac:dyDescent="0.25">
      <c r="A4017" t="s">
        <v>12276</v>
      </c>
      <c r="B4017" t="s">
        <v>12277</v>
      </c>
      <c r="C4017" s="2">
        <v>46262.583333333336</v>
      </c>
      <c r="D4017" t="s">
        <v>418</v>
      </c>
      <c r="E4017" t="s">
        <v>43</v>
      </c>
      <c r="F4017" t="s">
        <v>294</v>
      </c>
      <c r="G4017" t="s">
        <v>117</v>
      </c>
      <c r="H4017">
        <v>4</v>
      </c>
      <c r="I4017" t="s">
        <v>12278</v>
      </c>
      <c r="J4017" t="s">
        <v>357</v>
      </c>
    </row>
    <row r="4018" spans="1:10" x14ac:dyDescent="0.25">
      <c r="A4018" t="s">
        <v>12279</v>
      </c>
      <c r="B4018" t="s">
        <v>12280</v>
      </c>
      <c r="C4018" s="2">
        <v>46262.583333333336</v>
      </c>
      <c r="D4018" t="s">
        <v>418</v>
      </c>
      <c r="E4018" t="s">
        <v>53</v>
      </c>
      <c r="F4018" t="s">
        <v>239</v>
      </c>
      <c r="G4018" t="s">
        <v>127</v>
      </c>
      <c r="H4018">
        <v>3</v>
      </c>
      <c r="I4018" t="s">
        <v>12281</v>
      </c>
      <c r="J4018" t="s">
        <v>357</v>
      </c>
    </row>
    <row r="4019" spans="1:10" x14ac:dyDescent="0.25">
      <c r="A4019" t="s">
        <v>12282</v>
      </c>
      <c r="B4019" t="s">
        <v>12283</v>
      </c>
      <c r="C4019" s="2">
        <v>46262.583333333336</v>
      </c>
      <c r="D4019" t="s">
        <v>418</v>
      </c>
      <c r="E4019" t="s">
        <v>57</v>
      </c>
      <c r="F4019" t="s">
        <v>299</v>
      </c>
      <c r="G4019" t="s">
        <v>131</v>
      </c>
      <c r="H4019">
        <v>4</v>
      </c>
      <c r="I4019" t="s">
        <v>12284</v>
      </c>
      <c r="J4019" t="s">
        <v>357</v>
      </c>
    </row>
    <row r="4020" spans="1:10" x14ac:dyDescent="0.25">
      <c r="A4020" t="s">
        <v>12285</v>
      </c>
      <c r="B4020" t="s">
        <v>12286</v>
      </c>
      <c r="C4020" s="2">
        <v>46262.583333333336</v>
      </c>
      <c r="D4020" t="s">
        <v>418</v>
      </c>
      <c r="E4020" t="s">
        <v>71</v>
      </c>
      <c r="F4020" t="s">
        <v>302</v>
      </c>
      <c r="G4020" t="s">
        <v>141</v>
      </c>
      <c r="H4020">
        <v>4</v>
      </c>
      <c r="I4020" t="s">
        <v>12287</v>
      </c>
      <c r="J4020" t="s">
        <v>357</v>
      </c>
    </row>
    <row r="4021" spans="1:10" x14ac:dyDescent="0.25">
      <c r="A4021" t="s">
        <v>12288</v>
      </c>
      <c r="B4021" t="s">
        <v>12289</v>
      </c>
      <c r="C4021" s="2">
        <v>46263.583333333336</v>
      </c>
      <c r="D4021" t="s">
        <v>418</v>
      </c>
      <c r="E4021" t="s">
        <v>11</v>
      </c>
      <c r="F4021" t="s">
        <v>304</v>
      </c>
      <c r="G4021" t="s">
        <v>92</v>
      </c>
      <c r="H4021">
        <v>1</v>
      </c>
      <c r="I4021" t="s">
        <v>12290</v>
      </c>
      <c r="J4021" t="s">
        <v>357</v>
      </c>
    </row>
    <row r="4022" spans="1:10" x14ac:dyDescent="0.25">
      <c r="A4022" t="s">
        <v>12291</v>
      </c>
      <c r="B4022" t="s">
        <v>12292</v>
      </c>
      <c r="C4022" s="2">
        <v>46263.583333333336</v>
      </c>
      <c r="D4022" t="s">
        <v>418</v>
      </c>
      <c r="E4022" t="s">
        <v>11</v>
      </c>
      <c r="F4022" t="s">
        <v>316</v>
      </c>
      <c r="G4022" t="s">
        <v>92</v>
      </c>
      <c r="H4022">
        <v>3</v>
      </c>
      <c r="I4022" t="s">
        <v>12290</v>
      </c>
      <c r="J4022" t="s">
        <v>357</v>
      </c>
    </row>
    <row r="4023" spans="1:10" x14ac:dyDescent="0.25">
      <c r="A4023" t="s">
        <v>12293</v>
      </c>
      <c r="B4023" t="s">
        <v>12294</v>
      </c>
      <c r="C4023" s="2">
        <v>46263.583333333336</v>
      </c>
      <c r="D4023" t="s">
        <v>418</v>
      </c>
      <c r="E4023" t="s">
        <v>18</v>
      </c>
      <c r="F4023" t="s">
        <v>286</v>
      </c>
      <c r="G4023" t="s">
        <v>95</v>
      </c>
      <c r="H4023">
        <v>2</v>
      </c>
      <c r="I4023" t="s">
        <v>12295</v>
      </c>
      <c r="J4023" t="s">
        <v>357</v>
      </c>
    </row>
    <row r="4024" spans="1:10" x14ac:dyDescent="0.25">
      <c r="A4024" t="s">
        <v>12296</v>
      </c>
      <c r="B4024" t="s">
        <v>12297</v>
      </c>
      <c r="C4024" s="2">
        <v>46263.583333333336</v>
      </c>
      <c r="D4024" t="s">
        <v>418</v>
      </c>
      <c r="E4024" t="s">
        <v>20</v>
      </c>
      <c r="F4024" t="s">
        <v>317</v>
      </c>
      <c r="G4024" t="s">
        <v>97</v>
      </c>
      <c r="H4024">
        <v>5</v>
      </c>
      <c r="I4024" t="s">
        <v>12298</v>
      </c>
      <c r="J4024" t="s">
        <v>357</v>
      </c>
    </row>
    <row r="4025" spans="1:10" x14ac:dyDescent="0.25">
      <c r="A4025" t="s">
        <v>12299</v>
      </c>
      <c r="B4025" t="s">
        <v>12300</v>
      </c>
      <c r="C4025" s="2">
        <v>46263.583333333336</v>
      </c>
      <c r="D4025" t="s">
        <v>418</v>
      </c>
      <c r="E4025" t="s">
        <v>24</v>
      </c>
      <c r="F4025" t="s">
        <v>319</v>
      </c>
      <c r="G4025" t="s">
        <v>101</v>
      </c>
      <c r="H4025">
        <v>5</v>
      </c>
      <c r="I4025" t="s">
        <v>12301</v>
      </c>
      <c r="J4025" t="s">
        <v>357</v>
      </c>
    </row>
    <row r="4026" spans="1:10" x14ac:dyDescent="0.25">
      <c r="A4026" t="s">
        <v>12302</v>
      </c>
      <c r="B4026" t="s">
        <v>12303</v>
      </c>
      <c r="C4026" s="2">
        <v>46263.583333333336</v>
      </c>
      <c r="D4026" t="s">
        <v>418</v>
      </c>
      <c r="E4026" t="s">
        <v>26</v>
      </c>
      <c r="F4026" t="s">
        <v>320</v>
      </c>
      <c r="G4026" t="s">
        <v>103</v>
      </c>
      <c r="H4026">
        <v>5</v>
      </c>
      <c r="I4026" t="s">
        <v>12304</v>
      </c>
      <c r="J4026" t="s">
        <v>357</v>
      </c>
    </row>
    <row r="4027" spans="1:10" x14ac:dyDescent="0.25">
      <c r="A4027" t="s">
        <v>12305</v>
      </c>
      <c r="B4027" t="s">
        <v>12306</v>
      </c>
      <c r="C4027" s="2">
        <v>46263.583333333336</v>
      </c>
      <c r="D4027" t="s">
        <v>418</v>
      </c>
      <c r="E4027" t="s">
        <v>73</v>
      </c>
      <c r="F4027" t="s">
        <v>258</v>
      </c>
      <c r="G4027" t="s">
        <v>143</v>
      </c>
      <c r="H4027">
        <v>1</v>
      </c>
      <c r="I4027" t="s">
        <v>12307</v>
      </c>
      <c r="J4027" t="s">
        <v>357</v>
      </c>
    </row>
    <row r="4028" spans="1:10" x14ac:dyDescent="0.25">
      <c r="A4028" t="s">
        <v>12308</v>
      </c>
      <c r="B4028" t="s">
        <v>12309</v>
      </c>
      <c r="C4028" s="2">
        <v>46263.583333333336</v>
      </c>
      <c r="D4028" t="s">
        <v>418</v>
      </c>
      <c r="E4028" t="s">
        <v>20</v>
      </c>
      <c r="F4028" t="s">
        <v>317</v>
      </c>
      <c r="G4028" t="s">
        <v>97</v>
      </c>
      <c r="H4028">
        <v>4</v>
      </c>
      <c r="I4028" t="s">
        <v>12310</v>
      </c>
      <c r="J4028" t="s">
        <v>357</v>
      </c>
    </row>
    <row r="4029" spans="1:10" x14ac:dyDescent="0.25">
      <c r="A4029" t="s">
        <v>12311</v>
      </c>
      <c r="B4029" t="s">
        <v>12312</v>
      </c>
      <c r="C4029" s="2">
        <v>46263.583333333336</v>
      </c>
      <c r="D4029" t="s">
        <v>418</v>
      </c>
      <c r="E4029" t="s">
        <v>22</v>
      </c>
      <c r="F4029" t="s">
        <v>318</v>
      </c>
      <c r="G4029" t="s">
        <v>99</v>
      </c>
      <c r="H4029">
        <v>4</v>
      </c>
      <c r="I4029" t="s">
        <v>12313</v>
      </c>
      <c r="J4029" t="s">
        <v>357</v>
      </c>
    </row>
    <row r="4030" spans="1:10" x14ac:dyDescent="0.25">
      <c r="A4030" t="s">
        <v>12314</v>
      </c>
      <c r="B4030" t="s">
        <v>12315</v>
      </c>
      <c r="C4030" s="2">
        <v>46263.583333333336</v>
      </c>
      <c r="D4030" t="s">
        <v>418</v>
      </c>
      <c r="E4030" t="s">
        <v>26</v>
      </c>
      <c r="F4030" t="s">
        <v>320</v>
      </c>
      <c r="G4030" t="s">
        <v>103</v>
      </c>
      <c r="H4030">
        <v>1</v>
      </c>
      <c r="I4030" t="s">
        <v>12316</v>
      </c>
      <c r="J4030" t="s">
        <v>357</v>
      </c>
    </row>
    <row r="4031" spans="1:10" x14ac:dyDescent="0.25">
      <c r="A4031" t="s">
        <v>12317</v>
      </c>
      <c r="B4031" t="s">
        <v>12318</v>
      </c>
      <c r="C4031" s="2">
        <v>46263.583333333336</v>
      </c>
      <c r="D4031" t="s">
        <v>418</v>
      </c>
      <c r="E4031" t="s">
        <v>36</v>
      </c>
      <c r="F4031" t="s">
        <v>281</v>
      </c>
      <c r="G4031" t="s">
        <v>113</v>
      </c>
      <c r="H4031">
        <v>1</v>
      </c>
      <c r="I4031" t="s">
        <v>12319</v>
      </c>
      <c r="J4031" t="s">
        <v>357</v>
      </c>
    </row>
    <row r="4032" spans="1:10" x14ac:dyDescent="0.25">
      <c r="A4032" t="s">
        <v>12320</v>
      </c>
      <c r="B4032" t="s">
        <v>12321</v>
      </c>
      <c r="C4032" s="2">
        <v>46263.583333333336</v>
      </c>
      <c r="D4032" t="s">
        <v>418</v>
      </c>
      <c r="E4032" t="s">
        <v>41</v>
      </c>
      <c r="F4032" t="s">
        <v>293</v>
      </c>
      <c r="G4032" t="s">
        <v>115</v>
      </c>
      <c r="H4032">
        <v>3</v>
      </c>
      <c r="I4032" t="s">
        <v>12322</v>
      </c>
      <c r="J4032" t="s">
        <v>357</v>
      </c>
    </row>
    <row r="4033" spans="1:10" x14ac:dyDescent="0.25">
      <c r="A4033" t="s">
        <v>12323</v>
      </c>
      <c r="B4033" t="s">
        <v>12324</v>
      </c>
      <c r="C4033" s="2">
        <v>46263.583333333336</v>
      </c>
      <c r="D4033" t="s">
        <v>418</v>
      </c>
      <c r="E4033" t="s">
        <v>43</v>
      </c>
      <c r="F4033" t="s">
        <v>294</v>
      </c>
      <c r="G4033" t="s">
        <v>117</v>
      </c>
      <c r="H4033">
        <v>4</v>
      </c>
      <c r="I4033" t="s">
        <v>12325</v>
      </c>
      <c r="J4033" t="s">
        <v>357</v>
      </c>
    </row>
    <row r="4034" spans="1:10" x14ac:dyDescent="0.25">
      <c r="A4034" t="s">
        <v>12326</v>
      </c>
      <c r="B4034" t="s">
        <v>12327</v>
      </c>
      <c r="C4034" s="2">
        <v>46263.583333333336</v>
      </c>
      <c r="D4034" t="s">
        <v>418</v>
      </c>
      <c r="E4034" t="s">
        <v>73</v>
      </c>
      <c r="F4034" t="s">
        <v>258</v>
      </c>
      <c r="G4034" t="s">
        <v>143</v>
      </c>
      <c r="H4034">
        <v>3</v>
      </c>
      <c r="I4034" t="s">
        <v>12328</v>
      </c>
      <c r="J4034" t="s">
        <v>357</v>
      </c>
    </row>
    <row r="4035" spans="1:10" x14ac:dyDescent="0.25">
      <c r="A4035" t="s">
        <v>12329</v>
      </c>
      <c r="B4035" t="s">
        <v>12330</v>
      </c>
      <c r="C4035" s="2">
        <v>46263.583333333336</v>
      </c>
      <c r="D4035" t="s">
        <v>418</v>
      </c>
      <c r="E4035" t="s">
        <v>11</v>
      </c>
      <c r="F4035" t="s">
        <v>316</v>
      </c>
      <c r="G4035" t="s">
        <v>92</v>
      </c>
      <c r="H4035">
        <v>5</v>
      </c>
      <c r="I4035" t="s">
        <v>12331</v>
      </c>
      <c r="J4035" t="s">
        <v>357</v>
      </c>
    </row>
    <row r="4036" spans="1:10" x14ac:dyDescent="0.25">
      <c r="A4036" t="s">
        <v>12332</v>
      </c>
      <c r="B4036" t="s">
        <v>12333</v>
      </c>
      <c r="C4036" s="2">
        <v>46263.583333333336</v>
      </c>
      <c r="D4036" t="s">
        <v>418</v>
      </c>
      <c r="E4036" t="s">
        <v>18</v>
      </c>
      <c r="F4036" t="s">
        <v>286</v>
      </c>
      <c r="G4036" t="s">
        <v>95</v>
      </c>
      <c r="H4036">
        <v>5</v>
      </c>
      <c r="I4036" t="s">
        <v>12334</v>
      </c>
      <c r="J4036" t="s">
        <v>357</v>
      </c>
    </row>
    <row r="4037" spans="1:10" x14ac:dyDescent="0.25">
      <c r="A4037" t="s">
        <v>12335</v>
      </c>
      <c r="B4037" t="s">
        <v>12336</v>
      </c>
      <c r="C4037" s="2">
        <v>46263.583333333336</v>
      </c>
      <c r="D4037" t="s">
        <v>418</v>
      </c>
      <c r="E4037" t="s">
        <v>20</v>
      </c>
      <c r="F4037" t="s">
        <v>317</v>
      </c>
      <c r="G4037" t="s">
        <v>97</v>
      </c>
      <c r="H4037">
        <v>3</v>
      </c>
      <c r="I4037" t="s">
        <v>12337</v>
      </c>
      <c r="J4037" t="s">
        <v>357</v>
      </c>
    </row>
    <row r="4038" spans="1:10" x14ac:dyDescent="0.25">
      <c r="A4038" t="s">
        <v>12338</v>
      </c>
      <c r="B4038" t="s">
        <v>12339</v>
      </c>
      <c r="C4038" s="2">
        <v>46263.583333333336</v>
      </c>
      <c r="D4038" t="s">
        <v>418</v>
      </c>
      <c r="E4038" t="s">
        <v>28</v>
      </c>
      <c r="F4038" t="s">
        <v>236</v>
      </c>
      <c r="G4038" t="s">
        <v>105</v>
      </c>
      <c r="H4038">
        <v>3</v>
      </c>
      <c r="I4038" t="s">
        <v>12340</v>
      </c>
      <c r="J4038" t="s">
        <v>357</v>
      </c>
    </row>
    <row r="4039" spans="1:10" x14ac:dyDescent="0.25">
      <c r="A4039" t="s">
        <v>12341</v>
      </c>
      <c r="B4039" t="s">
        <v>12342</v>
      </c>
      <c r="C4039" s="2">
        <v>46263.583333333336</v>
      </c>
      <c r="D4039" t="s">
        <v>418</v>
      </c>
      <c r="E4039" t="s">
        <v>73</v>
      </c>
      <c r="F4039" t="s">
        <v>258</v>
      </c>
      <c r="G4039" t="s">
        <v>143</v>
      </c>
      <c r="H4039">
        <v>3</v>
      </c>
      <c r="I4039" t="s">
        <v>12343</v>
      </c>
      <c r="J4039" t="s">
        <v>357</v>
      </c>
    </row>
    <row r="4040" spans="1:10" x14ac:dyDescent="0.25">
      <c r="A4040" t="s">
        <v>12344</v>
      </c>
      <c r="B4040" t="s">
        <v>12345</v>
      </c>
      <c r="C4040" s="2">
        <v>46263.583333333336</v>
      </c>
      <c r="D4040" t="s">
        <v>418</v>
      </c>
      <c r="E4040" t="s">
        <v>77</v>
      </c>
      <c r="F4040" t="s">
        <v>273</v>
      </c>
      <c r="G4040" t="s">
        <v>147</v>
      </c>
      <c r="H4040">
        <v>8</v>
      </c>
      <c r="I4040" t="s">
        <v>12346</v>
      </c>
      <c r="J4040" t="s">
        <v>357</v>
      </c>
    </row>
    <row r="4041" spans="1:10" x14ac:dyDescent="0.25">
      <c r="A4041" t="s">
        <v>12347</v>
      </c>
      <c r="B4041" t="s">
        <v>12348</v>
      </c>
      <c r="C4041" s="2">
        <v>46263.583333333336</v>
      </c>
      <c r="D4041" t="s">
        <v>418</v>
      </c>
      <c r="E4041" t="s">
        <v>11</v>
      </c>
      <c r="F4041" t="s">
        <v>316</v>
      </c>
      <c r="G4041" t="s">
        <v>92</v>
      </c>
      <c r="H4041">
        <v>4</v>
      </c>
      <c r="I4041" t="s">
        <v>12349</v>
      </c>
      <c r="J4041" t="s">
        <v>357</v>
      </c>
    </row>
    <row r="4042" spans="1:10" x14ac:dyDescent="0.25">
      <c r="A4042" t="s">
        <v>12350</v>
      </c>
      <c r="B4042" t="s">
        <v>12351</v>
      </c>
      <c r="C4042" s="2">
        <v>46263.583333333336</v>
      </c>
      <c r="D4042" t="s">
        <v>418</v>
      </c>
      <c r="E4042" t="s">
        <v>18</v>
      </c>
      <c r="F4042" t="s">
        <v>286</v>
      </c>
      <c r="G4042" t="s">
        <v>95</v>
      </c>
      <c r="H4042">
        <v>4</v>
      </c>
      <c r="I4042" t="s">
        <v>12352</v>
      </c>
      <c r="J4042" t="s">
        <v>357</v>
      </c>
    </row>
    <row r="4043" spans="1:10" x14ac:dyDescent="0.25">
      <c r="A4043" t="s">
        <v>12353</v>
      </c>
      <c r="B4043" t="s">
        <v>12354</v>
      </c>
      <c r="C4043" s="2">
        <v>46263.583333333336</v>
      </c>
      <c r="D4043" t="s">
        <v>418</v>
      </c>
      <c r="E4043" t="s">
        <v>20</v>
      </c>
      <c r="F4043" t="s">
        <v>317</v>
      </c>
      <c r="G4043" t="s">
        <v>97</v>
      </c>
      <c r="H4043">
        <v>4</v>
      </c>
      <c r="I4043" t="s">
        <v>12355</v>
      </c>
      <c r="J4043" t="s">
        <v>357</v>
      </c>
    </row>
    <row r="4044" spans="1:10" x14ac:dyDescent="0.25">
      <c r="A4044" t="s">
        <v>12356</v>
      </c>
      <c r="B4044" t="s">
        <v>12357</v>
      </c>
      <c r="C4044" s="2">
        <v>46263.583333333336</v>
      </c>
      <c r="D4044" t="s">
        <v>418</v>
      </c>
      <c r="E4044" t="s">
        <v>22</v>
      </c>
      <c r="F4044" t="s">
        <v>318</v>
      </c>
      <c r="G4044" t="s">
        <v>99</v>
      </c>
      <c r="H4044">
        <v>9</v>
      </c>
      <c r="I4044" t="s">
        <v>12358</v>
      </c>
      <c r="J4044" t="s">
        <v>357</v>
      </c>
    </row>
    <row r="4045" spans="1:10" x14ac:dyDescent="0.25">
      <c r="A4045" t="s">
        <v>12359</v>
      </c>
      <c r="B4045" t="s">
        <v>12360</v>
      </c>
      <c r="C4045" s="2">
        <v>46263.583333333336</v>
      </c>
      <c r="D4045" t="s">
        <v>418</v>
      </c>
      <c r="E4045" t="s">
        <v>24</v>
      </c>
      <c r="F4045" t="s">
        <v>319</v>
      </c>
      <c r="G4045" t="s">
        <v>101</v>
      </c>
      <c r="H4045">
        <v>4</v>
      </c>
      <c r="I4045" t="s">
        <v>12361</v>
      </c>
      <c r="J4045" t="s">
        <v>357</v>
      </c>
    </row>
    <row r="4046" spans="1:10" x14ac:dyDescent="0.25">
      <c r="A4046" t="s">
        <v>12362</v>
      </c>
      <c r="B4046" t="s">
        <v>12363</v>
      </c>
      <c r="C4046" s="2">
        <v>46263.583333333336</v>
      </c>
      <c r="D4046" t="s">
        <v>418</v>
      </c>
      <c r="E4046" t="s">
        <v>28</v>
      </c>
      <c r="F4046" t="s">
        <v>236</v>
      </c>
      <c r="G4046" t="s">
        <v>105</v>
      </c>
      <c r="H4046">
        <v>9</v>
      </c>
      <c r="I4046" t="s">
        <v>12364</v>
      </c>
      <c r="J4046" t="s">
        <v>357</v>
      </c>
    </row>
    <row r="4047" spans="1:10" x14ac:dyDescent="0.25">
      <c r="A4047" t="s">
        <v>12365</v>
      </c>
      <c r="B4047" t="s">
        <v>12366</v>
      </c>
      <c r="C4047" s="2">
        <v>46263.583333333336</v>
      </c>
      <c r="D4047" t="s">
        <v>418</v>
      </c>
      <c r="E4047" t="s">
        <v>30</v>
      </c>
      <c r="F4047" t="s">
        <v>207</v>
      </c>
      <c r="G4047" t="s">
        <v>107</v>
      </c>
      <c r="H4047">
        <v>7</v>
      </c>
      <c r="I4047" t="s">
        <v>12367</v>
      </c>
      <c r="J4047" t="s">
        <v>357</v>
      </c>
    </row>
    <row r="4048" spans="1:10" x14ac:dyDescent="0.25">
      <c r="A4048" t="s">
        <v>12368</v>
      </c>
      <c r="B4048" t="s">
        <v>12369</v>
      </c>
      <c r="C4048" s="2">
        <v>46263.583333333336</v>
      </c>
      <c r="D4048" t="s">
        <v>418</v>
      </c>
      <c r="E4048" t="s">
        <v>32</v>
      </c>
      <c r="F4048" t="s">
        <v>311</v>
      </c>
      <c r="G4048" t="s">
        <v>109</v>
      </c>
      <c r="H4048">
        <v>9</v>
      </c>
      <c r="I4048" t="s">
        <v>12370</v>
      </c>
      <c r="J4048" t="s">
        <v>357</v>
      </c>
    </row>
    <row r="4049" spans="1:10" x14ac:dyDescent="0.25">
      <c r="A4049" t="s">
        <v>12371</v>
      </c>
      <c r="B4049" t="s">
        <v>12372</v>
      </c>
      <c r="C4049" s="2">
        <v>46263.583333333336</v>
      </c>
      <c r="D4049" t="s">
        <v>418</v>
      </c>
      <c r="E4049" t="s">
        <v>41</v>
      </c>
      <c r="F4049" t="s">
        <v>293</v>
      </c>
      <c r="G4049" t="s">
        <v>115</v>
      </c>
      <c r="H4049">
        <v>2</v>
      </c>
      <c r="I4049" t="s">
        <v>12373</v>
      </c>
      <c r="J4049" t="s">
        <v>357</v>
      </c>
    </row>
    <row r="4050" spans="1:10" x14ac:dyDescent="0.25">
      <c r="A4050" t="s">
        <v>12374</v>
      </c>
      <c r="B4050" t="s">
        <v>12375</v>
      </c>
      <c r="C4050" s="2">
        <v>46263.583333333336</v>
      </c>
      <c r="D4050" t="s">
        <v>418</v>
      </c>
      <c r="E4050" t="s">
        <v>43</v>
      </c>
      <c r="F4050" t="s">
        <v>294</v>
      </c>
      <c r="G4050" t="s">
        <v>117</v>
      </c>
      <c r="H4050">
        <v>7</v>
      </c>
      <c r="I4050" t="s">
        <v>12376</v>
      </c>
      <c r="J4050" t="s">
        <v>357</v>
      </c>
    </row>
    <row r="4051" spans="1:10" x14ac:dyDescent="0.25">
      <c r="A4051" t="s">
        <v>12377</v>
      </c>
      <c r="B4051" t="s">
        <v>12378</v>
      </c>
      <c r="C4051" s="2">
        <v>46263.583333333336</v>
      </c>
      <c r="D4051" t="s">
        <v>418</v>
      </c>
      <c r="E4051" t="s">
        <v>49</v>
      </c>
      <c r="F4051" t="s">
        <v>167</v>
      </c>
      <c r="G4051" t="s">
        <v>123</v>
      </c>
      <c r="H4051">
        <v>7</v>
      </c>
      <c r="I4051" t="s">
        <v>12379</v>
      </c>
      <c r="J4051" t="s">
        <v>357</v>
      </c>
    </row>
    <row r="4052" spans="1:10" x14ac:dyDescent="0.25">
      <c r="A4052" t="s">
        <v>12380</v>
      </c>
      <c r="B4052" t="s">
        <v>12381</v>
      </c>
      <c r="C4052" s="2">
        <v>46263.583333333336</v>
      </c>
      <c r="D4052" t="s">
        <v>418</v>
      </c>
      <c r="E4052" t="s">
        <v>57</v>
      </c>
      <c r="F4052" t="s">
        <v>299</v>
      </c>
      <c r="G4052" t="s">
        <v>131</v>
      </c>
      <c r="H4052">
        <v>7</v>
      </c>
      <c r="I4052" t="s">
        <v>12382</v>
      </c>
      <c r="J4052" t="s">
        <v>357</v>
      </c>
    </row>
    <row r="4053" spans="1:10" x14ac:dyDescent="0.25">
      <c r="A4053" t="s">
        <v>12383</v>
      </c>
      <c r="B4053" t="s">
        <v>12384</v>
      </c>
      <c r="C4053" s="2">
        <v>46263.583333333336</v>
      </c>
      <c r="D4053" t="s">
        <v>418</v>
      </c>
      <c r="E4053" t="s">
        <v>11</v>
      </c>
      <c r="F4053" t="s">
        <v>316</v>
      </c>
      <c r="G4053" t="s">
        <v>92</v>
      </c>
      <c r="H4053">
        <v>1</v>
      </c>
      <c r="I4053" t="s">
        <v>12385</v>
      </c>
      <c r="J4053" t="s">
        <v>357</v>
      </c>
    </row>
    <row r="4054" spans="1:10" x14ac:dyDescent="0.25">
      <c r="A4054" t="s">
        <v>12386</v>
      </c>
      <c r="B4054" t="s">
        <v>12387</v>
      </c>
      <c r="C4054" s="2">
        <v>46263.583333333336</v>
      </c>
      <c r="D4054" t="s">
        <v>418</v>
      </c>
      <c r="E4054" t="s">
        <v>18</v>
      </c>
      <c r="F4054" t="s">
        <v>286</v>
      </c>
      <c r="G4054" t="s">
        <v>95</v>
      </c>
      <c r="H4054">
        <v>5</v>
      </c>
      <c r="I4054" t="s">
        <v>12388</v>
      </c>
      <c r="J4054" t="s">
        <v>357</v>
      </c>
    </row>
    <row r="4055" spans="1:10" x14ac:dyDescent="0.25">
      <c r="A4055" t="s">
        <v>12389</v>
      </c>
      <c r="B4055" t="s">
        <v>12390</v>
      </c>
      <c r="C4055" s="2">
        <v>46263.583333333336</v>
      </c>
      <c r="D4055" t="s">
        <v>418</v>
      </c>
      <c r="E4055" t="s">
        <v>22</v>
      </c>
      <c r="F4055" t="s">
        <v>318</v>
      </c>
      <c r="G4055" t="s">
        <v>99</v>
      </c>
      <c r="H4055">
        <v>1</v>
      </c>
      <c r="I4055" t="s">
        <v>12391</v>
      </c>
      <c r="J4055" t="s">
        <v>357</v>
      </c>
    </row>
    <row r="4056" spans="1:10" x14ac:dyDescent="0.25">
      <c r="A4056" t="s">
        <v>12392</v>
      </c>
      <c r="B4056" t="s">
        <v>12393</v>
      </c>
      <c r="C4056" s="2">
        <v>46263.583333333336</v>
      </c>
      <c r="D4056" t="s">
        <v>418</v>
      </c>
      <c r="E4056" t="s">
        <v>36</v>
      </c>
      <c r="F4056" t="s">
        <v>281</v>
      </c>
      <c r="G4056" t="s">
        <v>113</v>
      </c>
      <c r="H4056">
        <v>2</v>
      </c>
      <c r="I4056" t="s">
        <v>12394</v>
      </c>
      <c r="J4056" t="s">
        <v>357</v>
      </c>
    </row>
    <row r="4057" spans="1:10" x14ac:dyDescent="0.25">
      <c r="A4057" t="s">
        <v>12395</v>
      </c>
      <c r="B4057" t="s">
        <v>12396</v>
      </c>
      <c r="C4057" s="2">
        <v>46263.583333333336</v>
      </c>
      <c r="D4057" t="s">
        <v>418</v>
      </c>
      <c r="E4057" t="s">
        <v>45</v>
      </c>
      <c r="F4057" t="s">
        <v>312</v>
      </c>
      <c r="G4057" t="s">
        <v>119</v>
      </c>
      <c r="H4057">
        <v>4</v>
      </c>
      <c r="I4057" t="s">
        <v>12397</v>
      </c>
      <c r="J4057" t="s">
        <v>357</v>
      </c>
    </row>
    <row r="4058" spans="1:10" x14ac:dyDescent="0.25">
      <c r="A4058" t="s">
        <v>12398</v>
      </c>
      <c r="B4058" t="s">
        <v>12399</v>
      </c>
      <c r="C4058" s="2">
        <v>46263.583333333336</v>
      </c>
      <c r="D4058" t="s">
        <v>418</v>
      </c>
      <c r="E4058" t="s">
        <v>57</v>
      </c>
      <c r="F4058" t="s">
        <v>299</v>
      </c>
      <c r="G4058" t="s">
        <v>131</v>
      </c>
      <c r="H4058">
        <v>4</v>
      </c>
      <c r="I4058" t="s">
        <v>12400</v>
      </c>
      <c r="J4058" t="s">
        <v>357</v>
      </c>
    </row>
    <row r="4059" spans="1:10" x14ac:dyDescent="0.25">
      <c r="A4059" t="s">
        <v>12401</v>
      </c>
      <c r="B4059" t="s">
        <v>12402</v>
      </c>
      <c r="C4059" s="2">
        <v>46263.583333333336</v>
      </c>
      <c r="D4059" t="s">
        <v>418</v>
      </c>
      <c r="E4059" t="s">
        <v>59</v>
      </c>
      <c r="F4059" t="s">
        <v>283</v>
      </c>
      <c r="G4059" t="s">
        <v>133</v>
      </c>
      <c r="H4059">
        <v>4</v>
      </c>
      <c r="I4059" t="s">
        <v>12403</v>
      </c>
      <c r="J4059" t="s">
        <v>357</v>
      </c>
    </row>
    <row r="4060" spans="1:10" x14ac:dyDescent="0.25">
      <c r="A4060" t="s">
        <v>12404</v>
      </c>
      <c r="B4060" t="s">
        <v>12405</v>
      </c>
      <c r="C4060" s="2">
        <v>46263.583333333336</v>
      </c>
      <c r="D4060" t="s">
        <v>418</v>
      </c>
      <c r="E4060" t="s">
        <v>71</v>
      </c>
      <c r="F4060" t="s">
        <v>302</v>
      </c>
      <c r="G4060" t="s">
        <v>141</v>
      </c>
      <c r="H4060">
        <v>5</v>
      </c>
      <c r="I4060" t="s">
        <v>12406</v>
      </c>
      <c r="J4060" t="s">
        <v>357</v>
      </c>
    </row>
    <row r="4061" spans="1:10" x14ac:dyDescent="0.25">
      <c r="A4061" t="s">
        <v>12407</v>
      </c>
      <c r="B4061" t="s">
        <v>12408</v>
      </c>
      <c r="C4061" s="2">
        <v>46263.583333333336</v>
      </c>
      <c r="D4061" t="s">
        <v>418</v>
      </c>
      <c r="E4061" t="s">
        <v>75</v>
      </c>
      <c r="F4061" t="s">
        <v>272</v>
      </c>
      <c r="G4061" t="s">
        <v>145</v>
      </c>
      <c r="H4061">
        <v>5</v>
      </c>
      <c r="I4061" t="s">
        <v>12409</v>
      </c>
      <c r="J4061" t="s">
        <v>357</v>
      </c>
    </row>
    <row r="4062" spans="1:10" x14ac:dyDescent="0.25">
      <c r="A4062" t="s">
        <v>12410</v>
      </c>
      <c r="B4062" t="s">
        <v>12411</v>
      </c>
      <c r="C4062" s="2">
        <v>46264.583333333336</v>
      </c>
      <c r="D4062" t="s">
        <v>418</v>
      </c>
      <c r="E4062" t="s">
        <v>20</v>
      </c>
      <c r="F4062" t="s">
        <v>317</v>
      </c>
      <c r="G4062" t="s">
        <v>97</v>
      </c>
      <c r="H4062">
        <v>3</v>
      </c>
      <c r="I4062" t="s">
        <v>12412</v>
      </c>
      <c r="J4062" t="s">
        <v>357</v>
      </c>
    </row>
    <row r="4063" spans="1:10" x14ac:dyDescent="0.25">
      <c r="A4063" t="s">
        <v>12413</v>
      </c>
      <c r="B4063" t="s">
        <v>12414</v>
      </c>
      <c r="C4063" s="2">
        <v>46264.583333333336</v>
      </c>
      <c r="D4063" t="s">
        <v>418</v>
      </c>
      <c r="E4063" t="s">
        <v>22</v>
      </c>
      <c r="F4063" t="s">
        <v>318</v>
      </c>
      <c r="G4063" t="s">
        <v>99</v>
      </c>
      <c r="H4063">
        <v>5</v>
      </c>
      <c r="I4063" t="s">
        <v>12415</v>
      </c>
      <c r="J4063" t="s">
        <v>357</v>
      </c>
    </row>
    <row r="4064" spans="1:10" x14ac:dyDescent="0.25">
      <c r="A4064" t="s">
        <v>12416</v>
      </c>
      <c r="B4064" t="s">
        <v>12417</v>
      </c>
      <c r="C4064" s="2">
        <v>46264.583333333336</v>
      </c>
      <c r="D4064" t="s">
        <v>418</v>
      </c>
      <c r="E4064" t="s">
        <v>30</v>
      </c>
      <c r="F4064" t="s">
        <v>207</v>
      </c>
      <c r="G4064" t="s">
        <v>107</v>
      </c>
      <c r="H4064">
        <v>4</v>
      </c>
      <c r="I4064" t="s">
        <v>12418</v>
      </c>
      <c r="J4064" t="s">
        <v>357</v>
      </c>
    </row>
    <row r="4065" spans="1:10" x14ac:dyDescent="0.25">
      <c r="A4065" t="s">
        <v>12419</v>
      </c>
      <c r="B4065" t="s">
        <v>12420</v>
      </c>
      <c r="C4065" s="2">
        <v>46264.583333333336</v>
      </c>
      <c r="D4065" t="s">
        <v>418</v>
      </c>
      <c r="E4065" t="s">
        <v>32</v>
      </c>
      <c r="F4065" t="s">
        <v>311</v>
      </c>
      <c r="G4065" t="s">
        <v>109</v>
      </c>
      <c r="H4065">
        <v>1</v>
      </c>
      <c r="I4065" t="s">
        <v>12421</v>
      </c>
      <c r="J4065" t="s">
        <v>357</v>
      </c>
    </row>
    <row r="4066" spans="1:10" x14ac:dyDescent="0.25">
      <c r="A4066" t="s">
        <v>12422</v>
      </c>
      <c r="B4066" t="s">
        <v>12423</v>
      </c>
      <c r="C4066" s="2">
        <v>46264.583333333336</v>
      </c>
      <c r="D4066" t="s">
        <v>418</v>
      </c>
      <c r="E4066" t="s">
        <v>49</v>
      </c>
      <c r="F4066" t="s">
        <v>191</v>
      </c>
      <c r="G4066" t="s">
        <v>123</v>
      </c>
      <c r="H4066">
        <v>5</v>
      </c>
      <c r="I4066" t="s">
        <v>12424</v>
      </c>
      <c r="J4066" t="s">
        <v>357</v>
      </c>
    </row>
    <row r="4067" spans="1:10" x14ac:dyDescent="0.25">
      <c r="A4067" t="s">
        <v>12425</v>
      </c>
      <c r="B4067" t="s">
        <v>12426</v>
      </c>
      <c r="C4067" s="2">
        <v>46264.583333333336</v>
      </c>
      <c r="D4067" t="s">
        <v>418</v>
      </c>
      <c r="E4067" t="s">
        <v>71</v>
      </c>
      <c r="F4067" t="s">
        <v>302</v>
      </c>
      <c r="G4067" t="s">
        <v>141</v>
      </c>
      <c r="H4067">
        <v>1</v>
      </c>
      <c r="I4067" t="s">
        <v>12427</v>
      </c>
      <c r="J4067" t="s">
        <v>357</v>
      </c>
    </row>
    <row r="4068" spans="1:10" x14ac:dyDescent="0.25">
      <c r="A4068" t="s">
        <v>12428</v>
      </c>
      <c r="B4068" t="s">
        <v>12429</v>
      </c>
      <c r="C4068" s="2">
        <v>46264.583333333336</v>
      </c>
      <c r="D4068" t="s">
        <v>418</v>
      </c>
      <c r="E4068" t="s">
        <v>75</v>
      </c>
      <c r="F4068" t="s">
        <v>272</v>
      </c>
      <c r="G4068" t="s">
        <v>145</v>
      </c>
      <c r="H4068">
        <v>3</v>
      </c>
      <c r="I4068" t="s">
        <v>12430</v>
      </c>
      <c r="J4068" t="s">
        <v>357</v>
      </c>
    </row>
    <row r="4069" spans="1:10" x14ac:dyDescent="0.25">
      <c r="A4069" t="s">
        <v>12431</v>
      </c>
      <c r="B4069" t="s">
        <v>12432</v>
      </c>
      <c r="C4069" s="2">
        <v>46264.583333333336</v>
      </c>
      <c r="D4069" t="s">
        <v>418</v>
      </c>
      <c r="E4069" t="s">
        <v>77</v>
      </c>
      <c r="F4069" t="s">
        <v>273</v>
      </c>
      <c r="G4069" t="s">
        <v>147</v>
      </c>
      <c r="H4069">
        <v>3</v>
      </c>
      <c r="I4069" t="s">
        <v>12433</v>
      </c>
      <c r="J4069" t="s">
        <v>357</v>
      </c>
    </row>
    <row r="4070" spans="1:10" x14ac:dyDescent="0.25">
      <c r="A4070" t="s">
        <v>12434</v>
      </c>
      <c r="B4070" t="s">
        <v>12435</v>
      </c>
      <c r="C4070" s="2">
        <v>46264.583333333336</v>
      </c>
      <c r="D4070" t="s">
        <v>418</v>
      </c>
      <c r="E4070" t="s">
        <v>11</v>
      </c>
      <c r="F4070" t="s">
        <v>316</v>
      </c>
      <c r="G4070" t="s">
        <v>92</v>
      </c>
      <c r="H4070">
        <v>6</v>
      </c>
      <c r="I4070" t="s">
        <v>12436</v>
      </c>
      <c r="J4070" t="s">
        <v>357</v>
      </c>
    </row>
    <row r="4071" spans="1:10" x14ac:dyDescent="0.25">
      <c r="A4071" t="s">
        <v>12437</v>
      </c>
      <c r="B4071" t="s">
        <v>12438</v>
      </c>
      <c r="C4071" s="2">
        <v>46264.583333333336</v>
      </c>
      <c r="D4071" t="s">
        <v>418</v>
      </c>
      <c r="E4071" t="s">
        <v>18</v>
      </c>
      <c r="F4071" t="s">
        <v>286</v>
      </c>
      <c r="G4071" t="s">
        <v>95</v>
      </c>
      <c r="H4071">
        <v>3</v>
      </c>
      <c r="I4071" t="s">
        <v>12439</v>
      </c>
      <c r="J4071" t="s">
        <v>357</v>
      </c>
    </row>
    <row r="4072" spans="1:10" x14ac:dyDescent="0.25">
      <c r="A4072" t="s">
        <v>12440</v>
      </c>
      <c r="B4072" t="s">
        <v>12441</v>
      </c>
      <c r="C4072" s="2">
        <v>46264.583333333336</v>
      </c>
      <c r="D4072" t="s">
        <v>418</v>
      </c>
      <c r="E4072" t="s">
        <v>24</v>
      </c>
      <c r="F4072" t="s">
        <v>319</v>
      </c>
      <c r="G4072" t="s">
        <v>101</v>
      </c>
      <c r="H4072">
        <v>5</v>
      </c>
      <c r="I4072" t="s">
        <v>12442</v>
      </c>
      <c r="J4072" t="s">
        <v>357</v>
      </c>
    </row>
    <row r="4073" spans="1:10" x14ac:dyDescent="0.25">
      <c r="A4073" t="s">
        <v>12443</v>
      </c>
      <c r="B4073" t="s">
        <v>12444</v>
      </c>
      <c r="C4073" s="2">
        <v>46264.583333333336</v>
      </c>
      <c r="D4073" t="s">
        <v>418</v>
      </c>
      <c r="E4073" t="s">
        <v>26</v>
      </c>
      <c r="F4073" t="s">
        <v>320</v>
      </c>
      <c r="G4073" t="s">
        <v>103</v>
      </c>
      <c r="H4073">
        <v>3</v>
      </c>
      <c r="I4073" t="s">
        <v>12445</v>
      </c>
      <c r="J4073" t="s">
        <v>357</v>
      </c>
    </row>
    <row r="4074" spans="1:10" x14ac:dyDescent="0.25">
      <c r="A4074" t="s">
        <v>12446</v>
      </c>
      <c r="B4074" t="s">
        <v>12447</v>
      </c>
      <c r="C4074" s="2">
        <v>46264.583333333336</v>
      </c>
      <c r="D4074" t="s">
        <v>418</v>
      </c>
      <c r="E4074" t="s">
        <v>30</v>
      </c>
      <c r="F4074" t="s">
        <v>207</v>
      </c>
      <c r="G4074" t="s">
        <v>107</v>
      </c>
      <c r="H4074">
        <v>6</v>
      </c>
      <c r="I4074" t="s">
        <v>12448</v>
      </c>
      <c r="J4074" t="s">
        <v>357</v>
      </c>
    </row>
    <row r="4075" spans="1:10" x14ac:dyDescent="0.25">
      <c r="A4075" t="s">
        <v>12449</v>
      </c>
      <c r="B4075" t="s">
        <v>12450</v>
      </c>
      <c r="C4075" s="2">
        <v>46264.583333333336</v>
      </c>
      <c r="D4075" t="s">
        <v>418</v>
      </c>
      <c r="E4075" t="s">
        <v>41</v>
      </c>
      <c r="F4075" t="s">
        <v>293</v>
      </c>
      <c r="G4075" t="s">
        <v>115</v>
      </c>
      <c r="H4075">
        <v>4</v>
      </c>
      <c r="I4075" t="s">
        <v>12451</v>
      </c>
      <c r="J4075" t="s">
        <v>357</v>
      </c>
    </row>
    <row r="4076" spans="1:10" x14ac:dyDescent="0.25">
      <c r="A4076" t="s">
        <v>12452</v>
      </c>
      <c r="B4076" t="s">
        <v>12453</v>
      </c>
      <c r="C4076" s="2">
        <v>46264.583333333336</v>
      </c>
      <c r="D4076" t="s">
        <v>418</v>
      </c>
      <c r="E4076" t="s">
        <v>51</v>
      </c>
      <c r="F4076" t="s">
        <v>254</v>
      </c>
      <c r="G4076" t="s">
        <v>125</v>
      </c>
      <c r="H4076">
        <v>1</v>
      </c>
      <c r="I4076" t="s">
        <v>12454</v>
      </c>
      <c r="J4076" t="s">
        <v>357</v>
      </c>
    </row>
    <row r="4077" spans="1:10" x14ac:dyDescent="0.25">
      <c r="A4077" t="s">
        <v>12455</v>
      </c>
      <c r="B4077" t="s">
        <v>12456</v>
      </c>
      <c r="C4077" s="2">
        <v>46264.583333333336</v>
      </c>
      <c r="D4077" t="s">
        <v>418</v>
      </c>
      <c r="E4077" t="s">
        <v>71</v>
      </c>
      <c r="F4077" t="s">
        <v>302</v>
      </c>
      <c r="G4077" t="s">
        <v>141</v>
      </c>
      <c r="H4077">
        <v>4</v>
      </c>
      <c r="I4077" t="s">
        <v>12457</v>
      </c>
      <c r="J4077" t="s">
        <v>357</v>
      </c>
    </row>
    <row r="4078" spans="1:10" x14ac:dyDescent="0.25">
      <c r="A4078" t="s">
        <v>12458</v>
      </c>
      <c r="B4078" t="s">
        <v>12459</v>
      </c>
      <c r="C4078" s="2">
        <v>46264.583333333336</v>
      </c>
      <c r="D4078" t="s">
        <v>418</v>
      </c>
      <c r="E4078" t="s">
        <v>75</v>
      </c>
      <c r="F4078" t="s">
        <v>272</v>
      </c>
      <c r="G4078" t="s">
        <v>145</v>
      </c>
      <c r="H4078">
        <v>6</v>
      </c>
      <c r="I4078" t="s">
        <v>12460</v>
      </c>
      <c r="J4078" t="s">
        <v>357</v>
      </c>
    </row>
    <row r="4079" spans="1:10" x14ac:dyDescent="0.25">
      <c r="A4079" t="s">
        <v>12461</v>
      </c>
      <c r="B4079" t="s">
        <v>12462</v>
      </c>
      <c r="C4079" s="2">
        <v>46264.583333333336</v>
      </c>
      <c r="D4079" t="s">
        <v>418</v>
      </c>
      <c r="E4079" t="s">
        <v>77</v>
      </c>
      <c r="F4079" t="s">
        <v>273</v>
      </c>
      <c r="G4079" t="s">
        <v>147</v>
      </c>
      <c r="H4079">
        <v>6</v>
      </c>
      <c r="I4079" t="s">
        <v>12463</v>
      </c>
      <c r="J4079" t="s">
        <v>357</v>
      </c>
    </row>
    <row r="4080" spans="1:10" x14ac:dyDescent="0.25">
      <c r="A4080" t="s">
        <v>12464</v>
      </c>
      <c r="B4080" t="s">
        <v>12465</v>
      </c>
      <c r="C4080" s="2">
        <v>46264.583333333336</v>
      </c>
      <c r="D4080" t="s">
        <v>418</v>
      </c>
      <c r="E4080" t="s">
        <v>20</v>
      </c>
      <c r="F4080" t="s">
        <v>317</v>
      </c>
      <c r="G4080" t="s">
        <v>97</v>
      </c>
      <c r="H4080">
        <v>2</v>
      </c>
      <c r="I4080" t="s">
        <v>12466</v>
      </c>
      <c r="J4080" t="s">
        <v>357</v>
      </c>
    </row>
    <row r="4081" spans="1:10" x14ac:dyDescent="0.25">
      <c r="A4081" t="s">
        <v>12467</v>
      </c>
      <c r="B4081" t="s">
        <v>12468</v>
      </c>
      <c r="C4081" s="2">
        <v>46264.583333333336</v>
      </c>
      <c r="D4081" t="s">
        <v>418</v>
      </c>
      <c r="E4081" t="s">
        <v>22</v>
      </c>
      <c r="F4081" t="s">
        <v>318</v>
      </c>
      <c r="G4081" t="s">
        <v>99</v>
      </c>
      <c r="H4081">
        <v>2</v>
      </c>
      <c r="I4081" t="s">
        <v>12469</v>
      </c>
      <c r="J4081" t="s">
        <v>357</v>
      </c>
    </row>
    <row r="4082" spans="1:10" x14ac:dyDescent="0.25">
      <c r="A4082" t="s">
        <v>12470</v>
      </c>
      <c r="B4082" t="s">
        <v>12471</v>
      </c>
      <c r="C4082" s="2">
        <v>46264.583333333336</v>
      </c>
      <c r="D4082" t="s">
        <v>418</v>
      </c>
      <c r="E4082" t="s">
        <v>24</v>
      </c>
      <c r="F4082" t="s">
        <v>319</v>
      </c>
      <c r="G4082" t="s">
        <v>101</v>
      </c>
      <c r="H4082">
        <v>6</v>
      </c>
      <c r="I4082" t="s">
        <v>12472</v>
      </c>
      <c r="J4082" t="s">
        <v>357</v>
      </c>
    </row>
    <row r="4083" spans="1:10" x14ac:dyDescent="0.25">
      <c r="A4083" t="s">
        <v>12473</v>
      </c>
      <c r="B4083" t="s">
        <v>12474</v>
      </c>
      <c r="C4083" s="2">
        <v>46264.583333333336</v>
      </c>
      <c r="D4083" t="s">
        <v>418</v>
      </c>
      <c r="E4083" t="s">
        <v>26</v>
      </c>
      <c r="F4083" t="s">
        <v>320</v>
      </c>
      <c r="G4083" t="s">
        <v>103</v>
      </c>
      <c r="H4083">
        <v>2</v>
      </c>
      <c r="I4083" t="s">
        <v>12475</v>
      </c>
      <c r="J4083" t="s">
        <v>357</v>
      </c>
    </row>
    <row r="4084" spans="1:10" x14ac:dyDescent="0.25">
      <c r="A4084" t="s">
        <v>12476</v>
      </c>
      <c r="B4084" t="s">
        <v>12477</v>
      </c>
      <c r="C4084" s="2">
        <v>46264.583333333336</v>
      </c>
      <c r="D4084" t="s">
        <v>418</v>
      </c>
      <c r="E4084" t="s">
        <v>30</v>
      </c>
      <c r="F4084" t="s">
        <v>207</v>
      </c>
      <c r="G4084" t="s">
        <v>107</v>
      </c>
      <c r="H4084">
        <v>5</v>
      </c>
      <c r="I4084" t="s">
        <v>12478</v>
      </c>
      <c r="J4084" t="s">
        <v>357</v>
      </c>
    </row>
    <row r="4085" spans="1:10" x14ac:dyDescent="0.25">
      <c r="A4085" t="s">
        <v>12479</v>
      </c>
      <c r="B4085" t="s">
        <v>12480</v>
      </c>
      <c r="C4085" s="2">
        <v>46264.583333333336</v>
      </c>
      <c r="D4085" t="s">
        <v>418</v>
      </c>
      <c r="E4085" t="s">
        <v>41</v>
      </c>
      <c r="F4085" t="s">
        <v>293</v>
      </c>
      <c r="G4085" t="s">
        <v>115</v>
      </c>
      <c r="H4085">
        <v>5</v>
      </c>
      <c r="I4085" t="s">
        <v>12481</v>
      </c>
      <c r="J4085" t="s">
        <v>357</v>
      </c>
    </row>
    <row r="4086" spans="1:10" x14ac:dyDescent="0.25">
      <c r="A4086" t="s">
        <v>12482</v>
      </c>
      <c r="B4086" t="s">
        <v>12483</v>
      </c>
      <c r="C4086" s="2">
        <v>46264.583333333336</v>
      </c>
      <c r="D4086" t="s">
        <v>418</v>
      </c>
      <c r="E4086" t="s">
        <v>41</v>
      </c>
      <c r="F4086" t="s">
        <v>265</v>
      </c>
      <c r="G4086" t="s">
        <v>115</v>
      </c>
      <c r="H4086">
        <v>1</v>
      </c>
      <c r="I4086" t="s">
        <v>12481</v>
      </c>
      <c r="J4086" t="s">
        <v>357</v>
      </c>
    </row>
    <row r="4087" spans="1:10" x14ac:dyDescent="0.25">
      <c r="A4087" t="s">
        <v>12484</v>
      </c>
      <c r="B4087" t="s">
        <v>12485</v>
      </c>
      <c r="C4087" s="2">
        <v>46264.583333333336</v>
      </c>
      <c r="D4087" t="s">
        <v>418</v>
      </c>
      <c r="E4087" t="s">
        <v>45</v>
      </c>
      <c r="F4087" t="s">
        <v>312</v>
      </c>
      <c r="G4087" t="s">
        <v>119</v>
      </c>
      <c r="H4087">
        <v>3</v>
      </c>
      <c r="I4087" t="s">
        <v>12486</v>
      </c>
      <c r="J4087" t="s">
        <v>357</v>
      </c>
    </row>
    <row r="4088" spans="1:10" x14ac:dyDescent="0.25">
      <c r="A4088" t="s">
        <v>12487</v>
      </c>
      <c r="B4088" t="s">
        <v>12488</v>
      </c>
      <c r="C4088" s="2">
        <v>46264.583333333336</v>
      </c>
      <c r="D4088" t="s">
        <v>418</v>
      </c>
      <c r="E4088" t="s">
        <v>47</v>
      </c>
      <c r="F4088" t="s">
        <v>322</v>
      </c>
      <c r="G4088" t="s">
        <v>121</v>
      </c>
      <c r="H4088">
        <v>8</v>
      </c>
      <c r="I4088" t="s">
        <v>12489</v>
      </c>
      <c r="J4088" t="s">
        <v>357</v>
      </c>
    </row>
    <row r="4089" spans="1:10" x14ac:dyDescent="0.25">
      <c r="A4089" t="s">
        <v>12490</v>
      </c>
      <c r="B4089" t="s">
        <v>12491</v>
      </c>
      <c r="C4089" s="2">
        <v>46264.583333333336</v>
      </c>
      <c r="D4089" t="s">
        <v>418</v>
      </c>
      <c r="E4089" t="s">
        <v>49</v>
      </c>
      <c r="F4089" t="s">
        <v>191</v>
      </c>
      <c r="G4089" t="s">
        <v>123</v>
      </c>
      <c r="H4089">
        <v>2</v>
      </c>
      <c r="I4089" t="s">
        <v>12492</v>
      </c>
      <c r="J4089" t="s">
        <v>357</v>
      </c>
    </row>
    <row r="4090" spans="1:10" x14ac:dyDescent="0.25">
      <c r="A4090" t="s">
        <v>12493</v>
      </c>
      <c r="B4090" t="s">
        <v>12494</v>
      </c>
      <c r="C4090" s="2">
        <v>46264.583333333336</v>
      </c>
      <c r="D4090" t="s">
        <v>418</v>
      </c>
      <c r="E4090" t="s">
        <v>55</v>
      </c>
      <c r="F4090" t="s">
        <v>269</v>
      </c>
      <c r="G4090" t="s">
        <v>129</v>
      </c>
      <c r="H4090">
        <v>2</v>
      </c>
      <c r="I4090" t="s">
        <v>12495</v>
      </c>
      <c r="J4090" t="s">
        <v>357</v>
      </c>
    </row>
    <row r="4091" spans="1:10" x14ac:dyDescent="0.25">
      <c r="A4091" t="s">
        <v>12496</v>
      </c>
      <c r="B4091" t="s">
        <v>12497</v>
      </c>
      <c r="C4091" s="2">
        <v>46264.583333333336</v>
      </c>
      <c r="D4091" t="s">
        <v>418</v>
      </c>
      <c r="E4091" t="s">
        <v>59</v>
      </c>
      <c r="F4091" t="s">
        <v>283</v>
      </c>
      <c r="G4091" t="s">
        <v>133</v>
      </c>
      <c r="H4091">
        <v>2</v>
      </c>
      <c r="I4091" t="s">
        <v>12498</v>
      </c>
      <c r="J4091" t="s">
        <v>357</v>
      </c>
    </row>
    <row r="4092" spans="1:10" x14ac:dyDescent="0.25">
      <c r="A4092" t="s">
        <v>12499</v>
      </c>
      <c r="B4092" t="s">
        <v>12500</v>
      </c>
      <c r="C4092" s="2">
        <v>46264.583333333336</v>
      </c>
      <c r="D4092" t="s">
        <v>418</v>
      </c>
      <c r="E4092" t="s">
        <v>67</v>
      </c>
      <c r="F4092" t="s">
        <v>271</v>
      </c>
      <c r="G4092" t="s">
        <v>137</v>
      </c>
      <c r="H4092">
        <v>8</v>
      </c>
      <c r="I4092" t="s">
        <v>12501</v>
      </c>
      <c r="J4092" t="s">
        <v>357</v>
      </c>
    </row>
    <row r="4093" spans="1:10" x14ac:dyDescent="0.25">
      <c r="A4093" t="s">
        <v>12502</v>
      </c>
      <c r="B4093" t="s">
        <v>12503</v>
      </c>
      <c r="C4093" s="2">
        <v>46264.583333333336</v>
      </c>
      <c r="D4093" t="s">
        <v>418</v>
      </c>
      <c r="E4093" t="s">
        <v>71</v>
      </c>
      <c r="F4093" t="s">
        <v>302</v>
      </c>
      <c r="G4093" t="s">
        <v>141</v>
      </c>
      <c r="H4093">
        <v>6</v>
      </c>
      <c r="I4093" t="s">
        <v>12504</v>
      </c>
      <c r="J4093" t="s">
        <v>357</v>
      </c>
    </row>
    <row r="4094" spans="1:10" x14ac:dyDescent="0.25">
      <c r="A4094" t="s">
        <v>12505</v>
      </c>
      <c r="B4094" t="s">
        <v>12506</v>
      </c>
      <c r="C4094" s="2">
        <v>46264.583333333336</v>
      </c>
      <c r="D4094" t="s">
        <v>418</v>
      </c>
      <c r="E4094" t="s">
        <v>73</v>
      </c>
      <c r="F4094" t="s">
        <v>258</v>
      </c>
      <c r="G4094" t="s">
        <v>143</v>
      </c>
      <c r="H4094">
        <v>8</v>
      </c>
      <c r="I4094" t="s">
        <v>12507</v>
      </c>
      <c r="J4094" t="s">
        <v>357</v>
      </c>
    </row>
    <row r="4095" spans="1:10" x14ac:dyDescent="0.25">
      <c r="A4095" t="s">
        <v>12508</v>
      </c>
      <c r="B4095" t="s">
        <v>12509</v>
      </c>
      <c r="C4095" s="2">
        <v>46264.583333333336</v>
      </c>
      <c r="D4095" t="s">
        <v>418</v>
      </c>
      <c r="E4095" t="s">
        <v>79</v>
      </c>
      <c r="F4095" t="s">
        <v>148</v>
      </c>
      <c r="G4095" t="s">
        <v>149</v>
      </c>
      <c r="H4095">
        <v>2</v>
      </c>
      <c r="I4095" t="s">
        <v>12510</v>
      </c>
      <c r="J4095" t="s">
        <v>357</v>
      </c>
    </row>
    <row r="4096" spans="1:10" x14ac:dyDescent="0.25">
      <c r="A4096" t="s">
        <v>12511</v>
      </c>
      <c r="B4096" t="s">
        <v>12512</v>
      </c>
      <c r="C4096" s="2">
        <v>46264.583333333336</v>
      </c>
      <c r="D4096" t="s">
        <v>418</v>
      </c>
      <c r="E4096" t="s">
        <v>18</v>
      </c>
      <c r="F4096" t="s">
        <v>286</v>
      </c>
      <c r="G4096" t="s">
        <v>95</v>
      </c>
      <c r="H4096">
        <v>9</v>
      </c>
      <c r="I4096" t="s">
        <v>12513</v>
      </c>
      <c r="J4096" t="s">
        <v>357</v>
      </c>
    </row>
    <row r="4097" spans="1:10" x14ac:dyDescent="0.25">
      <c r="A4097" t="s">
        <v>12514</v>
      </c>
      <c r="B4097" t="s">
        <v>12515</v>
      </c>
      <c r="C4097" s="2">
        <v>46264.583333333336</v>
      </c>
      <c r="D4097" t="s">
        <v>418</v>
      </c>
      <c r="E4097" t="s">
        <v>20</v>
      </c>
      <c r="F4097" t="s">
        <v>317</v>
      </c>
      <c r="G4097" t="s">
        <v>97</v>
      </c>
      <c r="H4097">
        <v>4</v>
      </c>
      <c r="I4097" t="s">
        <v>12516</v>
      </c>
      <c r="J4097" t="s">
        <v>357</v>
      </c>
    </row>
    <row r="4098" spans="1:10" x14ac:dyDescent="0.25">
      <c r="A4098" t="s">
        <v>12517</v>
      </c>
      <c r="B4098" t="s">
        <v>12518</v>
      </c>
      <c r="C4098" s="2">
        <v>46264.583333333336</v>
      </c>
      <c r="D4098" t="s">
        <v>418</v>
      </c>
      <c r="E4098" t="s">
        <v>22</v>
      </c>
      <c r="F4098" t="s">
        <v>318</v>
      </c>
      <c r="G4098" t="s">
        <v>99</v>
      </c>
      <c r="H4098">
        <v>9</v>
      </c>
      <c r="I4098" t="s">
        <v>12519</v>
      </c>
      <c r="J4098" t="s">
        <v>357</v>
      </c>
    </row>
    <row r="4099" spans="1:10" x14ac:dyDescent="0.25">
      <c r="A4099" t="s">
        <v>12520</v>
      </c>
      <c r="B4099" t="s">
        <v>12521</v>
      </c>
      <c r="C4099" s="2">
        <v>46264.583333333336</v>
      </c>
      <c r="D4099" t="s">
        <v>418</v>
      </c>
      <c r="E4099" t="s">
        <v>24</v>
      </c>
      <c r="F4099" t="s">
        <v>319</v>
      </c>
      <c r="G4099" t="s">
        <v>101</v>
      </c>
      <c r="H4099">
        <v>7</v>
      </c>
      <c r="I4099" t="s">
        <v>12522</v>
      </c>
      <c r="J4099" t="s">
        <v>357</v>
      </c>
    </row>
    <row r="4100" spans="1:10" x14ac:dyDescent="0.25">
      <c r="A4100" t="s">
        <v>12523</v>
      </c>
      <c r="B4100" t="s">
        <v>12524</v>
      </c>
      <c r="C4100" s="2">
        <v>46264.583333333336</v>
      </c>
      <c r="D4100" t="s">
        <v>418</v>
      </c>
      <c r="E4100" t="s">
        <v>26</v>
      </c>
      <c r="F4100" t="s">
        <v>320</v>
      </c>
      <c r="G4100" t="s">
        <v>103</v>
      </c>
      <c r="H4100">
        <v>4</v>
      </c>
      <c r="I4100" t="s">
        <v>12525</v>
      </c>
      <c r="J4100" t="s">
        <v>357</v>
      </c>
    </row>
    <row r="4101" spans="1:10" x14ac:dyDescent="0.25">
      <c r="A4101" t="s">
        <v>12526</v>
      </c>
      <c r="B4101" t="s">
        <v>12527</v>
      </c>
      <c r="C4101" s="2">
        <v>46264.583333333336</v>
      </c>
      <c r="D4101" t="s">
        <v>418</v>
      </c>
      <c r="E4101" t="s">
        <v>30</v>
      </c>
      <c r="F4101" t="s">
        <v>207</v>
      </c>
      <c r="G4101" t="s">
        <v>107</v>
      </c>
      <c r="H4101">
        <v>3</v>
      </c>
      <c r="I4101" t="s">
        <v>12528</v>
      </c>
      <c r="J4101" t="s">
        <v>357</v>
      </c>
    </row>
    <row r="4102" spans="1:10" x14ac:dyDescent="0.25">
      <c r="A4102" t="s">
        <v>12529</v>
      </c>
      <c r="B4102" t="s">
        <v>12530</v>
      </c>
      <c r="C4102" s="2">
        <v>46264.583333333336</v>
      </c>
      <c r="D4102" t="s">
        <v>418</v>
      </c>
      <c r="E4102" t="s">
        <v>30</v>
      </c>
      <c r="F4102" t="s">
        <v>291</v>
      </c>
      <c r="G4102" t="s">
        <v>107</v>
      </c>
      <c r="H4102">
        <v>4</v>
      </c>
      <c r="I4102" t="s">
        <v>12528</v>
      </c>
      <c r="J4102" t="s">
        <v>357</v>
      </c>
    </row>
    <row r="4103" spans="1:10" x14ac:dyDescent="0.25">
      <c r="A4103" t="s">
        <v>12531</v>
      </c>
      <c r="B4103" t="s">
        <v>12532</v>
      </c>
      <c r="C4103" s="2">
        <v>46264.583333333336</v>
      </c>
      <c r="D4103" t="s">
        <v>418</v>
      </c>
      <c r="E4103" t="s">
        <v>55</v>
      </c>
      <c r="F4103" t="s">
        <v>269</v>
      </c>
      <c r="G4103" t="s">
        <v>129</v>
      </c>
      <c r="H4103">
        <v>5</v>
      </c>
      <c r="I4103" t="s">
        <v>12533</v>
      </c>
      <c r="J4103" t="s">
        <v>357</v>
      </c>
    </row>
    <row r="4104" spans="1:10" x14ac:dyDescent="0.25">
      <c r="A4104" t="s">
        <v>12534</v>
      </c>
      <c r="B4104" t="s">
        <v>12535</v>
      </c>
      <c r="C4104" s="2">
        <v>46264.583333333336</v>
      </c>
      <c r="D4104" t="s">
        <v>418</v>
      </c>
      <c r="E4104" t="s">
        <v>67</v>
      </c>
      <c r="F4104" t="s">
        <v>271</v>
      </c>
      <c r="G4104" t="s">
        <v>137</v>
      </c>
      <c r="H4104">
        <v>9</v>
      </c>
      <c r="I4104" t="s">
        <v>12536</v>
      </c>
      <c r="J4104" t="s">
        <v>357</v>
      </c>
    </row>
    <row r="4105" spans="1:10" x14ac:dyDescent="0.25">
      <c r="A4105" t="s">
        <v>12537</v>
      </c>
      <c r="B4105" t="s">
        <v>12538</v>
      </c>
      <c r="C4105" s="2">
        <v>46264.583333333336</v>
      </c>
      <c r="D4105" t="s">
        <v>418</v>
      </c>
      <c r="E4105" t="s">
        <v>71</v>
      </c>
      <c r="F4105" t="s">
        <v>302</v>
      </c>
      <c r="G4105" t="s">
        <v>141</v>
      </c>
      <c r="H4105">
        <v>5</v>
      </c>
      <c r="I4105" t="s">
        <v>12539</v>
      </c>
      <c r="J4105" t="s">
        <v>357</v>
      </c>
    </row>
    <row r="4106" spans="1:10" x14ac:dyDescent="0.25">
      <c r="A4106" t="s">
        <v>12540</v>
      </c>
      <c r="B4106" t="s">
        <v>12541</v>
      </c>
      <c r="C4106" s="2">
        <v>46264.583333333336</v>
      </c>
      <c r="D4106" t="s">
        <v>418</v>
      </c>
      <c r="E4106" t="s">
        <v>11</v>
      </c>
      <c r="F4106" t="s">
        <v>316</v>
      </c>
      <c r="G4106" t="s">
        <v>92</v>
      </c>
      <c r="H4106">
        <v>5</v>
      </c>
      <c r="I4106" t="s">
        <v>12542</v>
      </c>
      <c r="J4106" t="s">
        <v>357</v>
      </c>
    </row>
    <row r="4107" spans="1:10" x14ac:dyDescent="0.25">
      <c r="A4107" t="s">
        <v>12543</v>
      </c>
      <c r="B4107" t="s">
        <v>12544</v>
      </c>
      <c r="C4107" s="2">
        <v>46264.583333333336</v>
      </c>
      <c r="D4107" t="s">
        <v>418</v>
      </c>
      <c r="E4107" t="s">
        <v>18</v>
      </c>
      <c r="F4107" t="s">
        <v>286</v>
      </c>
      <c r="G4107" t="s">
        <v>95</v>
      </c>
      <c r="H4107">
        <v>2</v>
      </c>
      <c r="I4107" t="s">
        <v>12545</v>
      </c>
      <c r="J4107" t="s">
        <v>357</v>
      </c>
    </row>
    <row r="4108" spans="1:10" x14ac:dyDescent="0.25">
      <c r="A4108" t="s">
        <v>12546</v>
      </c>
      <c r="B4108" t="s">
        <v>12547</v>
      </c>
      <c r="C4108" s="2">
        <v>46264.583333333336</v>
      </c>
      <c r="D4108" t="s">
        <v>418</v>
      </c>
      <c r="E4108" t="s">
        <v>24</v>
      </c>
      <c r="F4108" t="s">
        <v>319</v>
      </c>
      <c r="G4108" t="s">
        <v>101</v>
      </c>
      <c r="H4108">
        <v>1</v>
      </c>
      <c r="I4108" t="s">
        <v>12548</v>
      </c>
      <c r="J4108" t="s">
        <v>357</v>
      </c>
    </row>
    <row r="4109" spans="1:10" x14ac:dyDescent="0.25">
      <c r="A4109" t="s">
        <v>12549</v>
      </c>
      <c r="B4109" t="s">
        <v>12550</v>
      </c>
      <c r="C4109" s="2">
        <v>46264.583333333336</v>
      </c>
      <c r="D4109" t="s">
        <v>418</v>
      </c>
      <c r="E4109" t="s">
        <v>26</v>
      </c>
      <c r="F4109" t="s">
        <v>320</v>
      </c>
      <c r="G4109" t="s">
        <v>103</v>
      </c>
      <c r="H4109">
        <v>2</v>
      </c>
      <c r="I4109" t="s">
        <v>12551</v>
      </c>
      <c r="J4109" t="s">
        <v>357</v>
      </c>
    </row>
    <row r="4110" spans="1:10" x14ac:dyDescent="0.25">
      <c r="A4110" t="s">
        <v>12552</v>
      </c>
      <c r="B4110" t="s">
        <v>12553</v>
      </c>
      <c r="C4110" s="2">
        <v>46264.583333333336</v>
      </c>
      <c r="D4110" t="s">
        <v>418</v>
      </c>
      <c r="E4110" t="s">
        <v>32</v>
      </c>
      <c r="F4110" t="s">
        <v>311</v>
      </c>
      <c r="G4110" t="s">
        <v>109</v>
      </c>
      <c r="H4110">
        <v>4</v>
      </c>
      <c r="I4110" t="s">
        <v>12554</v>
      </c>
      <c r="J4110" t="s">
        <v>357</v>
      </c>
    </row>
    <row r="4111" spans="1:10" x14ac:dyDescent="0.25">
      <c r="A4111" t="s">
        <v>12555</v>
      </c>
      <c r="B4111" t="s">
        <v>12556</v>
      </c>
      <c r="C4111" s="2">
        <v>46264.583333333336</v>
      </c>
      <c r="D4111" t="s">
        <v>418</v>
      </c>
      <c r="E4111" t="s">
        <v>36</v>
      </c>
      <c r="F4111" t="s">
        <v>281</v>
      </c>
      <c r="G4111" t="s">
        <v>113</v>
      </c>
      <c r="H4111">
        <v>2</v>
      </c>
      <c r="I4111" t="s">
        <v>12557</v>
      </c>
      <c r="J4111" t="s">
        <v>357</v>
      </c>
    </row>
    <row r="4112" spans="1:10" x14ac:dyDescent="0.25">
      <c r="A4112" t="s">
        <v>12558</v>
      </c>
      <c r="B4112" t="s">
        <v>12559</v>
      </c>
      <c r="C4112" s="2">
        <v>46264.583333333336</v>
      </c>
      <c r="D4112" t="s">
        <v>418</v>
      </c>
      <c r="E4112" t="s">
        <v>43</v>
      </c>
      <c r="F4112" t="s">
        <v>294</v>
      </c>
      <c r="G4112" t="s">
        <v>117</v>
      </c>
      <c r="H4112">
        <v>2</v>
      </c>
      <c r="I4112" t="s">
        <v>12560</v>
      </c>
      <c r="J4112" t="s">
        <v>357</v>
      </c>
    </row>
    <row r="4113" spans="1:10" x14ac:dyDescent="0.25">
      <c r="A4113" t="s">
        <v>12561</v>
      </c>
      <c r="B4113" t="s">
        <v>12562</v>
      </c>
      <c r="C4113" s="2">
        <v>46264.583333333336</v>
      </c>
      <c r="D4113" t="s">
        <v>418</v>
      </c>
      <c r="E4113" t="s">
        <v>51</v>
      </c>
      <c r="F4113" t="s">
        <v>254</v>
      </c>
      <c r="G4113" t="s">
        <v>125</v>
      </c>
      <c r="H4113">
        <v>6</v>
      </c>
      <c r="I4113" t="s">
        <v>12563</v>
      </c>
      <c r="J4113" t="s">
        <v>357</v>
      </c>
    </row>
    <row r="4114" spans="1:10" x14ac:dyDescent="0.25">
      <c r="A4114" t="s">
        <v>12564</v>
      </c>
      <c r="B4114" t="s">
        <v>12565</v>
      </c>
      <c r="C4114" s="2">
        <v>46264.583333333336</v>
      </c>
      <c r="D4114" t="s">
        <v>418</v>
      </c>
      <c r="E4114" t="s">
        <v>75</v>
      </c>
      <c r="F4114" t="s">
        <v>272</v>
      </c>
      <c r="G4114" t="s">
        <v>145</v>
      </c>
      <c r="H4114">
        <v>4</v>
      </c>
      <c r="I4114" t="s">
        <v>12566</v>
      </c>
      <c r="J4114" t="s">
        <v>357</v>
      </c>
    </row>
    <row r="4115" spans="1:10" x14ac:dyDescent="0.25">
      <c r="A4115" t="s">
        <v>12567</v>
      </c>
      <c r="B4115" t="s">
        <v>12568</v>
      </c>
      <c r="C4115" s="2">
        <v>46265.583333333336</v>
      </c>
      <c r="D4115" t="s">
        <v>418</v>
      </c>
      <c r="E4115" t="s">
        <v>11</v>
      </c>
      <c r="F4115" t="s">
        <v>316</v>
      </c>
      <c r="G4115" t="s">
        <v>92</v>
      </c>
      <c r="H4115">
        <v>4</v>
      </c>
      <c r="I4115" t="s">
        <v>12569</v>
      </c>
      <c r="J4115" t="s">
        <v>357</v>
      </c>
    </row>
    <row r="4116" spans="1:10" x14ac:dyDescent="0.25">
      <c r="A4116" t="s">
        <v>12570</v>
      </c>
      <c r="B4116" t="s">
        <v>12571</v>
      </c>
      <c r="C4116" s="2">
        <v>46265.583333333336</v>
      </c>
      <c r="D4116" t="s">
        <v>418</v>
      </c>
      <c r="E4116" t="s">
        <v>22</v>
      </c>
      <c r="F4116" t="s">
        <v>318</v>
      </c>
      <c r="G4116" t="s">
        <v>99</v>
      </c>
      <c r="H4116">
        <v>1</v>
      </c>
      <c r="I4116" t="s">
        <v>12572</v>
      </c>
      <c r="J4116" t="s">
        <v>357</v>
      </c>
    </row>
    <row r="4117" spans="1:10" x14ac:dyDescent="0.25">
      <c r="A4117" t="s">
        <v>12573</v>
      </c>
      <c r="B4117" t="s">
        <v>12574</v>
      </c>
      <c r="C4117" s="2">
        <v>46265.583333333336</v>
      </c>
      <c r="D4117" t="s">
        <v>418</v>
      </c>
      <c r="E4117" t="s">
        <v>26</v>
      </c>
      <c r="F4117" t="s">
        <v>320</v>
      </c>
      <c r="G4117" t="s">
        <v>103</v>
      </c>
      <c r="H4117">
        <v>2</v>
      </c>
      <c r="I4117" t="s">
        <v>12575</v>
      </c>
      <c r="J4117" t="s">
        <v>357</v>
      </c>
    </row>
    <row r="4118" spans="1:10" x14ac:dyDescent="0.25">
      <c r="A4118" t="s">
        <v>12576</v>
      </c>
      <c r="B4118" t="s">
        <v>12577</v>
      </c>
      <c r="C4118" s="2">
        <v>46265.583333333336</v>
      </c>
      <c r="D4118" t="s">
        <v>418</v>
      </c>
      <c r="E4118" t="s">
        <v>28</v>
      </c>
      <c r="F4118" t="s">
        <v>236</v>
      </c>
      <c r="G4118" t="s">
        <v>105</v>
      </c>
      <c r="H4118">
        <v>2</v>
      </c>
      <c r="I4118" t="s">
        <v>12578</v>
      </c>
      <c r="J4118" t="s">
        <v>357</v>
      </c>
    </row>
    <row r="4119" spans="1:10" x14ac:dyDescent="0.25">
      <c r="A4119" t="s">
        <v>12579</v>
      </c>
      <c r="B4119" t="s">
        <v>12580</v>
      </c>
      <c r="C4119" s="2">
        <v>46265.583333333336</v>
      </c>
      <c r="D4119" t="s">
        <v>418</v>
      </c>
      <c r="E4119" t="s">
        <v>51</v>
      </c>
      <c r="F4119" t="s">
        <v>254</v>
      </c>
      <c r="G4119" t="s">
        <v>125</v>
      </c>
      <c r="H4119">
        <v>2</v>
      </c>
      <c r="I4119" t="s">
        <v>12581</v>
      </c>
      <c r="J4119" t="s">
        <v>357</v>
      </c>
    </row>
    <row r="4120" spans="1:10" x14ac:dyDescent="0.25">
      <c r="A4120" t="s">
        <v>12582</v>
      </c>
      <c r="B4120" t="s">
        <v>12583</v>
      </c>
      <c r="C4120" s="2">
        <v>46265.583333333336</v>
      </c>
      <c r="D4120" t="s">
        <v>418</v>
      </c>
      <c r="E4120" t="s">
        <v>53</v>
      </c>
      <c r="F4120" t="s">
        <v>239</v>
      </c>
      <c r="G4120" t="s">
        <v>127</v>
      </c>
      <c r="H4120">
        <v>1</v>
      </c>
      <c r="I4120" t="s">
        <v>12584</v>
      </c>
      <c r="J4120" t="s">
        <v>357</v>
      </c>
    </row>
    <row r="4121" spans="1:10" x14ac:dyDescent="0.25">
      <c r="A4121" t="s">
        <v>12585</v>
      </c>
      <c r="B4121" t="s">
        <v>12586</v>
      </c>
      <c r="C4121" s="2">
        <v>46265.583333333336</v>
      </c>
      <c r="D4121" t="s">
        <v>418</v>
      </c>
      <c r="E4121" t="s">
        <v>53</v>
      </c>
      <c r="F4121" t="s">
        <v>324</v>
      </c>
      <c r="G4121" t="s">
        <v>127</v>
      </c>
      <c r="H4121">
        <v>1</v>
      </c>
      <c r="I4121" t="s">
        <v>12584</v>
      </c>
      <c r="J4121" t="s">
        <v>357</v>
      </c>
    </row>
    <row r="4122" spans="1:10" x14ac:dyDescent="0.25">
      <c r="A4122" t="s">
        <v>12587</v>
      </c>
      <c r="B4122" t="s">
        <v>12588</v>
      </c>
      <c r="C4122" s="2">
        <v>46265.583333333336</v>
      </c>
      <c r="D4122" t="s">
        <v>418</v>
      </c>
      <c r="E4122" t="s">
        <v>73</v>
      </c>
      <c r="F4122" t="s">
        <v>303</v>
      </c>
      <c r="G4122" t="s">
        <v>143</v>
      </c>
      <c r="H4122">
        <v>3</v>
      </c>
      <c r="I4122" t="s">
        <v>12589</v>
      </c>
      <c r="J4122" t="s">
        <v>357</v>
      </c>
    </row>
    <row r="4123" spans="1:10" x14ac:dyDescent="0.25">
      <c r="A4123" t="s">
        <v>12590</v>
      </c>
      <c r="B4123" t="s">
        <v>12591</v>
      </c>
      <c r="C4123" s="2">
        <v>46265.583333333336</v>
      </c>
      <c r="D4123" t="s">
        <v>418</v>
      </c>
      <c r="E4123" t="s">
        <v>11</v>
      </c>
      <c r="F4123" t="s">
        <v>316</v>
      </c>
      <c r="G4123" t="s">
        <v>92</v>
      </c>
      <c r="H4123">
        <v>1</v>
      </c>
      <c r="I4123" t="s">
        <v>12592</v>
      </c>
      <c r="J4123" t="s">
        <v>357</v>
      </c>
    </row>
    <row r="4124" spans="1:10" x14ac:dyDescent="0.25">
      <c r="A4124" t="s">
        <v>12593</v>
      </c>
      <c r="B4124" t="s">
        <v>12594</v>
      </c>
      <c r="C4124" s="2">
        <v>46265.583333333336</v>
      </c>
      <c r="D4124" t="s">
        <v>418</v>
      </c>
      <c r="E4124" t="s">
        <v>20</v>
      </c>
      <c r="F4124" t="s">
        <v>317</v>
      </c>
      <c r="G4124" t="s">
        <v>97</v>
      </c>
      <c r="H4124">
        <v>5</v>
      </c>
      <c r="I4124" t="s">
        <v>12595</v>
      </c>
      <c r="J4124" t="s">
        <v>357</v>
      </c>
    </row>
    <row r="4125" spans="1:10" x14ac:dyDescent="0.25">
      <c r="A4125" t="s">
        <v>12596</v>
      </c>
      <c r="B4125" t="s">
        <v>12597</v>
      </c>
      <c r="C4125" s="2">
        <v>46265.583333333336</v>
      </c>
      <c r="D4125" t="s">
        <v>418</v>
      </c>
      <c r="E4125" t="s">
        <v>24</v>
      </c>
      <c r="F4125" t="s">
        <v>319</v>
      </c>
      <c r="G4125" t="s">
        <v>101</v>
      </c>
      <c r="H4125">
        <v>5</v>
      </c>
      <c r="I4125" t="s">
        <v>12598</v>
      </c>
      <c r="J4125" t="s">
        <v>357</v>
      </c>
    </row>
    <row r="4126" spans="1:10" x14ac:dyDescent="0.25">
      <c r="A4126" t="s">
        <v>12599</v>
      </c>
      <c r="B4126" t="s">
        <v>12600</v>
      </c>
      <c r="C4126" s="2">
        <v>46265.583333333336</v>
      </c>
      <c r="D4126" t="s">
        <v>418</v>
      </c>
      <c r="E4126" t="s">
        <v>32</v>
      </c>
      <c r="F4126" t="s">
        <v>311</v>
      </c>
      <c r="G4126" t="s">
        <v>109</v>
      </c>
      <c r="H4126">
        <v>3</v>
      </c>
      <c r="I4126" t="s">
        <v>12601</v>
      </c>
      <c r="J4126" t="s">
        <v>357</v>
      </c>
    </row>
    <row r="4127" spans="1:10" x14ac:dyDescent="0.25">
      <c r="A4127" t="s">
        <v>12602</v>
      </c>
      <c r="B4127" t="s">
        <v>12603</v>
      </c>
      <c r="C4127" s="2">
        <v>46265.583333333336</v>
      </c>
      <c r="D4127" t="s">
        <v>418</v>
      </c>
      <c r="E4127" t="s">
        <v>45</v>
      </c>
      <c r="F4127" t="s">
        <v>312</v>
      </c>
      <c r="G4127" t="s">
        <v>119</v>
      </c>
      <c r="H4127">
        <v>4</v>
      </c>
      <c r="I4127" t="s">
        <v>12604</v>
      </c>
      <c r="J4127" t="s">
        <v>357</v>
      </c>
    </row>
    <row r="4128" spans="1:10" x14ac:dyDescent="0.25">
      <c r="A4128" t="s">
        <v>12605</v>
      </c>
      <c r="B4128" t="s">
        <v>12606</v>
      </c>
      <c r="C4128" s="2">
        <v>46265.583333333336</v>
      </c>
      <c r="D4128" t="s">
        <v>418</v>
      </c>
      <c r="E4128" t="s">
        <v>51</v>
      </c>
      <c r="F4128" t="s">
        <v>254</v>
      </c>
      <c r="G4128" t="s">
        <v>125</v>
      </c>
      <c r="H4128">
        <v>4</v>
      </c>
      <c r="I4128" t="s">
        <v>12607</v>
      </c>
      <c r="J4128" t="s">
        <v>357</v>
      </c>
    </row>
    <row r="4129" spans="1:10" x14ac:dyDescent="0.25">
      <c r="A4129" t="s">
        <v>12608</v>
      </c>
      <c r="B4129" t="s">
        <v>12609</v>
      </c>
      <c r="C4129" s="2">
        <v>46265.583333333336</v>
      </c>
      <c r="D4129" t="s">
        <v>418</v>
      </c>
      <c r="E4129" t="s">
        <v>51</v>
      </c>
      <c r="F4129" t="s">
        <v>323</v>
      </c>
      <c r="G4129" t="s">
        <v>125</v>
      </c>
      <c r="H4129">
        <v>1</v>
      </c>
      <c r="I4129" t="s">
        <v>12607</v>
      </c>
      <c r="J4129" t="s">
        <v>357</v>
      </c>
    </row>
    <row r="4130" spans="1:10" x14ac:dyDescent="0.25">
      <c r="A4130" t="s">
        <v>12610</v>
      </c>
      <c r="B4130" t="s">
        <v>12611</v>
      </c>
      <c r="C4130" s="2">
        <v>46265.583333333336</v>
      </c>
      <c r="D4130" t="s">
        <v>418</v>
      </c>
      <c r="E4130" t="s">
        <v>67</v>
      </c>
      <c r="F4130" t="s">
        <v>271</v>
      </c>
      <c r="G4130" t="s">
        <v>137</v>
      </c>
      <c r="H4130">
        <v>2</v>
      </c>
      <c r="I4130" t="s">
        <v>12612</v>
      </c>
      <c r="J4130" t="s">
        <v>357</v>
      </c>
    </row>
    <row r="4131" spans="1:10" x14ac:dyDescent="0.25">
      <c r="A4131" t="s">
        <v>12613</v>
      </c>
      <c r="B4131" t="s">
        <v>12614</v>
      </c>
      <c r="C4131" s="2">
        <v>46265.583333333336</v>
      </c>
      <c r="D4131" t="s">
        <v>418</v>
      </c>
      <c r="E4131" t="s">
        <v>67</v>
      </c>
      <c r="F4131" t="s">
        <v>300</v>
      </c>
      <c r="G4131" t="s">
        <v>137</v>
      </c>
      <c r="H4131">
        <v>3</v>
      </c>
      <c r="I4131" t="s">
        <v>12612</v>
      </c>
      <c r="J4131" t="s">
        <v>357</v>
      </c>
    </row>
    <row r="4132" spans="1:10" x14ac:dyDescent="0.25">
      <c r="A4132" t="s">
        <v>12615</v>
      </c>
      <c r="B4132" t="s">
        <v>12616</v>
      </c>
      <c r="C4132" s="2">
        <v>46265.583333333336</v>
      </c>
      <c r="D4132" t="s">
        <v>418</v>
      </c>
      <c r="E4132" t="s">
        <v>75</v>
      </c>
      <c r="F4132" t="s">
        <v>272</v>
      </c>
      <c r="G4132" t="s">
        <v>145</v>
      </c>
      <c r="H4132">
        <v>3</v>
      </c>
      <c r="I4132" t="s">
        <v>12617</v>
      </c>
      <c r="J4132" t="s">
        <v>357</v>
      </c>
    </row>
    <row r="4133" spans="1:10" x14ac:dyDescent="0.25">
      <c r="A4133" t="s">
        <v>12618</v>
      </c>
      <c r="B4133" t="s">
        <v>12619</v>
      </c>
      <c r="C4133" s="2">
        <v>46265.583333333336</v>
      </c>
      <c r="D4133" t="s">
        <v>418</v>
      </c>
      <c r="E4133" t="s">
        <v>11</v>
      </c>
      <c r="F4133" t="s">
        <v>316</v>
      </c>
      <c r="G4133" t="s">
        <v>92</v>
      </c>
      <c r="H4133">
        <v>2</v>
      </c>
      <c r="I4133" t="s">
        <v>12620</v>
      </c>
      <c r="J4133" t="s">
        <v>357</v>
      </c>
    </row>
    <row r="4134" spans="1:10" x14ac:dyDescent="0.25">
      <c r="A4134" t="s">
        <v>12621</v>
      </c>
      <c r="B4134" t="s">
        <v>12622</v>
      </c>
      <c r="C4134" s="2">
        <v>46265.583333333336</v>
      </c>
      <c r="D4134" t="s">
        <v>418</v>
      </c>
      <c r="E4134" t="s">
        <v>20</v>
      </c>
      <c r="F4134" t="s">
        <v>317</v>
      </c>
      <c r="G4134" t="s">
        <v>97</v>
      </c>
      <c r="H4134">
        <v>1</v>
      </c>
      <c r="I4134" t="s">
        <v>12623</v>
      </c>
      <c r="J4134" t="s">
        <v>357</v>
      </c>
    </row>
    <row r="4135" spans="1:10" x14ac:dyDescent="0.25">
      <c r="A4135" t="s">
        <v>12624</v>
      </c>
      <c r="B4135" t="s">
        <v>12625</v>
      </c>
      <c r="C4135" s="2">
        <v>46265.583333333336</v>
      </c>
      <c r="D4135" t="s">
        <v>418</v>
      </c>
      <c r="E4135" t="s">
        <v>24</v>
      </c>
      <c r="F4135" t="s">
        <v>319</v>
      </c>
      <c r="G4135" t="s">
        <v>101</v>
      </c>
      <c r="H4135">
        <v>2</v>
      </c>
      <c r="I4135" t="s">
        <v>12626</v>
      </c>
      <c r="J4135" t="s">
        <v>357</v>
      </c>
    </row>
    <row r="4136" spans="1:10" x14ac:dyDescent="0.25">
      <c r="A4136" t="s">
        <v>12627</v>
      </c>
      <c r="B4136" t="s">
        <v>12628</v>
      </c>
      <c r="C4136" s="2">
        <v>46265.583333333336</v>
      </c>
      <c r="D4136" t="s">
        <v>418</v>
      </c>
      <c r="E4136" t="s">
        <v>30</v>
      </c>
      <c r="F4136" t="s">
        <v>291</v>
      </c>
      <c r="G4136" t="s">
        <v>107</v>
      </c>
      <c r="H4136">
        <v>5</v>
      </c>
      <c r="I4136" t="s">
        <v>12629</v>
      </c>
      <c r="J4136" t="s">
        <v>357</v>
      </c>
    </row>
    <row r="4137" spans="1:10" x14ac:dyDescent="0.25">
      <c r="A4137" t="s">
        <v>12630</v>
      </c>
      <c r="B4137" t="s">
        <v>12631</v>
      </c>
      <c r="C4137" s="2">
        <v>46265.583333333336</v>
      </c>
      <c r="D4137" t="s">
        <v>418</v>
      </c>
      <c r="E4137" t="s">
        <v>36</v>
      </c>
      <c r="F4137" t="s">
        <v>281</v>
      </c>
      <c r="G4137" t="s">
        <v>113</v>
      </c>
      <c r="H4137">
        <v>6</v>
      </c>
      <c r="I4137" t="s">
        <v>12632</v>
      </c>
      <c r="J4137" t="s">
        <v>357</v>
      </c>
    </row>
    <row r="4138" spans="1:10" x14ac:dyDescent="0.25">
      <c r="A4138" t="s">
        <v>12633</v>
      </c>
      <c r="B4138" t="s">
        <v>12634</v>
      </c>
      <c r="C4138" s="2">
        <v>46265.583333333336</v>
      </c>
      <c r="D4138" t="s">
        <v>418</v>
      </c>
      <c r="E4138" t="s">
        <v>51</v>
      </c>
      <c r="F4138" t="s">
        <v>323</v>
      </c>
      <c r="G4138" t="s">
        <v>125</v>
      </c>
      <c r="H4138">
        <v>5</v>
      </c>
      <c r="I4138" t="s">
        <v>12635</v>
      </c>
      <c r="J4138" t="s">
        <v>357</v>
      </c>
    </row>
    <row r="4139" spans="1:10" x14ac:dyDescent="0.25">
      <c r="A4139" t="s">
        <v>12636</v>
      </c>
      <c r="B4139" t="s">
        <v>12637</v>
      </c>
      <c r="C4139" s="2">
        <v>46265.583333333336</v>
      </c>
      <c r="D4139" t="s">
        <v>418</v>
      </c>
      <c r="E4139" t="s">
        <v>53</v>
      </c>
      <c r="F4139" t="s">
        <v>324</v>
      </c>
      <c r="G4139" t="s">
        <v>127</v>
      </c>
      <c r="H4139">
        <v>6</v>
      </c>
      <c r="I4139" t="s">
        <v>12638</v>
      </c>
      <c r="J4139" t="s">
        <v>357</v>
      </c>
    </row>
    <row r="4140" spans="1:10" x14ac:dyDescent="0.25">
      <c r="A4140" t="s">
        <v>12639</v>
      </c>
      <c r="B4140" t="s">
        <v>12640</v>
      </c>
      <c r="C4140" s="2">
        <v>46265.583333333336</v>
      </c>
      <c r="D4140" t="s">
        <v>418</v>
      </c>
      <c r="E4140" t="s">
        <v>57</v>
      </c>
      <c r="F4140" t="s">
        <v>299</v>
      </c>
      <c r="G4140" t="s">
        <v>131</v>
      </c>
      <c r="H4140">
        <v>1</v>
      </c>
      <c r="I4140" t="s">
        <v>12641</v>
      </c>
      <c r="J4140" t="s">
        <v>357</v>
      </c>
    </row>
    <row r="4141" spans="1:10" x14ac:dyDescent="0.25">
      <c r="A4141" t="s">
        <v>12642</v>
      </c>
      <c r="B4141" t="s">
        <v>12643</v>
      </c>
      <c r="C4141" s="2">
        <v>46265.583333333336</v>
      </c>
      <c r="D4141" t="s">
        <v>418</v>
      </c>
      <c r="E4141" t="s">
        <v>75</v>
      </c>
      <c r="F4141" t="s">
        <v>272</v>
      </c>
      <c r="G4141" t="s">
        <v>145</v>
      </c>
      <c r="H4141">
        <v>6</v>
      </c>
      <c r="I4141" t="s">
        <v>12644</v>
      </c>
      <c r="J4141" t="s">
        <v>357</v>
      </c>
    </row>
    <row r="4142" spans="1:10" x14ac:dyDescent="0.25">
      <c r="A4142" t="s">
        <v>12645</v>
      </c>
      <c r="B4142" t="s">
        <v>12646</v>
      </c>
      <c r="C4142" s="2">
        <v>46265.583333333336</v>
      </c>
      <c r="D4142" t="s">
        <v>418</v>
      </c>
      <c r="E4142" t="s">
        <v>11</v>
      </c>
      <c r="F4142" t="s">
        <v>316</v>
      </c>
      <c r="G4142" t="s">
        <v>92</v>
      </c>
      <c r="H4142">
        <v>6</v>
      </c>
      <c r="I4142" t="s">
        <v>12647</v>
      </c>
      <c r="J4142" t="s">
        <v>357</v>
      </c>
    </row>
    <row r="4143" spans="1:10" x14ac:dyDescent="0.25">
      <c r="A4143" t="s">
        <v>12648</v>
      </c>
      <c r="B4143" t="s">
        <v>12649</v>
      </c>
      <c r="C4143" s="2">
        <v>46265.583333333336</v>
      </c>
      <c r="D4143" t="s">
        <v>418</v>
      </c>
      <c r="E4143" t="s">
        <v>18</v>
      </c>
      <c r="F4143" t="s">
        <v>286</v>
      </c>
      <c r="G4143" t="s">
        <v>95</v>
      </c>
      <c r="H4143">
        <v>3</v>
      </c>
      <c r="I4143" t="s">
        <v>12650</v>
      </c>
      <c r="J4143" t="s">
        <v>357</v>
      </c>
    </row>
    <row r="4144" spans="1:10" x14ac:dyDescent="0.25">
      <c r="A4144" t="s">
        <v>12651</v>
      </c>
      <c r="B4144" t="s">
        <v>12652</v>
      </c>
      <c r="C4144" s="2">
        <v>46265.583333333336</v>
      </c>
      <c r="D4144" t="s">
        <v>418</v>
      </c>
      <c r="E4144" t="s">
        <v>26</v>
      </c>
      <c r="F4144" t="s">
        <v>320</v>
      </c>
      <c r="G4144" t="s">
        <v>103</v>
      </c>
      <c r="H4144">
        <v>4</v>
      </c>
      <c r="I4144" t="s">
        <v>12653</v>
      </c>
      <c r="J4144" t="s">
        <v>357</v>
      </c>
    </row>
    <row r="4145" spans="1:10" x14ac:dyDescent="0.25">
      <c r="A4145" t="s">
        <v>12654</v>
      </c>
      <c r="B4145" t="s">
        <v>12655</v>
      </c>
      <c r="C4145" s="2">
        <v>46265.583333333336</v>
      </c>
      <c r="D4145" t="s">
        <v>418</v>
      </c>
      <c r="E4145" t="s">
        <v>43</v>
      </c>
      <c r="F4145" t="s">
        <v>294</v>
      </c>
      <c r="G4145" t="s">
        <v>117</v>
      </c>
      <c r="H4145">
        <v>7</v>
      </c>
      <c r="I4145" t="s">
        <v>12656</v>
      </c>
      <c r="J4145" t="s">
        <v>357</v>
      </c>
    </row>
    <row r="4146" spans="1:10" x14ac:dyDescent="0.25">
      <c r="A4146" t="s">
        <v>12657</v>
      </c>
      <c r="B4146" t="s">
        <v>12658</v>
      </c>
      <c r="C4146" s="2">
        <v>46265.583333333336</v>
      </c>
      <c r="D4146" t="s">
        <v>418</v>
      </c>
      <c r="E4146" t="s">
        <v>49</v>
      </c>
      <c r="F4146" t="s">
        <v>191</v>
      </c>
      <c r="G4146" t="s">
        <v>123</v>
      </c>
      <c r="H4146">
        <v>1</v>
      </c>
      <c r="I4146" t="s">
        <v>12659</v>
      </c>
      <c r="J4146" t="s">
        <v>357</v>
      </c>
    </row>
    <row r="4147" spans="1:10" x14ac:dyDescent="0.25">
      <c r="A4147" t="s">
        <v>12660</v>
      </c>
      <c r="B4147" t="s">
        <v>12661</v>
      </c>
      <c r="C4147" s="2">
        <v>46265.583333333336</v>
      </c>
      <c r="D4147" t="s">
        <v>418</v>
      </c>
      <c r="E4147" t="s">
        <v>57</v>
      </c>
      <c r="F4147" t="s">
        <v>299</v>
      </c>
      <c r="G4147" t="s">
        <v>131</v>
      </c>
      <c r="H4147">
        <v>4</v>
      </c>
      <c r="I4147" t="s">
        <v>12662</v>
      </c>
      <c r="J4147" t="s">
        <v>357</v>
      </c>
    </row>
    <row r="4148" spans="1:10" x14ac:dyDescent="0.25">
      <c r="A4148" t="s">
        <v>12663</v>
      </c>
      <c r="B4148" t="s">
        <v>12664</v>
      </c>
      <c r="C4148" s="2">
        <v>46265.583333333336</v>
      </c>
      <c r="D4148" t="s">
        <v>418</v>
      </c>
      <c r="E4148" t="s">
        <v>59</v>
      </c>
      <c r="F4148" t="s">
        <v>283</v>
      </c>
      <c r="G4148" t="s">
        <v>133</v>
      </c>
      <c r="H4148">
        <v>4</v>
      </c>
      <c r="I4148" t="s">
        <v>12665</v>
      </c>
      <c r="J4148" t="s">
        <v>357</v>
      </c>
    </row>
    <row r="4149" spans="1:10" x14ac:dyDescent="0.25">
      <c r="A4149" t="s">
        <v>12666</v>
      </c>
      <c r="B4149" t="s">
        <v>12667</v>
      </c>
      <c r="C4149" s="2">
        <v>46265.583333333336</v>
      </c>
      <c r="D4149" t="s">
        <v>418</v>
      </c>
      <c r="E4149" t="s">
        <v>65</v>
      </c>
      <c r="F4149" t="s">
        <v>284</v>
      </c>
      <c r="G4149" t="s">
        <v>135</v>
      </c>
      <c r="H4149">
        <v>7</v>
      </c>
      <c r="I4149" t="s">
        <v>12668</v>
      </c>
      <c r="J4149" t="s">
        <v>357</v>
      </c>
    </row>
    <row r="4150" spans="1:10" x14ac:dyDescent="0.25">
      <c r="A4150" t="s">
        <v>12669</v>
      </c>
      <c r="B4150" t="s">
        <v>12670</v>
      </c>
      <c r="C4150" s="2">
        <v>46265.583333333336</v>
      </c>
      <c r="D4150" t="s">
        <v>418</v>
      </c>
      <c r="E4150" t="s">
        <v>11</v>
      </c>
      <c r="F4150" t="s">
        <v>316</v>
      </c>
      <c r="G4150" t="s">
        <v>92</v>
      </c>
      <c r="H4150">
        <v>4</v>
      </c>
      <c r="I4150" t="s">
        <v>12671</v>
      </c>
      <c r="J4150" t="s">
        <v>357</v>
      </c>
    </row>
    <row r="4151" spans="1:10" x14ac:dyDescent="0.25">
      <c r="A4151" t="s">
        <v>12672</v>
      </c>
      <c r="B4151" t="s">
        <v>12673</v>
      </c>
      <c r="C4151" s="2">
        <v>46265.583333333336</v>
      </c>
      <c r="D4151" t="s">
        <v>418</v>
      </c>
      <c r="E4151" t="s">
        <v>20</v>
      </c>
      <c r="F4151" t="s">
        <v>317</v>
      </c>
      <c r="G4151" t="s">
        <v>97</v>
      </c>
      <c r="H4151">
        <v>2</v>
      </c>
      <c r="I4151" t="s">
        <v>12674</v>
      </c>
      <c r="J4151" t="s">
        <v>357</v>
      </c>
    </row>
    <row r="4152" spans="1:10" x14ac:dyDescent="0.25">
      <c r="A4152" t="s">
        <v>12675</v>
      </c>
      <c r="B4152" t="s">
        <v>12676</v>
      </c>
      <c r="C4152" s="2">
        <v>46265.583333333336</v>
      </c>
      <c r="D4152" t="s">
        <v>418</v>
      </c>
      <c r="E4152" t="s">
        <v>26</v>
      </c>
      <c r="F4152" t="s">
        <v>320</v>
      </c>
      <c r="G4152" t="s">
        <v>103</v>
      </c>
      <c r="H4152">
        <v>4</v>
      </c>
      <c r="I4152" t="s">
        <v>12677</v>
      </c>
      <c r="J4152" t="s">
        <v>357</v>
      </c>
    </row>
    <row r="4153" spans="1:10" x14ac:dyDescent="0.25">
      <c r="A4153" t="s">
        <v>12678</v>
      </c>
      <c r="B4153" t="s">
        <v>12679</v>
      </c>
      <c r="C4153" s="2">
        <v>46265.583333333336</v>
      </c>
      <c r="D4153" t="s">
        <v>418</v>
      </c>
      <c r="E4153" t="s">
        <v>28</v>
      </c>
      <c r="F4153" t="s">
        <v>236</v>
      </c>
      <c r="G4153" t="s">
        <v>105</v>
      </c>
      <c r="H4153">
        <v>1</v>
      </c>
      <c r="I4153" t="s">
        <v>12680</v>
      </c>
      <c r="J4153" t="s">
        <v>357</v>
      </c>
    </row>
    <row r="4154" spans="1:10" x14ac:dyDescent="0.25">
      <c r="A4154" t="s">
        <v>12681</v>
      </c>
      <c r="B4154" t="s">
        <v>12682</v>
      </c>
      <c r="C4154" s="2">
        <v>46265.583333333336</v>
      </c>
      <c r="D4154" t="s">
        <v>418</v>
      </c>
      <c r="E4154" t="s">
        <v>30</v>
      </c>
      <c r="F4154" t="s">
        <v>291</v>
      </c>
      <c r="G4154" t="s">
        <v>107</v>
      </c>
      <c r="H4154">
        <v>3</v>
      </c>
      <c r="I4154" t="s">
        <v>12683</v>
      </c>
      <c r="J4154" t="s">
        <v>357</v>
      </c>
    </row>
    <row r="4155" spans="1:10" x14ac:dyDescent="0.25">
      <c r="A4155" t="s">
        <v>12684</v>
      </c>
      <c r="B4155" t="s">
        <v>12685</v>
      </c>
      <c r="C4155" s="2">
        <v>46265.583333333336</v>
      </c>
      <c r="D4155" t="s">
        <v>418</v>
      </c>
      <c r="E4155" t="s">
        <v>45</v>
      </c>
      <c r="F4155" t="s">
        <v>312</v>
      </c>
      <c r="G4155" t="s">
        <v>119</v>
      </c>
      <c r="H4155">
        <v>2</v>
      </c>
      <c r="I4155" t="s">
        <v>12686</v>
      </c>
      <c r="J4155" t="s">
        <v>357</v>
      </c>
    </row>
    <row r="4156" spans="1:10" x14ac:dyDescent="0.25">
      <c r="A4156" t="s">
        <v>12687</v>
      </c>
      <c r="B4156" t="s">
        <v>12688</v>
      </c>
      <c r="C4156" s="2">
        <v>46265.583333333336</v>
      </c>
      <c r="D4156" t="s">
        <v>418</v>
      </c>
      <c r="E4156" t="s">
        <v>49</v>
      </c>
      <c r="F4156" t="s">
        <v>191</v>
      </c>
      <c r="G4156" t="s">
        <v>123</v>
      </c>
      <c r="H4156">
        <v>1</v>
      </c>
      <c r="I4156" t="s">
        <v>12689</v>
      </c>
      <c r="J4156" t="s">
        <v>357</v>
      </c>
    </row>
    <row r="4157" spans="1:10" x14ac:dyDescent="0.25">
      <c r="A4157" t="s">
        <v>12690</v>
      </c>
      <c r="B4157" t="s">
        <v>12691</v>
      </c>
      <c r="C4157" s="2">
        <v>46265.583333333336</v>
      </c>
      <c r="D4157" t="s">
        <v>418</v>
      </c>
      <c r="E4157" t="s">
        <v>53</v>
      </c>
      <c r="F4157" t="s">
        <v>324</v>
      </c>
      <c r="G4157" t="s">
        <v>127</v>
      </c>
      <c r="H4157">
        <v>4</v>
      </c>
      <c r="I4157" t="s">
        <v>12692</v>
      </c>
      <c r="J4157" t="s">
        <v>357</v>
      </c>
    </row>
    <row r="4158" spans="1:10" x14ac:dyDescent="0.25">
      <c r="A4158" t="s">
        <v>12693</v>
      </c>
      <c r="B4158" t="s">
        <v>12694</v>
      </c>
      <c r="C4158" s="2">
        <v>46265.583333333336</v>
      </c>
      <c r="D4158" t="s">
        <v>418</v>
      </c>
      <c r="E4158" t="s">
        <v>55</v>
      </c>
      <c r="F4158" t="s">
        <v>269</v>
      </c>
      <c r="G4158" t="s">
        <v>129</v>
      </c>
      <c r="H4158">
        <v>3</v>
      </c>
      <c r="I4158" t="s">
        <v>12695</v>
      </c>
      <c r="J4158" t="s">
        <v>357</v>
      </c>
    </row>
    <row r="4159" spans="1:10" x14ac:dyDescent="0.25">
      <c r="A4159" t="s">
        <v>12696</v>
      </c>
      <c r="B4159" t="s">
        <v>12697</v>
      </c>
      <c r="C4159" s="2">
        <v>46265.583333333336</v>
      </c>
      <c r="D4159" t="s">
        <v>418</v>
      </c>
      <c r="E4159" t="s">
        <v>57</v>
      </c>
      <c r="F4159" t="s">
        <v>299</v>
      </c>
      <c r="G4159" t="s">
        <v>131</v>
      </c>
      <c r="H4159">
        <v>2</v>
      </c>
      <c r="I4159" t="s">
        <v>12698</v>
      </c>
      <c r="J4159" t="s">
        <v>357</v>
      </c>
    </row>
    <row r="4160" spans="1:10" x14ac:dyDescent="0.25">
      <c r="A4160" t="s">
        <v>12699</v>
      </c>
      <c r="B4160" t="s">
        <v>12700</v>
      </c>
      <c r="C4160" s="2">
        <v>46265.583333333336</v>
      </c>
      <c r="D4160" t="s">
        <v>418</v>
      </c>
      <c r="E4160" t="s">
        <v>65</v>
      </c>
      <c r="F4160" t="s">
        <v>284</v>
      </c>
      <c r="G4160" t="s">
        <v>135</v>
      </c>
      <c r="H4160">
        <v>3</v>
      </c>
      <c r="I4160" t="s">
        <v>12701</v>
      </c>
      <c r="J4160" t="s">
        <v>357</v>
      </c>
    </row>
    <row r="4161" spans="1:10" x14ac:dyDescent="0.25">
      <c r="A4161" t="s">
        <v>12702</v>
      </c>
      <c r="B4161" t="s">
        <v>12703</v>
      </c>
      <c r="C4161" s="2">
        <v>46265.583333333336</v>
      </c>
      <c r="D4161" t="s">
        <v>418</v>
      </c>
      <c r="E4161" t="s">
        <v>67</v>
      </c>
      <c r="F4161" t="s">
        <v>300</v>
      </c>
      <c r="G4161" t="s">
        <v>137</v>
      </c>
      <c r="H4161">
        <v>1</v>
      </c>
      <c r="I4161" t="s">
        <v>12704</v>
      </c>
      <c r="J4161" t="s">
        <v>357</v>
      </c>
    </row>
    <row r="4162" spans="1:10" x14ac:dyDescent="0.25">
      <c r="A4162" t="s">
        <v>12705</v>
      </c>
      <c r="B4162" t="s">
        <v>12706</v>
      </c>
      <c r="C4162" s="2">
        <v>46265.583333333336</v>
      </c>
      <c r="D4162" t="s">
        <v>418</v>
      </c>
      <c r="E4162" t="s">
        <v>69</v>
      </c>
      <c r="F4162" t="s">
        <v>256</v>
      </c>
      <c r="G4162" t="s">
        <v>139</v>
      </c>
      <c r="H4162">
        <v>2</v>
      </c>
      <c r="I4162" t="s">
        <v>12707</v>
      </c>
      <c r="J4162" t="s">
        <v>357</v>
      </c>
    </row>
    <row r="4163" spans="1:10" x14ac:dyDescent="0.25">
      <c r="A4163" t="s">
        <v>12708</v>
      </c>
      <c r="B4163" t="s">
        <v>12709</v>
      </c>
      <c r="C4163" s="2">
        <v>46265.583333333336</v>
      </c>
      <c r="D4163" t="s">
        <v>418</v>
      </c>
      <c r="E4163" t="s">
        <v>73</v>
      </c>
      <c r="F4163" t="s">
        <v>303</v>
      </c>
      <c r="G4163" t="s">
        <v>143</v>
      </c>
      <c r="H4163">
        <v>3</v>
      </c>
      <c r="I4163" t="s">
        <v>12710</v>
      </c>
      <c r="J4163" t="s">
        <v>357</v>
      </c>
    </row>
    <row r="4164" spans="1:10" x14ac:dyDescent="0.25">
      <c r="A4164" t="s">
        <v>12711</v>
      </c>
      <c r="B4164" t="s">
        <v>12712</v>
      </c>
      <c r="C4164" s="2">
        <v>46266.333333333336</v>
      </c>
      <c r="D4164" t="s">
        <v>1412</v>
      </c>
      <c r="E4164" t="s">
        <v>11</v>
      </c>
      <c r="F4164" t="s">
        <v>330</v>
      </c>
      <c r="G4164" t="s">
        <v>92</v>
      </c>
      <c r="H4164">
        <v>72</v>
      </c>
      <c r="I4164" t="s">
        <v>357</v>
      </c>
      <c r="J4164" t="s">
        <v>12713</v>
      </c>
    </row>
    <row r="4165" spans="1:10" x14ac:dyDescent="0.25">
      <c r="A4165" t="s">
        <v>12714</v>
      </c>
      <c r="B4165" t="s">
        <v>12715</v>
      </c>
      <c r="C4165" s="2">
        <v>46266.333333333336</v>
      </c>
      <c r="D4165" t="s">
        <v>1412</v>
      </c>
      <c r="E4165" t="s">
        <v>18</v>
      </c>
      <c r="F4165" t="s">
        <v>331</v>
      </c>
      <c r="G4165" t="s">
        <v>95</v>
      </c>
      <c r="H4165">
        <v>86</v>
      </c>
      <c r="I4165" t="s">
        <v>357</v>
      </c>
      <c r="J4165" t="s">
        <v>12716</v>
      </c>
    </row>
    <row r="4166" spans="1:10" x14ac:dyDescent="0.25">
      <c r="A4166" t="s">
        <v>12717</v>
      </c>
      <c r="B4166" t="s">
        <v>12718</v>
      </c>
      <c r="C4166" s="2">
        <v>46266.333333333336</v>
      </c>
      <c r="D4166" t="s">
        <v>1412</v>
      </c>
      <c r="E4166" t="s">
        <v>20</v>
      </c>
      <c r="F4166" t="s">
        <v>332</v>
      </c>
      <c r="G4166" t="s">
        <v>97</v>
      </c>
      <c r="H4166">
        <v>70</v>
      </c>
      <c r="I4166" t="s">
        <v>357</v>
      </c>
      <c r="J4166" t="s">
        <v>12719</v>
      </c>
    </row>
    <row r="4167" spans="1:10" x14ac:dyDescent="0.25">
      <c r="A4167" t="s">
        <v>12720</v>
      </c>
      <c r="B4167" t="s">
        <v>12721</v>
      </c>
      <c r="C4167" s="2">
        <v>46266.333333333336</v>
      </c>
      <c r="D4167" t="s">
        <v>1412</v>
      </c>
      <c r="E4167" t="s">
        <v>22</v>
      </c>
      <c r="F4167" t="s">
        <v>333</v>
      </c>
      <c r="G4167" t="s">
        <v>99</v>
      </c>
      <c r="H4167">
        <v>74</v>
      </c>
      <c r="I4167" t="s">
        <v>357</v>
      </c>
      <c r="J4167" t="s">
        <v>12722</v>
      </c>
    </row>
    <row r="4168" spans="1:10" x14ac:dyDescent="0.25">
      <c r="A4168" t="s">
        <v>12723</v>
      </c>
      <c r="B4168" t="s">
        <v>12724</v>
      </c>
      <c r="C4168" s="2">
        <v>46266.333333333336</v>
      </c>
      <c r="D4168" t="s">
        <v>1412</v>
      </c>
      <c r="E4168" t="s">
        <v>24</v>
      </c>
      <c r="F4168" t="s">
        <v>334</v>
      </c>
      <c r="G4168" t="s">
        <v>101</v>
      </c>
      <c r="H4168">
        <v>63</v>
      </c>
      <c r="I4168" t="s">
        <v>357</v>
      </c>
      <c r="J4168" t="s">
        <v>12725</v>
      </c>
    </row>
    <row r="4169" spans="1:10" x14ac:dyDescent="0.25">
      <c r="A4169" t="s">
        <v>12726</v>
      </c>
      <c r="B4169" t="s">
        <v>12727</v>
      </c>
      <c r="C4169" s="2">
        <v>46266.333333333336</v>
      </c>
      <c r="D4169" t="s">
        <v>1412</v>
      </c>
      <c r="E4169" t="s">
        <v>26</v>
      </c>
      <c r="F4169" t="s">
        <v>335</v>
      </c>
      <c r="G4169" t="s">
        <v>103</v>
      </c>
      <c r="H4169">
        <v>93</v>
      </c>
      <c r="I4169" t="s">
        <v>357</v>
      </c>
      <c r="J4169" t="s">
        <v>12728</v>
      </c>
    </row>
    <row r="4170" spans="1:10" x14ac:dyDescent="0.25">
      <c r="A4170" t="s">
        <v>12729</v>
      </c>
      <c r="B4170" t="s">
        <v>12730</v>
      </c>
      <c r="C4170" s="2">
        <v>46266.333333333336</v>
      </c>
      <c r="D4170" t="s">
        <v>1412</v>
      </c>
      <c r="E4170" t="s">
        <v>28</v>
      </c>
      <c r="F4170" t="s">
        <v>336</v>
      </c>
      <c r="G4170" t="s">
        <v>105</v>
      </c>
      <c r="H4170">
        <v>71</v>
      </c>
      <c r="I4170" t="s">
        <v>357</v>
      </c>
      <c r="J4170" t="s">
        <v>12731</v>
      </c>
    </row>
    <row r="4171" spans="1:10" x14ac:dyDescent="0.25">
      <c r="A4171" t="s">
        <v>12732</v>
      </c>
      <c r="B4171" t="s">
        <v>12733</v>
      </c>
      <c r="C4171" s="2">
        <v>46266.333333333336</v>
      </c>
      <c r="D4171" t="s">
        <v>1412</v>
      </c>
      <c r="E4171" t="s">
        <v>30</v>
      </c>
      <c r="F4171" t="s">
        <v>337</v>
      </c>
      <c r="G4171" t="s">
        <v>107</v>
      </c>
      <c r="H4171">
        <v>68</v>
      </c>
      <c r="I4171" t="s">
        <v>357</v>
      </c>
      <c r="J4171" t="s">
        <v>12734</v>
      </c>
    </row>
    <row r="4172" spans="1:10" x14ac:dyDescent="0.25">
      <c r="A4172" t="s">
        <v>12735</v>
      </c>
      <c r="B4172" t="s">
        <v>12736</v>
      </c>
      <c r="C4172" s="2">
        <v>46266.333333333336</v>
      </c>
      <c r="D4172" t="s">
        <v>1412</v>
      </c>
      <c r="E4172" t="s">
        <v>32</v>
      </c>
      <c r="F4172" t="s">
        <v>338</v>
      </c>
      <c r="G4172" t="s">
        <v>109</v>
      </c>
      <c r="H4172">
        <v>67</v>
      </c>
      <c r="I4172" t="s">
        <v>357</v>
      </c>
      <c r="J4172" t="s">
        <v>12737</v>
      </c>
    </row>
    <row r="4173" spans="1:10" x14ac:dyDescent="0.25">
      <c r="A4173" t="s">
        <v>12738</v>
      </c>
      <c r="B4173" t="s">
        <v>12739</v>
      </c>
      <c r="C4173" s="2">
        <v>46266.333333333336</v>
      </c>
      <c r="D4173" t="s">
        <v>1412</v>
      </c>
      <c r="E4173" t="s">
        <v>41</v>
      </c>
      <c r="F4173" t="s">
        <v>339</v>
      </c>
      <c r="G4173" t="s">
        <v>115</v>
      </c>
      <c r="H4173">
        <v>89</v>
      </c>
      <c r="I4173" t="s">
        <v>357</v>
      </c>
      <c r="J4173" t="s">
        <v>12740</v>
      </c>
    </row>
    <row r="4174" spans="1:10" x14ac:dyDescent="0.25">
      <c r="A4174" t="s">
        <v>12741</v>
      </c>
      <c r="B4174" t="s">
        <v>12742</v>
      </c>
      <c r="C4174" s="2">
        <v>46266.333333333336</v>
      </c>
      <c r="D4174" t="s">
        <v>1412</v>
      </c>
      <c r="E4174" t="s">
        <v>43</v>
      </c>
      <c r="F4174" t="s">
        <v>340</v>
      </c>
      <c r="G4174" t="s">
        <v>117</v>
      </c>
      <c r="H4174">
        <v>65</v>
      </c>
      <c r="I4174" t="s">
        <v>357</v>
      </c>
      <c r="J4174" t="s">
        <v>12743</v>
      </c>
    </row>
    <row r="4175" spans="1:10" x14ac:dyDescent="0.25">
      <c r="A4175" t="s">
        <v>12744</v>
      </c>
      <c r="B4175" t="s">
        <v>12745</v>
      </c>
      <c r="C4175" s="2">
        <v>46266.333333333336</v>
      </c>
      <c r="D4175" t="s">
        <v>1412</v>
      </c>
      <c r="E4175" t="s">
        <v>45</v>
      </c>
      <c r="F4175" t="s">
        <v>341</v>
      </c>
      <c r="G4175" t="s">
        <v>119</v>
      </c>
      <c r="H4175">
        <v>75</v>
      </c>
      <c r="I4175" t="s">
        <v>357</v>
      </c>
      <c r="J4175" t="s">
        <v>12746</v>
      </c>
    </row>
    <row r="4176" spans="1:10" x14ac:dyDescent="0.25">
      <c r="A4176" t="s">
        <v>12747</v>
      </c>
      <c r="B4176" t="s">
        <v>12748</v>
      </c>
      <c r="C4176" s="2">
        <v>46266.333333333336</v>
      </c>
      <c r="D4176" t="s">
        <v>1412</v>
      </c>
      <c r="E4176" t="s">
        <v>49</v>
      </c>
      <c r="F4176" t="s">
        <v>342</v>
      </c>
      <c r="G4176" t="s">
        <v>123</v>
      </c>
      <c r="H4176">
        <v>68</v>
      </c>
      <c r="I4176" t="s">
        <v>357</v>
      </c>
      <c r="J4176" t="s">
        <v>12749</v>
      </c>
    </row>
    <row r="4177" spans="1:10" x14ac:dyDescent="0.25">
      <c r="A4177" t="s">
        <v>12750</v>
      </c>
      <c r="B4177" t="s">
        <v>12751</v>
      </c>
      <c r="C4177" s="2">
        <v>46266.333333333336</v>
      </c>
      <c r="D4177" t="s">
        <v>1412</v>
      </c>
      <c r="E4177" t="s">
        <v>71</v>
      </c>
      <c r="F4177" t="s">
        <v>343</v>
      </c>
      <c r="G4177" t="s">
        <v>141</v>
      </c>
      <c r="H4177">
        <v>100</v>
      </c>
      <c r="I4177" t="s">
        <v>357</v>
      </c>
      <c r="J4177" t="s">
        <v>12752</v>
      </c>
    </row>
    <row r="4178" spans="1:10" x14ac:dyDescent="0.25">
      <c r="A4178" t="s">
        <v>12753</v>
      </c>
      <c r="B4178" t="s">
        <v>12754</v>
      </c>
      <c r="C4178" s="2">
        <v>46266.333333333336</v>
      </c>
      <c r="D4178" t="s">
        <v>1412</v>
      </c>
      <c r="E4178" t="s">
        <v>73</v>
      </c>
      <c r="F4178" t="s">
        <v>344</v>
      </c>
      <c r="G4178" t="s">
        <v>143</v>
      </c>
      <c r="H4178">
        <v>61</v>
      </c>
      <c r="I4178" t="s">
        <v>357</v>
      </c>
      <c r="J4178" t="s">
        <v>12755</v>
      </c>
    </row>
    <row r="4179" spans="1:10" x14ac:dyDescent="0.25">
      <c r="A4179" t="s">
        <v>12756</v>
      </c>
      <c r="B4179" t="s">
        <v>12757</v>
      </c>
      <c r="C4179" s="2">
        <v>46266.333333333336</v>
      </c>
      <c r="D4179" t="s">
        <v>1412</v>
      </c>
      <c r="E4179" t="s">
        <v>75</v>
      </c>
      <c r="F4179" t="s">
        <v>345</v>
      </c>
      <c r="G4179" t="s">
        <v>145</v>
      </c>
      <c r="H4179">
        <v>69</v>
      </c>
      <c r="I4179" t="s">
        <v>357</v>
      </c>
      <c r="J4179" t="s">
        <v>12758</v>
      </c>
    </row>
    <row r="4180" spans="1:10" x14ac:dyDescent="0.25">
      <c r="A4180" t="s">
        <v>12759</v>
      </c>
      <c r="B4180" t="s">
        <v>12760</v>
      </c>
      <c r="C4180" s="2">
        <v>46266.333333333336</v>
      </c>
      <c r="D4180" t="s">
        <v>1412</v>
      </c>
      <c r="E4180" t="s">
        <v>77</v>
      </c>
      <c r="F4180" t="s">
        <v>346</v>
      </c>
      <c r="G4180" t="s">
        <v>147</v>
      </c>
      <c r="H4180">
        <v>66</v>
      </c>
      <c r="I4180" t="s">
        <v>357</v>
      </c>
      <c r="J4180" t="s">
        <v>12761</v>
      </c>
    </row>
    <row r="4181" spans="1:10" x14ac:dyDescent="0.25">
      <c r="A4181" t="s">
        <v>12762</v>
      </c>
      <c r="B4181" t="s">
        <v>12763</v>
      </c>
      <c r="C4181" s="2">
        <v>46266.583333333336</v>
      </c>
      <c r="D4181" t="s">
        <v>418</v>
      </c>
      <c r="E4181" t="s">
        <v>26</v>
      </c>
      <c r="F4181" t="s">
        <v>320</v>
      </c>
      <c r="G4181" t="s">
        <v>103</v>
      </c>
      <c r="H4181">
        <v>1</v>
      </c>
      <c r="I4181" t="s">
        <v>12764</v>
      </c>
      <c r="J4181" t="s">
        <v>357</v>
      </c>
    </row>
    <row r="4182" spans="1:10" x14ac:dyDescent="0.25">
      <c r="A4182" t="s">
        <v>12765</v>
      </c>
      <c r="B4182" t="s">
        <v>12766</v>
      </c>
      <c r="C4182" s="2">
        <v>46266.583333333336</v>
      </c>
      <c r="D4182" t="s">
        <v>418</v>
      </c>
      <c r="E4182" t="s">
        <v>28</v>
      </c>
      <c r="F4182" t="s">
        <v>336</v>
      </c>
      <c r="G4182" t="s">
        <v>105</v>
      </c>
      <c r="H4182">
        <v>3</v>
      </c>
      <c r="I4182" t="s">
        <v>12767</v>
      </c>
      <c r="J4182" t="s">
        <v>357</v>
      </c>
    </row>
    <row r="4183" spans="1:10" x14ac:dyDescent="0.25">
      <c r="A4183" t="s">
        <v>12768</v>
      </c>
      <c r="B4183" t="s">
        <v>12769</v>
      </c>
      <c r="C4183" s="2">
        <v>46266.583333333336</v>
      </c>
      <c r="D4183" t="s">
        <v>418</v>
      </c>
      <c r="E4183" t="s">
        <v>47</v>
      </c>
      <c r="F4183" t="s">
        <v>322</v>
      </c>
      <c r="G4183" t="s">
        <v>121</v>
      </c>
      <c r="H4183">
        <v>2</v>
      </c>
      <c r="I4183" t="s">
        <v>12770</v>
      </c>
      <c r="J4183" t="s">
        <v>357</v>
      </c>
    </row>
    <row r="4184" spans="1:10" x14ac:dyDescent="0.25">
      <c r="A4184" t="s">
        <v>12771</v>
      </c>
      <c r="B4184" t="s">
        <v>12772</v>
      </c>
      <c r="C4184" s="2">
        <v>46266.583333333336</v>
      </c>
      <c r="D4184" t="s">
        <v>418</v>
      </c>
      <c r="E4184" t="s">
        <v>65</v>
      </c>
      <c r="F4184" t="s">
        <v>284</v>
      </c>
      <c r="G4184" t="s">
        <v>135</v>
      </c>
      <c r="H4184">
        <v>1</v>
      </c>
      <c r="I4184" t="s">
        <v>12773</v>
      </c>
      <c r="J4184" t="s">
        <v>357</v>
      </c>
    </row>
    <row r="4185" spans="1:10" x14ac:dyDescent="0.25">
      <c r="A4185" t="s">
        <v>12774</v>
      </c>
      <c r="B4185" t="s">
        <v>12775</v>
      </c>
      <c r="C4185" s="2">
        <v>46266.583333333336</v>
      </c>
      <c r="D4185" t="s">
        <v>418</v>
      </c>
      <c r="E4185" t="s">
        <v>71</v>
      </c>
      <c r="F4185" t="s">
        <v>302</v>
      </c>
      <c r="G4185" t="s">
        <v>141</v>
      </c>
      <c r="H4185">
        <v>4</v>
      </c>
      <c r="I4185" t="s">
        <v>12776</v>
      </c>
      <c r="J4185" t="s">
        <v>357</v>
      </c>
    </row>
    <row r="4186" spans="1:10" x14ac:dyDescent="0.25">
      <c r="A4186" t="s">
        <v>12777</v>
      </c>
      <c r="B4186" t="s">
        <v>12778</v>
      </c>
      <c r="C4186" s="2">
        <v>46266.583333333336</v>
      </c>
      <c r="D4186" t="s">
        <v>418</v>
      </c>
      <c r="E4186" t="s">
        <v>11</v>
      </c>
      <c r="F4186" t="s">
        <v>330</v>
      </c>
      <c r="G4186" t="s">
        <v>92</v>
      </c>
      <c r="H4186">
        <v>4</v>
      </c>
      <c r="I4186" t="s">
        <v>12779</v>
      </c>
      <c r="J4186" t="s">
        <v>357</v>
      </c>
    </row>
    <row r="4187" spans="1:10" x14ac:dyDescent="0.25">
      <c r="A4187" t="s">
        <v>12780</v>
      </c>
      <c r="B4187" t="s">
        <v>12781</v>
      </c>
      <c r="C4187" s="2">
        <v>46266.583333333336</v>
      </c>
      <c r="D4187" t="s">
        <v>418</v>
      </c>
      <c r="E4187" t="s">
        <v>18</v>
      </c>
      <c r="F4187" t="s">
        <v>331</v>
      </c>
      <c r="G4187" t="s">
        <v>95</v>
      </c>
      <c r="H4187">
        <v>5</v>
      </c>
      <c r="I4187" t="s">
        <v>12782</v>
      </c>
      <c r="J4187" t="s">
        <v>357</v>
      </c>
    </row>
    <row r="4188" spans="1:10" x14ac:dyDescent="0.25">
      <c r="A4188" t="s">
        <v>12783</v>
      </c>
      <c r="B4188" t="s">
        <v>12784</v>
      </c>
      <c r="C4188" s="2">
        <v>46266.583333333336</v>
      </c>
      <c r="D4188" t="s">
        <v>418</v>
      </c>
      <c r="E4188" t="s">
        <v>20</v>
      </c>
      <c r="F4188" t="s">
        <v>332</v>
      </c>
      <c r="G4188" t="s">
        <v>97</v>
      </c>
      <c r="H4188">
        <v>2</v>
      </c>
      <c r="I4188" t="s">
        <v>12785</v>
      </c>
      <c r="J4188" t="s">
        <v>357</v>
      </c>
    </row>
    <row r="4189" spans="1:10" x14ac:dyDescent="0.25">
      <c r="A4189" t="s">
        <v>12786</v>
      </c>
      <c r="B4189" t="s">
        <v>12787</v>
      </c>
      <c r="C4189" s="2">
        <v>46266.583333333336</v>
      </c>
      <c r="D4189" t="s">
        <v>418</v>
      </c>
      <c r="E4189" t="s">
        <v>24</v>
      </c>
      <c r="F4189" t="s">
        <v>334</v>
      </c>
      <c r="G4189" t="s">
        <v>101</v>
      </c>
      <c r="H4189">
        <v>4</v>
      </c>
      <c r="I4189" t="s">
        <v>12788</v>
      </c>
      <c r="J4189" t="s">
        <v>357</v>
      </c>
    </row>
    <row r="4190" spans="1:10" x14ac:dyDescent="0.25">
      <c r="A4190" t="s">
        <v>12789</v>
      </c>
      <c r="B4190" t="s">
        <v>12790</v>
      </c>
      <c r="C4190" s="2">
        <v>46266.583333333336</v>
      </c>
      <c r="D4190" t="s">
        <v>418</v>
      </c>
      <c r="E4190" t="s">
        <v>26</v>
      </c>
      <c r="F4190" t="s">
        <v>320</v>
      </c>
      <c r="G4190" t="s">
        <v>103</v>
      </c>
      <c r="H4190">
        <v>5</v>
      </c>
      <c r="I4190" t="s">
        <v>12791</v>
      </c>
      <c r="J4190" t="s">
        <v>357</v>
      </c>
    </row>
    <row r="4191" spans="1:10" x14ac:dyDescent="0.25">
      <c r="A4191" t="s">
        <v>12792</v>
      </c>
      <c r="B4191" t="s">
        <v>12793</v>
      </c>
      <c r="C4191" s="2">
        <v>46266.583333333336</v>
      </c>
      <c r="D4191" t="s">
        <v>418</v>
      </c>
      <c r="E4191" t="s">
        <v>28</v>
      </c>
      <c r="F4191" t="s">
        <v>336</v>
      </c>
      <c r="G4191" t="s">
        <v>105</v>
      </c>
      <c r="H4191">
        <v>1</v>
      </c>
      <c r="I4191" t="s">
        <v>12794</v>
      </c>
      <c r="J4191" t="s">
        <v>357</v>
      </c>
    </row>
    <row r="4192" spans="1:10" x14ac:dyDescent="0.25">
      <c r="A4192" t="s">
        <v>12795</v>
      </c>
      <c r="B4192" t="s">
        <v>12796</v>
      </c>
      <c r="C4192" s="2">
        <v>46266.583333333336</v>
      </c>
      <c r="D4192" t="s">
        <v>418</v>
      </c>
      <c r="E4192" t="s">
        <v>53</v>
      </c>
      <c r="F4192" t="s">
        <v>324</v>
      </c>
      <c r="G4192" t="s">
        <v>127</v>
      </c>
      <c r="H4192">
        <v>5</v>
      </c>
      <c r="I4192" t="s">
        <v>12797</v>
      </c>
      <c r="J4192" t="s">
        <v>357</v>
      </c>
    </row>
    <row r="4193" spans="1:10" x14ac:dyDescent="0.25">
      <c r="A4193" t="s">
        <v>12798</v>
      </c>
      <c r="B4193" t="s">
        <v>12799</v>
      </c>
      <c r="C4193" s="2">
        <v>46266.583333333336</v>
      </c>
      <c r="D4193" t="s">
        <v>418</v>
      </c>
      <c r="E4193" t="s">
        <v>57</v>
      </c>
      <c r="F4193" t="s">
        <v>299</v>
      </c>
      <c r="G4193" t="s">
        <v>131</v>
      </c>
      <c r="H4193">
        <v>2</v>
      </c>
      <c r="I4193" t="s">
        <v>12800</v>
      </c>
      <c r="J4193" t="s">
        <v>357</v>
      </c>
    </row>
    <row r="4194" spans="1:10" x14ac:dyDescent="0.25">
      <c r="A4194" t="s">
        <v>12801</v>
      </c>
      <c r="B4194" t="s">
        <v>12802</v>
      </c>
      <c r="C4194" s="2">
        <v>46266.583333333336</v>
      </c>
      <c r="D4194" t="s">
        <v>418</v>
      </c>
      <c r="E4194" t="s">
        <v>71</v>
      </c>
      <c r="F4194" t="s">
        <v>302</v>
      </c>
      <c r="G4194" t="s">
        <v>141</v>
      </c>
      <c r="H4194">
        <v>2</v>
      </c>
      <c r="I4194" t="s">
        <v>12803</v>
      </c>
      <c r="J4194" t="s">
        <v>357</v>
      </c>
    </row>
    <row r="4195" spans="1:10" x14ac:dyDescent="0.25">
      <c r="A4195" t="s">
        <v>12804</v>
      </c>
      <c r="B4195" t="s">
        <v>12805</v>
      </c>
      <c r="C4195" s="2">
        <v>46266.583333333336</v>
      </c>
      <c r="D4195" t="s">
        <v>418</v>
      </c>
      <c r="E4195" t="s">
        <v>73</v>
      </c>
      <c r="F4195" t="s">
        <v>303</v>
      </c>
      <c r="G4195" t="s">
        <v>143</v>
      </c>
      <c r="H4195">
        <v>4</v>
      </c>
      <c r="I4195" t="s">
        <v>12806</v>
      </c>
      <c r="J4195" t="s">
        <v>357</v>
      </c>
    </row>
    <row r="4196" spans="1:10" x14ac:dyDescent="0.25">
      <c r="A4196" t="s">
        <v>12807</v>
      </c>
      <c r="B4196" t="s">
        <v>12808</v>
      </c>
      <c r="C4196" s="2">
        <v>46266.583333333336</v>
      </c>
      <c r="D4196" t="s">
        <v>418</v>
      </c>
      <c r="E4196" t="s">
        <v>11</v>
      </c>
      <c r="F4196" t="s">
        <v>330</v>
      </c>
      <c r="G4196" t="s">
        <v>92</v>
      </c>
      <c r="H4196">
        <v>5</v>
      </c>
      <c r="I4196" t="s">
        <v>12809</v>
      </c>
      <c r="J4196" t="s">
        <v>357</v>
      </c>
    </row>
    <row r="4197" spans="1:10" x14ac:dyDescent="0.25">
      <c r="A4197" t="s">
        <v>12810</v>
      </c>
      <c r="B4197" t="s">
        <v>12811</v>
      </c>
      <c r="C4197" s="2">
        <v>46266.583333333336</v>
      </c>
      <c r="D4197" t="s">
        <v>418</v>
      </c>
      <c r="E4197" t="s">
        <v>18</v>
      </c>
      <c r="F4197" t="s">
        <v>331</v>
      </c>
      <c r="G4197" t="s">
        <v>95</v>
      </c>
      <c r="H4197">
        <v>2</v>
      </c>
      <c r="I4197" t="s">
        <v>12812</v>
      </c>
      <c r="J4197" t="s">
        <v>357</v>
      </c>
    </row>
    <row r="4198" spans="1:10" x14ac:dyDescent="0.25">
      <c r="A4198" t="s">
        <v>12813</v>
      </c>
      <c r="B4198" t="s">
        <v>12814</v>
      </c>
      <c r="C4198" s="2">
        <v>46266.583333333336</v>
      </c>
      <c r="D4198" t="s">
        <v>418</v>
      </c>
      <c r="E4198" t="s">
        <v>26</v>
      </c>
      <c r="F4198" t="s">
        <v>320</v>
      </c>
      <c r="G4198" t="s">
        <v>103</v>
      </c>
      <c r="H4198">
        <v>5</v>
      </c>
      <c r="I4198" t="s">
        <v>12815</v>
      </c>
      <c r="J4198" t="s">
        <v>357</v>
      </c>
    </row>
    <row r="4199" spans="1:10" x14ac:dyDescent="0.25">
      <c r="A4199" t="s">
        <v>12816</v>
      </c>
      <c r="B4199" t="s">
        <v>12817</v>
      </c>
      <c r="C4199" s="2">
        <v>46266.583333333336</v>
      </c>
      <c r="D4199" t="s">
        <v>418</v>
      </c>
      <c r="E4199" t="s">
        <v>30</v>
      </c>
      <c r="F4199" t="s">
        <v>291</v>
      </c>
      <c r="G4199" t="s">
        <v>107</v>
      </c>
      <c r="H4199">
        <v>2</v>
      </c>
      <c r="I4199" t="s">
        <v>12818</v>
      </c>
      <c r="J4199" t="s">
        <v>357</v>
      </c>
    </row>
    <row r="4200" spans="1:10" x14ac:dyDescent="0.25">
      <c r="A4200" t="s">
        <v>12819</v>
      </c>
      <c r="B4200" t="s">
        <v>12820</v>
      </c>
      <c r="C4200" s="2">
        <v>46266.583333333336</v>
      </c>
      <c r="D4200" t="s">
        <v>418</v>
      </c>
      <c r="E4200" t="s">
        <v>36</v>
      </c>
      <c r="F4200" t="s">
        <v>281</v>
      </c>
      <c r="G4200" t="s">
        <v>113</v>
      </c>
      <c r="H4200">
        <v>4</v>
      </c>
      <c r="I4200" t="s">
        <v>12821</v>
      </c>
      <c r="J4200" t="s">
        <v>357</v>
      </c>
    </row>
    <row r="4201" spans="1:10" x14ac:dyDescent="0.25">
      <c r="A4201" t="s">
        <v>12822</v>
      </c>
      <c r="B4201" t="s">
        <v>12823</v>
      </c>
      <c r="C4201" s="2">
        <v>46266.583333333336</v>
      </c>
      <c r="D4201" t="s">
        <v>418</v>
      </c>
      <c r="E4201" t="s">
        <v>47</v>
      </c>
      <c r="F4201" t="s">
        <v>322</v>
      </c>
      <c r="G4201" t="s">
        <v>121</v>
      </c>
      <c r="H4201">
        <v>4</v>
      </c>
      <c r="I4201" t="s">
        <v>12824</v>
      </c>
      <c r="J4201" t="s">
        <v>357</v>
      </c>
    </row>
    <row r="4202" spans="1:10" x14ac:dyDescent="0.25">
      <c r="A4202" t="s">
        <v>12825</v>
      </c>
      <c r="B4202" t="s">
        <v>12826</v>
      </c>
      <c r="C4202" s="2">
        <v>46266.583333333336</v>
      </c>
      <c r="D4202" t="s">
        <v>418</v>
      </c>
      <c r="E4202" t="s">
        <v>77</v>
      </c>
      <c r="F4202" t="s">
        <v>273</v>
      </c>
      <c r="G4202" t="s">
        <v>147</v>
      </c>
      <c r="H4202">
        <v>5</v>
      </c>
      <c r="I4202" t="s">
        <v>12827</v>
      </c>
      <c r="J4202" t="s">
        <v>357</v>
      </c>
    </row>
    <row r="4203" spans="1:10" x14ac:dyDescent="0.25">
      <c r="A4203" t="s">
        <v>12828</v>
      </c>
      <c r="B4203" t="s">
        <v>12829</v>
      </c>
      <c r="C4203" s="2">
        <v>46266.583333333336</v>
      </c>
      <c r="D4203" t="s">
        <v>418</v>
      </c>
      <c r="E4203" t="s">
        <v>18</v>
      </c>
      <c r="F4203" t="s">
        <v>331</v>
      </c>
      <c r="G4203" t="s">
        <v>95</v>
      </c>
      <c r="H4203">
        <v>4</v>
      </c>
      <c r="I4203" t="s">
        <v>12830</v>
      </c>
      <c r="J4203" t="s">
        <v>357</v>
      </c>
    </row>
    <row r="4204" spans="1:10" x14ac:dyDescent="0.25">
      <c r="A4204" t="s">
        <v>12831</v>
      </c>
      <c r="B4204" t="s">
        <v>12832</v>
      </c>
      <c r="C4204" s="2">
        <v>46266.583333333336</v>
      </c>
      <c r="D4204" t="s">
        <v>418</v>
      </c>
      <c r="E4204" t="s">
        <v>20</v>
      </c>
      <c r="F4204" t="s">
        <v>332</v>
      </c>
      <c r="G4204" t="s">
        <v>97</v>
      </c>
      <c r="H4204">
        <v>7</v>
      </c>
      <c r="I4204" t="s">
        <v>12833</v>
      </c>
      <c r="J4204" t="s">
        <v>357</v>
      </c>
    </row>
    <row r="4205" spans="1:10" x14ac:dyDescent="0.25">
      <c r="A4205" t="s">
        <v>12834</v>
      </c>
      <c r="B4205" t="s">
        <v>12835</v>
      </c>
      <c r="C4205" s="2">
        <v>46266.583333333336</v>
      </c>
      <c r="D4205" t="s">
        <v>418</v>
      </c>
      <c r="E4205" t="s">
        <v>22</v>
      </c>
      <c r="F4205" t="s">
        <v>333</v>
      </c>
      <c r="G4205" t="s">
        <v>99</v>
      </c>
      <c r="H4205">
        <v>3</v>
      </c>
      <c r="I4205" t="s">
        <v>12836</v>
      </c>
      <c r="J4205" t="s">
        <v>357</v>
      </c>
    </row>
    <row r="4206" spans="1:10" x14ac:dyDescent="0.25">
      <c r="A4206" t="s">
        <v>12837</v>
      </c>
      <c r="B4206" t="s">
        <v>12838</v>
      </c>
      <c r="C4206" s="2">
        <v>46266.583333333336</v>
      </c>
      <c r="D4206" t="s">
        <v>418</v>
      </c>
      <c r="E4206" t="s">
        <v>51</v>
      </c>
      <c r="F4206" t="s">
        <v>323</v>
      </c>
      <c r="G4206" t="s">
        <v>125</v>
      </c>
      <c r="H4206">
        <v>4</v>
      </c>
      <c r="I4206" t="s">
        <v>12839</v>
      </c>
      <c r="J4206" t="s">
        <v>357</v>
      </c>
    </row>
    <row r="4207" spans="1:10" x14ac:dyDescent="0.25">
      <c r="A4207" t="s">
        <v>12840</v>
      </c>
      <c r="B4207" t="s">
        <v>12841</v>
      </c>
      <c r="C4207" s="2">
        <v>46266.583333333336</v>
      </c>
      <c r="D4207" t="s">
        <v>418</v>
      </c>
      <c r="E4207" t="s">
        <v>55</v>
      </c>
      <c r="F4207" t="s">
        <v>269</v>
      </c>
      <c r="G4207" t="s">
        <v>129</v>
      </c>
      <c r="H4207">
        <v>4</v>
      </c>
      <c r="I4207" t="s">
        <v>12842</v>
      </c>
      <c r="J4207" t="s">
        <v>357</v>
      </c>
    </row>
    <row r="4208" spans="1:10" x14ac:dyDescent="0.25">
      <c r="A4208" t="s">
        <v>12843</v>
      </c>
      <c r="B4208" t="s">
        <v>12844</v>
      </c>
      <c r="C4208" s="2">
        <v>46266.583333333336</v>
      </c>
      <c r="D4208" t="s">
        <v>418</v>
      </c>
      <c r="E4208" t="s">
        <v>65</v>
      </c>
      <c r="F4208" t="s">
        <v>284</v>
      </c>
      <c r="G4208" t="s">
        <v>135</v>
      </c>
      <c r="H4208">
        <v>7</v>
      </c>
      <c r="I4208" t="s">
        <v>12845</v>
      </c>
      <c r="J4208" t="s">
        <v>357</v>
      </c>
    </row>
    <row r="4209" spans="1:10" x14ac:dyDescent="0.25">
      <c r="A4209" t="s">
        <v>12846</v>
      </c>
      <c r="B4209" t="s">
        <v>12847</v>
      </c>
      <c r="C4209" s="2">
        <v>46266.583333333336</v>
      </c>
      <c r="D4209" t="s">
        <v>418</v>
      </c>
      <c r="E4209" t="s">
        <v>73</v>
      </c>
      <c r="F4209" t="s">
        <v>303</v>
      </c>
      <c r="G4209" t="s">
        <v>143</v>
      </c>
      <c r="H4209">
        <v>7</v>
      </c>
      <c r="I4209" t="s">
        <v>12848</v>
      </c>
      <c r="J4209" t="s">
        <v>357</v>
      </c>
    </row>
    <row r="4210" spans="1:10" x14ac:dyDescent="0.25">
      <c r="A4210" t="s">
        <v>12849</v>
      </c>
      <c r="B4210" t="s">
        <v>12850</v>
      </c>
      <c r="C4210" s="2">
        <v>46266.583333333336</v>
      </c>
      <c r="D4210" t="s">
        <v>418</v>
      </c>
      <c r="E4210" t="s">
        <v>77</v>
      </c>
      <c r="F4210" t="s">
        <v>273</v>
      </c>
      <c r="G4210" t="s">
        <v>147</v>
      </c>
      <c r="H4210">
        <v>1</v>
      </c>
      <c r="I4210" t="s">
        <v>12851</v>
      </c>
      <c r="J4210" t="s">
        <v>357</v>
      </c>
    </row>
    <row r="4211" spans="1:10" x14ac:dyDescent="0.25">
      <c r="A4211" t="s">
        <v>12852</v>
      </c>
      <c r="B4211" t="s">
        <v>12853</v>
      </c>
      <c r="C4211" s="2">
        <v>46266.583333333336</v>
      </c>
      <c r="D4211" t="s">
        <v>418</v>
      </c>
      <c r="E4211" t="s">
        <v>11</v>
      </c>
      <c r="F4211" t="s">
        <v>330</v>
      </c>
      <c r="G4211" t="s">
        <v>92</v>
      </c>
      <c r="H4211">
        <v>3</v>
      </c>
      <c r="I4211" t="s">
        <v>12854</v>
      </c>
      <c r="J4211" t="s">
        <v>357</v>
      </c>
    </row>
    <row r="4212" spans="1:10" x14ac:dyDescent="0.25">
      <c r="A4212" t="s">
        <v>12855</v>
      </c>
      <c r="B4212" t="s">
        <v>12856</v>
      </c>
      <c r="C4212" s="2">
        <v>46266.583333333336</v>
      </c>
      <c r="D4212" t="s">
        <v>418</v>
      </c>
      <c r="E4212" t="s">
        <v>18</v>
      </c>
      <c r="F4212" t="s">
        <v>331</v>
      </c>
      <c r="G4212" t="s">
        <v>95</v>
      </c>
      <c r="H4212">
        <v>4</v>
      </c>
      <c r="I4212" t="s">
        <v>12857</v>
      </c>
      <c r="J4212" t="s">
        <v>357</v>
      </c>
    </row>
    <row r="4213" spans="1:10" x14ac:dyDescent="0.25">
      <c r="A4213" t="s">
        <v>12858</v>
      </c>
      <c r="B4213" t="s">
        <v>12859</v>
      </c>
      <c r="C4213" s="2">
        <v>46266.583333333336</v>
      </c>
      <c r="D4213" t="s">
        <v>418</v>
      </c>
      <c r="E4213" t="s">
        <v>20</v>
      </c>
      <c r="F4213" t="s">
        <v>332</v>
      </c>
      <c r="G4213" t="s">
        <v>97</v>
      </c>
      <c r="H4213">
        <v>1</v>
      </c>
      <c r="I4213" t="s">
        <v>12860</v>
      </c>
      <c r="J4213" t="s">
        <v>357</v>
      </c>
    </row>
    <row r="4214" spans="1:10" x14ac:dyDescent="0.25">
      <c r="A4214" t="s">
        <v>12861</v>
      </c>
      <c r="B4214" t="s">
        <v>12862</v>
      </c>
      <c r="C4214" s="2">
        <v>46266.583333333336</v>
      </c>
      <c r="D4214" t="s">
        <v>418</v>
      </c>
      <c r="E4214" t="s">
        <v>32</v>
      </c>
      <c r="F4214" t="s">
        <v>311</v>
      </c>
      <c r="G4214" t="s">
        <v>109</v>
      </c>
      <c r="H4214">
        <v>4</v>
      </c>
      <c r="I4214" t="s">
        <v>12863</v>
      </c>
      <c r="J4214" t="s">
        <v>357</v>
      </c>
    </row>
    <row r="4215" spans="1:10" x14ac:dyDescent="0.25">
      <c r="A4215" t="s">
        <v>12864</v>
      </c>
      <c r="B4215" t="s">
        <v>12865</v>
      </c>
      <c r="C4215" s="2">
        <v>46266.583333333336</v>
      </c>
      <c r="D4215" t="s">
        <v>418</v>
      </c>
      <c r="E4215" t="s">
        <v>41</v>
      </c>
      <c r="F4215" t="s">
        <v>265</v>
      </c>
      <c r="G4215" t="s">
        <v>115</v>
      </c>
      <c r="H4215">
        <v>4</v>
      </c>
      <c r="I4215" t="s">
        <v>12866</v>
      </c>
      <c r="J4215" t="s">
        <v>357</v>
      </c>
    </row>
    <row r="4216" spans="1:10" x14ac:dyDescent="0.25">
      <c r="A4216" t="s">
        <v>12867</v>
      </c>
      <c r="B4216" t="s">
        <v>12868</v>
      </c>
      <c r="C4216" s="2">
        <v>46266.583333333336</v>
      </c>
      <c r="D4216" t="s">
        <v>418</v>
      </c>
      <c r="E4216" t="s">
        <v>43</v>
      </c>
      <c r="F4216" t="s">
        <v>340</v>
      </c>
      <c r="G4216" t="s">
        <v>117</v>
      </c>
      <c r="H4216">
        <v>2</v>
      </c>
      <c r="I4216" t="s">
        <v>12869</v>
      </c>
      <c r="J4216" t="s">
        <v>357</v>
      </c>
    </row>
    <row r="4217" spans="1:10" x14ac:dyDescent="0.25">
      <c r="A4217" t="s">
        <v>12870</v>
      </c>
      <c r="B4217" t="s">
        <v>12871</v>
      </c>
      <c r="C4217" s="2">
        <v>46266.583333333336</v>
      </c>
      <c r="D4217" t="s">
        <v>418</v>
      </c>
      <c r="E4217" t="s">
        <v>57</v>
      </c>
      <c r="F4217" t="s">
        <v>299</v>
      </c>
      <c r="G4217" t="s">
        <v>131</v>
      </c>
      <c r="H4217">
        <v>4</v>
      </c>
      <c r="I4217" t="s">
        <v>12872</v>
      </c>
      <c r="J4217" t="s">
        <v>357</v>
      </c>
    </row>
    <row r="4218" spans="1:10" x14ac:dyDescent="0.25">
      <c r="A4218" t="s">
        <v>12873</v>
      </c>
      <c r="B4218" t="s">
        <v>12874</v>
      </c>
      <c r="C4218" s="2">
        <v>46266.583333333336</v>
      </c>
      <c r="D4218" t="s">
        <v>418</v>
      </c>
      <c r="E4218" t="s">
        <v>67</v>
      </c>
      <c r="F4218" t="s">
        <v>300</v>
      </c>
      <c r="G4218" t="s">
        <v>137</v>
      </c>
      <c r="H4218">
        <v>1</v>
      </c>
      <c r="I4218" t="s">
        <v>12875</v>
      </c>
      <c r="J4218" t="s">
        <v>357</v>
      </c>
    </row>
    <row r="4219" spans="1:10" x14ac:dyDescent="0.25">
      <c r="A4219" t="s">
        <v>12876</v>
      </c>
      <c r="B4219" t="s">
        <v>12877</v>
      </c>
      <c r="C4219" s="2">
        <v>46266.583333333336</v>
      </c>
      <c r="D4219" t="s">
        <v>418</v>
      </c>
      <c r="E4219" t="s">
        <v>71</v>
      </c>
      <c r="F4219" t="s">
        <v>302</v>
      </c>
      <c r="G4219" t="s">
        <v>141</v>
      </c>
      <c r="H4219">
        <v>4</v>
      </c>
      <c r="I4219" t="s">
        <v>12878</v>
      </c>
      <c r="J4219" t="s">
        <v>357</v>
      </c>
    </row>
    <row r="4220" spans="1:10" x14ac:dyDescent="0.25">
      <c r="A4220" t="s">
        <v>12879</v>
      </c>
      <c r="B4220" t="s">
        <v>12880</v>
      </c>
      <c r="C4220" s="2">
        <v>46266.583333333336</v>
      </c>
      <c r="D4220" t="s">
        <v>418</v>
      </c>
      <c r="E4220" t="s">
        <v>73</v>
      </c>
      <c r="F4220" t="s">
        <v>303</v>
      </c>
      <c r="G4220" t="s">
        <v>143</v>
      </c>
      <c r="H4220">
        <v>3</v>
      </c>
      <c r="I4220" t="s">
        <v>12881</v>
      </c>
      <c r="J4220" t="s">
        <v>357</v>
      </c>
    </row>
    <row r="4221" spans="1:10" x14ac:dyDescent="0.25">
      <c r="A4221" t="s">
        <v>12882</v>
      </c>
      <c r="B4221" t="s">
        <v>12883</v>
      </c>
      <c r="C4221" s="2">
        <v>46267.583333333336</v>
      </c>
      <c r="D4221" t="s">
        <v>418</v>
      </c>
      <c r="E4221" t="s">
        <v>11</v>
      </c>
      <c r="F4221" t="s">
        <v>330</v>
      </c>
      <c r="G4221" t="s">
        <v>92</v>
      </c>
      <c r="H4221">
        <v>3</v>
      </c>
      <c r="I4221" t="s">
        <v>12884</v>
      </c>
      <c r="J4221" t="s">
        <v>357</v>
      </c>
    </row>
    <row r="4222" spans="1:10" x14ac:dyDescent="0.25">
      <c r="A4222" t="s">
        <v>12885</v>
      </c>
      <c r="B4222" t="s">
        <v>12886</v>
      </c>
      <c r="C4222" s="2">
        <v>46267.583333333336</v>
      </c>
      <c r="D4222" t="s">
        <v>418</v>
      </c>
      <c r="E4222" t="s">
        <v>18</v>
      </c>
      <c r="F4222" t="s">
        <v>331</v>
      </c>
      <c r="G4222" t="s">
        <v>95</v>
      </c>
      <c r="H4222">
        <v>4</v>
      </c>
      <c r="I4222" t="s">
        <v>12887</v>
      </c>
      <c r="J4222" t="s">
        <v>357</v>
      </c>
    </row>
    <row r="4223" spans="1:10" x14ac:dyDescent="0.25">
      <c r="A4223" t="s">
        <v>12888</v>
      </c>
      <c r="B4223" t="s">
        <v>12889</v>
      </c>
      <c r="C4223" s="2">
        <v>46267.583333333336</v>
      </c>
      <c r="D4223" t="s">
        <v>418</v>
      </c>
      <c r="E4223" t="s">
        <v>20</v>
      </c>
      <c r="F4223" t="s">
        <v>332</v>
      </c>
      <c r="G4223" t="s">
        <v>97</v>
      </c>
      <c r="H4223">
        <v>4</v>
      </c>
      <c r="I4223" t="s">
        <v>12890</v>
      </c>
      <c r="J4223" t="s">
        <v>357</v>
      </c>
    </row>
    <row r="4224" spans="1:10" x14ac:dyDescent="0.25">
      <c r="A4224" t="s">
        <v>12891</v>
      </c>
      <c r="B4224" t="s">
        <v>12892</v>
      </c>
      <c r="C4224" s="2">
        <v>46267.583333333336</v>
      </c>
      <c r="D4224" t="s">
        <v>418</v>
      </c>
      <c r="E4224" t="s">
        <v>24</v>
      </c>
      <c r="F4224" t="s">
        <v>334</v>
      </c>
      <c r="G4224" t="s">
        <v>101</v>
      </c>
      <c r="H4224">
        <v>4</v>
      </c>
      <c r="I4224" t="s">
        <v>12893</v>
      </c>
      <c r="J4224" t="s">
        <v>357</v>
      </c>
    </row>
    <row r="4225" spans="1:10" x14ac:dyDescent="0.25">
      <c r="A4225" t="s">
        <v>12894</v>
      </c>
      <c r="B4225" t="s">
        <v>12895</v>
      </c>
      <c r="C4225" s="2">
        <v>46267.583333333336</v>
      </c>
      <c r="D4225" t="s">
        <v>418</v>
      </c>
      <c r="E4225" t="s">
        <v>57</v>
      </c>
      <c r="F4225" t="s">
        <v>299</v>
      </c>
      <c r="G4225" t="s">
        <v>131</v>
      </c>
      <c r="H4225">
        <v>3</v>
      </c>
      <c r="I4225" t="s">
        <v>12896</v>
      </c>
      <c r="J4225" t="s">
        <v>357</v>
      </c>
    </row>
    <row r="4226" spans="1:10" x14ac:dyDescent="0.25">
      <c r="A4226" t="s">
        <v>12897</v>
      </c>
      <c r="B4226" t="s">
        <v>12898</v>
      </c>
      <c r="C4226" s="2">
        <v>46267.583333333336</v>
      </c>
      <c r="D4226" t="s">
        <v>418</v>
      </c>
      <c r="E4226" t="s">
        <v>59</v>
      </c>
      <c r="F4226" t="s">
        <v>283</v>
      </c>
      <c r="G4226" t="s">
        <v>133</v>
      </c>
      <c r="H4226">
        <v>2</v>
      </c>
      <c r="I4226" t="s">
        <v>12899</v>
      </c>
      <c r="J4226" t="s">
        <v>357</v>
      </c>
    </row>
    <row r="4227" spans="1:10" x14ac:dyDescent="0.25">
      <c r="A4227" t="s">
        <v>12900</v>
      </c>
      <c r="B4227" t="s">
        <v>12901</v>
      </c>
      <c r="C4227" s="2">
        <v>46267.583333333336</v>
      </c>
      <c r="D4227" t="s">
        <v>418</v>
      </c>
      <c r="E4227" t="s">
        <v>67</v>
      </c>
      <c r="F4227" t="s">
        <v>300</v>
      </c>
      <c r="G4227" t="s">
        <v>137</v>
      </c>
      <c r="H4227">
        <v>3</v>
      </c>
      <c r="I4227" t="s">
        <v>12902</v>
      </c>
      <c r="J4227" t="s">
        <v>357</v>
      </c>
    </row>
    <row r="4228" spans="1:10" x14ac:dyDescent="0.25">
      <c r="A4228" t="s">
        <v>12903</v>
      </c>
      <c r="B4228" t="s">
        <v>12904</v>
      </c>
      <c r="C4228" s="2">
        <v>46267.583333333336</v>
      </c>
      <c r="D4228" t="s">
        <v>418</v>
      </c>
      <c r="E4228" t="s">
        <v>71</v>
      </c>
      <c r="F4228" t="s">
        <v>302</v>
      </c>
      <c r="G4228" t="s">
        <v>141</v>
      </c>
      <c r="H4228">
        <v>2</v>
      </c>
      <c r="I4228" t="s">
        <v>12905</v>
      </c>
      <c r="J4228" t="s">
        <v>357</v>
      </c>
    </row>
    <row r="4229" spans="1:10" x14ac:dyDescent="0.25">
      <c r="A4229" t="s">
        <v>12906</v>
      </c>
      <c r="B4229" t="s">
        <v>12907</v>
      </c>
      <c r="C4229" s="2">
        <v>46267.583333333336</v>
      </c>
      <c r="D4229" t="s">
        <v>418</v>
      </c>
      <c r="E4229" t="s">
        <v>73</v>
      </c>
      <c r="F4229" t="s">
        <v>303</v>
      </c>
      <c r="G4229" t="s">
        <v>143</v>
      </c>
      <c r="H4229">
        <v>2</v>
      </c>
      <c r="I4229" t="s">
        <v>12908</v>
      </c>
      <c r="J4229" t="s">
        <v>357</v>
      </c>
    </row>
    <row r="4230" spans="1:10" x14ac:dyDescent="0.25">
      <c r="A4230" t="s">
        <v>12909</v>
      </c>
      <c r="B4230" t="s">
        <v>12910</v>
      </c>
      <c r="C4230" s="2">
        <v>46267.583333333336</v>
      </c>
      <c r="D4230" t="s">
        <v>418</v>
      </c>
      <c r="E4230" t="s">
        <v>75</v>
      </c>
      <c r="F4230" t="s">
        <v>272</v>
      </c>
      <c r="G4230" t="s">
        <v>145</v>
      </c>
      <c r="H4230">
        <v>1</v>
      </c>
      <c r="I4230" t="s">
        <v>12911</v>
      </c>
      <c r="J4230" t="s">
        <v>357</v>
      </c>
    </row>
    <row r="4231" spans="1:10" x14ac:dyDescent="0.25">
      <c r="A4231" t="s">
        <v>12912</v>
      </c>
      <c r="B4231" t="s">
        <v>12913</v>
      </c>
      <c r="C4231" s="2">
        <v>46267.583333333336</v>
      </c>
      <c r="D4231" t="s">
        <v>418</v>
      </c>
      <c r="E4231" t="s">
        <v>11</v>
      </c>
      <c r="F4231" t="s">
        <v>330</v>
      </c>
      <c r="G4231" t="s">
        <v>92</v>
      </c>
      <c r="H4231">
        <v>4</v>
      </c>
      <c r="I4231" t="s">
        <v>12914</v>
      </c>
      <c r="J4231" t="s">
        <v>357</v>
      </c>
    </row>
    <row r="4232" spans="1:10" x14ac:dyDescent="0.25">
      <c r="A4232" t="s">
        <v>12915</v>
      </c>
      <c r="B4232" t="s">
        <v>12916</v>
      </c>
      <c r="C4232" s="2">
        <v>46267.583333333336</v>
      </c>
      <c r="D4232" t="s">
        <v>418</v>
      </c>
      <c r="E4232" t="s">
        <v>18</v>
      </c>
      <c r="F4232" t="s">
        <v>331</v>
      </c>
      <c r="G4232" t="s">
        <v>95</v>
      </c>
      <c r="H4232">
        <v>2</v>
      </c>
      <c r="I4232" t="s">
        <v>12917</v>
      </c>
      <c r="J4232" t="s">
        <v>357</v>
      </c>
    </row>
    <row r="4233" spans="1:10" x14ac:dyDescent="0.25">
      <c r="A4233" t="s">
        <v>12918</v>
      </c>
      <c r="B4233" t="s">
        <v>12919</v>
      </c>
      <c r="C4233" s="2">
        <v>46267.583333333336</v>
      </c>
      <c r="D4233" t="s">
        <v>418</v>
      </c>
      <c r="E4233" t="s">
        <v>20</v>
      </c>
      <c r="F4233" t="s">
        <v>332</v>
      </c>
      <c r="G4233" t="s">
        <v>97</v>
      </c>
      <c r="H4233">
        <v>1</v>
      </c>
      <c r="I4233" t="s">
        <v>12920</v>
      </c>
      <c r="J4233" t="s">
        <v>357</v>
      </c>
    </row>
    <row r="4234" spans="1:10" x14ac:dyDescent="0.25">
      <c r="A4234" t="s">
        <v>12921</v>
      </c>
      <c r="B4234" t="s">
        <v>12922</v>
      </c>
      <c r="C4234" s="2">
        <v>46267.583333333336</v>
      </c>
      <c r="D4234" t="s">
        <v>418</v>
      </c>
      <c r="E4234" t="s">
        <v>22</v>
      </c>
      <c r="F4234" t="s">
        <v>333</v>
      </c>
      <c r="G4234" t="s">
        <v>99</v>
      </c>
      <c r="H4234">
        <v>1</v>
      </c>
      <c r="I4234" t="s">
        <v>12923</v>
      </c>
      <c r="J4234" t="s">
        <v>357</v>
      </c>
    </row>
    <row r="4235" spans="1:10" x14ac:dyDescent="0.25">
      <c r="A4235" t="s">
        <v>12924</v>
      </c>
      <c r="B4235" t="s">
        <v>12925</v>
      </c>
      <c r="C4235" s="2">
        <v>46267.583333333336</v>
      </c>
      <c r="D4235" t="s">
        <v>418</v>
      </c>
      <c r="E4235" t="s">
        <v>26</v>
      </c>
      <c r="F4235" t="s">
        <v>320</v>
      </c>
      <c r="G4235" t="s">
        <v>103</v>
      </c>
      <c r="H4235">
        <v>5</v>
      </c>
      <c r="I4235" t="s">
        <v>12926</v>
      </c>
      <c r="J4235" t="s">
        <v>357</v>
      </c>
    </row>
    <row r="4236" spans="1:10" x14ac:dyDescent="0.25">
      <c r="A4236" t="s">
        <v>12927</v>
      </c>
      <c r="B4236" t="s">
        <v>12928</v>
      </c>
      <c r="C4236" s="2">
        <v>46267.583333333336</v>
      </c>
      <c r="D4236" t="s">
        <v>418</v>
      </c>
      <c r="E4236" t="s">
        <v>49</v>
      </c>
      <c r="F4236" t="s">
        <v>342</v>
      </c>
      <c r="G4236" t="s">
        <v>123</v>
      </c>
      <c r="H4236">
        <v>5</v>
      </c>
      <c r="I4236" t="s">
        <v>12929</v>
      </c>
      <c r="J4236" t="s">
        <v>357</v>
      </c>
    </row>
    <row r="4237" spans="1:10" x14ac:dyDescent="0.25">
      <c r="A4237" t="s">
        <v>12930</v>
      </c>
      <c r="B4237" t="s">
        <v>12931</v>
      </c>
      <c r="C4237" s="2">
        <v>46267.583333333336</v>
      </c>
      <c r="D4237" t="s">
        <v>418</v>
      </c>
      <c r="E4237" t="s">
        <v>59</v>
      </c>
      <c r="F4237" t="s">
        <v>283</v>
      </c>
      <c r="G4237" t="s">
        <v>133</v>
      </c>
      <c r="H4237">
        <v>4</v>
      </c>
      <c r="I4237" t="s">
        <v>12932</v>
      </c>
      <c r="J4237" t="s">
        <v>357</v>
      </c>
    </row>
    <row r="4238" spans="1:10" x14ac:dyDescent="0.25">
      <c r="A4238" t="s">
        <v>12933</v>
      </c>
      <c r="B4238" t="s">
        <v>12934</v>
      </c>
      <c r="C4238" s="2">
        <v>46267.583333333336</v>
      </c>
      <c r="D4238" t="s">
        <v>418</v>
      </c>
      <c r="E4238" t="s">
        <v>77</v>
      </c>
      <c r="F4238" t="s">
        <v>273</v>
      </c>
      <c r="G4238" t="s">
        <v>147</v>
      </c>
      <c r="H4238">
        <v>1</v>
      </c>
      <c r="I4238" t="s">
        <v>12935</v>
      </c>
      <c r="J4238" t="s">
        <v>357</v>
      </c>
    </row>
    <row r="4239" spans="1:10" x14ac:dyDescent="0.25">
      <c r="A4239" t="s">
        <v>12936</v>
      </c>
      <c r="B4239" t="s">
        <v>12937</v>
      </c>
      <c r="C4239" s="2">
        <v>46267.583333333336</v>
      </c>
      <c r="D4239" t="s">
        <v>418</v>
      </c>
      <c r="E4239" t="s">
        <v>11</v>
      </c>
      <c r="F4239" t="s">
        <v>330</v>
      </c>
      <c r="G4239" t="s">
        <v>92</v>
      </c>
      <c r="H4239">
        <v>4</v>
      </c>
      <c r="I4239" t="s">
        <v>12938</v>
      </c>
      <c r="J4239" t="s">
        <v>357</v>
      </c>
    </row>
    <row r="4240" spans="1:10" x14ac:dyDescent="0.25">
      <c r="A4240" t="s">
        <v>12939</v>
      </c>
      <c r="B4240" t="s">
        <v>12940</v>
      </c>
      <c r="C4240" s="2">
        <v>46267.583333333336</v>
      </c>
      <c r="D4240" t="s">
        <v>418</v>
      </c>
      <c r="E4240" t="s">
        <v>20</v>
      </c>
      <c r="F4240" t="s">
        <v>332</v>
      </c>
      <c r="G4240" t="s">
        <v>97</v>
      </c>
      <c r="H4240">
        <v>6</v>
      </c>
      <c r="I4240" t="s">
        <v>12941</v>
      </c>
      <c r="J4240" t="s">
        <v>357</v>
      </c>
    </row>
    <row r="4241" spans="1:10" x14ac:dyDescent="0.25">
      <c r="A4241" t="s">
        <v>12942</v>
      </c>
      <c r="B4241" t="s">
        <v>12943</v>
      </c>
      <c r="C4241" s="2">
        <v>46267.583333333336</v>
      </c>
      <c r="D4241" t="s">
        <v>418</v>
      </c>
      <c r="E4241" t="s">
        <v>22</v>
      </c>
      <c r="F4241" t="s">
        <v>333</v>
      </c>
      <c r="G4241" t="s">
        <v>99</v>
      </c>
      <c r="H4241">
        <v>5</v>
      </c>
      <c r="I4241" t="s">
        <v>12944</v>
      </c>
      <c r="J4241" t="s">
        <v>357</v>
      </c>
    </row>
    <row r="4242" spans="1:10" x14ac:dyDescent="0.25">
      <c r="A4242" t="s">
        <v>12945</v>
      </c>
      <c r="B4242" t="s">
        <v>12946</v>
      </c>
      <c r="C4242" s="2">
        <v>46267.583333333336</v>
      </c>
      <c r="D4242" t="s">
        <v>418</v>
      </c>
      <c r="E4242" t="s">
        <v>26</v>
      </c>
      <c r="F4242" t="s">
        <v>320</v>
      </c>
      <c r="G4242" t="s">
        <v>103</v>
      </c>
      <c r="H4242">
        <v>6</v>
      </c>
      <c r="I4242" t="s">
        <v>12947</v>
      </c>
      <c r="J4242" t="s">
        <v>357</v>
      </c>
    </row>
    <row r="4243" spans="1:10" x14ac:dyDescent="0.25">
      <c r="A4243" t="s">
        <v>12948</v>
      </c>
      <c r="B4243" t="s">
        <v>12949</v>
      </c>
      <c r="C4243" s="2">
        <v>46267.583333333336</v>
      </c>
      <c r="D4243" t="s">
        <v>418</v>
      </c>
      <c r="E4243" t="s">
        <v>28</v>
      </c>
      <c r="F4243" t="s">
        <v>336</v>
      </c>
      <c r="G4243" t="s">
        <v>105</v>
      </c>
      <c r="H4243">
        <v>1</v>
      </c>
      <c r="I4243" t="s">
        <v>12950</v>
      </c>
      <c r="J4243" t="s">
        <v>357</v>
      </c>
    </row>
    <row r="4244" spans="1:10" x14ac:dyDescent="0.25">
      <c r="A4244" t="s">
        <v>12951</v>
      </c>
      <c r="B4244" t="s">
        <v>12952</v>
      </c>
      <c r="C4244" s="2">
        <v>46267.583333333336</v>
      </c>
      <c r="D4244" t="s">
        <v>418</v>
      </c>
      <c r="E4244" t="s">
        <v>41</v>
      </c>
      <c r="F4244" t="s">
        <v>265</v>
      </c>
      <c r="G4244" t="s">
        <v>115</v>
      </c>
      <c r="H4244">
        <v>6</v>
      </c>
      <c r="I4244" t="s">
        <v>12953</v>
      </c>
      <c r="J4244" t="s">
        <v>357</v>
      </c>
    </row>
    <row r="4245" spans="1:10" x14ac:dyDescent="0.25">
      <c r="A4245" t="s">
        <v>12954</v>
      </c>
      <c r="B4245" t="s">
        <v>12955</v>
      </c>
      <c r="C4245" s="2">
        <v>46267.583333333336</v>
      </c>
      <c r="D4245" t="s">
        <v>418</v>
      </c>
      <c r="E4245" t="s">
        <v>45</v>
      </c>
      <c r="F4245" t="s">
        <v>312</v>
      </c>
      <c r="G4245" t="s">
        <v>119</v>
      </c>
      <c r="H4245">
        <v>2</v>
      </c>
      <c r="I4245" t="s">
        <v>12956</v>
      </c>
      <c r="J4245" t="s">
        <v>357</v>
      </c>
    </row>
    <row r="4246" spans="1:10" x14ac:dyDescent="0.25">
      <c r="A4246" t="s">
        <v>12957</v>
      </c>
      <c r="B4246" t="s">
        <v>12958</v>
      </c>
      <c r="C4246" s="2">
        <v>46267.583333333336</v>
      </c>
      <c r="D4246" t="s">
        <v>418</v>
      </c>
      <c r="E4246" t="s">
        <v>51</v>
      </c>
      <c r="F4246" t="s">
        <v>323</v>
      </c>
      <c r="G4246" t="s">
        <v>125</v>
      </c>
      <c r="H4246">
        <v>1</v>
      </c>
      <c r="I4246" t="s">
        <v>12959</v>
      </c>
      <c r="J4246" t="s">
        <v>357</v>
      </c>
    </row>
    <row r="4247" spans="1:10" x14ac:dyDescent="0.25">
      <c r="A4247" t="s">
        <v>12960</v>
      </c>
      <c r="B4247" t="s">
        <v>12961</v>
      </c>
      <c r="C4247" s="2">
        <v>46267.583333333336</v>
      </c>
      <c r="D4247" t="s">
        <v>418</v>
      </c>
      <c r="E4247" t="s">
        <v>53</v>
      </c>
      <c r="F4247" t="s">
        <v>324</v>
      </c>
      <c r="G4247" t="s">
        <v>127</v>
      </c>
      <c r="H4247">
        <v>1</v>
      </c>
      <c r="I4247" t="s">
        <v>12962</v>
      </c>
      <c r="J4247" t="s">
        <v>357</v>
      </c>
    </row>
    <row r="4248" spans="1:10" x14ac:dyDescent="0.25">
      <c r="A4248" t="s">
        <v>12963</v>
      </c>
      <c r="B4248" t="s">
        <v>12964</v>
      </c>
      <c r="C4248" s="2">
        <v>46267.583333333336</v>
      </c>
      <c r="D4248" t="s">
        <v>418</v>
      </c>
      <c r="E4248" t="s">
        <v>65</v>
      </c>
      <c r="F4248" t="s">
        <v>284</v>
      </c>
      <c r="G4248" t="s">
        <v>135</v>
      </c>
      <c r="H4248">
        <v>4</v>
      </c>
      <c r="I4248" t="s">
        <v>12965</v>
      </c>
      <c r="J4248" t="s">
        <v>357</v>
      </c>
    </row>
    <row r="4249" spans="1:10" x14ac:dyDescent="0.25">
      <c r="A4249" t="s">
        <v>12966</v>
      </c>
      <c r="B4249" t="s">
        <v>12967</v>
      </c>
      <c r="C4249" s="2">
        <v>46267.583333333336</v>
      </c>
      <c r="D4249" t="s">
        <v>418</v>
      </c>
      <c r="E4249" t="s">
        <v>67</v>
      </c>
      <c r="F4249" t="s">
        <v>300</v>
      </c>
      <c r="G4249" t="s">
        <v>137</v>
      </c>
      <c r="H4249">
        <v>6</v>
      </c>
      <c r="I4249" t="s">
        <v>12968</v>
      </c>
      <c r="J4249" t="s">
        <v>357</v>
      </c>
    </row>
    <row r="4250" spans="1:10" x14ac:dyDescent="0.25">
      <c r="A4250" t="s">
        <v>12969</v>
      </c>
      <c r="B4250" t="s">
        <v>12970</v>
      </c>
      <c r="C4250" s="2">
        <v>46267.583333333336</v>
      </c>
      <c r="D4250" t="s">
        <v>418</v>
      </c>
      <c r="E4250" t="s">
        <v>69</v>
      </c>
      <c r="F4250" t="s">
        <v>256</v>
      </c>
      <c r="G4250" t="s">
        <v>139</v>
      </c>
      <c r="H4250">
        <v>2</v>
      </c>
      <c r="I4250" t="s">
        <v>12971</v>
      </c>
      <c r="J4250" t="s">
        <v>357</v>
      </c>
    </row>
    <row r="4251" spans="1:10" x14ac:dyDescent="0.25">
      <c r="A4251" t="s">
        <v>12972</v>
      </c>
      <c r="B4251" t="s">
        <v>12973</v>
      </c>
      <c r="C4251" s="2">
        <v>46267.583333333336</v>
      </c>
      <c r="D4251" t="s">
        <v>418</v>
      </c>
      <c r="E4251" t="s">
        <v>77</v>
      </c>
      <c r="F4251" t="s">
        <v>273</v>
      </c>
      <c r="G4251" t="s">
        <v>147</v>
      </c>
      <c r="H4251">
        <v>6</v>
      </c>
      <c r="I4251" t="s">
        <v>12974</v>
      </c>
      <c r="J4251" t="s">
        <v>357</v>
      </c>
    </row>
    <row r="4252" spans="1:10" x14ac:dyDescent="0.25">
      <c r="A4252" t="s">
        <v>12975</v>
      </c>
      <c r="B4252" t="s">
        <v>12976</v>
      </c>
      <c r="C4252" s="2">
        <v>46267.583333333336</v>
      </c>
      <c r="D4252" t="s">
        <v>418</v>
      </c>
      <c r="E4252" t="s">
        <v>11</v>
      </c>
      <c r="F4252" t="s">
        <v>330</v>
      </c>
      <c r="G4252" t="s">
        <v>92</v>
      </c>
      <c r="H4252">
        <v>6</v>
      </c>
      <c r="I4252" t="s">
        <v>12977</v>
      </c>
      <c r="J4252" t="s">
        <v>357</v>
      </c>
    </row>
    <row r="4253" spans="1:10" x14ac:dyDescent="0.25">
      <c r="A4253" t="s">
        <v>12978</v>
      </c>
      <c r="B4253" t="s">
        <v>12979</v>
      </c>
      <c r="C4253" s="2">
        <v>46267.583333333336</v>
      </c>
      <c r="D4253" t="s">
        <v>418</v>
      </c>
      <c r="E4253" t="s">
        <v>18</v>
      </c>
      <c r="F4253" t="s">
        <v>331</v>
      </c>
      <c r="G4253" t="s">
        <v>95</v>
      </c>
      <c r="H4253">
        <v>4</v>
      </c>
      <c r="I4253" t="s">
        <v>12980</v>
      </c>
      <c r="J4253" t="s">
        <v>357</v>
      </c>
    </row>
    <row r="4254" spans="1:10" x14ac:dyDescent="0.25">
      <c r="A4254" t="s">
        <v>12981</v>
      </c>
      <c r="B4254" t="s">
        <v>12982</v>
      </c>
      <c r="C4254" s="2">
        <v>46267.583333333336</v>
      </c>
      <c r="D4254" t="s">
        <v>418</v>
      </c>
      <c r="E4254" t="s">
        <v>22</v>
      </c>
      <c r="F4254" t="s">
        <v>333</v>
      </c>
      <c r="G4254" t="s">
        <v>99</v>
      </c>
      <c r="H4254">
        <v>7</v>
      </c>
      <c r="I4254" t="s">
        <v>12983</v>
      </c>
      <c r="J4254" t="s">
        <v>357</v>
      </c>
    </row>
    <row r="4255" spans="1:10" x14ac:dyDescent="0.25">
      <c r="A4255" t="s">
        <v>12984</v>
      </c>
      <c r="B4255" t="s">
        <v>12985</v>
      </c>
      <c r="C4255" s="2">
        <v>46267.583333333336</v>
      </c>
      <c r="D4255" t="s">
        <v>418</v>
      </c>
      <c r="E4255" t="s">
        <v>24</v>
      </c>
      <c r="F4255" t="s">
        <v>334</v>
      </c>
      <c r="G4255" t="s">
        <v>101</v>
      </c>
      <c r="H4255">
        <v>4</v>
      </c>
      <c r="I4255" t="s">
        <v>12986</v>
      </c>
      <c r="J4255" t="s">
        <v>357</v>
      </c>
    </row>
    <row r="4256" spans="1:10" x14ac:dyDescent="0.25">
      <c r="A4256" t="s">
        <v>12987</v>
      </c>
      <c r="B4256" t="s">
        <v>12988</v>
      </c>
      <c r="C4256" s="2">
        <v>46267.583333333336</v>
      </c>
      <c r="D4256" t="s">
        <v>418</v>
      </c>
      <c r="E4256" t="s">
        <v>26</v>
      </c>
      <c r="F4256" t="s">
        <v>335</v>
      </c>
      <c r="G4256" t="s">
        <v>103</v>
      </c>
      <c r="H4256">
        <v>7</v>
      </c>
      <c r="I4256" t="s">
        <v>12989</v>
      </c>
      <c r="J4256" t="s">
        <v>357</v>
      </c>
    </row>
    <row r="4257" spans="1:10" x14ac:dyDescent="0.25">
      <c r="A4257" t="s">
        <v>12990</v>
      </c>
      <c r="B4257" t="s">
        <v>12991</v>
      </c>
      <c r="C4257" s="2">
        <v>46267.583333333336</v>
      </c>
      <c r="D4257" t="s">
        <v>418</v>
      </c>
      <c r="E4257" t="s">
        <v>32</v>
      </c>
      <c r="F4257" t="s">
        <v>311</v>
      </c>
      <c r="G4257" t="s">
        <v>109</v>
      </c>
      <c r="H4257">
        <v>3</v>
      </c>
      <c r="I4257" t="s">
        <v>12992</v>
      </c>
      <c r="J4257" t="s">
        <v>357</v>
      </c>
    </row>
    <row r="4258" spans="1:10" x14ac:dyDescent="0.25">
      <c r="A4258" t="s">
        <v>12993</v>
      </c>
      <c r="B4258" t="s">
        <v>12994</v>
      </c>
      <c r="C4258" s="2">
        <v>46267.583333333336</v>
      </c>
      <c r="D4258" t="s">
        <v>418</v>
      </c>
      <c r="E4258" t="s">
        <v>36</v>
      </c>
      <c r="F4258" t="s">
        <v>281</v>
      </c>
      <c r="G4258" t="s">
        <v>113</v>
      </c>
      <c r="H4258">
        <v>6</v>
      </c>
      <c r="I4258" t="s">
        <v>12995</v>
      </c>
      <c r="J4258" t="s">
        <v>357</v>
      </c>
    </row>
    <row r="4259" spans="1:10" x14ac:dyDescent="0.25">
      <c r="A4259" t="s">
        <v>12996</v>
      </c>
      <c r="B4259" t="s">
        <v>12997</v>
      </c>
      <c r="C4259" s="2">
        <v>46267.583333333336</v>
      </c>
      <c r="D4259" t="s">
        <v>418</v>
      </c>
      <c r="E4259" t="s">
        <v>41</v>
      </c>
      <c r="F4259" t="s">
        <v>265</v>
      </c>
      <c r="G4259" t="s">
        <v>115</v>
      </c>
      <c r="H4259">
        <v>4</v>
      </c>
      <c r="I4259" t="s">
        <v>12998</v>
      </c>
      <c r="J4259" t="s">
        <v>357</v>
      </c>
    </row>
    <row r="4260" spans="1:10" x14ac:dyDescent="0.25">
      <c r="A4260" t="s">
        <v>12999</v>
      </c>
      <c r="B4260" t="s">
        <v>13000</v>
      </c>
      <c r="C4260" s="2">
        <v>46267.583333333336</v>
      </c>
      <c r="D4260" t="s">
        <v>418</v>
      </c>
      <c r="E4260" t="s">
        <v>45</v>
      </c>
      <c r="F4260" t="s">
        <v>312</v>
      </c>
      <c r="G4260" t="s">
        <v>119</v>
      </c>
      <c r="H4260">
        <v>1</v>
      </c>
      <c r="I4260" t="s">
        <v>13001</v>
      </c>
      <c r="J4260" t="s">
        <v>357</v>
      </c>
    </row>
    <row r="4261" spans="1:10" x14ac:dyDescent="0.25">
      <c r="A4261" t="s">
        <v>13002</v>
      </c>
      <c r="B4261" t="s">
        <v>13003</v>
      </c>
      <c r="C4261" s="2">
        <v>46267.583333333336</v>
      </c>
      <c r="D4261" t="s">
        <v>418</v>
      </c>
      <c r="E4261" t="s">
        <v>51</v>
      </c>
      <c r="F4261" t="s">
        <v>323</v>
      </c>
      <c r="G4261" t="s">
        <v>125</v>
      </c>
      <c r="H4261">
        <v>4</v>
      </c>
      <c r="I4261" t="s">
        <v>13004</v>
      </c>
      <c r="J4261" t="s">
        <v>357</v>
      </c>
    </row>
    <row r="4262" spans="1:10" x14ac:dyDescent="0.25">
      <c r="A4262" t="s">
        <v>13005</v>
      </c>
      <c r="B4262" t="s">
        <v>13006</v>
      </c>
      <c r="C4262" s="2">
        <v>46267.583333333336</v>
      </c>
      <c r="D4262" t="s">
        <v>418</v>
      </c>
      <c r="E4262" t="s">
        <v>53</v>
      </c>
      <c r="F4262" t="s">
        <v>324</v>
      </c>
      <c r="G4262" t="s">
        <v>127</v>
      </c>
      <c r="H4262">
        <v>4</v>
      </c>
      <c r="I4262" t="s">
        <v>13007</v>
      </c>
      <c r="J4262" t="s">
        <v>357</v>
      </c>
    </row>
    <row r="4263" spans="1:10" x14ac:dyDescent="0.25">
      <c r="A4263" t="s">
        <v>13008</v>
      </c>
      <c r="B4263" t="s">
        <v>13009</v>
      </c>
      <c r="C4263" s="2">
        <v>46267.583333333336</v>
      </c>
      <c r="D4263" t="s">
        <v>418</v>
      </c>
      <c r="E4263" t="s">
        <v>55</v>
      </c>
      <c r="F4263" t="s">
        <v>269</v>
      </c>
      <c r="G4263" t="s">
        <v>129</v>
      </c>
      <c r="H4263">
        <v>6</v>
      </c>
      <c r="I4263" t="s">
        <v>13010</v>
      </c>
      <c r="J4263" t="s">
        <v>357</v>
      </c>
    </row>
    <row r="4264" spans="1:10" x14ac:dyDescent="0.25">
      <c r="A4264" t="s">
        <v>13011</v>
      </c>
      <c r="B4264" t="s">
        <v>13012</v>
      </c>
      <c r="C4264" s="2">
        <v>46267.583333333336</v>
      </c>
      <c r="D4264" t="s">
        <v>418</v>
      </c>
      <c r="E4264" t="s">
        <v>67</v>
      </c>
      <c r="F4264" t="s">
        <v>300</v>
      </c>
      <c r="G4264" t="s">
        <v>137</v>
      </c>
      <c r="H4264">
        <v>7</v>
      </c>
      <c r="I4264" t="s">
        <v>13013</v>
      </c>
      <c r="J4264" t="s">
        <v>357</v>
      </c>
    </row>
    <row r="4265" spans="1:10" x14ac:dyDescent="0.25">
      <c r="A4265" t="s">
        <v>13014</v>
      </c>
      <c r="B4265" t="s">
        <v>13015</v>
      </c>
      <c r="C4265" s="2">
        <v>46267.583333333336</v>
      </c>
      <c r="D4265" t="s">
        <v>418</v>
      </c>
      <c r="E4265" t="s">
        <v>71</v>
      </c>
      <c r="F4265" t="s">
        <v>302</v>
      </c>
      <c r="G4265" t="s">
        <v>141</v>
      </c>
      <c r="H4265">
        <v>7</v>
      </c>
      <c r="I4265" t="s">
        <v>13016</v>
      </c>
      <c r="J4265" t="s">
        <v>357</v>
      </c>
    </row>
    <row r="4266" spans="1:10" x14ac:dyDescent="0.25">
      <c r="A4266" t="s">
        <v>13017</v>
      </c>
      <c r="B4266" t="s">
        <v>13018</v>
      </c>
      <c r="C4266" s="2">
        <v>46267.583333333336</v>
      </c>
      <c r="D4266" t="s">
        <v>418</v>
      </c>
      <c r="E4266" t="s">
        <v>18</v>
      </c>
      <c r="F4266" t="s">
        <v>331</v>
      </c>
      <c r="G4266" t="s">
        <v>95</v>
      </c>
      <c r="H4266">
        <v>4</v>
      </c>
      <c r="I4266" t="s">
        <v>13019</v>
      </c>
      <c r="J4266" t="s">
        <v>357</v>
      </c>
    </row>
    <row r="4267" spans="1:10" x14ac:dyDescent="0.25">
      <c r="A4267" t="s">
        <v>13020</v>
      </c>
      <c r="B4267" t="s">
        <v>13021</v>
      </c>
      <c r="C4267" s="2">
        <v>46267.583333333336</v>
      </c>
      <c r="D4267" t="s">
        <v>418</v>
      </c>
      <c r="E4267" t="s">
        <v>26</v>
      </c>
      <c r="F4267" t="s">
        <v>335</v>
      </c>
      <c r="G4267" t="s">
        <v>103</v>
      </c>
      <c r="H4267">
        <v>1</v>
      </c>
      <c r="I4267" t="s">
        <v>13022</v>
      </c>
      <c r="J4267" t="s">
        <v>357</v>
      </c>
    </row>
    <row r="4268" spans="1:10" x14ac:dyDescent="0.25">
      <c r="A4268" t="s">
        <v>13023</v>
      </c>
      <c r="B4268" t="s">
        <v>13024</v>
      </c>
      <c r="C4268" s="2">
        <v>46267.583333333336</v>
      </c>
      <c r="D4268" t="s">
        <v>418</v>
      </c>
      <c r="E4268" t="s">
        <v>28</v>
      </c>
      <c r="F4268" t="s">
        <v>336</v>
      </c>
      <c r="G4268" t="s">
        <v>105</v>
      </c>
      <c r="H4268">
        <v>4</v>
      </c>
      <c r="I4268" t="s">
        <v>13025</v>
      </c>
      <c r="J4268" t="s">
        <v>357</v>
      </c>
    </row>
    <row r="4269" spans="1:10" x14ac:dyDescent="0.25">
      <c r="A4269" t="s">
        <v>13026</v>
      </c>
      <c r="B4269" t="s">
        <v>13027</v>
      </c>
      <c r="C4269" s="2">
        <v>46267.583333333336</v>
      </c>
      <c r="D4269" t="s">
        <v>418</v>
      </c>
      <c r="E4269" t="s">
        <v>36</v>
      </c>
      <c r="F4269" t="s">
        <v>281</v>
      </c>
      <c r="G4269" t="s">
        <v>113</v>
      </c>
      <c r="H4269">
        <v>2</v>
      </c>
      <c r="I4269" t="s">
        <v>13028</v>
      </c>
      <c r="J4269" t="s">
        <v>357</v>
      </c>
    </row>
    <row r="4270" spans="1:10" x14ac:dyDescent="0.25">
      <c r="A4270" t="s">
        <v>13029</v>
      </c>
      <c r="B4270" t="s">
        <v>13030</v>
      </c>
      <c r="C4270" s="2">
        <v>46267.583333333336</v>
      </c>
      <c r="D4270" t="s">
        <v>418</v>
      </c>
      <c r="E4270" t="s">
        <v>41</v>
      </c>
      <c r="F4270" t="s">
        <v>265</v>
      </c>
      <c r="G4270" t="s">
        <v>115</v>
      </c>
      <c r="H4270">
        <v>2</v>
      </c>
      <c r="I4270" t="s">
        <v>13031</v>
      </c>
      <c r="J4270" t="s">
        <v>357</v>
      </c>
    </row>
    <row r="4271" spans="1:10" x14ac:dyDescent="0.25">
      <c r="A4271" t="s">
        <v>13032</v>
      </c>
      <c r="B4271" t="s">
        <v>13033</v>
      </c>
      <c r="C4271" s="2">
        <v>46267.583333333336</v>
      </c>
      <c r="D4271" t="s">
        <v>418</v>
      </c>
      <c r="E4271" t="s">
        <v>47</v>
      </c>
      <c r="F4271" t="s">
        <v>322</v>
      </c>
      <c r="G4271" t="s">
        <v>121</v>
      </c>
      <c r="H4271">
        <v>1</v>
      </c>
      <c r="I4271" t="s">
        <v>13034</v>
      </c>
      <c r="J4271" t="s">
        <v>357</v>
      </c>
    </row>
    <row r="4272" spans="1:10" x14ac:dyDescent="0.25">
      <c r="A4272" t="s">
        <v>13035</v>
      </c>
      <c r="B4272" t="s">
        <v>13036</v>
      </c>
      <c r="C4272" s="2">
        <v>46267.583333333336</v>
      </c>
      <c r="D4272" t="s">
        <v>418</v>
      </c>
      <c r="E4272" t="s">
        <v>75</v>
      </c>
      <c r="F4272" t="s">
        <v>272</v>
      </c>
      <c r="G4272" t="s">
        <v>145</v>
      </c>
      <c r="H4272">
        <v>3</v>
      </c>
      <c r="I4272" t="s">
        <v>13037</v>
      </c>
      <c r="J4272" t="s">
        <v>357</v>
      </c>
    </row>
    <row r="4273" spans="1:10" x14ac:dyDescent="0.25">
      <c r="A4273" t="s">
        <v>13038</v>
      </c>
      <c r="B4273" t="s">
        <v>13039</v>
      </c>
      <c r="C4273" s="2">
        <v>46267.583333333336</v>
      </c>
      <c r="D4273" t="s">
        <v>418</v>
      </c>
      <c r="E4273" t="s">
        <v>77</v>
      </c>
      <c r="F4273" t="s">
        <v>273</v>
      </c>
      <c r="G4273" t="s">
        <v>147</v>
      </c>
      <c r="H4273">
        <v>1</v>
      </c>
      <c r="I4273" t="s">
        <v>13040</v>
      </c>
      <c r="J4273" t="s">
        <v>357</v>
      </c>
    </row>
    <row r="4274" spans="1:10" x14ac:dyDescent="0.25">
      <c r="A4274" t="s">
        <v>13041</v>
      </c>
      <c r="B4274" t="s">
        <v>13042</v>
      </c>
      <c r="C4274" s="2">
        <v>46268.583333333336</v>
      </c>
      <c r="D4274" t="s">
        <v>418</v>
      </c>
      <c r="E4274" t="s">
        <v>18</v>
      </c>
      <c r="F4274" t="s">
        <v>331</v>
      </c>
      <c r="G4274" t="s">
        <v>95</v>
      </c>
      <c r="H4274">
        <v>3</v>
      </c>
      <c r="I4274" t="s">
        <v>13043</v>
      </c>
      <c r="J4274" t="s">
        <v>357</v>
      </c>
    </row>
    <row r="4275" spans="1:10" x14ac:dyDescent="0.25">
      <c r="A4275" t="s">
        <v>13044</v>
      </c>
      <c r="B4275" t="s">
        <v>13045</v>
      </c>
      <c r="C4275" s="2">
        <v>46268.583333333336</v>
      </c>
      <c r="D4275" t="s">
        <v>418</v>
      </c>
      <c r="E4275" t="s">
        <v>20</v>
      </c>
      <c r="F4275" t="s">
        <v>332</v>
      </c>
      <c r="G4275" t="s">
        <v>97</v>
      </c>
      <c r="H4275">
        <v>2</v>
      </c>
      <c r="I4275" t="s">
        <v>13046</v>
      </c>
      <c r="J4275" t="s">
        <v>357</v>
      </c>
    </row>
    <row r="4276" spans="1:10" x14ac:dyDescent="0.25">
      <c r="A4276" t="s">
        <v>13047</v>
      </c>
      <c r="B4276" t="s">
        <v>13048</v>
      </c>
      <c r="C4276" s="2">
        <v>46268.583333333336</v>
      </c>
      <c r="D4276" t="s">
        <v>418</v>
      </c>
      <c r="E4276" t="s">
        <v>22</v>
      </c>
      <c r="F4276" t="s">
        <v>333</v>
      </c>
      <c r="G4276" t="s">
        <v>99</v>
      </c>
      <c r="H4276">
        <v>1</v>
      </c>
      <c r="I4276" t="s">
        <v>13049</v>
      </c>
      <c r="J4276" t="s">
        <v>357</v>
      </c>
    </row>
    <row r="4277" spans="1:10" x14ac:dyDescent="0.25">
      <c r="A4277" t="s">
        <v>13050</v>
      </c>
      <c r="B4277" t="s">
        <v>13051</v>
      </c>
      <c r="C4277" s="2">
        <v>46268.583333333336</v>
      </c>
      <c r="D4277" t="s">
        <v>418</v>
      </c>
      <c r="E4277" t="s">
        <v>45</v>
      </c>
      <c r="F4277" t="s">
        <v>312</v>
      </c>
      <c r="G4277" t="s">
        <v>119</v>
      </c>
      <c r="H4277">
        <v>2</v>
      </c>
      <c r="I4277" t="s">
        <v>13052</v>
      </c>
      <c r="J4277" t="s">
        <v>357</v>
      </c>
    </row>
    <row r="4278" spans="1:10" x14ac:dyDescent="0.25">
      <c r="A4278" t="s">
        <v>13053</v>
      </c>
      <c r="B4278" t="s">
        <v>13054</v>
      </c>
      <c r="C4278" s="2">
        <v>46268.583333333336</v>
      </c>
      <c r="D4278" t="s">
        <v>418</v>
      </c>
      <c r="E4278" t="s">
        <v>53</v>
      </c>
      <c r="F4278" t="s">
        <v>324</v>
      </c>
      <c r="G4278" t="s">
        <v>127</v>
      </c>
      <c r="H4278">
        <v>2</v>
      </c>
      <c r="I4278" t="s">
        <v>13055</v>
      </c>
      <c r="J4278" t="s">
        <v>357</v>
      </c>
    </row>
    <row r="4279" spans="1:10" x14ac:dyDescent="0.25">
      <c r="A4279" t="s">
        <v>13056</v>
      </c>
      <c r="B4279" t="s">
        <v>13057</v>
      </c>
      <c r="C4279" s="2">
        <v>46268.583333333336</v>
      </c>
      <c r="D4279" t="s">
        <v>418</v>
      </c>
      <c r="E4279" t="s">
        <v>59</v>
      </c>
      <c r="F4279" t="s">
        <v>283</v>
      </c>
      <c r="G4279" t="s">
        <v>133</v>
      </c>
      <c r="H4279">
        <v>3</v>
      </c>
      <c r="I4279" t="s">
        <v>13058</v>
      </c>
      <c r="J4279" t="s">
        <v>357</v>
      </c>
    </row>
    <row r="4280" spans="1:10" x14ac:dyDescent="0.25">
      <c r="A4280" t="s">
        <v>13059</v>
      </c>
      <c r="B4280" t="s">
        <v>13060</v>
      </c>
      <c r="C4280" s="2">
        <v>46268.583333333336</v>
      </c>
      <c r="D4280" t="s">
        <v>418</v>
      </c>
      <c r="E4280" t="s">
        <v>71</v>
      </c>
      <c r="F4280" t="s">
        <v>302</v>
      </c>
      <c r="G4280" t="s">
        <v>141</v>
      </c>
      <c r="H4280">
        <v>1</v>
      </c>
      <c r="I4280" t="s">
        <v>13061</v>
      </c>
      <c r="J4280" t="s">
        <v>357</v>
      </c>
    </row>
    <row r="4281" spans="1:10" x14ac:dyDescent="0.25">
      <c r="A4281" t="s">
        <v>13062</v>
      </c>
      <c r="B4281" t="s">
        <v>13063</v>
      </c>
      <c r="C4281" s="2">
        <v>46268.583333333336</v>
      </c>
      <c r="D4281" t="s">
        <v>418</v>
      </c>
      <c r="E4281" t="s">
        <v>75</v>
      </c>
      <c r="F4281" t="s">
        <v>272</v>
      </c>
      <c r="G4281" t="s">
        <v>145</v>
      </c>
      <c r="H4281">
        <v>2</v>
      </c>
      <c r="I4281" t="s">
        <v>13064</v>
      </c>
      <c r="J4281" t="s">
        <v>357</v>
      </c>
    </row>
    <row r="4282" spans="1:10" x14ac:dyDescent="0.25">
      <c r="A4282" t="s">
        <v>13065</v>
      </c>
      <c r="B4282" t="s">
        <v>13066</v>
      </c>
      <c r="C4282" s="2">
        <v>46268.583333333336</v>
      </c>
      <c r="D4282" t="s">
        <v>418</v>
      </c>
      <c r="E4282" t="s">
        <v>11</v>
      </c>
      <c r="F4282" t="s">
        <v>330</v>
      </c>
      <c r="G4282" t="s">
        <v>92</v>
      </c>
      <c r="H4282">
        <v>1</v>
      </c>
      <c r="I4282" t="s">
        <v>13067</v>
      </c>
      <c r="J4282" t="s">
        <v>357</v>
      </c>
    </row>
    <row r="4283" spans="1:10" x14ac:dyDescent="0.25">
      <c r="A4283" t="s">
        <v>13068</v>
      </c>
      <c r="B4283" t="s">
        <v>13069</v>
      </c>
      <c r="C4283" s="2">
        <v>46268.583333333336</v>
      </c>
      <c r="D4283" t="s">
        <v>418</v>
      </c>
      <c r="E4283" t="s">
        <v>18</v>
      </c>
      <c r="F4283" t="s">
        <v>331</v>
      </c>
      <c r="G4283" t="s">
        <v>95</v>
      </c>
      <c r="H4283">
        <v>4</v>
      </c>
      <c r="I4283" t="s">
        <v>13070</v>
      </c>
      <c r="J4283" t="s">
        <v>357</v>
      </c>
    </row>
    <row r="4284" spans="1:10" x14ac:dyDescent="0.25">
      <c r="A4284" t="s">
        <v>13071</v>
      </c>
      <c r="B4284" t="s">
        <v>13072</v>
      </c>
      <c r="C4284" s="2">
        <v>46268.583333333336</v>
      </c>
      <c r="D4284" t="s">
        <v>418</v>
      </c>
      <c r="E4284" t="s">
        <v>22</v>
      </c>
      <c r="F4284" t="s">
        <v>333</v>
      </c>
      <c r="G4284" t="s">
        <v>99</v>
      </c>
      <c r="H4284">
        <v>5</v>
      </c>
      <c r="I4284" t="s">
        <v>13073</v>
      </c>
      <c r="J4284" t="s">
        <v>357</v>
      </c>
    </row>
    <row r="4285" spans="1:10" x14ac:dyDescent="0.25">
      <c r="A4285" t="s">
        <v>13074</v>
      </c>
      <c r="B4285" t="s">
        <v>13075</v>
      </c>
      <c r="C4285" s="2">
        <v>46268.583333333336</v>
      </c>
      <c r="D4285" t="s">
        <v>418</v>
      </c>
      <c r="E4285" t="s">
        <v>26</v>
      </c>
      <c r="F4285" t="s">
        <v>335</v>
      </c>
      <c r="G4285" t="s">
        <v>103</v>
      </c>
      <c r="H4285">
        <v>5</v>
      </c>
      <c r="I4285" t="s">
        <v>13076</v>
      </c>
      <c r="J4285" t="s">
        <v>357</v>
      </c>
    </row>
    <row r="4286" spans="1:10" x14ac:dyDescent="0.25">
      <c r="A4286" t="s">
        <v>13077</v>
      </c>
      <c r="B4286" t="s">
        <v>13078</v>
      </c>
      <c r="C4286" s="2">
        <v>46268.583333333336</v>
      </c>
      <c r="D4286" t="s">
        <v>418</v>
      </c>
      <c r="E4286" t="s">
        <v>32</v>
      </c>
      <c r="F4286" t="s">
        <v>311</v>
      </c>
      <c r="G4286" t="s">
        <v>109</v>
      </c>
      <c r="H4286">
        <v>3</v>
      </c>
      <c r="I4286" t="s">
        <v>13079</v>
      </c>
      <c r="J4286" t="s">
        <v>357</v>
      </c>
    </row>
    <row r="4287" spans="1:10" x14ac:dyDescent="0.25">
      <c r="A4287" t="s">
        <v>13080</v>
      </c>
      <c r="B4287" t="s">
        <v>13081</v>
      </c>
      <c r="C4287" s="2">
        <v>46268.583333333336</v>
      </c>
      <c r="D4287" t="s">
        <v>418</v>
      </c>
      <c r="E4287" t="s">
        <v>36</v>
      </c>
      <c r="F4287" t="s">
        <v>281</v>
      </c>
      <c r="G4287" t="s">
        <v>113</v>
      </c>
      <c r="H4287">
        <v>3</v>
      </c>
      <c r="I4287" t="s">
        <v>13082</v>
      </c>
      <c r="J4287" t="s">
        <v>357</v>
      </c>
    </row>
    <row r="4288" spans="1:10" x14ac:dyDescent="0.25">
      <c r="A4288" t="s">
        <v>13083</v>
      </c>
      <c r="B4288" t="s">
        <v>13084</v>
      </c>
      <c r="C4288" s="2">
        <v>46268.583333333336</v>
      </c>
      <c r="D4288" t="s">
        <v>418</v>
      </c>
      <c r="E4288" t="s">
        <v>43</v>
      </c>
      <c r="F4288" t="s">
        <v>340</v>
      </c>
      <c r="G4288" t="s">
        <v>117</v>
      </c>
      <c r="H4288">
        <v>1</v>
      </c>
      <c r="I4288" t="s">
        <v>13085</v>
      </c>
      <c r="J4288" t="s">
        <v>357</v>
      </c>
    </row>
    <row r="4289" spans="1:10" x14ac:dyDescent="0.25">
      <c r="A4289" t="s">
        <v>13086</v>
      </c>
      <c r="B4289" t="s">
        <v>13087</v>
      </c>
      <c r="C4289" s="2">
        <v>46268.583333333336</v>
      </c>
      <c r="D4289" t="s">
        <v>418</v>
      </c>
      <c r="E4289" t="s">
        <v>51</v>
      </c>
      <c r="F4289" t="s">
        <v>323</v>
      </c>
      <c r="G4289" t="s">
        <v>125</v>
      </c>
      <c r="H4289">
        <v>4</v>
      </c>
      <c r="I4289" t="s">
        <v>13088</v>
      </c>
      <c r="J4289" t="s">
        <v>357</v>
      </c>
    </row>
    <row r="4290" spans="1:10" x14ac:dyDescent="0.25">
      <c r="A4290" t="s">
        <v>13089</v>
      </c>
      <c r="B4290" t="s">
        <v>13090</v>
      </c>
      <c r="C4290" s="2">
        <v>46268.583333333336</v>
      </c>
      <c r="D4290" t="s">
        <v>418</v>
      </c>
      <c r="E4290" t="s">
        <v>53</v>
      </c>
      <c r="F4290" t="s">
        <v>324</v>
      </c>
      <c r="G4290" t="s">
        <v>127</v>
      </c>
      <c r="H4290">
        <v>5</v>
      </c>
      <c r="I4290" t="s">
        <v>13091</v>
      </c>
      <c r="J4290" t="s">
        <v>357</v>
      </c>
    </row>
    <row r="4291" spans="1:10" x14ac:dyDescent="0.25">
      <c r="A4291" t="s">
        <v>13092</v>
      </c>
      <c r="B4291" t="s">
        <v>13093</v>
      </c>
      <c r="C4291" s="2">
        <v>46268.583333333336</v>
      </c>
      <c r="D4291" t="s">
        <v>418</v>
      </c>
      <c r="E4291" t="s">
        <v>73</v>
      </c>
      <c r="F4291" t="s">
        <v>303</v>
      </c>
      <c r="G4291" t="s">
        <v>143</v>
      </c>
      <c r="H4291">
        <v>3</v>
      </c>
      <c r="I4291" t="s">
        <v>13094</v>
      </c>
      <c r="J4291" t="s">
        <v>357</v>
      </c>
    </row>
    <row r="4292" spans="1:10" x14ac:dyDescent="0.25">
      <c r="A4292" t="s">
        <v>13095</v>
      </c>
      <c r="B4292" t="s">
        <v>13096</v>
      </c>
      <c r="C4292" s="2">
        <v>46268.583333333336</v>
      </c>
      <c r="D4292" t="s">
        <v>418</v>
      </c>
      <c r="E4292" t="s">
        <v>18</v>
      </c>
      <c r="F4292" t="s">
        <v>331</v>
      </c>
      <c r="G4292" t="s">
        <v>95</v>
      </c>
      <c r="H4292">
        <v>1</v>
      </c>
      <c r="I4292" t="s">
        <v>13097</v>
      </c>
      <c r="J4292" t="s">
        <v>357</v>
      </c>
    </row>
    <row r="4293" spans="1:10" x14ac:dyDescent="0.25">
      <c r="A4293" t="s">
        <v>13098</v>
      </c>
      <c r="B4293" t="s">
        <v>13099</v>
      </c>
      <c r="C4293" s="2">
        <v>46268.583333333336</v>
      </c>
      <c r="D4293" t="s">
        <v>418</v>
      </c>
      <c r="E4293" t="s">
        <v>20</v>
      </c>
      <c r="F4293" t="s">
        <v>332</v>
      </c>
      <c r="G4293" t="s">
        <v>97</v>
      </c>
      <c r="H4293">
        <v>2</v>
      </c>
      <c r="I4293" t="s">
        <v>13100</v>
      </c>
      <c r="J4293" t="s">
        <v>357</v>
      </c>
    </row>
    <row r="4294" spans="1:10" x14ac:dyDescent="0.25">
      <c r="A4294" t="s">
        <v>13101</v>
      </c>
      <c r="B4294" t="s">
        <v>13102</v>
      </c>
      <c r="C4294" s="2">
        <v>46268.583333333336</v>
      </c>
      <c r="D4294" t="s">
        <v>418</v>
      </c>
      <c r="E4294" t="s">
        <v>22</v>
      </c>
      <c r="F4294" t="s">
        <v>333</v>
      </c>
      <c r="G4294" t="s">
        <v>99</v>
      </c>
      <c r="H4294">
        <v>4</v>
      </c>
      <c r="I4294" t="s">
        <v>13103</v>
      </c>
      <c r="J4294" t="s">
        <v>357</v>
      </c>
    </row>
    <row r="4295" spans="1:10" x14ac:dyDescent="0.25">
      <c r="A4295" t="s">
        <v>13104</v>
      </c>
      <c r="B4295" t="s">
        <v>13105</v>
      </c>
      <c r="C4295" s="2">
        <v>46268.583333333336</v>
      </c>
      <c r="D4295" t="s">
        <v>418</v>
      </c>
      <c r="E4295" t="s">
        <v>24</v>
      </c>
      <c r="F4295" t="s">
        <v>334</v>
      </c>
      <c r="G4295" t="s">
        <v>101</v>
      </c>
      <c r="H4295">
        <v>1</v>
      </c>
      <c r="I4295" t="s">
        <v>13106</v>
      </c>
      <c r="J4295" t="s">
        <v>357</v>
      </c>
    </row>
    <row r="4296" spans="1:10" x14ac:dyDescent="0.25">
      <c r="A4296" t="s">
        <v>13107</v>
      </c>
      <c r="B4296" t="s">
        <v>13108</v>
      </c>
      <c r="C4296" s="2">
        <v>46268.583333333336</v>
      </c>
      <c r="D4296" t="s">
        <v>418</v>
      </c>
      <c r="E4296" t="s">
        <v>30</v>
      </c>
      <c r="F4296" t="s">
        <v>291</v>
      </c>
      <c r="G4296" t="s">
        <v>107</v>
      </c>
      <c r="H4296">
        <v>6</v>
      </c>
      <c r="I4296" t="s">
        <v>13109</v>
      </c>
      <c r="J4296" t="s">
        <v>357</v>
      </c>
    </row>
    <row r="4297" spans="1:10" x14ac:dyDescent="0.25">
      <c r="A4297" t="s">
        <v>13110</v>
      </c>
      <c r="B4297" t="s">
        <v>13111</v>
      </c>
      <c r="C4297" s="2">
        <v>46268.583333333336</v>
      </c>
      <c r="D4297" t="s">
        <v>418</v>
      </c>
      <c r="E4297" t="s">
        <v>43</v>
      </c>
      <c r="F4297" t="s">
        <v>340</v>
      </c>
      <c r="G4297" t="s">
        <v>117</v>
      </c>
      <c r="H4297">
        <v>1</v>
      </c>
      <c r="I4297" t="s">
        <v>13112</v>
      </c>
      <c r="J4297" t="s">
        <v>357</v>
      </c>
    </row>
    <row r="4298" spans="1:10" x14ac:dyDescent="0.25">
      <c r="A4298" t="s">
        <v>13113</v>
      </c>
      <c r="B4298" t="s">
        <v>13114</v>
      </c>
      <c r="C4298" s="2">
        <v>46268.583333333336</v>
      </c>
      <c r="D4298" t="s">
        <v>418</v>
      </c>
      <c r="E4298" t="s">
        <v>55</v>
      </c>
      <c r="F4298" t="s">
        <v>269</v>
      </c>
      <c r="G4298" t="s">
        <v>129</v>
      </c>
      <c r="H4298">
        <v>5</v>
      </c>
      <c r="I4298" t="s">
        <v>13115</v>
      </c>
      <c r="J4298" t="s">
        <v>357</v>
      </c>
    </row>
    <row r="4299" spans="1:10" x14ac:dyDescent="0.25">
      <c r="A4299" t="s">
        <v>13116</v>
      </c>
      <c r="B4299" t="s">
        <v>13117</v>
      </c>
      <c r="C4299" s="2">
        <v>46268.583333333336</v>
      </c>
      <c r="D4299" t="s">
        <v>418</v>
      </c>
      <c r="E4299" t="s">
        <v>65</v>
      </c>
      <c r="F4299" t="s">
        <v>284</v>
      </c>
      <c r="G4299" t="s">
        <v>135</v>
      </c>
      <c r="H4299">
        <v>1</v>
      </c>
      <c r="I4299" t="s">
        <v>13118</v>
      </c>
      <c r="J4299" t="s">
        <v>357</v>
      </c>
    </row>
    <row r="4300" spans="1:10" x14ac:dyDescent="0.25">
      <c r="A4300" t="s">
        <v>13119</v>
      </c>
      <c r="B4300" t="s">
        <v>13120</v>
      </c>
      <c r="C4300" s="2">
        <v>46268.583333333336</v>
      </c>
      <c r="D4300" t="s">
        <v>418</v>
      </c>
      <c r="E4300" t="s">
        <v>65</v>
      </c>
      <c r="F4300" t="s">
        <v>313</v>
      </c>
      <c r="G4300" t="s">
        <v>135</v>
      </c>
      <c r="H4300">
        <v>4</v>
      </c>
      <c r="I4300" t="s">
        <v>13118</v>
      </c>
      <c r="J4300" t="s">
        <v>357</v>
      </c>
    </row>
    <row r="4301" spans="1:10" x14ac:dyDescent="0.25">
      <c r="A4301" t="s">
        <v>13121</v>
      </c>
      <c r="B4301" t="s">
        <v>13122</v>
      </c>
      <c r="C4301" s="2">
        <v>46268.583333333336</v>
      </c>
      <c r="D4301" t="s">
        <v>418</v>
      </c>
      <c r="E4301" t="s">
        <v>71</v>
      </c>
      <c r="F4301" t="s">
        <v>302</v>
      </c>
      <c r="G4301" t="s">
        <v>141</v>
      </c>
      <c r="H4301">
        <v>5</v>
      </c>
      <c r="I4301" t="s">
        <v>13123</v>
      </c>
      <c r="J4301" t="s">
        <v>357</v>
      </c>
    </row>
    <row r="4302" spans="1:10" x14ac:dyDescent="0.25">
      <c r="A4302" t="s">
        <v>13124</v>
      </c>
      <c r="B4302" t="s">
        <v>13125</v>
      </c>
      <c r="C4302" s="2">
        <v>46268.583333333336</v>
      </c>
      <c r="D4302" t="s">
        <v>418</v>
      </c>
      <c r="E4302" t="s">
        <v>73</v>
      </c>
      <c r="F4302" t="s">
        <v>303</v>
      </c>
      <c r="G4302" t="s">
        <v>143</v>
      </c>
      <c r="H4302">
        <v>5</v>
      </c>
      <c r="I4302" t="s">
        <v>13126</v>
      </c>
      <c r="J4302" t="s">
        <v>357</v>
      </c>
    </row>
    <row r="4303" spans="1:10" x14ac:dyDescent="0.25">
      <c r="A4303" t="s">
        <v>13127</v>
      </c>
      <c r="B4303" t="s">
        <v>13128</v>
      </c>
      <c r="C4303" s="2">
        <v>46268.583333333336</v>
      </c>
      <c r="D4303" t="s">
        <v>418</v>
      </c>
      <c r="E4303" t="s">
        <v>18</v>
      </c>
      <c r="F4303" t="s">
        <v>331</v>
      </c>
      <c r="G4303" t="s">
        <v>95</v>
      </c>
      <c r="H4303">
        <v>6</v>
      </c>
      <c r="I4303" t="s">
        <v>13129</v>
      </c>
      <c r="J4303" t="s">
        <v>357</v>
      </c>
    </row>
    <row r="4304" spans="1:10" x14ac:dyDescent="0.25">
      <c r="A4304" t="s">
        <v>13130</v>
      </c>
      <c r="B4304" t="s">
        <v>13131</v>
      </c>
      <c r="C4304" s="2">
        <v>46268.583333333336</v>
      </c>
      <c r="D4304" t="s">
        <v>418</v>
      </c>
      <c r="E4304" t="s">
        <v>20</v>
      </c>
      <c r="F4304" t="s">
        <v>332</v>
      </c>
      <c r="G4304" t="s">
        <v>97</v>
      </c>
      <c r="H4304">
        <v>6</v>
      </c>
      <c r="I4304" t="s">
        <v>13132</v>
      </c>
      <c r="J4304" t="s">
        <v>357</v>
      </c>
    </row>
    <row r="4305" spans="1:10" x14ac:dyDescent="0.25">
      <c r="A4305" t="s">
        <v>13133</v>
      </c>
      <c r="B4305" t="s">
        <v>13134</v>
      </c>
      <c r="C4305" s="2">
        <v>46268.583333333336</v>
      </c>
      <c r="D4305" t="s">
        <v>418</v>
      </c>
      <c r="E4305" t="s">
        <v>24</v>
      </c>
      <c r="F4305" t="s">
        <v>334</v>
      </c>
      <c r="G4305" t="s">
        <v>101</v>
      </c>
      <c r="H4305">
        <v>6</v>
      </c>
      <c r="I4305" t="s">
        <v>13135</v>
      </c>
      <c r="J4305" t="s">
        <v>357</v>
      </c>
    </row>
    <row r="4306" spans="1:10" x14ac:dyDescent="0.25">
      <c r="A4306" t="s">
        <v>13136</v>
      </c>
      <c r="B4306" t="s">
        <v>13137</v>
      </c>
      <c r="C4306" s="2">
        <v>46268.583333333336</v>
      </c>
      <c r="D4306" t="s">
        <v>418</v>
      </c>
      <c r="E4306" t="s">
        <v>26</v>
      </c>
      <c r="F4306" t="s">
        <v>335</v>
      </c>
      <c r="G4306" t="s">
        <v>103</v>
      </c>
      <c r="H4306">
        <v>6</v>
      </c>
      <c r="I4306" t="s">
        <v>13138</v>
      </c>
      <c r="J4306" t="s">
        <v>357</v>
      </c>
    </row>
    <row r="4307" spans="1:10" x14ac:dyDescent="0.25">
      <c r="A4307" t="s">
        <v>13139</v>
      </c>
      <c r="B4307" t="s">
        <v>13140</v>
      </c>
      <c r="C4307" s="2">
        <v>46268.583333333336</v>
      </c>
      <c r="D4307" t="s">
        <v>418</v>
      </c>
      <c r="E4307" t="s">
        <v>30</v>
      </c>
      <c r="F4307" t="s">
        <v>291</v>
      </c>
      <c r="G4307" t="s">
        <v>107</v>
      </c>
      <c r="H4307">
        <v>6</v>
      </c>
      <c r="I4307" t="s">
        <v>13141</v>
      </c>
      <c r="J4307" t="s">
        <v>357</v>
      </c>
    </row>
    <row r="4308" spans="1:10" x14ac:dyDescent="0.25">
      <c r="A4308" t="s">
        <v>13142</v>
      </c>
      <c r="B4308" t="s">
        <v>13143</v>
      </c>
      <c r="C4308" s="2">
        <v>46268.583333333336</v>
      </c>
      <c r="D4308" t="s">
        <v>418</v>
      </c>
      <c r="E4308" t="s">
        <v>32</v>
      </c>
      <c r="F4308" t="s">
        <v>311</v>
      </c>
      <c r="G4308" t="s">
        <v>109</v>
      </c>
      <c r="H4308">
        <v>7</v>
      </c>
      <c r="I4308" t="s">
        <v>13144</v>
      </c>
      <c r="J4308" t="s">
        <v>357</v>
      </c>
    </row>
    <row r="4309" spans="1:10" x14ac:dyDescent="0.25">
      <c r="A4309" t="s">
        <v>13145</v>
      </c>
      <c r="B4309" t="s">
        <v>13146</v>
      </c>
      <c r="C4309" s="2">
        <v>46268.583333333336</v>
      </c>
      <c r="D4309" t="s">
        <v>418</v>
      </c>
      <c r="E4309" t="s">
        <v>59</v>
      </c>
      <c r="F4309" t="s">
        <v>283</v>
      </c>
      <c r="G4309" t="s">
        <v>133</v>
      </c>
      <c r="H4309">
        <v>6</v>
      </c>
      <c r="I4309" t="s">
        <v>13147</v>
      </c>
      <c r="J4309" t="s">
        <v>357</v>
      </c>
    </row>
    <row r="4310" spans="1:10" x14ac:dyDescent="0.25">
      <c r="A4310" t="s">
        <v>13148</v>
      </c>
      <c r="B4310" t="s">
        <v>13149</v>
      </c>
      <c r="C4310" s="2">
        <v>46268.583333333336</v>
      </c>
      <c r="D4310" t="s">
        <v>418</v>
      </c>
      <c r="E4310" t="s">
        <v>67</v>
      </c>
      <c r="F4310" t="s">
        <v>300</v>
      </c>
      <c r="G4310" t="s">
        <v>137</v>
      </c>
      <c r="H4310">
        <v>7</v>
      </c>
      <c r="I4310" t="s">
        <v>13150</v>
      </c>
      <c r="J4310" t="s">
        <v>357</v>
      </c>
    </row>
    <row r="4311" spans="1:10" x14ac:dyDescent="0.25">
      <c r="A4311" t="s">
        <v>13151</v>
      </c>
      <c r="B4311" t="s">
        <v>13152</v>
      </c>
      <c r="C4311" s="2">
        <v>46268.583333333336</v>
      </c>
      <c r="D4311" t="s">
        <v>418</v>
      </c>
      <c r="E4311" t="s">
        <v>75</v>
      </c>
      <c r="F4311" t="s">
        <v>272</v>
      </c>
      <c r="G4311" t="s">
        <v>145</v>
      </c>
      <c r="H4311">
        <v>6</v>
      </c>
      <c r="I4311" t="s">
        <v>13153</v>
      </c>
      <c r="J4311" t="s">
        <v>357</v>
      </c>
    </row>
    <row r="4312" spans="1:10" x14ac:dyDescent="0.25">
      <c r="A4312" t="s">
        <v>13154</v>
      </c>
      <c r="B4312" t="s">
        <v>13155</v>
      </c>
      <c r="C4312" s="2">
        <v>46268.583333333336</v>
      </c>
      <c r="D4312" t="s">
        <v>418</v>
      </c>
      <c r="E4312" t="s">
        <v>11</v>
      </c>
      <c r="F4312" t="s">
        <v>330</v>
      </c>
      <c r="G4312" t="s">
        <v>92</v>
      </c>
      <c r="H4312">
        <v>2</v>
      </c>
      <c r="I4312" t="s">
        <v>13156</v>
      </c>
      <c r="J4312" t="s">
        <v>357</v>
      </c>
    </row>
    <row r="4313" spans="1:10" x14ac:dyDescent="0.25">
      <c r="A4313" t="s">
        <v>13157</v>
      </c>
      <c r="B4313" t="s">
        <v>13158</v>
      </c>
      <c r="C4313" s="2">
        <v>46268.583333333336</v>
      </c>
      <c r="D4313" t="s">
        <v>418</v>
      </c>
      <c r="E4313" t="s">
        <v>18</v>
      </c>
      <c r="F4313" t="s">
        <v>331</v>
      </c>
      <c r="G4313" t="s">
        <v>95</v>
      </c>
      <c r="H4313">
        <v>4</v>
      </c>
      <c r="I4313" t="s">
        <v>13159</v>
      </c>
      <c r="J4313" t="s">
        <v>357</v>
      </c>
    </row>
    <row r="4314" spans="1:10" x14ac:dyDescent="0.25">
      <c r="A4314" t="s">
        <v>13160</v>
      </c>
      <c r="B4314" t="s">
        <v>13161</v>
      </c>
      <c r="C4314" s="2">
        <v>46268.583333333336</v>
      </c>
      <c r="D4314" t="s">
        <v>418</v>
      </c>
      <c r="E4314" t="s">
        <v>20</v>
      </c>
      <c r="F4314" t="s">
        <v>332</v>
      </c>
      <c r="G4314" t="s">
        <v>97</v>
      </c>
      <c r="H4314">
        <v>3</v>
      </c>
      <c r="I4314" t="s">
        <v>13162</v>
      </c>
      <c r="J4314" t="s">
        <v>357</v>
      </c>
    </row>
    <row r="4315" spans="1:10" x14ac:dyDescent="0.25">
      <c r="A4315" t="s">
        <v>13163</v>
      </c>
      <c r="B4315" t="s">
        <v>13164</v>
      </c>
      <c r="C4315" s="2">
        <v>46268.583333333336</v>
      </c>
      <c r="D4315" t="s">
        <v>418</v>
      </c>
      <c r="E4315" t="s">
        <v>22</v>
      </c>
      <c r="F4315" t="s">
        <v>333</v>
      </c>
      <c r="G4315" t="s">
        <v>99</v>
      </c>
      <c r="H4315">
        <v>4</v>
      </c>
      <c r="I4315" t="s">
        <v>13165</v>
      </c>
      <c r="J4315" t="s">
        <v>357</v>
      </c>
    </row>
    <row r="4316" spans="1:10" x14ac:dyDescent="0.25">
      <c r="A4316" t="s">
        <v>13166</v>
      </c>
      <c r="B4316" t="s">
        <v>13167</v>
      </c>
      <c r="C4316" s="2">
        <v>46268.583333333336</v>
      </c>
      <c r="D4316" t="s">
        <v>418</v>
      </c>
      <c r="E4316" t="s">
        <v>24</v>
      </c>
      <c r="F4316" t="s">
        <v>334</v>
      </c>
      <c r="G4316" t="s">
        <v>101</v>
      </c>
      <c r="H4316">
        <v>2</v>
      </c>
      <c r="I4316" t="s">
        <v>13168</v>
      </c>
      <c r="J4316" t="s">
        <v>357</v>
      </c>
    </row>
    <row r="4317" spans="1:10" x14ac:dyDescent="0.25">
      <c r="A4317" t="s">
        <v>13169</v>
      </c>
      <c r="B4317" t="s">
        <v>13170</v>
      </c>
      <c r="C4317" s="2">
        <v>46268.583333333336</v>
      </c>
      <c r="D4317" t="s">
        <v>418</v>
      </c>
      <c r="E4317" t="s">
        <v>26</v>
      </c>
      <c r="F4317" t="s">
        <v>335</v>
      </c>
      <c r="G4317" t="s">
        <v>103</v>
      </c>
      <c r="H4317">
        <v>4</v>
      </c>
      <c r="I4317" t="s">
        <v>13171</v>
      </c>
      <c r="J4317" t="s">
        <v>357</v>
      </c>
    </row>
    <row r="4318" spans="1:10" x14ac:dyDescent="0.25">
      <c r="A4318" t="s">
        <v>13172</v>
      </c>
      <c r="B4318" t="s">
        <v>13173</v>
      </c>
      <c r="C4318" s="2">
        <v>46268.583333333336</v>
      </c>
      <c r="D4318" t="s">
        <v>418</v>
      </c>
      <c r="E4318" t="s">
        <v>43</v>
      </c>
      <c r="F4318" t="s">
        <v>340</v>
      </c>
      <c r="G4318" t="s">
        <v>117</v>
      </c>
      <c r="H4318">
        <v>2</v>
      </c>
      <c r="I4318" t="s">
        <v>13174</v>
      </c>
      <c r="J4318" t="s">
        <v>357</v>
      </c>
    </row>
    <row r="4319" spans="1:10" x14ac:dyDescent="0.25">
      <c r="A4319" t="s">
        <v>13175</v>
      </c>
      <c r="B4319" t="s">
        <v>13176</v>
      </c>
      <c r="C4319" s="2">
        <v>46268.583333333336</v>
      </c>
      <c r="D4319" t="s">
        <v>418</v>
      </c>
      <c r="E4319" t="s">
        <v>45</v>
      </c>
      <c r="F4319" t="s">
        <v>312</v>
      </c>
      <c r="G4319" t="s">
        <v>119</v>
      </c>
      <c r="H4319">
        <v>3</v>
      </c>
      <c r="I4319" t="s">
        <v>13177</v>
      </c>
      <c r="J4319" t="s">
        <v>357</v>
      </c>
    </row>
    <row r="4320" spans="1:10" x14ac:dyDescent="0.25">
      <c r="A4320" t="s">
        <v>13178</v>
      </c>
      <c r="B4320" t="s">
        <v>13179</v>
      </c>
      <c r="C4320" s="2">
        <v>46268.583333333336</v>
      </c>
      <c r="D4320" t="s">
        <v>418</v>
      </c>
      <c r="E4320" t="s">
        <v>49</v>
      </c>
      <c r="F4320" t="s">
        <v>342</v>
      </c>
      <c r="G4320" t="s">
        <v>123</v>
      </c>
      <c r="H4320">
        <v>2</v>
      </c>
      <c r="I4320" t="s">
        <v>13180</v>
      </c>
      <c r="J4320" t="s">
        <v>357</v>
      </c>
    </row>
    <row r="4321" spans="1:10" x14ac:dyDescent="0.25">
      <c r="A4321" t="s">
        <v>13181</v>
      </c>
      <c r="B4321" t="s">
        <v>13182</v>
      </c>
      <c r="C4321" s="2">
        <v>46268.583333333336</v>
      </c>
      <c r="D4321" t="s">
        <v>418</v>
      </c>
      <c r="E4321" t="s">
        <v>53</v>
      </c>
      <c r="F4321" t="s">
        <v>324</v>
      </c>
      <c r="G4321" t="s">
        <v>127</v>
      </c>
      <c r="H4321">
        <v>2</v>
      </c>
      <c r="I4321" t="s">
        <v>13183</v>
      </c>
      <c r="J4321" t="s">
        <v>357</v>
      </c>
    </row>
    <row r="4322" spans="1:10" x14ac:dyDescent="0.25">
      <c r="A4322" t="s">
        <v>13184</v>
      </c>
      <c r="B4322" t="s">
        <v>13185</v>
      </c>
      <c r="C4322" s="2">
        <v>46268.583333333336</v>
      </c>
      <c r="D4322" t="s">
        <v>418</v>
      </c>
      <c r="E4322" t="s">
        <v>69</v>
      </c>
      <c r="F4322" t="s">
        <v>256</v>
      </c>
      <c r="G4322" t="s">
        <v>139</v>
      </c>
      <c r="H4322">
        <v>4</v>
      </c>
      <c r="I4322" t="s">
        <v>13186</v>
      </c>
      <c r="J4322" t="s">
        <v>357</v>
      </c>
    </row>
    <row r="4323" spans="1:10" x14ac:dyDescent="0.25">
      <c r="A4323" t="s">
        <v>13187</v>
      </c>
      <c r="B4323" t="s">
        <v>13188</v>
      </c>
      <c r="C4323" s="2">
        <v>46268.583333333336</v>
      </c>
      <c r="D4323" t="s">
        <v>418</v>
      </c>
      <c r="E4323" t="s">
        <v>71</v>
      </c>
      <c r="F4323" t="s">
        <v>302</v>
      </c>
      <c r="G4323" t="s">
        <v>141</v>
      </c>
      <c r="H4323">
        <v>3</v>
      </c>
      <c r="I4323" t="s">
        <v>13189</v>
      </c>
      <c r="J4323" t="s">
        <v>357</v>
      </c>
    </row>
    <row r="4324" spans="1:10" x14ac:dyDescent="0.25">
      <c r="A4324" t="s">
        <v>13190</v>
      </c>
      <c r="B4324" t="s">
        <v>13191</v>
      </c>
      <c r="C4324" s="2">
        <v>46268.583333333336</v>
      </c>
      <c r="D4324" t="s">
        <v>418</v>
      </c>
      <c r="E4324" t="s">
        <v>75</v>
      </c>
      <c r="F4324" t="s">
        <v>272</v>
      </c>
      <c r="G4324" t="s">
        <v>145</v>
      </c>
      <c r="H4324">
        <v>3</v>
      </c>
      <c r="I4324" t="s">
        <v>13192</v>
      </c>
      <c r="J4324" t="s">
        <v>357</v>
      </c>
    </row>
    <row r="4325" spans="1:10" x14ac:dyDescent="0.25">
      <c r="A4325" t="s">
        <v>13193</v>
      </c>
      <c r="B4325" t="s">
        <v>13194</v>
      </c>
      <c r="C4325" s="2">
        <v>46268.583333333336</v>
      </c>
      <c r="D4325" t="s">
        <v>418</v>
      </c>
      <c r="E4325" t="s">
        <v>75</v>
      </c>
      <c r="F4325" t="s">
        <v>314</v>
      </c>
      <c r="G4325" t="s">
        <v>145</v>
      </c>
      <c r="H4325">
        <v>1</v>
      </c>
      <c r="I4325" t="s">
        <v>13192</v>
      </c>
      <c r="J4325" t="s">
        <v>357</v>
      </c>
    </row>
    <row r="4326" spans="1:10" x14ac:dyDescent="0.25">
      <c r="A4326" t="s">
        <v>13195</v>
      </c>
      <c r="B4326" t="s">
        <v>13196</v>
      </c>
      <c r="C4326" s="2">
        <v>46268.583333333336</v>
      </c>
      <c r="D4326" t="s">
        <v>418</v>
      </c>
      <c r="E4326" t="s">
        <v>77</v>
      </c>
      <c r="F4326" t="s">
        <v>273</v>
      </c>
      <c r="G4326" t="s">
        <v>147</v>
      </c>
      <c r="H4326">
        <v>2</v>
      </c>
      <c r="I4326" t="s">
        <v>13197</v>
      </c>
      <c r="J4326" t="s">
        <v>357</v>
      </c>
    </row>
    <row r="4327" spans="1:10" x14ac:dyDescent="0.25">
      <c r="A4327" t="s">
        <v>13198</v>
      </c>
      <c r="B4327" t="s">
        <v>13199</v>
      </c>
      <c r="C4327" s="2">
        <v>46269.583333333336</v>
      </c>
      <c r="D4327" t="s">
        <v>418</v>
      </c>
      <c r="E4327" t="s">
        <v>11</v>
      </c>
      <c r="F4327" t="s">
        <v>330</v>
      </c>
      <c r="G4327" t="s">
        <v>92</v>
      </c>
      <c r="H4327">
        <v>3</v>
      </c>
      <c r="I4327" t="s">
        <v>13200</v>
      </c>
      <c r="J4327" t="s">
        <v>357</v>
      </c>
    </row>
    <row r="4328" spans="1:10" x14ac:dyDescent="0.25">
      <c r="A4328" t="s">
        <v>13201</v>
      </c>
      <c r="B4328" t="s">
        <v>13202</v>
      </c>
      <c r="C4328" s="2">
        <v>46269.583333333336</v>
      </c>
      <c r="D4328" t="s">
        <v>418</v>
      </c>
      <c r="E4328" t="s">
        <v>22</v>
      </c>
      <c r="F4328" t="s">
        <v>333</v>
      </c>
      <c r="G4328" t="s">
        <v>99</v>
      </c>
      <c r="H4328">
        <v>2</v>
      </c>
      <c r="I4328" t="s">
        <v>13203</v>
      </c>
      <c r="J4328" t="s">
        <v>357</v>
      </c>
    </row>
    <row r="4329" spans="1:10" x14ac:dyDescent="0.25">
      <c r="A4329" t="s">
        <v>13204</v>
      </c>
      <c r="B4329" t="s">
        <v>13205</v>
      </c>
      <c r="C4329" s="2">
        <v>46269.583333333336</v>
      </c>
      <c r="D4329" t="s">
        <v>418</v>
      </c>
      <c r="E4329" t="s">
        <v>26</v>
      </c>
      <c r="F4329" t="s">
        <v>335</v>
      </c>
      <c r="G4329" t="s">
        <v>103</v>
      </c>
      <c r="H4329">
        <v>2</v>
      </c>
      <c r="I4329" t="s">
        <v>13206</v>
      </c>
      <c r="J4329" t="s">
        <v>357</v>
      </c>
    </row>
    <row r="4330" spans="1:10" x14ac:dyDescent="0.25">
      <c r="A4330" t="s">
        <v>13207</v>
      </c>
      <c r="B4330" t="s">
        <v>13208</v>
      </c>
      <c r="C4330" s="2">
        <v>46269.583333333336</v>
      </c>
      <c r="D4330" t="s">
        <v>418</v>
      </c>
      <c r="E4330" t="s">
        <v>41</v>
      </c>
      <c r="F4330" t="s">
        <v>265</v>
      </c>
      <c r="G4330" t="s">
        <v>115</v>
      </c>
      <c r="H4330">
        <v>2</v>
      </c>
      <c r="I4330" t="s">
        <v>13209</v>
      </c>
      <c r="J4330" t="s">
        <v>357</v>
      </c>
    </row>
    <row r="4331" spans="1:10" x14ac:dyDescent="0.25">
      <c r="A4331" t="s">
        <v>13210</v>
      </c>
      <c r="B4331" t="s">
        <v>13211</v>
      </c>
      <c r="C4331" s="2">
        <v>46269.583333333336</v>
      </c>
      <c r="D4331" t="s">
        <v>418</v>
      </c>
      <c r="E4331" t="s">
        <v>43</v>
      </c>
      <c r="F4331" t="s">
        <v>340</v>
      </c>
      <c r="G4331" t="s">
        <v>117</v>
      </c>
      <c r="H4331">
        <v>3</v>
      </c>
      <c r="I4331" t="s">
        <v>13212</v>
      </c>
      <c r="J4331" t="s">
        <v>357</v>
      </c>
    </row>
    <row r="4332" spans="1:10" x14ac:dyDescent="0.25">
      <c r="A4332" t="s">
        <v>13213</v>
      </c>
      <c r="B4332" t="s">
        <v>13214</v>
      </c>
      <c r="C4332" s="2">
        <v>46269.583333333336</v>
      </c>
      <c r="D4332" t="s">
        <v>418</v>
      </c>
      <c r="E4332" t="s">
        <v>45</v>
      </c>
      <c r="F4332" t="s">
        <v>312</v>
      </c>
      <c r="G4332" t="s">
        <v>119</v>
      </c>
      <c r="H4332">
        <v>3</v>
      </c>
      <c r="I4332" t="s">
        <v>13215</v>
      </c>
      <c r="J4332" t="s">
        <v>357</v>
      </c>
    </row>
    <row r="4333" spans="1:10" x14ac:dyDescent="0.25">
      <c r="A4333" t="s">
        <v>13216</v>
      </c>
      <c r="B4333" t="s">
        <v>13217</v>
      </c>
      <c r="C4333" s="2">
        <v>46269.583333333336</v>
      </c>
      <c r="D4333" t="s">
        <v>418</v>
      </c>
      <c r="E4333" t="s">
        <v>49</v>
      </c>
      <c r="F4333" t="s">
        <v>342</v>
      </c>
      <c r="G4333" t="s">
        <v>123</v>
      </c>
      <c r="H4333">
        <v>2</v>
      </c>
      <c r="I4333" t="s">
        <v>13218</v>
      </c>
      <c r="J4333" t="s">
        <v>357</v>
      </c>
    </row>
    <row r="4334" spans="1:10" x14ac:dyDescent="0.25">
      <c r="A4334" t="s">
        <v>13219</v>
      </c>
      <c r="B4334" t="s">
        <v>13220</v>
      </c>
      <c r="C4334" s="2">
        <v>46269.583333333336</v>
      </c>
      <c r="D4334" t="s">
        <v>418</v>
      </c>
      <c r="E4334" t="s">
        <v>51</v>
      </c>
      <c r="F4334" t="s">
        <v>323</v>
      </c>
      <c r="G4334" t="s">
        <v>125</v>
      </c>
      <c r="H4334">
        <v>1</v>
      </c>
      <c r="I4334" t="s">
        <v>13221</v>
      </c>
      <c r="J4334" t="s">
        <v>357</v>
      </c>
    </row>
    <row r="4335" spans="1:10" x14ac:dyDescent="0.25">
      <c r="A4335" t="s">
        <v>13222</v>
      </c>
      <c r="B4335" t="s">
        <v>13223</v>
      </c>
      <c r="C4335" s="2">
        <v>46269.583333333336</v>
      </c>
      <c r="D4335" t="s">
        <v>418</v>
      </c>
      <c r="E4335" t="s">
        <v>79</v>
      </c>
      <c r="F4335" t="s">
        <v>148</v>
      </c>
      <c r="G4335" t="s">
        <v>149</v>
      </c>
      <c r="H4335">
        <v>4</v>
      </c>
      <c r="I4335" t="s">
        <v>13224</v>
      </c>
      <c r="J4335" t="s">
        <v>357</v>
      </c>
    </row>
    <row r="4336" spans="1:10" x14ac:dyDescent="0.25">
      <c r="A4336" t="s">
        <v>13225</v>
      </c>
      <c r="B4336" t="s">
        <v>13226</v>
      </c>
      <c r="C4336" s="2">
        <v>46269.583333333336</v>
      </c>
      <c r="D4336" t="s">
        <v>418</v>
      </c>
      <c r="E4336" t="s">
        <v>20</v>
      </c>
      <c r="F4336" t="s">
        <v>332</v>
      </c>
      <c r="G4336" t="s">
        <v>97</v>
      </c>
      <c r="H4336">
        <v>3</v>
      </c>
      <c r="I4336" t="s">
        <v>13227</v>
      </c>
      <c r="J4336" t="s">
        <v>357</v>
      </c>
    </row>
    <row r="4337" spans="1:10" x14ac:dyDescent="0.25">
      <c r="A4337" t="s">
        <v>13228</v>
      </c>
      <c r="B4337" t="s">
        <v>13229</v>
      </c>
      <c r="C4337" s="2">
        <v>46269.583333333336</v>
      </c>
      <c r="D4337" t="s">
        <v>418</v>
      </c>
      <c r="E4337" t="s">
        <v>22</v>
      </c>
      <c r="F4337" t="s">
        <v>333</v>
      </c>
      <c r="G4337" t="s">
        <v>99</v>
      </c>
      <c r="H4337">
        <v>2</v>
      </c>
      <c r="I4337" t="s">
        <v>13230</v>
      </c>
      <c r="J4337" t="s">
        <v>357</v>
      </c>
    </row>
    <row r="4338" spans="1:10" x14ac:dyDescent="0.25">
      <c r="A4338" t="s">
        <v>13231</v>
      </c>
      <c r="B4338" t="s">
        <v>13232</v>
      </c>
      <c r="C4338" s="2">
        <v>46269.583333333336</v>
      </c>
      <c r="D4338" t="s">
        <v>418</v>
      </c>
      <c r="E4338" t="s">
        <v>41</v>
      </c>
      <c r="F4338" t="s">
        <v>265</v>
      </c>
      <c r="G4338" t="s">
        <v>115</v>
      </c>
      <c r="H4338">
        <v>2</v>
      </c>
      <c r="I4338" t="s">
        <v>13233</v>
      </c>
      <c r="J4338" t="s">
        <v>357</v>
      </c>
    </row>
    <row r="4339" spans="1:10" x14ac:dyDescent="0.25">
      <c r="A4339" t="s">
        <v>13234</v>
      </c>
      <c r="B4339" t="s">
        <v>13235</v>
      </c>
      <c r="C4339" s="2">
        <v>46269.583333333336</v>
      </c>
      <c r="D4339" t="s">
        <v>418</v>
      </c>
      <c r="E4339" t="s">
        <v>57</v>
      </c>
      <c r="F4339" t="s">
        <v>299</v>
      </c>
      <c r="G4339" t="s">
        <v>131</v>
      </c>
      <c r="H4339">
        <v>3</v>
      </c>
      <c r="I4339" t="s">
        <v>13236</v>
      </c>
      <c r="J4339" t="s">
        <v>357</v>
      </c>
    </row>
    <row r="4340" spans="1:10" x14ac:dyDescent="0.25">
      <c r="A4340" t="s">
        <v>13237</v>
      </c>
      <c r="B4340" t="s">
        <v>13238</v>
      </c>
      <c r="C4340" s="2">
        <v>46269.583333333336</v>
      </c>
      <c r="D4340" t="s">
        <v>418</v>
      </c>
      <c r="E4340" t="s">
        <v>65</v>
      </c>
      <c r="F4340" t="s">
        <v>313</v>
      </c>
      <c r="G4340" t="s">
        <v>135</v>
      </c>
      <c r="H4340">
        <v>5</v>
      </c>
      <c r="I4340" t="s">
        <v>13239</v>
      </c>
      <c r="J4340" t="s">
        <v>357</v>
      </c>
    </row>
    <row r="4341" spans="1:10" x14ac:dyDescent="0.25">
      <c r="A4341" t="s">
        <v>13240</v>
      </c>
      <c r="B4341" t="s">
        <v>13241</v>
      </c>
      <c r="C4341" s="2">
        <v>46269.583333333336</v>
      </c>
      <c r="D4341" t="s">
        <v>418</v>
      </c>
      <c r="E4341" t="s">
        <v>75</v>
      </c>
      <c r="F4341" t="s">
        <v>314</v>
      </c>
      <c r="G4341" t="s">
        <v>145</v>
      </c>
      <c r="H4341">
        <v>1</v>
      </c>
      <c r="I4341" t="s">
        <v>13242</v>
      </c>
      <c r="J4341" t="s">
        <v>357</v>
      </c>
    </row>
    <row r="4342" spans="1:10" x14ac:dyDescent="0.25">
      <c r="A4342" t="s">
        <v>13243</v>
      </c>
      <c r="B4342" t="s">
        <v>13244</v>
      </c>
      <c r="C4342" s="2">
        <v>46269.583333333336</v>
      </c>
      <c r="D4342" t="s">
        <v>418</v>
      </c>
      <c r="E4342" t="s">
        <v>11</v>
      </c>
      <c r="F4342" t="s">
        <v>330</v>
      </c>
      <c r="G4342" t="s">
        <v>92</v>
      </c>
      <c r="H4342">
        <v>5</v>
      </c>
      <c r="I4342" t="s">
        <v>13245</v>
      </c>
      <c r="J4342" t="s">
        <v>357</v>
      </c>
    </row>
    <row r="4343" spans="1:10" x14ac:dyDescent="0.25">
      <c r="A4343" t="s">
        <v>13246</v>
      </c>
      <c r="B4343" t="s">
        <v>13247</v>
      </c>
      <c r="C4343" s="2">
        <v>46269.583333333336</v>
      </c>
      <c r="D4343" t="s">
        <v>418</v>
      </c>
      <c r="E4343" t="s">
        <v>20</v>
      </c>
      <c r="F4343" t="s">
        <v>332</v>
      </c>
      <c r="G4343" t="s">
        <v>97</v>
      </c>
      <c r="H4343">
        <v>1</v>
      </c>
      <c r="I4343" t="s">
        <v>13248</v>
      </c>
      <c r="J4343" t="s">
        <v>357</v>
      </c>
    </row>
    <row r="4344" spans="1:10" x14ac:dyDescent="0.25">
      <c r="A4344" t="s">
        <v>13249</v>
      </c>
      <c r="B4344" t="s">
        <v>13250</v>
      </c>
      <c r="C4344" s="2">
        <v>46269.583333333336</v>
      </c>
      <c r="D4344" t="s">
        <v>418</v>
      </c>
      <c r="E4344" t="s">
        <v>22</v>
      </c>
      <c r="F4344" t="s">
        <v>333</v>
      </c>
      <c r="G4344" t="s">
        <v>99</v>
      </c>
      <c r="H4344">
        <v>6</v>
      </c>
      <c r="I4344" t="s">
        <v>13251</v>
      </c>
      <c r="J4344" t="s">
        <v>357</v>
      </c>
    </row>
    <row r="4345" spans="1:10" x14ac:dyDescent="0.25">
      <c r="A4345" t="s">
        <v>13252</v>
      </c>
      <c r="B4345" t="s">
        <v>13253</v>
      </c>
      <c r="C4345" s="2">
        <v>46269.583333333336</v>
      </c>
      <c r="D4345" t="s">
        <v>418</v>
      </c>
      <c r="E4345" t="s">
        <v>24</v>
      </c>
      <c r="F4345" t="s">
        <v>334</v>
      </c>
      <c r="G4345" t="s">
        <v>101</v>
      </c>
      <c r="H4345">
        <v>5</v>
      </c>
      <c r="I4345" t="s">
        <v>13254</v>
      </c>
      <c r="J4345" t="s">
        <v>357</v>
      </c>
    </row>
    <row r="4346" spans="1:10" x14ac:dyDescent="0.25">
      <c r="A4346" t="s">
        <v>13255</v>
      </c>
      <c r="B4346" t="s">
        <v>13256</v>
      </c>
      <c r="C4346" s="2">
        <v>46269.583333333336</v>
      </c>
      <c r="D4346" t="s">
        <v>418</v>
      </c>
      <c r="E4346" t="s">
        <v>28</v>
      </c>
      <c r="F4346" t="s">
        <v>336</v>
      </c>
      <c r="G4346" t="s">
        <v>105</v>
      </c>
      <c r="H4346">
        <v>4</v>
      </c>
      <c r="I4346" t="s">
        <v>13257</v>
      </c>
      <c r="J4346" t="s">
        <v>357</v>
      </c>
    </row>
    <row r="4347" spans="1:10" x14ac:dyDescent="0.25">
      <c r="A4347" t="s">
        <v>13258</v>
      </c>
      <c r="B4347" t="s">
        <v>13259</v>
      </c>
      <c r="C4347" s="2">
        <v>46269.583333333336</v>
      </c>
      <c r="D4347" t="s">
        <v>418</v>
      </c>
      <c r="E4347" t="s">
        <v>43</v>
      </c>
      <c r="F4347" t="s">
        <v>340</v>
      </c>
      <c r="G4347" t="s">
        <v>117</v>
      </c>
      <c r="H4347">
        <v>2</v>
      </c>
      <c r="I4347" t="s">
        <v>13260</v>
      </c>
      <c r="J4347" t="s">
        <v>357</v>
      </c>
    </row>
    <row r="4348" spans="1:10" x14ac:dyDescent="0.25">
      <c r="A4348" t="s">
        <v>13261</v>
      </c>
      <c r="B4348" t="s">
        <v>13262</v>
      </c>
      <c r="C4348" s="2">
        <v>46269.583333333336</v>
      </c>
      <c r="D4348" t="s">
        <v>418</v>
      </c>
      <c r="E4348" t="s">
        <v>47</v>
      </c>
      <c r="F4348" t="s">
        <v>322</v>
      </c>
      <c r="G4348" t="s">
        <v>121</v>
      </c>
      <c r="H4348">
        <v>5</v>
      </c>
      <c r="I4348" t="s">
        <v>13263</v>
      </c>
      <c r="J4348" t="s">
        <v>357</v>
      </c>
    </row>
    <row r="4349" spans="1:10" x14ac:dyDescent="0.25">
      <c r="A4349" t="s">
        <v>13264</v>
      </c>
      <c r="B4349" t="s">
        <v>13265</v>
      </c>
      <c r="C4349" s="2">
        <v>46269.583333333336</v>
      </c>
      <c r="D4349" t="s">
        <v>418</v>
      </c>
      <c r="E4349" t="s">
        <v>49</v>
      </c>
      <c r="F4349" t="s">
        <v>342</v>
      </c>
      <c r="G4349" t="s">
        <v>123</v>
      </c>
      <c r="H4349">
        <v>4</v>
      </c>
      <c r="I4349" t="s">
        <v>13266</v>
      </c>
      <c r="J4349" t="s">
        <v>357</v>
      </c>
    </row>
    <row r="4350" spans="1:10" x14ac:dyDescent="0.25">
      <c r="A4350" t="s">
        <v>13267</v>
      </c>
      <c r="B4350" t="s">
        <v>13268</v>
      </c>
      <c r="C4350" s="2">
        <v>46269.583333333336</v>
      </c>
      <c r="D4350" t="s">
        <v>418</v>
      </c>
      <c r="E4350" t="s">
        <v>51</v>
      </c>
      <c r="F4350" t="s">
        <v>323</v>
      </c>
      <c r="G4350" t="s">
        <v>125</v>
      </c>
      <c r="H4350">
        <v>6</v>
      </c>
      <c r="I4350" t="s">
        <v>13269</v>
      </c>
      <c r="J4350" t="s">
        <v>357</v>
      </c>
    </row>
    <row r="4351" spans="1:10" x14ac:dyDescent="0.25">
      <c r="A4351" t="s">
        <v>13270</v>
      </c>
      <c r="B4351" t="s">
        <v>13271</v>
      </c>
      <c r="C4351" s="2">
        <v>46269.583333333336</v>
      </c>
      <c r="D4351" t="s">
        <v>418</v>
      </c>
      <c r="E4351" t="s">
        <v>57</v>
      </c>
      <c r="F4351" t="s">
        <v>299</v>
      </c>
      <c r="G4351" t="s">
        <v>131</v>
      </c>
      <c r="H4351">
        <v>4</v>
      </c>
      <c r="I4351" t="s">
        <v>13272</v>
      </c>
      <c r="J4351" t="s">
        <v>357</v>
      </c>
    </row>
    <row r="4352" spans="1:10" x14ac:dyDescent="0.25">
      <c r="A4352" t="s">
        <v>13273</v>
      </c>
      <c r="B4352" t="s">
        <v>13274</v>
      </c>
      <c r="C4352" s="2">
        <v>46269.583333333336</v>
      </c>
      <c r="D4352" t="s">
        <v>418</v>
      </c>
      <c r="E4352" t="s">
        <v>65</v>
      </c>
      <c r="F4352" t="s">
        <v>313</v>
      </c>
      <c r="G4352" t="s">
        <v>135</v>
      </c>
      <c r="H4352">
        <v>5</v>
      </c>
      <c r="I4352" t="s">
        <v>13275</v>
      </c>
      <c r="J4352" t="s">
        <v>357</v>
      </c>
    </row>
    <row r="4353" spans="1:10" x14ac:dyDescent="0.25">
      <c r="A4353" t="s">
        <v>13276</v>
      </c>
      <c r="B4353" t="s">
        <v>13277</v>
      </c>
      <c r="C4353" s="2">
        <v>46269.583333333336</v>
      </c>
      <c r="D4353" t="s">
        <v>418</v>
      </c>
      <c r="E4353" t="s">
        <v>77</v>
      </c>
      <c r="F4353" t="s">
        <v>273</v>
      </c>
      <c r="G4353" t="s">
        <v>147</v>
      </c>
      <c r="H4353">
        <v>6</v>
      </c>
      <c r="I4353" t="s">
        <v>13278</v>
      </c>
      <c r="J4353" t="s">
        <v>357</v>
      </c>
    </row>
    <row r="4354" spans="1:10" x14ac:dyDescent="0.25">
      <c r="A4354" t="s">
        <v>13279</v>
      </c>
      <c r="B4354" t="s">
        <v>13280</v>
      </c>
      <c r="C4354" s="2">
        <v>46269.583333333336</v>
      </c>
      <c r="D4354" t="s">
        <v>418</v>
      </c>
      <c r="E4354" t="s">
        <v>11</v>
      </c>
      <c r="F4354" t="s">
        <v>330</v>
      </c>
      <c r="G4354" t="s">
        <v>92</v>
      </c>
      <c r="H4354">
        <v>1</v>
      </c>
      <c r="I4354" t="s">
        <v>13281</v>
      </c>
      <c r="J4354" t="s">
        <v>357</v>
      </c>
    </row>
    <row r="4355" spans="1:10" x14ac:dyDescent="0.25">
      <c r="A4355" t="s">
        <v>13282</v>
      </c>
      <c r="B4355" t="s">
        <v>13283</v>
      </c>
      <c r="C4355" s="2">
        <v>46269.583333333336</v>
      </c>
      <c r="D4355" t="s">
        <v>418</v>
      </c>
      <c r="E4355" t="s">
        <v>18</v>
      </c>
      <c r="F4355" t="s">
        <v>331</v>
      </c>
      <c r="G4355" t="s">
        <v>95</v>
      </c>
      <c r="H4355">
        <v>7</v>
      </c>
      <c r="I4355" t="s">
        <v>13284</v>
      </c>
      <c r="J4355" t="s">
        <v>357</v>
      </c>
    </row>
    <row r="4356" spans="1:10" x14ac:dyDescent="0.25">
      <c r="A4356" t="s">
        <v>13285</v>
      </c>
      <c r="B4356" t="s">
        <v>13286</v>
      </c>
      <c r="C4356" s="2">
        <v>46269.583333333336</v>
      </c>
      <c r="D4356" t="s">
        <v>418</v>
      </c>
      <c r="E4356" t="s">
        <v>22</v>
      </c>
      <c r="F4356" t="s">
        <v>333</v>
      </c>
      <c r="G4356" t="s">
        <v>99</v>
      </c>
      <c r="H4356">
        <v>3</v>
      </c>
      <c r="I4356" t="s">
        <v>13287</v>
      </c>
      <c r="J4356" t="s">
        <v>357</v>
      </c>
    </row>
    <row r="4357" spans="1:10" x14ac:dyDescent="0.25">
      <c r="A4357" t="s">
        <v>13288</v>
      </c>
      <c r="B4357" t="s">
        <v>13289</v>
      </c>
      <c r="C4357" s="2">
        <v>46269.583333333336</v>
      </c>
      <c r="D4357" t="s">
        <v>418</v>
      </c>
      <c r="E4357" t="s">
        <v>30</v>
      </c>
      <c r="F4357" t="s">
        <v>291</v>
      </c>
      <c r="G4357" t="s">
        <v>107</v>
      </c>
      <c r="H4357">
        <v>1</v>
      </c>
      <c r="I4357" t="s">
        <v>13290</v>
      </c>
      <c r="J4357" t="s">
        <v>357</v>
      </c>
    </row>
    <row r="4358" spans="1:10" x14ac:dyDescent="0.25">
      <c r="A4358" t="s">
        <v>13291</v>
      </c>
      <c r="B4358" t="s">
        <v>13292</v>
      </c>
      <c r="C4358" s="2">
        <v>46269.583333333336</v>
      </c>
      <c r="D4358" t="s">
        <v>418</v>
      </c>
      <c r="E4358" t="s">
        <v>43</v>
      </c>
      <c r="F4358" t="s">
        <v>340</v>
      </c>
      <c r="G4358" t="s">
        <v>117</v>
      </c>
      <c r="H4358">
        <v>4</v>
      </c>
      <c r="I4358" t="s">
        <v>13293</v>
      </c>
      <c r="J4358" t="s">
        <v>357</v>
      </c>
    </row>
    <row r="4359" spans="1:10" x14ac:dyDescent="0.25">
      <c r="A4359" t="s">
        <v>13294</v>
      </c>
      <c r="B4359" t="s">
        <v>13295</v>
      </c>
      <c r="C4359" s="2">
        <v>46269.583333333336</v>
      </c>
      <c r="D4359" t="s">
        <v>418</v>
      </c>
      <c r="E4359" t="s">
        <v>49</v>
      </c>
      <c r="F4359" t="s">
        <v>342</v>
      </c>
      <c r="G4359" t="s">
        <v>123</v>
      </c>
      <c r="H4359">
        <v>3</v>
      </c>
      <c r="I4359" t="s">
        <v>13296</v>
      </c>
      <c r="J4359" t="s">
        <v>357</v>
      </c>
    </row>
    <row r="4360" spans="1:10" x14ac:dyDescent="0.25">
      <c r="A4360" t="s">
        <v>13297</v>
      </c>
      <c r="B4360" t="s">
        <v>13298</v>
      </c>
      <c r="C4360" s="2">
        <v>46269.583333333336</v>
      </c>
      <c r="D4360" t="s">
        <v>418</v>
      </c>
      <c r="E4360" t="s">
        <v>51</v>
      </c>
      <c r="F4360" t="s">
        <v>323</v>
      </c>
      <c r="G4360" t="s">
        <v>125</v>
      </c>
      <c r="H4360">
        <v>1</v>
      </c>
      <c r="I4360" t="s">
        <v>13299</v>
      </c>
      <c r="J4360" t="s">
        <v>357</v>
      </c>
    </row>
    <row r="4361" spans="1:10" x14ac:dyDescent="0.25">
      <c r="A4361" t="s">
        <v>13300</v>
      </c>
      <c r="B4361" t="s">
        <v>13301</v>
      </c>
      <c r="C4361" s="2">
        <v>46269.583333333336</v>
      </c>
      <c r="D4361" t="s">
        <v>418</v>
      </c>
      <c r="E4361" t="s">
        <v>59</v>
      </c>
      <c r="F4361" t="s">
        <v>283</v>
      </c>
      <c r="G4361" t="s">
        <v>133</v>
      </c>
      <c r="H4361">
        <v>4</v>
      </c>
      <c r="I4361" t="s">
        <v>13302</v>
      </c>
      <c r="J4361" t="s">
        <v>357</v>
      </c>
    </row>
    <row r="4362" spans="1:10" x14ac:dyDescent="0.25">
      <c r="A4362" t="s">
        <v>13303</v>
      </c>
      <c r="B4362" t="s">
        <v>13304</v>
      </c>
      <c r="C4362" s="2">
        <v>46269.583333333336</v>
      </c>
      <c r="D4362" t="s">
        <v>418</v>
      </c>
      <c r="E4362" t="s">
        <v>18</v>
      </c>
      <c r="F4362" t="s">
        <v>331</v>
      </c>
      <c r="G4362" t="s">
        <v>95</v>
      </c>
      <c r="H4362">
        <v>1</v>
      </c>
      <c r="I4362" t="s">
        <v>13305</v>
      </c>
      <c r="J4362" t="s">
        <v>357</v>
      </c>
    </row>
    <row r="4363" spans="1:10" x14ac:dyDescent="0.25">
      <c r="A4363" t="s">
        <v>13306</v>
      </c>
      <c r="B4363" t="s">
        <v>13307</v>
      </c>
      <c r="C4363" s="2">
        <v>46269.583333333336</v>
      </c>
      <c r="D4363" t="s">
        <v>418</v>
      </c>
      <c r="E4363" t="s">
        <v>22</v>
      </c>
      <c r="F4363" t="s">
        <v>333</v>
      </c>
      <c r="G4363" t="s">
        <v>99</v>
      </c>
      <c r="H4363">
        <v>3</v>
      </c>
      <c r="I4363" t="s">
        <v>13308</v>
      </c>
      <c r="J4363" t="s">
        <v>357</v>
      </c>
    </row>
    <row r="4364" spans="1:10" x14ac:dyDescent="0.25">
      <c r="A4364" t="s">
        <v>13309</v>
      </c>
      <c r="B4364" t="s">
        <v>13310</v>
      </c>
      <c r="C4364" s="2">
        <v>46269.583333333336</v>
      </c>
      <c r="D4364" t="s">
        <v>418</v>
      </c>
      <c r="E4364" t="s">
        <v>24</v>
      </c>
      <c r="F4364" t="s">
        <v>334</v>
      </c>
      <c r="G4364" t="s">
        <v>101</v>
      </c>
      <c r="H4364">
        <v>3</v>
      </c>
      <c r="I4364" t="s">
        <v>13311</v>
      </c>
      <c r="J4364" t="s">
        <v>357</v>
      </c>
    </row>
    <row r="4365" spans="1:10" x14ac:dyDescent="0.25">
      <c r="A4365" t="s">
        <v>13312</v>
      </c>
      <c r="B4365" t="s">
        <v>13313</v>
      </c>
      <c r="C4365" s="2">
        <v>46269.583333333336</v>
      </c>
      <c r="D4365" t="s">
        <v>418</v>
      </c>
      <c r="E4365" t="s">
        <v>26</v>
      </c>
      <c r="F4365" t="s">
        <v>335</v>
      </c>
      <c r="G4365" t="s">
        <v>103</v>
      </c>
      <c r="H4365">
        <v>4</v>
      </c>
      <c r="I4365" t="s">
        <v>13314</v>
      </c>
      <c r="J4365" t="s">
        <v>357</v>
      </c>
    </row>
    <row r="4366" spans="1:10" x14ac:dyDescent="0.25">
      <c r="A4366" t="s">
        <v>13315</v>
      </c>
      <c r="B4366" t="s">
        <v>13316</v>
      </c>
      <c r="C4366" s="2">
        <v>46269.583333333336</v>
      </c>
      <c r="D4366" t="s">
        <v>418</v>
      </c>
      <c r="E4366" t="s">
        <v>30</v>
      </c>
      <c r="F4366" t="s">
        <v>291</v>
      </c>
      <c r="G4366" t="s">
        <v>107</v>
      </c>
      <c r="H4366">
        <v>1</v>
      </c>
      <c r="I4366" t="s">
        <v>13317</v>
      </c>
      <c r="J4366" t="s">
        <v>357</v>
      </c>
    </row>
    <row r="4367" spans="1:10" x14ac:dyDescent="0.25">
      <c r="A4367" t="s">
        <v>13318</v>
      </c>
      <c r="B4367" t="s">
        <v>13319</v>
      </c>
      <c r="C4367" s="2">
        <v>46269.583333333336</v>
      </c>
      <c r="D4367" t="s">
        <v>418</v>
      </c>
      <c r="E4367" t="s">
        <v>41</v>
      </c>
      <c r="F4367" t="s">
        <v>265</v>
      </c>
      <c r="G4367" t="s">
        <v>115</v>
      </c>
      <c r="H4367">
        <v>4</v>
      </c>
      <c r="I4367" t="s">
        <v>13320</v>
      </c>
      <c r="J4367" t="s">
        <v>357</v>
      </c>
    </row>
    <row r="4368" spans="1:10" x14ac:dyDescent="0.25">
      <c r="A4368" t="s">
        <v>13321</v>
      </c>
      <c r="B4368" t="s">
        <v>13322</v>
      </c>
      <c r="C4368" s="2">
        <v>46269.583333333336</v>
      </c>
      <c r="D4368" t="s">
        <v>418</v>
      </c>
      <c r="E4368" t="s">
        <v>45</v>
      </c>
      <c r="F4368" t="s">
        <v>312</v>
      </c>
      <c r="G4368" t="s">
        <v>119</v>
      </c>
      <c r="H4368">
        <v>3</v>
      </c>
      <c r="I4368" t="s">
        <v>13323</v>
      </c>
      <c r="J4368" t="s">
        <v>357</v>
      </c>
    </row>
    <row r="4369" spans="1:10" x14ac:dyDescent="0.25">
      <c r="A4369" t="s">
        <v>13324</v>
      </c>
      <c r="B4369" t="s">
        <v>13325</v>
      </c>
      <c r="C4369" s="2">
        <v>46269.583333333336</v>
      </c>
      <c r="D4369" t="s">
        <v>418</v>
      </c>
      <c r="E4369" t="s">
        <v>47</v>
      </c>
      <c r="F4369" t="s">
        <v>322</v>
      </c>
      <c r="G4369" t="s">
        <v>121</v>
      </c>
      <c r="H4369">
        <v>4</v>
      </c>
      <c r="I4369" t="s">
        <v>13326</v>
      </c>
      <c r="J4369" t="s">
        <v>357</v>
      </c>
    </row>
    <row r="4370" spans="1:10" x14ac:dyDescent="0.25">
      <c r="A4370" t="s">
        <v>13327</v>
      </c>
      <c r="B4370" t="s">
        <v>13328</v>
      </c>
      <c r="C4370" s="2">
        <v>46269.583333333336</v>
      </c>
      <c r="D4370" t="s">
        <v>418</v>
      </c>
      <c r="E4370" t="s">
        <v>51</v>
      </c>
      <c r="F4370" t="s">
        <v>323</v>
      </c>
      <c r="G4370" t="s">
        <v>125</v>
      </c>
      <c r="H4370">
        <v>3</v>
      </c>
      <c r="I4370" t="s">
        <v>13329</v>
      </c>
      <c r="J4370" t="s">
        <v>357</v>
      </c>
    </row>
    <row r="4371" spans="1:10" x14ac:dyDescent="0.25">
      <c r="A4371" t="s">
        <v>13330</v>
      </c>
      <c r="B4371" t="s">
        <v>13331</v>
      </c>
      <c r="C4371" s="2">
        <v>46269.583333333336</v>
      </c>
      <c r="D4371" t="s">
        <v>418</v>
      </c>
      <c r="E4371" t="s">
        <v>69</v>
      </c>
      <c r="F4371" t="s">
        <v>256</v>
      </c>
      <c r="G4371" t="s">
        <v>139</v>
      </c>
      <c r="H4371">
        <v>3</v>
      </c>
      <c r="I4371" t="s">
        <v>13332</v>
      </c>
      <c r="J4371" t="s">
        <v>357</v>
      </c>
    </row>
    <row r="4372" spans="1:10" x14ac:dyDescent="0.25">
      <c r="A4372" t="s">
        <v>13333</v>
      </c>
      <c r="B4372" t="s">
        <v>13334</v>
      </c>
      <c r="C4372" s="2">
        <v>46269.583333333336</v>
      </c>
      <c r="D4372" t="s">
        <v>418</v>
      </c>
      <c r="E4372" t="s">
        <v>71</v>
      </c>
      <c r="F4372" t="s">
        <v>302</v>
      </c>
      <c r="G4372" t="s">
        <v>141</v>
      </c>
      <c r="H4372">
        <v>4</v>
      </c>
      <c r="I4372" t="s">
        <v>13335</v>
      </c>
      <c r="J4372" t="s">
        <v>357</v>
      </c>
    </row>
    <row r="4373" spans="1:10" x14ac:dyDescent="0.25">
      <c r="A4373" t="s">
        <v>13336</v>
      </c>
      <c r="B4373" t="s">
        <v>13337</v>
      </c>
      <c r="C4373" s="2">
        <v>46269.583333333336</v>
      </c>
      <c r="D4373" t="s">
        <v>418</v>
      </c>
      <c r="E4373" t="s">
        <v>75</v>
      </c>
      <c r="F4373" t="s">
        <v>314</v>
      </c>
      <c r="G4373" t="s">
        <v>145</v>
      </c>
      <c r="H4373">
        <v>4</v>
      </c>
      <c r="I4373" t="s">
        <v>13338</v>
      </c>
      <c r="J4373" t="s">
        <v>357</v>
      </c>
    </row>
    <row r="4374" spans="1:10" x14ac:dyDescent="0.25">
      <c r="A4374" t="s">
        <v>13339</v>
      </c>
      <c r="B4374" t="s">
        <v>13340</v>
      </c>
      <c r="C4374" s="2">
        <v>46270.583333333336</v>
      </c>
      <c r="D4374" t="s">
        <v>418</v>
      </c>
      <c r="E4374" t="s">
        <v>18</v>
      </c>
      <c r="F4374" t="s">
        <v>331</v>
      </c>
      <c r="G4374" t="s">
        <v>95</v>
      </c>
      <c r="H4374">
        <v>4</v>
      </c>
      <c r="I4374" t="s">
        <v>13341</v>
      </c>
      <c r="J4374" t="s">
        <v>357</v>
      </c>
    </row>
    <row r="4375" spans="1:10" x14ac:dyDescent="0.25">
      <c r="A4375" t="s">
        <v>13342</v>
      </c>
      <c r="B4375" t="s">
        <v>13343</v>
      </c>
      <c r="C4375" s="2">
        <v>46270.583333333336</v>
      </c>
      <c r="D4375" t="s">
        <v>418</v>
      </c>
      <c r="E4375" t="s">
        <v>20</v>
      </c>
      <c r="F4375" t="s">
        <v>332</v>
      </c>
      <c r="G4375" t="s">
        <v>97</v>
      </c>
      <c r="H4375">
        <v>1</v>
      </c>
      <c r="I4375" t="s">
        <v>13344</v>
      </c>
      <c r="J4375" t="s">
        <v>357</v>
      </c>
    </row>
    <row r="4376" spans="1:10" x14ac:dyDescent="0.25">
      <c r="A4376" t="s">
        <v>13345</v>
      </c>
      <c r="B4376" t="s">
        <v>13346</v>
      </c>
      <c r="C4376" s="2">
        <v>46270.583333333336</v>
      </c>
      <c r="D4376" t="s">
        <v>418</v>
      </c>
      <c r="E4376" t="s">
        <v>22</v>
      </c>
      <c r="F4376" t="s">
        <v>333</v>
      </c>
      <c r="G4376" t="s">
        <v>99</v>
      </c>
      <c r="H4376">
        <v>4</v>
      </c>
      <c r="I4376" t="s">
        <v>13347</v>
      </c>
      <c r="J4376" t="s">
        <v>357</v>
      </c>
    </row>
    <row r="4377" spans="1:10" x14ac:dyDescent="0.25">
      <c r="A4377" t="s">
        <v>13348</v>
      </c>
      <c r="B4377" t="s">
        <v>13349</v>
      </c>
      <c r="C4377" s="2">
        <v>46270.583333333336</v>
      </c>
      <c r="D4377" t="s">
        <v>418</v>
      </c>
      <c r="E4377" t="s">
        <v>26</v>
      </c>
      <c r="F4377" t="s">
        <v>335</v>
      </c>
      <c r="G4377" t="s">
        <v>103</v>
      </c>
      <c r="H4377">
        <v>4</v>
      </c>
      <c r="I4377" t="s">
        <v>13350</v>
      </c>
      <c r="J4377" t="s">
        <v>357</v>
      </c>
    </row>
    <row r="4378" spans="1:10" x14ac:dyDescent="0.25">
      <c r="A4378" t="s">
        <v>13351</v>
      </c>
      <c r="B4378" t="s">
        <v>13352</v>
      </c>
      <c r="C4378" s="2">
        <v>46270.583333333336</v>
      </c>
      <c r="D4378" t="s">
        <v>418</v>
      </c>
      <c r="E4378" t="s">
        <v>28</v>
      </c>
      <c r="F4378" t="s">
        <v>336</v>
      </c>
      <c r="G4378" t="s">
        <v>105</v>
      </c>
      <c r="H4378">
        <v>1</v>
      </c>
      <c r="I4378" t="s">
        <v>13353</v>
      </c>
      <c r="J4378" t="s">
        <v>357</v>
      </c>
    </row>
    <row r="4379" spans="1:10" x14ac:dyDescent="0.25">
      <c r="A4379" t="s">
        <v>13354</v>
      </c>
      <c r="B4379" t="s">
        <v>13355</v>
      </c>
      <c r="C4379" s="2">
        <v>46270.583333333336</v>
      </c>
      <c r="D4379" t="s">
        <v>418</v>
      </c>
      <c r="E4379" t="s">
        <v>49</v>
      </c>
      <c r="F4379" t="s">
        <v>342</v>
      </c>
      <c r="G4379" t="s">
        <v>123</v>
      </c>
      <c r="H4379">
        <v>5</v>
      </c>
      <c r="I4379" t="s">
        <v>13356</v>
      </c>
      <c r="J4379" t="s">
        <v>357</v>
      </c>
    </row>
    <row r="4380" spans="1:10" x14ac:dyDescent="0.25">
      <c r="A4380" t="s">
        <v>13357</v>
      </c>
      <c r="B4380" t="s">
        <v>13358</v>
      </c>
      <c r="C4380" s="2">
        <v>46270.583333333336</v>
      </c>
      <c r="D4380" t="s">
        <v>418</v>
      </c>
      <c r="E4380" t="s">
        <v>53</v>
      </c>
      <c r="F4380" t="s">
        <v>324</v>
      </c>
      <c r="G4380" t="s">
        <v>127</v>
      </c>
      <c r="H4380">
        <v>4</v>
      </c>
      <c r="I4380" t="s">
        <v>13359</v>
      </c>
      <c r="J4380" t="s">
        <v>357</v>
      </c>
    </row>
    <row r="4381" spans="1:10" x14ac:dyDescent="0.25">
      <c r="A4381" t="s">
        <v>13360</v>
      </c>
      <c r="B4381" t="s">
        <v>13361</v>
      </c>
      <c r="C4381" s="2">
        <v>46270.583333333336</v>
      </c>
      <c r="D4381" t="s">
        <v>418</v>
      </c>
      <c r="E4381" t="s">
        <v>65</v>
      </c>
      <c r="F4381" t="s">
        <v>313</v>
      </c>
      <c r="G4381" t="s">
        <v>135</v>
      </c>
      <c r="H4381">
        <v>2</v>
      </c>
      <c r="I4381" t="s">
        <v>13362</v>
      </c>
      <c r="J4381" t="s">
        <v>357</v>
      </c>
    </row>
    <row r="4382" spans="1:10" x14ac:dyDescent="0.25">
      <c r="A4382" t="s">
        <v>13363</v>
      </c>
      <c r="B4382" t="s">
        <v>13364</v>
      </c>
      <c r="C4382" s="2">
        <v>46270.583333333336</v>
      </c>
      <c r="D4382" t="s">
        <v>418</v>
      </c>
      <c r="E4382" t="s">
        <v>67</v>
      </c>
      <c r="F4382" t="s">
        <v>300</v>
      </c>
      <c r="G4382" t="s">
        <v>137</v>
      </c>
      <c r="H4382">
        <v>2</v>
      </c>
      <c r="I4382" t="s">
        <v>13365</v>
      </c>
      <c r="J4382" t="s">
        <v>357</v>
      </c>
    </row>
    <row r="4383" spans="1:10" x14ac:dyDescent="0.25">
      <c r="A4383" t="s">
        <v>13366</v>
      </c>
      <c r="B4383" t="s">
        <v>13367</v>
      </c>
      <c r="C4383" s="2">
        <v>46270.583333333336</v>
      </c>
      <c r="D4383" t="s">
        <v>418</v>
      </c>
      <c r="E4383" t="s">
        <v>75</v>
      </c>
      <c r="F4383" t="s">
        <v>314</v>
      </c>
      <c r="G4383" t="s">
        <v>145</v>
      </c>
      <c r="H4383">
        <v>2</v>
      </c>
      <c r="I4383" t="s">
        <v>13368</v>
      </c>
      <c r="J4383" t="s">
        <v>357</v>
      </c>
    </row>
    <row r="4384" spans="1:10" x14ac:dyDescent="0.25">
      <c r="A4384" t="s">
        <v>13369</v>
      </c>
      <c r="B4384" t="s">
        <v>13370</v>
      </c>
      <c r="C4384" s="2">
        <v>46270.583333333336</v>
      </c>
      <c r="D4384" t="s">
        <v>418</v>
      </c>
      <c r="E4384" t="s">
        <v>24</v>
      </c>
      <c r="F4384" t="s">
        <v>334</v>
      </c>
      <c r="G4384" t="s">
        <v>101</v>
      </c>
      <c r="H4384">
        <v>4</v>
      </c>
      <c r="I4384" t="s">
        <v>13371</v>
      </c>
      <c r="J4384" t="s">
        <v>357</v>
      </c>
    </row>
    <row r="4385" spans="1:10" x14ac:dyDescent="0.25">
      <c r="A4385" t="s">
        <v>13372</v>
      </c>
      <c r="B4385" t="s">
        <v>13373</v>
      </c>
      <c r="C4385" s="2">
        <v>46270.583333333336</v>
      </c>
      <c r="D4385" t="s">
        <v>418</v>
      </c>
      <c r="E4385" t="s">
        <v>28</v>
      </c>
      <c r="F4385" t="s">
        <v>336</v>
      </c>
      <c r="G4385" t="s">
        <v>105</v>
      </c>
      <c r="H4385">
        <v>1</v>
      </c>
      <c r="I4385" t="s">
        <v>13374</v>
      </c>
      <c r="J4385" t="s">
        <v>357</v>
      </c>
    </row>
    <row r="4386" spans="1:10" x14ac:dyDescent="0.25">
      <c r="A4386" t="s">
        <v>13375</v>
      </c>
      <c r="B4386" t="s">
        <v>13376</v>
      </c>
      <c r="C4386" s="2">
        <v>46270.583333333336</v>
      </c>
      <c r="D4386" t="s">
        <v>418</v>
      </c>
      <c r="E4386" t="s">
        <v>30</v>
      </c>
      <c r="F4386" t="s">
        <v>291</v>
      </c>
      <c r="G4386" t="s">
        <v>107</v>
      </c>
      <c r="H4386">
        <v>6</v>
      </c>
      <c r="I4386" t="s">
        <v>13377</v>
      </c>
      <c r="J4386" t="s">
        <v>357</v>
      </c>
    </row>
    <row r="4387" spans="1:10" x14ac:dyDescent="0.25">
      <c r="A4387" t="s">
        <v>13378</v>
      </c>
      <c r="B4387" t="s">
        <v>13379</v>
      </c>
      <c r="C4387" s="2">
        <v>46270.583333333336</v>
      </c>
      <c r="D4387" t="s">
        <v>418</v>
      </c>
      <c r="E4387" t="s">
        <v>36</v>
      </c>
      <c r="F4387" t="s">
        <v>281</v>
      </c>
      <c r="G4387" t="s">
        <v>113</v>
      </c>
      <c r="H4387">
        <v>1</v>
      </c>
      <c r="I4387" t="s">
        <v>13380</v>
      </c>
      <c r="J4387" t="s">
        <v>357</v>
      </c>
    </row>
    <row r="4388" spans="1:10" x14ac:dyDescent="0.25">
      <c r="A4388" t="s">
        <v>13381</v>
      </c>
      <c r="B4388" t="s">
        <v>13382</v>
      </c>
      <c r="C4388" s="2">
        <v>46270.583333333336</v>
      </c>
      <c r="D4388" t="s">
        <v>418</v>
      </c>
      <c r="E4388" t="s">
        <v>41</v>
      </c>
      <c r="F4388" t="s">
        <v>265</v>
      </c>
      <c r="G4388" t="s">
        <v>115</v>
      </c>
      <c r="H4388">
        <v>5</v>
      </c>
      <c r="I4388" t="s">
        <v>13383</v>
      </c>
      <c r="J4388" t="s">
        <v>357</v>
      </c>
    </row>
    <row r="4389" spans="1:10" x14ac:dyDescent="0.25">
      <c r="A4389" t="s">
        <v>13384</v>
      </c>
      <c r="B4389" t="s">
        <v>13385</v>
      </c>
      <c r="C4389" s="2">
        <v>46270.583333333336</v>
      </c>
      <c r="D4389" t="s">
        <v>418</v>
      </c>
      <c r="E4389" t="s">
        <v>47</v>
      </c>
      <c r="F4389" t="s">
        <v>322</v>
      </c>
      <c r="G4389" t="s">
        <v>121</v>
      </c>
      <c r="H4389">
        <v>3</v>
      </c>
      <c r="I4389" t="s">
        <v>13386</v>
      </c>
      <c r="J4389" t="s">
        <v>357</v>
      </c>
    </row>
    <row r="4390" spans="1:10" x14ac:dyDescent="0.25">
      <c r="A4390" t="s">
        <v>13387</v>
      </c>
      <c r="B4390" t="s">
        <v>13388</v>
      </c>
      <c r="C4390" s="2">
        <v>46270.583333333336</v>
      </c>
      <c r="D4390" t="s">
        <v>418</v>
      </c>
      <c r="E4390" t="s">
        <v>49</v>
      </c>
      <c r="F4390" t="s">
        <v>342</v>
      </c>
      <c r="G4390" t="s">
        <v>123</v>
      </c>
      <c r="H4390">
        <v>3</v>
      </c>
      <c r="I4390" t="s">
        <v>13389</v>
      </c>
      <c r="J4390" t="s">
        <v>357</v>
      </c>
    </row>
    <row r="4391" spans="1:10" x14ac:dyDescent="0.25">
      <c r="A4391" t="s">
        <v>13390</v>
      </c>
      <c r="B4391" t="s">
        <v>13391</v>
      </c>
      <c r="C4391" s="2">
        <v>46270.583333333336</v>
      </c>
      <c r="D4391" t="s">
        <v>418</v>
      </c>
      <c r="E4391" t="s">
        <v>53</v>
      </c>
      <c r="F4391" t="s">
        <v>324</v>
      </c>
      <c r="G4391" t="s">
        <v>127</v>
      </c>
      <c r="H4391">
        <v>4</v>
      </c>
      <c r="I4391" t="s">
        <v>13392</v>
      </c>
      <c r="J4391" t="s">
        <v>357</v>
      </c>
    </row>
    <row r="4392" spans="1:10" x14ac:dyDescent="0.25">
      <c r="A4392" t="s">
        <v>13393</v>
      </c>
      <c r="B4392" t="s">
        <v>13394</v>
      </c>
      <c r="C4392" s="2">
        <v>46270.583333333336</v>
      </c>
      <c r="D4392" t="s">
        <v>418</v>
      </c>
      <c r="E4392" t="s">
        <v>59</v>
      </c>
      <c r="F4392" t="s">
        <v>283</v>
      </c>
      <c r="G4392" t="s">
        <v>133</v>
      </c>
      <c r="H4392">
        <v>4</v>
      </c>
      <c r="I4392" t="s">
        <v>13395</v>
      </c>
      <c r="J4392" t="s">
        <v>357</v>
      </c>
    </row>
    <row r="4393" spans="1:10" x14ac:dyDescent="0.25">
      <c r="A4393" t="s">
        <v>13396</v>
      </c>
      <c r="B4393" t="s">
        <v>13397</v>
      </c>
      <c r="C4393" s="2">
        <v>46270.583333333336</v>
      </c>
      <c r="D4393" t="s">
        <v>418</v>
      </c>
      <c r="E4393" t="s">
        <v>73</v>
      </c>
      <c r="F4393" t="s">
        <v>303</v>
      </c>
      <c r="G4393" t="s">
        <v>143</v>
      </c>
      <c r="H4393">
        <v>5</v>
      </c>
      <c r="I4393" t="s">
        <v>13398</v>
      </c>
      <c r="J4393" t="s">
        <v>357</v>
      </c>
    </row>
    <row r="4394" spans="1:10" x14ac:dyDescent="0.25">
      <c r="A4394" t="s">
        <v>13399</v>
      </c>
      <c r="B4394" t="s">
        <v>13400</v>
      </c>
      <c r="C4394" s="2">
        <v>46270.583333333336</v>
      </c>
      <c r="D4394" t="s">
        <v>418</v>
      </c>
      <c r="E4394" t="s">
        <v>20</v>
      </c>
      <c r="F4394" t="s">
        <v>332</v>
      </c>
      <c r="G4394" t="s">
        <v>97</v>
      </c>
      <c r="H4394">
        <v>3</v>
      </c>
      <c r="I4394" t="s">
        <v>13401</v>
      </c>
      <c r="J4394" t="s">
        <v>357</v>
      </c>
    </row>
    <row r="4395" spans="1:10" x14ac:dyDescent="0.25">
      <c r="A4395" t="s">
        <v>13402</v>
      </c>
      <c r="B4395" t="s">
        <v>13403</v>
      </c>
      <c r="C4395" s="2">
        <v>46270.583333333336</v>
      </c>
      <c r="D4395" t="s">
        <v>418</v>
      </c>
      <c r="E4395" t="s">
        <v>24</v>
      </c>
      <c r="F4395" t="s">
        <v>334</v>
      </c>
      <c r="G4395" t="s">
        <v>101</v>
      </c>
      <c r="H4395">
        <v>5</v>
      </c>
      <c r="I4395" t="s">
        <v>13404</v>
      </c>
      <c r="J4395" t="s">
        <v>357</v>
      </c>
    </row>
    <row r="4396" spans="1:10" x14ac:dyDescent="0.25">
      <c r="A4396" t="s">
        <v>13405</v>
      </c>
      <c r="B4396" t="s">
        <v>13406</v>
      </c>
      <c r="C4396" s="2">
        <v>46270.583333333336</v>
      </c>
      <c r="D4396" t="s">
        <v>418</v>
      </c>
      <c r="E4396" t="s">
        <v>28</v>
      </c>
      <c r="F4396" t="s">
        <v>336</v>
      </c>
      <c r="G4396" t="s">
        <v>105</v>
      </c>
      <c r="H4396">
        <v>3</v>
      </c>
      <c r="I4396" t="s">
        <v>13407</v>
      </c>
      <c r="J4396" t="s">
        <v>357</v>
      </c>
    </row>
    <row r="4397" spans="1:10" x14ac:dyDescent="0.25">
      <c r="A4397" t="s">
        <v>13408</v>
      </c>
      <c r="B4397" t="s">
        <v>13409</v>
      </c>
      <c r="C4397" s="2">
        <v>46270.583333333336</v>
      </c>
      <c r="D4397" t="s">
        <v>418</v>
      </c>
      <c r="E4397" t="s">
        <v>36</v>
      </c>
      <c r="F4397" t="s">
        <v>281</v>
      </c>
      <c r="G4397" t="s">
        <v>113</v>
      </c>
      <c r="H4397">
        <v>2</v>
      </c>
      <c r="I4397" t="s">
        <v>13410</v>
      </c>
      <c r="J4397" t="s">
        <v>357</v>
      </c>
    </row>
    <row r="4398" spans="1:10" x14ac:dyDescent="0.25">
      <c r="A4398" t="s">
        <v>13411</v>
      </c>
      <c r="B4398" t="s">
        <v>13412</v>
      </c>
      <c r="C4398" s="2">
        <v>46270.583333333336</v>
      </c>
      <c r="D4398" t="s">
        <v>418</v>
      </c>
      <c r="E4398" t="s">
        <v>47</v>
      </c>
      <c r="F4398" t="s">
        <v>322</v>
      </c>
      <c r="G4398" t="s">
        <v>121</v>
      </c>
      <c r="H4398">
        <v>3</v>
      </c>
      <c r="I4398" t="s">
        <v>13413</v>
      </c>
      <c r="J4398" t="s">
        <v>357</v>
      </c>
    </row>
    <row r="4399" spans="1:10" x14ac:dyDescent="0.25">
      <c r="A4399" t="s">
        <v>13414</v>
      </c>
      <c r="B4399" t="s">
        <v>13415</v>
      </c>
      <c r="C4399" s="2">
        <v>46270.583333333336</v>
      </c>
      <c r="D4399" t="s">
        <v>418</v>
      </c>
      <c r="E4399" t="s">
        <v>49</v>
      </c>
      <c r="F4399" t="s">
        <v>342</v>
      </c>
      <c r="G4399" t="s">
        <v>123</v>
      </c>
      <c r="H4399">
        <v>2</v>
      </c>
      <c r="I4399" t="s">
        <v>13416</v>
      </c>
      <c r="J4399" t="s">
        <v>357</v>
      </c>
    </row>
    <row r="4400" spans="1:10" x14ac:dyDescent="0.25">
      <c r="A4400" t="s">
        <v>13417</v>
      </c>
      <c r="B4400" t="s">
        <v>13418</v>
      </c>
      <c r="C4400" s="2">
        <v>46270.583333333336</v>
      </c>
      <c r="D4400" t="s">
        <v>418</v>
      </c>
      <c r="E4400" t="s">
        <v>53</v>
      </c>
      <c r="F4400" t="s">
        <v>324</v>
      </c>
      <c r="G4400" t="s">
        <v>127</v>
      </c>
      <c r="H4400">
        <v>2</v>
      </c>
      <c r="I4400" t="s">
        <v>13419</v>
      </c>
      <c r="J4400" t="s">
        <v>357</v>
      </c>
    </row>
    <row r="4401" spans="1:10" x14ac:dyDescent="0.25">
      <c r="A4401" t="s">
        <v>13420</v>
      </c>
      <c r="B4401" t="s">
        <v>13421</v>
      </c>
      <c r="C4401" s="2">
        <v>46270.583333333336</v>
      </c>
      <c r="D4401" t="s">
        <v>418</v>
      </c>
      <c r="E4401" t="s">
        <v>55</v>
      </c>
      <c r="F4401" t="s">
        <v>269</v>
      </c>
      <c r="G4401" t="s">
        <v>129</v>
      </c>
      <c r="H4401">
        <v>6</v>
      </c>
      <c r="I4401" t="s">
        <v>13422</v>
      </c>
      <c r="J4401" t="s">
        <v>357</v>
      </c>
    </row>
    <row r="4402" spans="1:10" x14ac:dyDescent="0.25">
      <c r="A4402" t="s">
        <v>13423</v>
      </c>
      <c r="B4402" t="s">
        <v>13424</v>
      </c>
      <c r="C4402" s="2">
        <v>46270.583333333336</v>
      </c>
      <c r="D4402" t="s">
        <v>418</v>
      </c>
      <c r="E4402" t="s">
        <v>67</v>
      </c>
      <c r="F4402" t="s">
        <v>300</v>
      </c>
      <c r="G4402" t="s">
        <v>137</v>
      </c>
      <c r="H4402">
        <v>5</v>
      </c>
      <c r="I4402" t="s">
        <v>13425</v>
      </c>
      <c r="J4402" t="s">
        <v>357</v>
      </c>
    </row>
    <row r="4403" spans="1:10" x14ac:dyDescent="0.25">
      <c r="A4403" t="s">
        <v>13426</v>
      </c>
      <c r="B4403" t="s">
        <v>13427</v>
      </c>
      <c r="C4403" s="2">
        <v>46270.583333333336</v>
      </c>
      <c r="D4403" t="s">
        <v>418</v>
      </c>
      <c r="E4403" t="s">
        <v>77</v>
      </c>
      <c r="F4403" t="s">
        <v>273</v>
      </c>
      <c r="G4403" t="s">
        <v>147</v>
      </c>
      <c r="H4403">
        <v>3</v>
      </c>
      <c r="I4403" t="s">
        <v>13428</v>
      </c>
      <c r="J4403" t="s">
        <v>357</v>
      </c>
    </row>
    <row r="4404" spans="1:10" x14ac:dyDescent="0.25">
      <c r="A4404" t="s">
        <v>13429</v>
      </c>
      <c r="B4404" t="s">
        <v>13430</v>
      </c>
      <c r="C4404" s="2">
        <v>46270.583333333336</v>
      </c>
      <c r="D4404" t="s">
        <v>418</v>
      </c>
      <c r="E4404" t="s">
        <v>18</v>
      </c>
      <c r="F4404" t="s">
        <v>331</v>
      </c>
      <c r="G4404" t="s">
        <v>95</v>
      </c>
      <c r="H4404">
        <v>9</v>
      </c>
      <c r="I4404" t="s">
        <v>13431</v>
      </c>
      <c r="J4404" t="s">
        <v>357</v>
      </c>
    </row>
    <row r="4405" spans="1:10" x14ac:dyDescent="0.25">
      <c r="A4405" t="s">
        <v>13432</v>
      </c>
      <c r="B4405" t="s">
        <v>13433</v>
      </c>
      <c r="C4405" s="2">
        <v>46270.583333333336</v>
      </c>
      <c r="D4405" t="s">
        <v>418</v>
      </c>
      <c r="E4405" t="s">
        <v>20</v>
      </c>
      <c r="F4405" t="s">
        <v>332</v>
      </c>
      <c r="G4405" t="s">
        <v>97</v>
      </c>
      <c r="H4405">
        <v>7</v>
      </c>
      <c r="I4405" t="s">
        <v>13434</v>
      </c>
      <c r="J4405" t="s">
        <v>357</v>
      </c>
    </row>
    <row r="4406" spans="1:10" x14ac:dyDescent="0.25">
      <c r="A4406" t="s">
        <v>13435</v>
      </c>
      <c r="B4406" t="s">
        <v>13436</v>
      </c>
      <c r="C4406" s="2">
        <v>46270.583333333336</v>
      </c>
      <c r="D4406" t="s">
        <v>418</v>
      </c>
      <c r="E4406" t="s">
        <v>26</v>
      </c>
      <c r="F4406" t="s">
        <v>335</v>
      </c>
      <c r="G4406" t="s">
        <v>103</v>
      </c>
      <c r="H4406">
        <v>7</v>
      </c>
      <c r="I4406" t="s">
        <v>13437</v>
      </c>
      <c r="J4406" t="s">
        <v>357</v>
      </c>
    </row>
    <row r="4407" spans="1:10" x14ac:dyDescent="0.25">
      <c r="A4407" t="s">
        <v>13438</v>
      </c>
      <c r="B4407" t="s">
        <v>13439</v>
      </c>
      <c r="C4407" s="2">
        <v>46270.583333333336</v>
      </c>
      <c r="D4407" t="s">
        <v>418</v>
      </c>
      <c r="E4407" t="s">
        <v>36</v>
      </c>
      <c r="F4407" t="s">
        <v>281</v>
      </c>
      <c r="G4407" t="s">
        <v>113</v>
      </c>
      <c r="H4407">
        <v>4</v>
      </c>
      <c r="I4407" t="s">
        <v>13440</v>
      </c>
      <c r="J4407" t="s">
        <v>357</v>
      </c>
    </row>
    <row r="4408" spans="1:10" x14ac:dyDescent="0.25">
      <c r="A4408" t="s">
        <v>13441</v>
      </c>
      <c r="B4408" t="s">
        <v>13442</v>
      </c>
      <c r="C4408" s="2">
        <v>46270.583333333336</v>
      </c>
      <c r="D4408" t="s">
        <v>418</v>
      </c>
      <c r="E4408" t="s">
        <v>43</v>
      </c>
      <c r="F4408" t="s">
        <v>340</v>
      </c>
      <c r="G4408" t="s">
        <v>117</v>
      </c>
      <c r="H4408">
        <v>5</v>
      </c>
      <c r="I4408" t="s">
        <v>13443</v>
      </c>
      <c r="J4408" t="s">
        <v>357</v>
      </c>
    </row>
    <row r="4409" spans="1:10" x14ac:dyDescent="0.25">
      <c r="A4409" t="s">
        <v>13444</v>
      </c>
      <c r="B4409" t="s">
        <v>13445</v>
      </c>
      <c r="C4409" s="2">
        <v>46270.583333333336</v>
      </c>
      <c r="D4409" t="s">
        <v>418</v>
      </c>
      <c r="E4409" t="s">
        <v>51</v>
      </c>
      <c r="F4409" t="s">
        <v>323</v>
      </c>
      <c r="G4409" t="s">
        <v>125</v>
      </c>
      <c r="H4409">
        <v>5</v>
      </c>
      <c r="I4409" t="s">
        <v>13446</v>
      </c>
      <c r="J4409" t="s">
        <v>357</v>
      </c>
    </row>
    <row r="4410" spans="1:10" x14ac:dyDescent="0.25">
      <c r="A4410" t="s">
        <v>13447</v>
      </c>
      <c r="B4410" t="s">
        <v>13448</v>
      </c>
      <c r="C4410" s="2">
        <v>46270.583333333336</v>
      </c>
      <c r="D4410" t="s">
        <v>418</v>
      </c>
      <c r="E4410" t="s">
        <v>53</v>
      </c>
      <c r="F4410" t="s">
        <v>324</v>
      </c>
      <c r="G4410" t="s">
        <v>127</v>
      </c>
      <c r="H4410">
        <v>4</v>
      </c>
      <c r="I4410" t="s">
        <v>13449</v>
      </c>
      <c r="J4410" t="s">
        <v>357</v>
      </c>
    </row>
    <row r="4411" spans="1:10" x14ac:dyDescent="0.25">
      <c r="A4411" t="s">
        <v>13450</v>
      </c>
      <c r="B4411" t="s">
        <v>13451</v>
      </c>
      <c r="C4411" s="2">
        <v>46270.583333333336</v>
      </c>
      <c r="D4411" t="s">
        <v>418</v>
      </c>
      <c r="E4411" t="s">
        <v>55</v>
      </c>
      <c r="F4411" t="s">
        <v>269</v>
      </c>
      <c r="G4411" t="s">
        <v>129</v>
      </c>
      <c r="H4411">
        <v>9</v>
      </c>
      <c r="I4411" t="s">
        <v>13452</v>
      </c>
      <c r="J4411" t="s">
        <v>357</v>
      </c>
    </row>
    <row r="4412" spans="1:10" x14ac:dyDescent="0.25">
      <c r="A4412" t="s">
        <v>13453</v>
      </c>
      <c r="B4412" t="s">
        <v>13454</v>
      </c>
      <c r="C4412" s="2">
        <v>46270.583333333336</v>
      </c>
      <c r="D4412" t="s">
        <v>418</v>
      </c>
      <c r="E4412" t="s">
        <v>59</v>
      </c>
      <c r="F4412" t="s">
        <v>283</v>
      </c>
      <c r="G4412" t="s">
        <v>133</v>
      </c>
      <c r="H4412">
        <v>5</v>
      </c>
      <c r="I4412" t="s">
        <v>13455</v>
      </c>
      <c r="J4412" t="s">
        <v>357</v>
      </c>
    </row>
    <row r="4413" spans="1:10" x14ac:dyDescent="0.25">
      <c r="A4413" t="s">
        <v>13456</v>
      </c>
      <c r="B4413" t="s">
        <v>13457</v>
      </c>
      <c r="C4413" s="2">
        <v>46270.583333333336</v>
      </c>
      <c r="D4413" t="s">
        <v>418</v>
      </c>
      <c r="E4413" t="s">
        <v>65</v>
      </c>
      <c r="F4413" t="s">
        <v>313</v>
      </c>
      <c r="G4413" t="s">
        <v>135</v>
      </c>
      <c r="H4413">
        <v>4</v>
      </c>
      <c r="I4413" t="s">
        <v>13458</v>
      </c>
      <c r="J4413" t="s">
        <v>357</v>
      </c>
    </row>
    <row r="4414" spans="1:10" x14ac:dyDescent="0.25">
      <c r="A4414" t="s">
        <v>13459</v>
      </c>
      <c r="B4414" t="s">
        <v>13460</v>
      </c>
      <c r="C4414" s="2">
        <v>46270.583333333336</v>
      </c>
      <c r="D4414" t="s">
        <v>418</v>
      </c>
      <c r="E4414" t="s">
        <v>11</v>
      </c>
      <c r="F4414" t="s">
        <v>330</v>
      </c>
      <c r="G4414" t="s">
        <v>92</v>
      </c>
      <c r="H4414">
        <v>5</v>
      </c>
      <c r="I4414" t="s">
        <v>13461</v>
      </c>
      <c r="J4414" t="s">
        <v>357</v>
      </c>
    </row>
    <row r="4415" spans="1:10" x14ac:dyDescent="0.25">
      <c r="A4415" t="s">
        <v>13462</v>
      </c>
      <c r="B4415" t="s">
        <v>13463</v>
      </c>
      <c r="C4415" s="2">
        <v>46270.583333333336</v>
      </c>
      <c r="D4415" t="s">
        <v>418</v>
      </c>
      <c r="E4415" t="s">
        <v>22</v>
      </c>
      <c r="F4415" t="s">
        <v>333</v>
      </c>
      <c r="G4415" t="s">
        <v>99</v>
      </c>
      <c r="H4415">
        <v>4</v>
      </c>
      <c r="I4415" t="s">
        <v>13464</v>
      </c>
      <c r="J4415" t="s">
        <v>357</v>
      </c>
    </row>
    <row r="4416" spans="1:10" x14ac:dyDescent="0.25">
      <c r="A4416" t="s">
        <v>13465</v>
      </c>
      <c r="B4416" t="s">
        <v>13466</v>
      </c>
      <c r="C4416" s="2">
        <v>46270.583333333336</v>
      </c>
      <c r="D4416" t="s">
        <v>418</v>
      </c>
      <c r="E4416" t="s">
        <v>26</v>
      </c>
      <c r="F4416" t="s">
        <v>335</v>
      </c>
      <c r="G4416" t="s">
        <v>103</v>
      </c>
      <c r="H4416">
        <v>6</v>
      </c>
      <c r="I4416" t="s">
        <v>13467</v>
      </c>
      <c r="J4416" t="s">
        <v>357</v>
      </c>
    </row>
    <row r="4417" spans="1:10" x14ac:dyDescent="0.25">
      <c r="A4417" t="s">
        <v>13468</v>
      </c>
      <c r="B4417" t="s">
        <v>13469</v>
      </c>
      <c r="C4417" s="2">
        <v>46270.583333333336</v>
      </c>
      <c r="D4417" t="s">
        <v>418</v>
      </c>
      <c r="E4417" t="s">
        <v>30</v>
      </c>
      <c r="F4417" t="s">
        <v>291</v>
      </c>
      <c r="G4417" t="s">
        <v>107</v>
      </c>
      <c r="H4417">
        <v>1</v>
      </c>
      <c r="I4417" t="s">
        <v>13470</v>
      </c>
      <c r="J4417" t="s">
        <v>357</v>
      </c>
    </row>
    <row r="4418" spans="1:10" x14ac:dyDescent="0.25">
      <c r="A4418" t="s">
        <v>13471</v>
      </c>
      <c r="B4418" t="s">
        <v>13472</v>
      </c>
      <c r="C4418" s="2">
        <v>46270.583333333336</v>
      </c>
      <c r="D4418" t="s">
        <v>418</v>
      </c>
      <c r="E4418" t="s">
        <v>43</v>
      </c>
      <c r="F4418" t="s">
        <v>340</v>
      </c>
      <c r="G4418" t="s">
        <v>117</v>
      </c>
      <c r="H4418">
        <v>4</v>
      </c>
      <c r="I4418" t="s">
        <v>13473</v>
      </c>
      <c r="J4418" t="s">
        <v>357</v>
      </c>
    </row>
    <row r="4419" spans="1:10" x14ac:dyDescent="0.25">
      <c r="A4419" t="s">
        <v>13474</v>
      </c>
      <c r="B4419" t="s">
        <v>13475</v>
      </c>
      <c r="C4419" s="2">
        <v>46270.583333333336</v>
      </c>
      <c r="D4419" t="s">
        <v>418</v>
      </c>
      <c r="E4419" t="s">
        <v>45</v>
      </c>
      <c r="F4419" t="s">
        <v>312</v>
      </c>
      <c r="G4419" t="s">
        <v>119</v>
      </c>
      <c r="H4419">
        <v>2</v>
      </c>
      <c r="I4419" t="s">
        <v>13476</v>
      </c>
      <c r="J4419" t="s">
        <v>357</v>
      </c>
    </row>
    <row r="4420" spans="1:10" x14ac:dyDescent="0.25">
      <c r="A4420" t="s">
        <v>13477</v>
      </c>
      <c r="B4420" t="s">
        <v>13478</v>
      </c>
      <c r="C4420" s="2">
        <v>46270.583333333336</v>
      </c>
      <c r="D4420" t="s">
        <v>418</v>
      </c>
      <c r="E4420" t="s">
        <v>45</v>
      </c>
      <c r="F4420" t="s">
        <v>341</v>
      </c>
      <c r="G4420" t="s">
        <v>119</v>
      </c>
      <c r="H4420">
        <v>3</v>
      </c>
      <c r="I4420" t="s">
        <v>13476</v>
      </c>
      <c r="J4420" t="s">
        <v>357</v>
      </c>
    </row>
    <row r="4421" spans="1:10" x14ac:dyDescent="0.25">
      <c r="A4421" t="s">
        <v>13479</v>
      </c>
      <c r="B4421" t="s">
        <v>13480</v>
      </c>
      <c r="C4421" s="2">
        <v>46270.583333333336</v>
      </c>
      <c r="D4421" t="s">
        <v>418</v>
      </c>
      <c r="E4421" t="s">
        <v>49</v>
      </c>
      <c r="F4421" t="s">
        <v>342</v>
      </c>
      <c r="G4421" t="s">
        <v>123</v>
      </c>
      <c r="H4421">
        <v>5</v>
      </c>
      <c r="I4421" t="s">
        <v>13481</v>
      </c>
      <c r="J4421" t="s">
        <v>357</v>
      </c>
    </row>
    <row r="4422" spans="1:10" x14ac:dyDescent="0.25">
      <c r="A4422" t="s">
        <v>13482</v>
      </c>
      <c r="B4422" t="s">
        <v>13483</v>
      </c>
      <c r="C4422" s="2">
        <v>46270.583333333336</v>
      </c>
      <c r="D4422" t="s">
        <v>418</v>
      </c>
      <c r="E4422" t="s">
        <v>57</v>
      </c>
      <c r="F4422" t="s">
        <v>299</v>
      </c>
      <c r="G4422" t="s">
        <v>131</v>
      </c>
      <c r="H4422">
        <v>6</v>
      </c>
      <c r="I4422" t="s">
        <v>13484</v>
      </c>
      <c r="J4422" t="s">
        <v>357</v>
      </c>
    </row>
    <row r="4423" spans="1:10" x14ac:dyDescent="0.25">
      <c r="A4423" t="s">
        <v>13485</v>
      </c>
      <c r="B4423" t="s">
        <v>13486</v>
      </c>
      <c r="C4423" s="2">
        <v>46270.583333333336</v>
      </c>
      <c r="D4423" t="s">
        <v>418</v>
      </c>
      <c r="E4423" t="s">
        <v>59</v>
      </c>
      <c r="F4423" t="s">
        <v>283</v>
      </c>
      <c r="G4423" t="s">
        <v>133</v>
      </c>
      <c r="H4423">
        <v>6</v>
      </c>
      <c r="I4423" t="s">
        <v>13487</v>
      </c>
      <c r="J4423" t="s">
        <v>357</v>
      </c>
    </row>
    <row r="4424" spans="1:10" x14ac:dyDescent="0.25">
      <c r="A4424" t="s">
        <v>13488</v>
      </c>
      <c r="B4424" t="s">
        <v>13489</v>
      </c>
      <c r="C4424" s="2">
        <v>46271.583333333336</v>
      </c>
      <c r="D4424" t="s">
        <v>418</v>
      </c>
      <c r="E4424" t="s">
        <v>11</v>
      </c>
      <c r="F4424" t="s">
        <v>330</v>
      </c>
      <c r="G4424" t="s">
        <v>92</v>
      </c>
      <c r="H4424">
        <v>4</v>
      </c>
      <c r="I4424" t="s">
        <v>13490</v>
      </c>
      <c r="J4424" t="s">
        <v>357</v>
      </c>
    </row>
    <row r="4425" spans="1:10" x14ac:dyDescent="0.25">
      <c r="A4425" t="s">
        <v>13491</v>
      </c>
      <c r="B4425" t="s">
        <v>13492</v>
      </c>
      <c r="C4425" s="2">
        <v>46271.583333333336</v>
      </c>
      <c r="D4425" t="s">
        <v>418</v>
      </c>
      <c r="E4425" t="s">
        <v>20</v>
      </c>
      <c r="F4425" t="s">
        <v>332</v>
      </c>
      <c r="G4425" t="s">
        <v>97</v>
      </c>
      <c r="H4425">
        <v>5</v>
      </c>
      <c r="I4425" t="s">
        <v>13493</v>
      </c>
      <c r="J4425" t="s">
        <v>357</v>
      </c>
    </row>
    <row r="4426" spans="1:10" x14ac:dyDescent="0.25">
      <c r="A4426" t="s">
        <v>13494</v>
      </c>
      <c r="B4426" t="s">
        <v>13495</v>
      </c>
      <c r="C4426" s="2">
        <v>46271.583333333336</v>
      </c>
      <c r="D4426" t="s">
        <v>418</v>
      </c>
      <c r="E4426" t="s">
        <v>30</v>
      </c>
      <c r="F4426" t="s">
        <v>291</v>
      </c>
      <c r="G4426" t="s">
        <v>107</v>
      </c>
      <c r="H4426">
        <v>4</v>
      </c>
      <c r="I4426" t="s">
        <v>13496</v>
      </c>
      <c r="J4426" t="s">
        <v>357</v>
      </c>
    </row>
    <row r="4427" spans="1:10" x14ac:dyDescent="0.25">
      <c r="A4427" t="s">
        <v>13497</v>
      </c>
      <c r="B4427" t="s">
        <v>13498</v>
      </c>
      <c r="C4427" s="2">
        <v>46271.583333333336</v>
      </c>
      <c r="D4427" t="s">
        <v>418</v>
      </c>
      <c r="E4427" t="s">
        <v>32</v>
      </c>
      <c r="F4427" t="s">
        <v>311</v>
      </c>
      <c r="G4427" t="s">
        <v>109</v>
      </c>
      <c r="H4427">
        <v>2</v>
      </c>
      <c r="I4427" t="s">
        <v>13499</v>
      </c>
      <c r="J4427" t="s">
        <v>357</v>
      </c>
    </row>
    <row r="4428" spans="1:10" x14ac:dyDescent="0.25">
      <c r="A4428" t="s">
        <v>13500</v>
      </c>
      <c r="B4428" t="s">
        <v>13501</v>
      </c>
      <c r="C4428" s="2">
        <v>46271.583333333336</v>
      </c>
      <c r="D4428" t="s">
        <v>418</v>
      </c>
      <c r="E4428" t="s">
        <v>32</v>
      </c>
      <c r="F4428" t="s">
        <v>280</v>
      </c>
      <c r="G4428" t="s">
        <v>109</v>
      </c>
      <c r="H4428">
        <v>1</v>
      </c>
      <c r="I4428" t="s">
        <v>13499</v>
      </c>
      <c r="J4428" t="s">
        <v>357</v>
      </c>
    </row>
    <row r="4429" spans="1:10" x14ac:dyDescent="0.25">
      <c r="A4429" t="s">
        <v>13502</v>
      </c>
      <c r="B4429" t="s">
        <v>13503</v>
      </c>
      <c r="C4429" s="2">
        <v>46271.583333333336</v>
      </c>
      <c r="D4429" t="s">
        <v>418</v>
      </c>
      <c r="E4429" t="s">
        <v>36</v>
      </c>
      <c r="F4429" t="s">
        <v>281</v>
      </c>
      <c r="G4429" t="s">
        <v>113</v>
      </c>
      <c r="H4429">
        <v>2</v>
      </c>
      <c r="I4429" t="s">
        <v>13504</v>
      </c>
      <c r="J4429" t="s">
        <v>357</v>
      </c>
    </row>
    <row r="4430" spans="1:10" x14ac:dyDescent="0.25">
      <c r="A4430" t="s">
        <v>13505</v>
      </c>
      <c r="B4430" t="s">
        <v>13506</v>
      </c>
      <c r="C4430" s="2">
        <v>46271.583333333336</v>
      </c>
      <c r="D4430" t="s">
        <v>418</v>
      </c>
      <c r="E4430" t="s">
        <v>41</v>
      </c>
      <c r="F4430" t="s">
        <v>265</v>
      </c>
      <c r="G4430" t="s">
        <v>115</v>
      </c>
      <c r="H4430">
        <v>3</v>
      </c>
      <c r="I4430" t="s">
        <v>13507</v>
      </c>
      <c r="J4430" t="s">
        <v>357</v>
      </c>
    </row>
    <row r="4431" spans="1:10" x14ac:dyDescent="0.25">
      <c r="A4431" t="s">
        <v>13508</v>
      </c>
      <c r="B4431" t="s">
        <v>13509</v>
      </c>
      <c r="C4431" s="2">
        <v>46271.583333333336</v>
      </c>
      <c r="D4431" t="s">
        <v>418</v>
      </c>
      <c r="E4431" t="s">
        <v>45</v>
      </c>
      <c r="F4431" t="s">
        <v>341</v>
      </c>
      <c r="G4431" t="s">
        <v>119</v>
      </c>
      <c r="H4431">
        <v>1</v>
      </c>
      <c r="I4431" t="s">
        <v>13510</v>
      </c>
      <c r="J4431" t="s">
        <v>357</v>
      </c>
    </row>
    <row r="4432" spans="1:10" x14ac:dyDescent="0.25">
      <c r="A4432" t="s">
        <v>13511</v>
      </c>
      <c r="B4432" t="s">
        <v>13512</v>
      </c>
      <c r="C4432" s="2">
        <v>46271.583333333336</v>
      </c>
      <c r="D4432" t="s">
        <v>418</v>
      </c>
      <c r="E4432" t="s">
        <v>47</v>
      </c>
      <c r="F4432" t="s">
        <v>322</v>
      </c>
      <c r="G4432" t="s">
        <v>121</v>
      </c>
      <c r="H4432">
        <v>4</v>
      </c>
      <c r="I4432" t="s">
        <v>13513</v>
      </c>
      <c r="J4432" t="s">
        <v>357</v>
      </c>
    </row>
    <row r="4433" spans="1:10" x14ac:dyDescent="0.25">
      <c r="A4433" t="s">
        <v>13514</v>
      </c>
      <c r="B4433" t="s">
        <v>13515</v>
      </c>
      <c r="C4433" s="2">
        <v>46271.583333333336</v>
      </c>
      <c r="D4433" t="s">
        <v>418</v>
      </c>
      <c r="E4433" t="s">
        <v>57</v>
      </c>
      <c r="F4433" t="s">
        <v>299</v>
      </c>
      <c r="G4433" t="s">
        <v>131</v>
      </c>
      <c r="H4433">
        <v>2</v>
      </c>
      <c r="I4433" t="s">
        <v>13516</v>
      </c>
      <c r="J4433" t="s">
        <v>357</v>
      </c>
    </row>
    <row r="4434" spans="1:10" x14ac:dyDescent="0.25">
      <c r="A4434" t="s">
        <v>13517</v>
      </c>
      <c r="B4434" t="s">
        <v>13518</v>
      </c>
      <c r="C4434" s="2">
        <v>46271.583333333336</v>
      </c>
      <c r="D4434" t="s">
        <v>418</v>
      </c>
      <c r="E4434" t="s">
        <v>57</v>
      </c>
      <c r="F4434" t="s">
        <v>171</v>
      </c>
      <c r="G4434" t="s">
        <v>131</v>
      </c>
      <c r="H4434">
        <v>1</v>
      </c>
      <c r="I4434" t="s">
        <v>13516</v>
      </c>
      <c r="J4434" t="s">
        <v>357</v>
      </c>
    </row>
    <row r="4435" spans="1:10" x14ac:dyDescent="0.25">
      <c r="A4435" t="s">
        <v>13519</v>
      </c>
      <c r="B4435" t="s">
        <v>13520</v>
      </c>
      <c r="C4435" s="2">
        <v>46271.583333333336</v>
      </c>
      <c r="D4435" t="s">
        <v>418</v>
      </c>
      <c r="E4435" t="s">
        <v>67</v>
      </c>
      <c r="F4435" t="s">
        <v>300</v>
      </c>
      <c r="G4435" t="s">
        <v>137</v>
      </c>
      <c r="H4435">
        <v>1</v>
      </c>
      <c r="I4435" t="s">
        <v>13521</v>
      </c>
      <c r="J4435" t="s">
        <v>357</v>
      </c>
    </row>
    <row r="4436" spans="1:10" x14ac:dyDescent="0.25">
      <c r="A4436" t="s">
        <v>13522</v>
      </c>
      <c r="B4436" t="s">
        <v>13523</v>
      </c>
      <c r="C4436" s="2">
        <v>46271.583333333336</v>
      </c>
      <c r="D4436" t="s">
        <v>418</v>
      </c>
      <c r="E4436" t="s">
        <v>75</v>
      </c>
      <c r="F4436" t="s">
        <v>314</v>
      </c>
      <c r="G4436" t="s">
        <v>145</v>
      </c>
      <c r="H4436">
        <v>2</v>
      </c>
      <c r="I4436" t="s">
        <v>13524</v>
      </c>
      <c r="J4436" t="s">
        <v>357</v>
      </c>
    </row>
    <row r="4437" spans="1:10" x14ac:dyDescent="0.25">
      <c r="A4437" t="s">
        <v>13525</v>
      </c>
      <c r="B4437" t="s">
        <v>13526</v>
      </c>
      <c r="C4437" s="2">
        <v>46271.583333333336</v>
      </c>
      <c r="D4437" t="s">
        <v>418</v>
      </c>
      <c r="E4437" t="s">
        <v>11</v>
      </c>
      <c r="F4437" t="s">
        <v>330</v>
      </c>
      <c r="G4437" t="s">
        <v>92</v>
      </c>
      <c r="H4437">
        <v>6</v>
      </c>
      <c r="I4437" t="s">
        <v>13527</v>
      </c>
      <c r="J4437" t="s">
        <v>357</v>
      </c>
    </row>
    <row r="4438" spans="1:10" x14ac:dyDescent="0.25">
      <c r="A4438" t="s">
        <v>13528</v>
      </c>
      <c r="B4438" t="s">
        <v>13529</v>
      </c>
      <c r="C4438" s="2">
        <v>46271.583333333336</v>
      </c>
      <c r="D4438" t="s">
        <v>418</v>
      </c>
      <c r="E4438" t="s">
        <v>18</v>
      </c>
      <c r="F4438" t="s">
        <v>331</v>
      </c>
      <c r="G4438" t="s">
        <v>95</v>
      </c>
      <c r="H4438">
        <v>6</v>
      </c>
      <c r="I4438" t="s">
        <v>13530</v>
      </c>
      <c r="J4438" t="s">
        <v>357</v>
      </c>
    </row>
    <row r="4439" spans="1:10" x14ac:dyDescent="0.25">
      <c r="A4439" t="s">
        <v>13531</v>
      </c>
      <c r="B4439" t="s">
        <v>13532</v>
      </c>
      <c r="C4439" s="2">
        <v>46271.583333333336</v>
      </c>
      <c r="D4439" t="s">
        <v>418</v>
      </c>
      <c r="E4439" t="s">
        <v>20</v>
      </c>
      <c r="F4439" t="s">
        <v>332</v>
      </c>
      <c r="G4439" t="s">
        <v>97</v>
      </c>
      <c r="H4439">
        <v>6</v>
      </c>
      <c r="I4439" t="s">
        <v>13533</v>
      </c>
      <c r="J4439" t="s">
        <v>357</v>
      </c>
    </row>
    <row r="4440" spans="1:10" x14ac:dyDescent="0.25">
      <c r="A4440" t="s">
        <v>13534</v>
      </c>
      <c r="B4440" t="s">
        <v>13535</v>
      </c>
      <c r="C4440" s="2">
        <v>46271.583333333336</v>
      </c>
      <c r="D4440" t="s">
        <v>418</v>
      </c>
      <c r="E4440" t="s">
        <v>22</v>
      </c>
      <c r="F4440" t="s">
        <v>333</v>
      </c>
      <c r="G4440" t="s">
        <v>99</v>
      </c>
      <c r="H4440">
        <v>1</v>
      </c>
      <c r="I4440" t="s">
        <v>13536</v>
      </c>
      <c r="J4440" t="s">
        <v>357</v>
      </c>
    </row>
    <row r="4441" spans="1:10" x14ac:dyDescent="0.25">
      <c r="A4441" t="s">
        <v>13537</v>
      </c>
      <c r="B4441" t="s">
        <v>13538</v>
      </c>
      <c r="C4441" s="2">
        <v>46271.583333333336</v>
      </c>
      <c r="D4441" t="s">
        <v>418</v>
      </c>
      <c r="E4441" t="s">
        <v>24</v>
      </c>
      <c r="F4441" t="s">
        <v>334</v>
      </c>
      <c r="G4441" t="s">
        <v>101</v>
      </c>
      <c r="H4441">
        <v>4</v>
      </c>
      <c r="I4441" t="s">
        <v>13539</v>
      </c>
      <c r="J4441" t="s">
        <v>357</v>
      </c>
    </row>
    <row r="4442" spans="1:10" x14ac:dyDescent="0.25">
      <c r="A4442" t="s">
        <v>13540</v>
      </c>
      <c r="B4442" t="s">
        <v>13541</v>
      </c>
      <c r="C4442" s="2">
        <v>46271.583333333336</v>
      </c>
      <c r="D4442" t="s">
        <v>418</v>
      </c>
      <c r="E4442" t="s">
        <v>26</v>
      </c>
      <c r="F4442" t="s">
        <v>335</v>
      </c>
      <c r="G4442" t="s">
        <v>103</v>
      </c>
      <c r="H4442">
        <v>6</v>
      </c>
      <c r="I4442" t="s">
        <v>13542</v>
      </c>
      <c r="J4442" t="s">
        <v>357</v>
      </c>
    </row>
    <row r="4443" spans="1:10" x14ac:dyDescent="0.25">
      <c r="A4443" t="s">
        <v>13543</v>
      </c>
      <c r="B4443" t="s">
        <v>13544</v>
      </c>
      <c r="C4443" s="2">
        <v>46271.583333333336</v>
      </c>
      <c r="D4443" t="s">
        <v>418</v>
      </c>
      <c r="E4443" t="s">
        <v>28</v>
      </c>
      <c r="F4443" t="s">
        <v>336</v>
      </c>
      <c r="G4443" t="s">
        <v>105</v>
      </c>
      <c r="H4443">
        <v>4</v>
      </c>
      <c r="I4443" t="s">
        <v>13545</v>
      </c>
      <c r="J4443" t="s">
        <v>357</v>
      </c>
    </row>
    <row r="4444" spans="1:10" x14ac:dyDescent="0.25">
      <c r="A4444" t="s">
        <v>13546</v>
      </c>
      <c r="B4444" t="s">
        <v>13547</v>
      </c>
      <c r="C4444" s="2">
        <v>46271.583333333336</v>
      </c>
      <c r="D4444" t="s">
        <v>418</v>
      </c>
      <c r="E4444" t="s">
        <v>32</v>
      </c>
      <c r="F4444" t="s">
        <v>280</v>
      </c>
      <c r="G4444" t="s">
        <v>109</v>
      </c>
      <c r="H4444">
        <v>1</v>
      </c>
      <c r="I4444" t="s">
        <v>13548</v>
      </c>
      <c r="J4444" t="s">
        <v>357</v>
      </c>
    </row>
    <row r="4445" spans="1:10" x14ac:dyDescent="0.25">
      <c r="A4445" t="s">
        <v>13549</v>
      </c>
      <c r="B4445" t="s">
        <v>13550</v>
      </c>
      <c r="C4445" s="2">
        <v>46271.583333333336</v>
      </c>
      <c r="D4445" t="s">
        <v>418</v>
      </c>
      <c r="E4445" t="s">
        <v>47</v>
      </c>
      <c r="F4445" t="s">
        <v>322</v>
      </c>
      <c r="G4445" t="s">
        <v>121</v>
      </c>
      <c r="H4445">
        <v>5</v>
      </c>
      <c r="I4445" t="s">
        <v>13551</v>
      </c>
      <c r="J4445" t="s">
        <v>357</v>
      </c>
    </row>
    <row r="4446" spans="1:10" x14ac:dyDescent="0.25">
      <c r="A4446" t="s">
        <v>13552</v>
      </c>
      <c r="B4446" t="s">
        <v>13553</v>
      </c>
      <c r="C4446" s="2">
        <v>46271.583333333336</v>
      </c>
      <c r="D4446" t="s">
        <v>418</v>
      </c>
      <c r="E4446" t="s">
        <v>51</v>
      </c>
      <c r="F4446" t="s">
        <v>323</v>
      </c>
      <c r="G4446" t="s">
        <v>125</v>
      </c>
      <c r="H4446">
        <v>6</v>
      </c>
      <c r="I4446" t="s">
        <v>13554</v>
      </c>
      <c r="J4446" t="s">
        <v>357</v>
      </c>
    </row>
    <row r="4447" spans="1:10" x14ac:dyDescent="0.25">
      <c r="A4447" t="s">
        <v>13555</v>
      </c>
      <c r="B4447" t="s">
        <v>13556</v>
      </c>
      <c r="C4447" s="2">
        <v>46271.583333333336</v>
      </c>
      <c r="D4447" t="s">
        <v>418</v>
      </c>
      <c r="E4447" t="s">
        <v>67</v>
      </c>
      <c r="F4447" t="s">
        <v>300</v>
      </c>
      <c r="G4447" t="s">
        <v>137</v>
      </c>
      <c r="H4447">
        <v>4</v>
      </c>
      <c r="I4447" t="s">
        <v>13557</v>
      </c>
      <c r="J4447" t="s">
        <v>357</v>
      </c>
    </row>
    <row r="4448" spans="1:10" x14ac:dyDescent="0.25">
      <c r="A4448" t="s">
        <v>13558</v>
      </c>
      <c r="B4448" t="s">
        <v>13559</v>
      </c>
      <c r="C4448" s="2">
        <v>46271.583333333336</v>
      </c>
      <c r="D4448" t="s">
        <v>418</v>
      </c>
      <c r="E4448" t="s">
        <v>69</v>
      </c>
      <c r="F4448" t="s">
        <v>256</v>
      </c>
      <c r="G4448" t="s">
        <v>139</v>
      </c>
      <c r="H4448">
        <v>5</v>
      </c>
      <c r="I4448" t="s">
        <v>13560</v>
      </c>
      <c r="J4448" t="s">
        <v>357</v>
      </c>
    </row>
    <row r="4449" spans="1:10" x14ac:dyDescent="0.25">
      <c r="A4449" t="s">
        <v>13561</v>
      </c>
      <c r="B4449" t="s">
        <v>13562</v>
      </c>
      <c r="C4449" s="2">
        <v>46271.583333333336</v>
      </c>
      <c r="D4449" t="s">
        <v>418</v>
      </c>
      <c r="E4449" t="s">
        <v>77</v>
      </c>
      <c r="F4449" t="s">
        <v>273</v>
      </c>
      <c r="G4449" t="s">
        <v>147</v>
      </c>
      <c r="H4449">
        <v>1</v>
      </c>
      <c r="I4449" t="s">
        <v>13563</v>
      </c>
      <c r="J4449" t="s">
        <v>357</v>
      </c>
    </row>
    <row r="4450" spans="1:10" x14ac:dyDescent="0.25">
      <c r="A4450" t="s">
        <v>13564</v>
      </c>
      <c r="B4450" t="s">
        <v>13565</v>
      </c>
      <c r="C4450" s="2">
        <v>46271.583333333336</v>
      </c>
      <c r="D4450" t="s">
        <v>418</v>
      </c>
      <c r="E4450" t="s">
        <v>77</v>
      </c>
      <c r="F4450" t="s">
        <v>315</v>
      </c>
      <c r="G4450" t="s">
        <v>147</v>
      </c>
      <c r="H4450">
        <v>3</v>
      </c>
      <c r="I4450" t="s">
        <v>13563</v>
      </c>
      <c r="J4450" t="s">
        <v>357</v>
      </c>
    </row>
    <row r="4451" spans="1:10" x14ac:dyDescent="0.25">
      <c r="A4451" t="s">
        <v>13566</v>
      </c>
      <c r="B4451" t="s">
        <v>13567</v>
      </c>
      <c r="C4451" s="2">
        <v>46271.583333333336</v>
      </c>
      <c r="D4451" t="s">
        <v>418</v>
      </c>
      <c r="E4451" t="s">
        <v>79</v>
      </c>
      <c r="F4451" t="s">
        <v>148</v>
      </c>
      <c r="G4451" t="s">
        <v>149</v>
      </c>
      <c r="H4451">
        <v>5</v>
      </c>
      <c r="I4451" t="s">
        <v>13568</v>
      </c>
      <c r="J4451" t="s">
        <v>357</v>
      </c>
    </row>
    <row r="4452" spans="1:10" x14ac:dyDescent="0.25">
      <c r="A4452" t="s">
        <v>13569</v>
      </c>
      <c r="B4452" t="s">
        <v>13570</v>
      </c>
      <c r="C4452" s="2">
        <v>46271.583333333336</v>
      </c>
      <c r="D4452" t="s">
        <v>418</v>
      </c>
      <c r="E4452" t="s">
        <v>18</v>
      </c>
      <c r="F4452" t="s">
        <v>331</v>
      </c>
      <c r="G4452" t="s">
        <v>95</v>
      </c>
      <c r="H4452">
        <v>5</v>
      </c>
      <c r="I4452" t="s">
        <v>13571</v>
      </c>
      <c r="J4452" t="s">
        <v>357</v>
      </c>
    </row>
    <row r="4453" spans="1:10" x14ac:dyDescent="0.25">
      <c r="A4453" t="s">
        <v>13572</v>
      </c>
      <c r="B4453" t="s">
        <v>13573</v>
      </c>
      <c r="C4453" s="2">
        <v>46271.583333333336</v>
      </c>
      <c r="D4453" t="s">
        <v>418</v>
      </c>
      <c r="E4453" t="s">
        <v>20</v>
      </c>
      <c r="F4453" t="s">
        <v>332</v>
      </c>
      <c r="G4453" t="s">
        <v>97</v>
      </c>
      <c r="H4453">
        <v>3</v>
      </c>
      <c r="I4453" t="s">
        <v>13574</v>
      </c>
      <c r="J4453" t="s">
        <v>357</v>
      </c>
    </row>
    <row r="4454" spans="1:10" x14ac:dyDescent="0.25">
      <c r="A4454" t="s">
        <v>13575</v>
      </c>
      <c r="B4454" t="s">
        <v>13576</v>
      </c>
      <c r="C4454" s="2">
        <v>46271.583333333336</v>
      </c>
      <c r="D4454" t="s">
        <v>418</v>
      </c>
      <c r="E4454" t="s">
        <v>22</v>
      </c>
      <c r="F4454" t="s">
        <v>333</v>
      </c>
      <c r="G4454" t="s">
        <v>99</v>
      </c>
      <c r="H4454">
        <v>2</v>
      </c>
      <c r="I4454" t="s">
        <v>13577</v>
      </c>
      <c r="J4454" t="s">
        <v>357</v>
      </c>
    </row>
    <row r="4455" spans="1:10" x14ac:dyDescent="0.25">
      <c r="A4455" t="s">
        <v>13578</v>
      </c>
      <c r="B4455" t="s">
        <v>13579</v>
      </c>
      <c r="C4455" s="2">
        <v>46271.583333333336</v>
      </c>
      <c r="D4455" t="s">
        <v>418</v>
      </c>
      <c r="E4455" t="s">
        <v>26</v>
      </c>
      <c r="F4455" t="s">
        <v>335</v>
      </c>
      <c r="G4455" t="s">
        <v>103</v>
      </c>
      <c r="H4455">
        <v>2</v>
      </c>
      <c r="I4455" t="s">
        <v>13580</v>
      </c>
      <c r="J4455" t="s">
        <v>357</v>
      </c>
    </row>
    <row r="4456" spans="1:10" x14ac:dyDescent="0.25">
      <c r="A4456" t="s">
        <v>13581</v>
      </c>
      <c r="B4456" t="s">
        <v>13582</v>
      </c>
      <c r="C4456" s="2">
        <v>46271.583333333336</v>
      </c>
      <c r="D4456" t="s">
        <v>418</v>
      </c>
      <c r="E4456" t="s">
        <v>30</v>
      </c>
      <c r="F4456" t="s">
        <v>291</v>
      </c>
      <c r="G4456" t="s">
        <v>107</v>
      </c>
      <c r="H4456">
        <v>8</v>
      </c>
      <c r="I4456" t="s">
        <v>13583</v>
      </c>
      <c r="J4456" t="s">
        <v>357</v>
      </c>
    </row>
    <row r="4457" spans="1:10" x14ac:dyDescent="0.25">
      <c r="A4457" t="s">
        <v>13584</v>
      </c>
      <c r="B4457" t="s">
        <v>13585</v>
      </c>
      <c r="C4457" s="2">
        <v>46271.583333333336</v>
      </c>
      <c r="D4457" t="s">
        <v>418</v>
      </c>
      <c r="E4457" t="s">
        <v>32</v>
      </c>
      <c r="F4457" t="s">
        <v>280</v>
      </c>
      <c r="G4457" t="s">
        <v>109</v>
      </c>
      <c r="H4457">
        <v>3</v>
      </c>
      <c r="I4457" t="s">
        <v>13586</v>
      </c>
      <c r="J4457" t="s">
        <v>357</v>
      </c>
    </row>
    <row r="4458" spans="1:10" x14ac:dyDescent="0.25">
      <c r="A4458" t="s">
        <v>13587</v>
      </c>
      <c r="B4458" t="s">
        <v>13588</v>
      </c>
      <c r="C4458" s="2">
        <v>46271.583333333336</v>
      </c>
      <c r="D4458" t="s">
        <v>418</v>
      </c>
      <c r="E4458" t="s">
        <v>36</v>
      </c>
      <c r="F4458" t="s">
        <v>281</v>
      </c>
      <c r="G4458" t="s">
        <v>113</v>
      </c>
      <c r="H4458">
        <v>2</v>
      </c>
      <c r="I4458" t="s">
        <v>13589</v>
      </c>
      <c r="J4458" t="s">
        <v>357</v>
      </c>
    </row>
    <row r="4459" spans="1:10" x14ac:dyDescent="0.25">
      <c r="A4459" t="s">
        <v>13590</v>
      </c>
      <c r="B4459" t="s">
        <v>13591</v>
      </c>
      <c r="C4459" s="2">
        <v>46271.583333333336</v>
      </c>
      <c r="D4459" t="s">
        <v>418</v>
      </c>
      <c r="E4459" t="s">
        <v>45</v>
      </c>
      <c r="F4459" t="s">
        <v>341</v>
      </c>
      <c r="G4459" t="s">
        <v>119</v>
      </c>
      <c r="H4459">
        <v>2</v>
      </c>
      <c r="I4459" t="s">
        <v>13592</v>
      </c>
      <c r="J4459" t="s">
        <v>357</v>
      </c>
    </row>
    <row r="4460" spans="1:10" x14ac:dyDescent="0.25">
      <c r="A4460" t="s">
        <v>13593</v>
      </c>
      <c r="B4460" t="s">
        <v>13594</v>
      </c>
      <c r="C4460" s="2">
        <v>46271.583333333336</v>
      </c>
      <c r="D4460" t="s">
        <v>418</v>
      </c>
      <c r="E4460" t="s">
        <v>47</v>
      </c>
      <c r="F4460" t="s">
        <v>322</v>
      </c>
      <c r="G4460" t="s">
        <v>121</v>
      </c>
      <c r="H4460">
        <v>8</v>
      </c>
      <c r="I4460" t="s">
        <v>13595</v>
      </c>
      <c r="J4460" t="s">
        <v>357</v>
      </c>
    </row>
    <row r="4461" spans="1:10" x14ac:dyDescent="0.25">
      <c r="A4461" t="s">
        <v>13596</v>
      </c>
      <c r="B4461" t="s">
        <v>13597</v>
      </c>
      <c r="C4461" s="2">
        <v>46271.583333333336</v>
      </c>
      <c r="D4461" t="s">
        <v>418</v>
      </c>
      <c r="E4461" t="s">
        <v>51</v>
      </c>
      <c r="F4461" t="s">
        <v>323</v>
      </c>
      <c r="G4461" t="s">
        <v>125</v>
      </c>
      <c r="H4461">
        <v>2</v>
      </c>
      <c r="I4461" t="s">
        <v>13598</v>
      </c>
      <c r="J4461" t="s">
        <v>357</v>
      </c>
    </row>
    <row r="4462" spans="1:10" x14ac:dyDescent="0.25">
      <c r="A4462" t="s">
        <v>13599</v>
      </c>
      <c r="B4462" t="s">
        <v>13600</v>
      </c>
      <c r="C4462" s="2">
        <v>46271.583333333336</v>
      </c>
      <c r="D4462" t="s">
        <v>418</v>
      </c>
      <c r="E4462" t="s">
        <v>59</v>
      </c>
      <c r="F4462" t="s">
        <v>283</v>
      </c>
      <c r="G4462" t="s">
        <v>133</v>
      </c>
      <c r="H4462">
        <v>3</v>
      </c>
      <c r="I4462" t="s">
        <v>13601</v>
      </c>
      <c r="J4462" t="s">
        <v>357</v>
      </c>
    </row>
    <row r="4463" spans="1:10" x14ac:dyDescent="0.25">
      <c r="A4463" t="s">
        <v>13602</v>
      </c>
      <c r="B4463" t="s">
        <v>13603</v>
      </c>
      <c r="C4463" s="2">
        <v>46271.583333333336</v>
      </c>
      <c r="D4463" t="s">
        <v>418</v>
      </c>
      <c r="E4463" t="s">
        <v>69</v>
      </c>
      <c r="F4463" t="s">
        <v>256</v>
      </c>
      <c r="G4463" t="s">
        <v>139</v>
      </c>
      <c r="H4463">
        <v>8</v>
      </c>
      <c r="I4463" t="s">
        <v>13604</v>
      </c>
      <c r="J4463" t="s">
        <v>357</v>
      </c>
    </row>
    <row r="4464" spans="1:10" x14ac:dyDescent="0.25">
      <c r="A4464" t="s">
        <v>13605</v>
      </c>
      <c r="B4464" t="s">
        <v>13606</v>
      </c>
      <c r="C4464" s="2">
        <v>46271.583333333336</v>
      </c>
      <c r="D4464" t="s">
        <v>418</v>
      </c>
      <c r="E4464" t="s">
        <v>73</v>
      </c>
      <c r="F4464" t="s">
        <v>303</v>
      </c>
      <c r="G4464" t="s">
        <v>143</v>
      </c>
      <c r="H4464">
        <v>8</v>
      </c>
      <c r="I4464" t="s">
        <v>13607</v>
      </c>
      <c r="J4464" t="s">
        <v>357</v>
      </c>
    </row>
    <row r="4465" spans="1:10" x14ac:dyDescent="0.25">
      <c r="A4465" t="s">
        <v>13608</v>
      </c>
      <c r="B4465" t="s">
        <v>13609</v>
      </c>
      <c r="C4465" s="2">
        <v>46271.583333333336</v>
      </c>
      <c r="D4465" t="s">
        <v>418</v>
      </c>
      <c r="E4465" t="s">
        <v>11</v>
      </c>
      <c r="F4465" t="s">
        <v>330</v>
      </c>
      <c r="G4465" t="s">
        <v>92</v>
      </c>
      <c r="H4465">
        <v>9</v>
      </c>
      <c r="I4465" t="s">
        <v>13610</v>
      </c>
      <c r="J4465" t="s">
        <v>357</v>
      </c>
    </row>
    <row r="4466" spans="1:10" x14ac:dyDescent="0.25">
      <c r="A4466" t="s">
        <v>13611</v>
      </c>
      <c r="B4466" t="s">
        <v>13612</v>
      </c>
      <c r="C4466" s="2">
        <v>46271.583333333336</v>
      </c>
      <c r="D4466" t="s">
        <v>418</v>
      </c>
      <c r="E4466" t="s">
        <v>18</v>
      </c>
      <c r="F4466" t="s">
        <v>331</v>
      </c>
      <c r="G4466" t="s">
        <v>95</v>
      </c>
      <c r="H4466">
        <v>4</v>
      </c>
      <c r="I4466" t="s">
        <v>13613</v>
      </c>
      <c r="J4466" t="s">
        <v>357</v>
      </c>
    </row>
    <row r="4467" spans="1:10" x14ac:dyDescent="0.25">
      <c r="A4467" t="s">
        <v>13614</v>
      </c>
      <c r="B4467" t="s">
        <v>13615</v>
      </c>
      <c r="C4467" s="2">
        <v>46271.583333333336</v>
      </c>
      <c r="D4467" t="s">
        <v>418</v>
      </c>
      <c r="E4467" t="s">
        <v>20</v>
      </c>
      <c r="F4467" t="s">
        <v>332</v>
      </c>
      <c r="G4467" t="s">
        <v>97</v>
      </c>
      <c r="H4467">
        <v>2</v>
      </c>
      <c r="I4467" t="s">
        <v>13616</v>
      </c>
      <c r="J4467" t="s">
        <v>357</v>
      </c>
    </row>
    <row r="4468" spans="1:10" x14ac:dyDescent="0.25">
      <c r="A4468" t="s">
        <v>13617</v>
      </c>
      <c r="B4468" t="s">
        <v>13618</v>
      </c>
      <c r="C4468" s="2">
        <v>46271.583333333336</v>
      </c>
      <c r="D4468" t="s">
        <v>418</v>
      </c>
      <c r="E4468" t="s">
        <v>43</v>
      </c>
      <c r="F4468" t="s">
        <v>340</v>
      </c>
      <c r="G4468" t="s">
        <v>117</v>
      </c>
      <c r="H4468">
        <v>2</v>
      </c>
      <c r="I4468" t="s">
        <v>13619</v>
      </c>
      <c r="J4468" t="s">
        <v>357</v>
      </c>
    </row>
    <row r="4469" spans="1:10" x14ac:dyDescent="0.25">
      <c r="A4469" t="s">
        <v>13620</v>
      </c>
      <c r="B4469" t="s">
        <v>13621</v>
      </c>
      <c r="C4469" s="2">
        <v>46271.583333333336</v>
      </c>
      <c r="D4469" t="s">
        <v>418</v>
      </c>
      <c r="E4469" t="s">
        <v>45</v>
      </c>
      <c r="F4469" t="s">
        <v>341</v>
      </c>
      <c r="G4469" t="s">
        <v>119</v>
      </c>
      <c r="H4469">
        <v>2</v>
      </c>
      <c r="I4469" t="s">
        <v>13622</v>
      </c>
      <c r="J4469" t="s">
        <v>357</v>
      </c>
    </row>
    <row r="4470" spans="1:10" x14ac:dyDescent="0.25">
      <c r="A4470" t="s">
        <v>13623</v>
      </c>
      <c r="B4470" t="s">
        <v>13624</v>
      </c>
      <c r="C4470" s="2">
        <v>46271.583333333336</v>
      </c>
      <c r="D4470" t="s">
        <v>418</v>
      </c>
      <c r="E4470" t="s">
        <v>47</v>
      </c>
      <c r="F4470" t="s">
        <v>322</v>
      </c>
      <c r="G4470" t="s">
        <v>121</v>
      </c>
      <c r="H4470">
        <v>3</v>
      </c>
      <c r="I4470" t="s">
        <v>13625</v>
      </c>
      <c r="J4470" t="s">
        <v>357</v>
      </c>
    </row>
    <row r="4471" spans="1:10" x14ac:dyDescent="0.25">
      <c r="A4471" t="s">
        <v>13626</v>
      </c>
      <c r="B4471" t="s">
        <v>13627</v>
      </c>
      <c r="C4471" s="2">
        <v>46271.583333333336</v>
      </c>
      <c r="D4471" t="s">
        <v>418</v>
      </c>
      <c r="E4471" t="s">
        <v>47</v>
      </c>
      <c r="F4471" t="s">
        <v>282</v>
      </c>
      <c r="G4471" t="s">
        <v>121</v>
      </c>
      <c r="H4471">
        <v>4</v>
      </c>
      <c r="I4471" t="s">
        <v>13625</v>
      </c>
      <c r="J4471" t="s">
        <v>357</v>
      </c>
    </row>
    <row r="4472" spans="1:10" x14ac:dyDescent="0.25">
      <c r="A4472" t="s">
        <v>13628</v>
      </c>
      <c r="B4472" t="s">
        <v>13629</v>
      </c>
      <c r="C4472" s="2">
        <v>46271.583333333336</v>
      </c>
      <c r="D4472" t="s">
        <v>418</v>
      </c>
      <c r="E4472" t="s">
        <v>51</v>
      </c>
      <c r="F4472" t="s">
        <v>323</v>
      </c>
      <c r="G4472" t="s">
        <v>125</v>
      </c>
      <c r="H4472">
        <v>4</v>
      </c>
      <c r="I4472" t="s">
        <v>13630</v>
      </c>
      <c r="J4472" t="s">
        <v>357</v>
      </c>
    </row>
    <row r="4473" spans="1:10" x14ac:dyDescent="0.25">
      <c r="A4473" t="s">
        <v>13631</v>
      </c>
      <c r="B4473" t="s">
        <v>13632</v>
      </c>
      <c r="C4473" s="2">
        <v>46271.583333333336</v>
      </c>
      <c r="D4473" t="s">
        <v>418</v>
      </c>
      <c r="E4473" t="s">
        <v>59</v>
      </c>
      <c r="F4473" t="s">
        <v>283</v>
      </c>
      <c r="G4473" t="s">
        <v>133</v>
      </c>
      <c r="H4473">
        <v>2</v>
      </c>
      <c r="I4473" t="s">
        <v>13633</v>
      </c>
      <c r="J4473" t="s">
        <v>357</v>
      </c>
    </row>
    <row r="4474" spans="1:10" x14ac:dyDescent="0.25">
      <c r="A4474" t="s">
        <v>13634</v>
      </c>
      <c r="B4474" t="s">
        <v>13635</v>
      </c>
      <c r="C4474" s="2">
        <v>46271.583333333336</v>
      </c>
      <c r="D4474" t="s">
        <v>418</v>
      </c>
      <c r="E4474" t="s">
        <v>69</v>
      </c>
      <c r="F4474" t="s">
        <v>256</v>
      </c>
      <c r="G4474" t="s">
        <v>139</v>
      </c>
      <c r="H4474">
        <v>5</v>
      </c>
      <c r="I4474" t="s">
        <v>13636</v>
      </c>
      <c r="J4474" t="s">
        <v>357</v>
      </c>
    </row>
    <row r="4475" spans="1:10" x14ac:dyDescent="0.25">
      <c r="A4475" t="s">
        <v>13637</v>
      </c>
      <c r="B4475" t="s">
        <v>13638</v>
      </c>
      <c r="C4475" s="2">
        <v>46271.583333333336</v>
      </c>
      <c r="D4475" t="s">
        <v>418</v>
      </c>
      <c r="E4475" t="s">
        <v>73</v>
      </c>
      <c r="F4475" t="s">
        <v>303</v>
      </c>
      <c r="G4475" t="s">
        <v>143</v>
      </c>
      <c r="H4475">
        <v>4</v>
      </c>
      <c r="I4475" t="s">
        <v>13639</v>
      </c>
      <c r="J4475" t="s">
        <v>357</v>
      </c>
    </row>
    <row r="4476" spans="1:10" x14ac:dyDescent="0.25">
      <c r="A4476" t="s">
        <v>13640</v>
      </c>
      <c r="B4476" t="s">
        <v>13641</v>
      </c>
      <c r="C4476" s="2">
        <v>46271.583333333336</v>
      </c>
      <c r="D4476" t="s">
        <v>418</v>
      </c>
      <c r="E4476" t="s">
        <v>77</v>
      </c>
      <c r="F4476" t="s">
        <v>315</v>
      </c>
      <c r="G4476" t="s">
        <v>147</v>
      </c>
      <c r="H4476">
        <v>7</v>
      </c>
      <c r="I4476" t="s">
        <v>13642</v>
      </c>
      <c r="J4476" t="s">
        <v>357</v>
      </c>
    </row>
    <row r="4477" spans="1:10" x14ac:dyDescent="0.25">
      <c r="A4477" t="s">
        <v>13643</v>
      </c>
      <c r="B4477" t="s">
        <v>13644</v>
      </c>
      <c r="C4477" s="2">
        <v>46271.583333333336</v>
      </c>
      <c r="D4477" t="s">
        <v>418</v>
      </c>
      <c r="E4477" t="s">
        <v>11</v>
      </c>
      <c r="F4477" t="s">
        <v>330</v>
      </c>
      <c r="G4477" t="s">
        <v>92</v>
      </c>
      <c r="H4477">
        <v>5</v>
      </c>
      <c r="I4477" t="s">
        <v>13645</v>
      </c>
      <c r="J4477" t="s">
        <v>357</v>
      </c>
    </row>
    <row r="4478" spans="1:10" x14ac:dyDescent="0.25">
      <c r="A4478" t="s">
        <v>13646</v>
      </c>
      <c r="B4478" t="s">
        <v>13647</v>
      </c>
      <c r="C4478" s="2">
        <v>46271.583333333336</v>
      </c>
      <c r="D4478" t="s">
        <v>418</v>
      </c>
      <c r="E4478" t="s">
        <v>18</v>
      </c>
      <c r="F4478" t="s">
        <v>331</v>
      </c>
      <c r="G4478" t="s">
        <v>95</v>
      </c>
      <c r="H4478">
        <v>3</v>
      </c>
      <c r="I4478" t="s">
        <v>13648</v>
      </c>
      <c r="J4478" t="s">
        <v>357</v>
      </c>
    </row>
    <row r="4479" spans="1:10" x14ac:dyDescent="0.25">
      <c r="A4479" t="s">
        <v>13649</v>
      </c>
      <c r="B4479" t="s">
        <v>13650</v>
      </c>
      <c r="C4479" s="2">
        <v>46271.583333333336</v>
      </c>
      <c r="D4479" t="s">
        <v>418</v>
      </c>
      <c r="E4479" t="s">
        <v>18</v>
      </c>
      <c r="F4479" t="s">
        <v>286</v>
      </c>
      <c r="G4479" t="s">
        <v>95</v>
      </c>
      <c r="H4479">
        <v>1</v>
      </c>
      <c r="I4479" t="s">
        <v>13648</v>
      </c>
      <c r="J4479" t="s">
        <v>357</v>
      </c>
    </row>
    <row r="4480" spans="1:10" x14ac:dyDescent="0.25">
      <c r="A4480" t="s">
        <v>13651</v>
      </c>
      <c r="B4480" t="s">
        <v>13652</v>
      </c>
      <c r="C4480" s="2">
        <v>46271.583333333336</v>
      </c>
      <c r="D4480" t="s">
        <v>418</v>
      </c>
      <c r="E4480" t="s">
        <v>20</v>
      </c>
      <c r="F4480" t="s">
        <v>332</v>
      </c>
      <c r="G4480" t="s">
        <v>97</v>
      </c>
      <c r="H4480">
        <v>2</v>
      </c>
      <c r="I4480" t="s">
        <v>13653</v>
      </c>
      <c r="J4480" t="s">
        <v>357</v>
      </c>
    </row>
    <row r="4481" spans="1:10" x14ac:dyDescent="0.25">
      <c r="A4481" t="s">
        <v>13654</v>
      </c>
      <c r="B4481" t="s">
        <v>13655</v>
      </c>
      <c r="C4481" s="2">
        <v>46271.583333333336</v>
      </c>
      <c r="D4481" t="s">
        <v>418</v>
      </c>
      <c r="E4481" t="s">
        <v>28</v>
      </c>
      <c r="F4481" t="s">
        <v>336</v>
      </c>
      <c r="G4481" t="s">
        <v>105</v>
      </c>
      <c r="H4481">
        <v>5</v>
      </c>
      <c r="I4481" t="s">
        <v>13656</v>
      </c>
      <c r="J4481" t="s">
        <v>357</v>
      </c>
    </row>
    <row r="4482" spans="1:10" x14ac:dyDescent="0.25">
      <c r="A4482" t="s">
        <v>13657</v>
      </c>
      <c r="B4482" t="s">
        <v>13658</v>
      </c>
      <c r="C4482" s="2">
        <v>46271.583333333336</v>
      </c>
      <c r="D4482" t="s">
        <v>418</v>
      </c>
      <c r="E4482" t="s">
        <v>30</v>
      </c>
      <c r="F4482" t="s">
        <v>291</v>
      </c>
      <c r="G4482" t="s">
        <v>107</v>
      </c>
      <c r="H4482">
        <v>4</v>
      </c>
      <c r="I4482" t="s">
        <v>13659</v>
      </c>
      <c r="J4482" t="s">
        <v>357</v>
      </c>
    </row>
    <row r="4483" spans="1:10" x14ac:dyDescent="0.25">
      <c r="A4483" t="s">
        <v>13660</v>
      </c>
      <c r="B4483" t="s">
        <v>13661</v>
      </c>
      <c r="C4483" s="2">
        <v>46271.583333333336</v>
      </c>
      <c r="D4483" t="s">
        <v>418</v>
      </c>
      <c r="E4483" t="s">
        <v>43</v>
      </c>
      <c r="F4483" t="s">
        <v>340</v>
      </c>
      <c r="G4483" t="s">
        <v>117</v>
      </c>
      <c r="H4483">
        <v>1</v>
      </c>
      <c r="I4483" t="s">
        <v>13662</v>
      </c>
      <c r="J4483" t="s">
        <v>357</v>
      </c>
    </row>
    <row r="4484" spans="1:10" x14ac:dyDescent="0.25">
      <c r="A4484" t="s">
        <v>13663</v>
      </c>
      <c r="B4484" t="s">
        <v>13664</v>
      </c>
      <c r="C4484" s="2">
        <v>46271.583333333336</v>
      </c>
      <c r="D4484" t="s">
        <v>418</v>
      </c>
      <c r="E4484" t="s">
        <v>45</v>
      </c>
      <c r="F4484" t="s">
        <v>341</v>
      </c>
      <c r="G4484" t="s">
        <v>119</v>
      </c>
      <c r="H4484">
        <v>5</v>
      </c>
      <c r="I4484" t="s">
        <v>13665</v>
      </c>
      <c r="J4484" t="s">
        <v>357</v>
      </c>
    </row>
    <row r="4485" spans="1:10" x14ac:dyDescent="0.25">
      <c r="A4485" t="s">
        <v>13666</v>
      </c>
      <c r="B4485" t="s">
        <v>13667</v>
      </c>
      <c r="C4485" s="2">
        <v>46271.583333333336</v>
      </c>
      <c r="D4485" t="s">
        <v>418</v>
      </c>
      <c r="E4485" t="s">
        <v>47</v>
      </c>
      <c r="F4485" t="s">
        <v>282</v>
      </c>
      <c r="G4485" t="s">
        <v>121</v>
      </c>
      <c r="H4485">
        <v>1</v>
      </c>
      <c r="I4485" t="s">
        <v>13668</v>
      </c>
      <c r="J4485" t="s">
        <v>357</v>
      </c>
    </row>
    <row r="4486" spans="1:10" x14ac:dyDescent="0.25">
      <c r="A4486" t="s">
        <v>13669</v>
      </c>
      <c r="B4486" t="s">
        <v>13670</v>
      </c>
      <c r="C4486" s="2">
        <v>46271.583333333336</v>
      </c>
      <c r="D4486" t="s">
        <v>418</v>
      </c>
      <c r="E4486" t="s">
        <v>51</v>
      </c>
      <c r="F4486" t="s">
        <v>323</v>
      </c>
      <c r="G4486" t="s">
        <v>125</v>
      </c>
      <c r="H4486">
        <v>1</v>
      </c>
      <c r="I4486" t="s">
        <v>13671</v>
      </c>
      <c r="J4486" t="s">
        <v>357</v>
      </c>
    </row>
    <row r="4487" spans="1:10" x14ac:dyDescent="0.25">
      <c r="A4487" t="s">
        <v>13672</v>
      </c>
      <c r="B4487" t="s">
        <v>13673</v>
      </c>
      <c r="C4487" s="2">
        <v>46271.583333333336</v>
      </c>
      <c r="D4487" t="s">
        <v>418</v>
      </c>
      <c r="E4487" t="s">
        <v>65</v>
      </c>
      <c r="F4487" t="s">
        <v>313</v>
      </c>
      <c r="G4487" t="s">
        <v>135</v>
      </c>
      <c r="H4487">
        <v>1</v>
      </c>
      <c r="I4487" t="s">
        <v>13674</v>
      </c>
      <c r="J4487" t="s">
        <v>357</v>
      </c>
    </row>
    <row r="4488" spans="1:10" x14ac:dyDescent="0.25">
      <c r="A4488" t="s">
        <v>13675</v>
      </c>
      <c r="B4488" t="s">
        <v>13676</v>
      </c>
      <c r="C4488" s="2">
        <v>46271.583333333336</v>
      </c>
      <c r="D4488" t="s">
        <v>418</v>
      </c>
      <c r="E4488" t="s">
        <v>71</v>
      </c>
      <c r="F4488" t="s">
        <v>302</v>
      </c>
      <c r="G4488" t="s">
        <v>141</v>
      </c>
      <c r="H4488">
        <v>3</v>
      </c>
      <c r="I4488" t="s">
        <v>13677</v>
      </c>
      <c r="J4488" t="s">
        <v>357</v>
      </c>
    </row>
    <row r="4489" spans="1:10" x14ac:dyDescent="0.25">
      <c r="A4489" t="s">
        <v>13678</v>
      </c>
      <c r="B4489" t="s">
        <v>13679</v>
      </c>
      <c r="C4489" s="2">
        <v>46271.583333333336</v>
      </c>
      <c r="D4489" t="s">
        <v>418</v>
      </c>
      <c r="E4489" t="s">
        <v>71</v>
      </c>
      <c r="F4489" t="s">
        <v>329</v>
      </c>
      <c r="G4489" t="s">
        <v>141</v>
      </c>
      <c r="H4489">
        <v>1</v>
      </c>
      <c r="I4489" t="s">
        <v>13677</v>
      </c>
      <c r="J4489" t="s">
        <v>357</v>
      </c>
    </row>
    <row r="4490" spans="1:10" x14ac:dyDescent="0.25">
      <c r="A4490" t="s">
        <v>13680</v>
      </c>
      <c r="B4490" t="s">
        <v>13681</v>
      </c>
      <c r="C4490" s="2">
        <v>46271.583333333336</v>
      </c>
      <c r="D4490" t="s">
        <v>418</v>
      </c>
      <c r="E4490" t="s">
        <v>73</v>
      </c>
      <c r="F4490" t="s">
        <v>303</v>
      </c>
      <c r="G4490" t="s">
        <v>143</v>
      </c>
      <c r="H4490">
        <v>1</v>
      </c>
      <c r="I4490" t="s">
        <v>13682</v>
      </c>
      <c r="J4490" t="s">
        <v>357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CF23-9088-4309-AE65-35191B544729}">
  <dimension ref="A1:C6"/>
  <sheetViews>
    <sheetView workbookViewId="0"/>
  </sheetViews>
  <sheetFormatPr defaultRowHeight="13.8" x14ac:dyDescent="0.25"/>
  <cols>
    <col min="1" max="1" width="11.109375" bestFit="1" customWidth="1"/>
    <col min="2" max="2" width="14.6640625" bestFit="1" customWidth="1"/>
    <col min="3" max="3" width="17.88671875" bestFit="1" customWidth="1"/>
  </cols>
  <sheetData>
    <row r="1" spans="1:3" x14ac:dyDescent="0.25">
      <c r="A1" t="s">
        <v>13924</v>
      </c>
      <c r="B1" t="s">
        <v>14494</v>
      </c>
      <c r="C1" t="s">
        <v>14495</v>
      </c>
    </row>
    <row r="2" spans="1:3" x14ac:dyDescent="0.25">
      <c r="A2" s="8" t="s">
        <v>13929</v>
      </c>
      <c r="B2" s="8" t="s">
        <v>14496</v>
      </c>
      <c r="C2">
        <v>0.8</v>
      </c>
    </row>
    <row r="3" spans="1:3" x14ac:dyDescent="0.25">
      <c r="A3" s="8" t="s">
        <v>13931</v>
      </c>
      <c r="B3" s="8" t="s">
        <v>14497</v>
      </c>
      <c r="C3">
        <v>1</v>
      </c>
    </row>
    <row r="4" spans="1:3" x14ac:dyDescent="0.25">
      <c r="A4" s="8" t="s">
        <v>13933</v>
      </c>
      <c r="B4" s="8" t="s">
        <v>14498</v>
      </c>
      <c r="C4">
        <v>1.2</v>
      </c>
    </row>
    <row r="5" spans="1:3" x14ac:dyDescent="0.25">
      <c r="A5" s="8" t="s">
        <v>13935</v>
      </c>
      <c r="B5" s="8" t="s">
        <v>14499</v>
      </c>
      <c r="C5">
        <v>1.4</v>
      </c>
    </row>
    <row r="6" spans="1:3" x14ac:dyDescent="0.25">
      <c r="A6" s="8" t="s">
        <v>13937</v>
      </c>
      <c r="B6" s="8" t="s">
        <v>14500</v>
      </c>
      <c r="C6">
        <v>0.9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2351-53A8-45B8-9571-44D2F046EDCB}">
  <dimension ref="A1:H4265"/>
  <sheetViews>
    <sheetView tabSelected="1" workbookViewId="0">
      <selection activeCell="F1" sqref="F1"/>
    </sheetView>
  </sheetViews>
  <sheetFormatPr defaultRowHeight="13.8" x14ac:dyDescent="0.25"/>
  <cols>
    <col min="1" max="1" width="16" bestFit="1" customWidth="1"/>
    <col min="2" max="2" width="11.44140625" bestFit="1" customWidth="1"/>
    <col min="3" max="3" width="15.5546875" bestFit="1" customWidth="1"/>
    <col min="4" max="4" width="11.109375" bestFit="1" customWidth="1"/>
    <col min="5" max="5" width="8" bestFit="1" customWidth="1"/>
    <col min="6" max="6" width="17.44140625" bestFit="1" customWidth="1"/>
    <col min="7" max="7" width="23.109375" bestFit="1" customWidth="1"/>
    <col min="8" max="8" width="19.44140625" bestFit="1" customWidth="1"/>
  </cols>
  <sheetData>
    <row r="1" spans="1:8" x14ac:dyDescent="0.25">
      <c r="A1" t="s">
        <v>352</v>
      </c>
      <c r="B1" t="s">
        <v>13922</v>
      </c>
      <c r="C1" t="s">
        <v>13923</v>
      </c>
      <c r="D1" t="s">
        <v>13924</v>
      </c>
      <c r="E1" t="s">
        <v>0</v>
      </c>
      <c r="F1" t="s">
        <v>13925</v>
      </c>
      <c r="G1" t="s">
        <v>13926</v>
      </c>
      <c r="H1" t="s">
        <v>13927</v>
      </c>
    </row>
    <row r="2" spans="1:8" x14ac:dyDescent="0.25">
      <c r="A2" s="8" t="s">
        <v>419</v>
      </c>
      <c r="B2" s="8" t="s">
        <v>13928</v>
      </c>
      <c r="C2" s="2">
        <v>46182.416666666664</v>
      </c>
      <c r="D2" s="8" t="s">
        <v>13929</v>
      </c>
      <c r="E2" s="8" t="s">
        <v>18</v>
      </c>
      <c r="F2">
        <v>1</v>
      </c>
      <c r="G2" s="2">
        <v>46182.75</v>
      </c>
      <c r="H2" s="2">
        <v>46182.583333333336</v>
      </c>
    </row>
    <row r="3" spans="1:8" x14ac:dyDescent="0.25">
      <c r="A3" s="8" t="s">
        <v>422</v>
      </c>
      <c r="B3" s="8" t="s">
        <v>13928</v>
      </c>
      <c r="C3" s="2">
        <v>46182.416666666664</v>
      </c>
      <c r="D3" s="8" t="s">
        <v>13929</v>
      </c>
      <c r="E3" s="8" t="s">
        <v>22</v>
      </c>
      <c r="F3">
        <v>1</v>
      </c>
      <c r="G3" s="2">
        <v>46182.75</v>
      </c>
      <c r="H3" s="2">
        <v>46182.583333333336</v>
      </c>
    </row>
    <row r="4" spans="1:8" x14ac:dyDescent="0.25">
      <c r="A4" s="8" t="s">
        <v>425</v>
      </c>
      <c r="B4" s="8" t="s">
        <v>13928</v>
      </c>
      <c r="C4" s="2">
        <v>46182.416666666664</v>
      </c>
      <c r="D4" s="8" t="s">
        <v>13929</v>
      </c>
      <c r="E4" s="8" t="s">
        <v>51</v>
      </c>
      <c r="F4">
        <v>2</v>
      </c>
      <c r="G4" s="2">
        <v>46182.75</v>
      </c>
      <c r="H4" s="2">
        <v>46182.583333333336</v>
      </c>
    </row>
    <row r="5" spans="1:8" x14ac:dyDescent="0.25">
      <c r="A5" s="8" t="s">
        <v>428</v>
      </c>
      <c r="B5" s="8" t="s">
        <v>13928</v>
      </c>
      <c r="C5" s="2">
        <v>46182.416666666664</v>
      </c>
      <c r="D5" s="8" t="s">
        <v>13929</v>
      </c>
      <c r="E5" s="8" t="s">
        <v>65</v>
      </c>
      <c r="F5">
        <v>1</v>
      </c>
      <c r="G5" s="2">
        <v>46182.75</v>
      </c>
      <c r="H5" s="2">
        <v>46182.583333333336</v>
      </c>
    </row>
    <row r="6" spans="1:8" x14ac:dyDescent="0.25">
      <c r="A6" s="8" t="s">
        <v>431</v>
      </c>
      <c r="B6" s="8" t="s">
        <v>13928</v>
      </c>
      <c r="C6" s="2">
        <v>46182.416666666664</v>
      </c>
      <c r="D6" s="8" t="s">
        <v>13929</v>
      </c>
      <c r="E6" s="8" t="s">
        <v>73</v>
      </c>
      <c r="F6">
        <v>2</v>
      </c>
      <c r="G6" s="2">
        <v>46182.75</v>
      </c>
      <c r="H6" s="2">
        <v>46182.583333333336</v>
      </c>
    </row>
    <row r="7" spans="1:8" x14ac:dyDescent="0.25">
      <c r="A7" s="8" t="s">
        <v>434</v>
      </c>
      <c r="B7" s="8" t="s">
        <v>13930</v>
      </c>
      <c r="C7" s="2">
        <v>46182.416666666664</v>
      </c>
      <c r="D7" s="8" t="s">
        <v>13931</v>
      </c>
      <c r="E7" s="8" t="s">
        <v>11</v>
      </c>
      <c r="F7">
        <v>3</v>
      </c>
      <c r="G7" s="2">
        <v>46182.75</v>
      </c>
      <c r="H7" s="2">
        <v>46182.583333333336</v>
      </c>
    </row>
    <row r="8" spans="1:8" x14ac:dyDescent="0.25">
      <c r="A8" s="8" t="s">
        <v>437</v>
      </c>
      <c r="B8" s="8" t="s">
        <v>13930</v>
      </c>
      <c r="C8" s="2">
        <v>46182.416666666664</v>
      </c>
      <c r="D8" s="8" t="s">
        <v>13931</v>
      </c>
      <c r="E8" s="8" t="s">
        <v>18</v>
      </c>
      <c r="F8">
        <v>5</v>
      </c>
      <c r="G8" s="2">
        <v>46182.75</v>
      </c>
      <c r="H8" s="2">
        <v>46182.583333333336</v>
      </c>
    </row>
    <row r="9" spans="1:8" x14ac:dyDescent="0.25">
      <c r="A9" s="8" t="s">
        <v>440</v>
      </c>
      <c r="B9" s="8" t="s">
        <v>13930</v>
      </c>
      <c r="C9" s="2">
        <v>46182.416666666664</v>
      </c>
      <c r="D9" s="8" t="s">
        <v>13931</v>
      </c>
      <c r="E9" s="8" t="s">
        <v>20</v>
      </c>
      <c r="F9">
        <v>4</v>
      </c>
      <c r="G9" s="2">
        <v>46182.75</v>
      </c>
      <c r="H9" s="2">
        <v>46182.583333333336</v>
      </c>
    </row>
    <row r="10" spans="1:8" x14ac:dyDescent="0.25">
      <c r="A10" s="8" t="s">
        <v>443</v>
      </c>
      <c r="B10" s="8" t="s">
        <v>13930</v>
      </c>
      <c r="C10" s="2">
        <v>46182.416666666664</v>
      </c>
      <c r="D10" s="8" t="s">
        <v>13931</v>
      </c>
      <c r="E10" s="8" t="s">
        <v>22</v>
      </c>
      <c r="F10">
        <v>1</v>
      </c>
      <c r="G10" s="2">
        <v>46182.75</v>
      </c>
      <c r="H10" s="2">
        <v>46182.583333333336</v>
      </c>
    </row>
    <row r="11" spans="1:8" x14ac:dyDescent="0.25">
      <c r="A11" s="8" t="s">
        <v>446</v>
      </c>
      <c r="B11" s="8" t="s">
        <v>13930</v>
      </c>
      <c r="C11" s="2">
        <v>46182.416666666664</v>
      </c>
      <c r="D11" s="8" t="s">
        <v>13931</v>
      </c>
      <c r="E11" s="8" t="s">
        <v>24</v>
      </c>
      <c r="F11">
        <v>3</v>
      </c>
      <c r="G11" s="2">
        <v>46182.75</v>
      </c>
      <c r="H11" s="2">
        <v>46182.583333333336</v>
      </c>
    </row>
    <row r="12" spans="1:8" x14ac:dyDescent="0.25">
      <c r="A12" s="8" t="s">
        <v>449</v>
      </c>
      <c r="B12" s="8" t="s">
        <v>13930</v>
      </c>
      <c r="C12" s="2">
        <v>46182.416666666664</v>
      </c>
      <c r="D12" s="8" t="s">
        <v>13931</v>
      </c>
      <c r="E12" s="8" t="s">
        <v>36</v>
      </c>
      <c r="F12">
        <v>1</v>
      </c>
      <c r="G12" s="2">
        <v>46182.75</v>
      </c>
      <c r="H12" s="2">
        <v>46182.583333333336</v>
      </c>
    </row>
    <row r="13" spans="1:8" x14ac:dyDescent="0.25">
      <c r="A13" s="8" t="s">
        <v>452</v>
      </c>
      <c r="B13" s="8" t="s">
        <v>13930</v>
      </c>
      <c r="C13" s="2">
        <v>46182.416666666664</v>
      </c>
      <c r="D13" s="8" t="s">
        <v>13931</v>
      </c>
      <c r="E13" s="8" t="s">
        <v>69</v>
      </c>
      <c r="F13">
        <v>1</v>
      </c>
      <c r="G13" s="2">
        <v>46182.75</v>
      </c>
      <c r="H13" s="2">
        <v>46182.583333333336</v>
      </c>
    </row>
    <row r="14" spans="1:8" x14ac:dyDescent="0.25">
      <c r="A14" s="8" t="s">
        <v>455</v>
      </c>
      <c r="B14" s="8" t="s">
        <v>13930</v>
      </c>
      <c r="C14" s="2">
        <v>46182.416666666664</v>
      </c>
      <c r="D14" s="8" t="s">
        <v>13931</v>
      </c>
      <c r="E14" s="8" t="s">
        <v>71</v>
      </c>
      <c r="F14">
        <v>1</v>
      </c>
      <c r="G14" s="2">
        <v>46182.75</v>
      </c>
      <c r="H14" s="2">
        <v>46182.583333333336</v>
      </c>
    </row>
    <row r="15" spans="1:8" x14ac:dyDescent="0.25">
      <c r="A15" s="8" t="s">
        <v>458</v>
      </c>
      <c r="B15" s="8" t="s">
        <v>13930</v>
      </c>
      <c r="C15" s="2">
        <v>46182.416666666664</v>
      </c>
      <c r="D15" s="8" t="s">
        <v>13931</v>
      </c>
      <c r="E15" s="8" t="s">
        <v>75</v>
      </c>
      <c r="F15">
        <v>5</v>
      </c>
      <c r="G15" s="2">
        <v>46182.75</v>
      </c>
      <c r="H15" s="2">
        <v>46182.583333333336</v>
      </c>
    </row>
    <row r="16" spans="1:8" x14ac:dyDescent="0.25">
      <c r="A16" s="8" t="s">
        <v>461</v>
      </c>
      <c r="B16" s="8" t="s">
        <v>13932</v>
      </c>
      <c r="C16" s="2">
        <v>46182.416666666664</v>
      </c>
      <c r="D16" s="8" t="s">
        <v>13933</v>
      </c>
      <c r="E16" s="8" t="s">
        <v>20</v>
      </c>
      <c r="F16">
        <v>6</v>
      </c>
      <c r="G16" s="2">
        <v>46182.75</v>
      </c>
      <c r="H16" s="2">
        <v>46182.583333333336</v>
      </c>
    </row>
    <row r="17" spans="1:8" x14ac:dyDescent="0.25">
      <c r="A17" s="8" t="s">
        <v>464</v>
      </c>
      <c r="B17" s="8" t="s">
        <v>13932</v>
      </c>
      <c r="C17" s="2">
        <v>46182.416666666664</v>
      </c>
      <c r="D17" s="8" t="s">
        <v>13933</v>
      </c>
      <c r="E17" s="8" t="s">
        <v>24</v>
      </c>
      <c r="F17">
        <v>2</v>
      </c>
      <c r="G17" s="2">
        <v>46182.75</v>
      </c>
      <c r="H17" s="2">
        <v>46182.583333333336</v>
      </c>
    </row>
    <row r="18" spans="1:8" x14ac:dyDescent="0.25">
      <c r="A18" s="8" t="s">
        <v>467</v>
      </c>
      <c r="B18" s="8" t="s">
        <v>13932</v>
      </c>
      <c r="C18" s="2">
        <v>46182.416666666664</v>
      </c>
      <c r="D18" s="8" t="s">
        <v>13933</v>
      </c>
      <c r="E18" s="8" t="s">
        <v>28</v>
      </c>
      <c r="F18">
        <v>2</v>
      </c>
      <c r="G18" s="2">
        <v>46182.75</v>
      </c>
      <c r="H18" s="2">
        <v>46182.583333333336</v>
      </c>
    </row>
    <row r="19" spans="1:8" x14ac:dyDescent="0.25">
      <c r="A19" s="8" t="s">
        <v>470</v>
      </c>
      <c r="B19" s="8" t="s">
        <v>13932</v>
      </c>
      <c r="C19" s="2">
        <v>46182.416666666664</v>
      </c>
      <c r="D19" s="8" t="s">
        <v>13933</v>
      </c>
      <c r="E19" s="8" t="s">
        <v>53</v>
      </c>
      <c r="F19">
        <v>1</v>
      </c>
      <c r="G19" s="2">
        <v>46182.75</v>
      </c>
      <c r="H19" s="2">
        <v>46182.583333333336</v>
      </c>
    </row>
    <row r="20" spans="1:8" x14ac:dyDescent="0.25">
      <c r="A20" s="8" t="s">
        <v>473</v>
      </c>
      <c r="B20" s="8" t="s">
        <v>13932</v>
      </c>
      <c r="C20" s="2">
        <v>46182.416666666664</v>
      </c>
      <c r="D20" s="8" t="s">
        <v>13933</v>
      </c>
      <c r="E20" s="8" t="s">
        <v>55</v>
      </c>
      <c r="F20">
        <v>6</v>
      </c>
      <c r="G20" s="2">
        <v>46182.75</v>
      </c>
      <c r="H20" s="2">
        <v>46182.583333333336</v>
      </c>
    </row>
    <row r="21" spans="1:8" x14ac:dyDescent="0.25">
      <c r="A21" s="8" t="s">
        <v>476</v>
      </c>
      <c r="B21" s="8" t="s">
        <v>13932</v>
      </c>
      <c r="C21" s="2">
        <v>46182.416666666664</v>
      </c>
      <c r="D21" s="8" t="s">
        <v>13933</v>
      </c>
      <c r="E21" s="8" t="s">
        <v>75</v>
      </c>
      <c r="F21">
        <v>5</v>
      </c>
      <c r="G21" s="2">
        <v>46182.75</v>
      </c>
      <c r="H21" s="2">
        <v>46182.583333333336</v>
      </c>
    </row>
    <row r="22" spans="1:8" x14ac:dyDescent="0.25">
      <c r="A22" s="8" t="s">
        <v>479</v>
      </c>
      <c r="B22" s="8" t="s">
        <v>13934</v>
      </c>
      <c r="C22" s="2">
        <v>46182.416666666664</v>
      </c>
      <c r="D22" s="8" t="s">
        <v>13935</v>
      </c>
      <c r="E22" s="8" t="s">
        <v>20</v>
      </c>
      <c r="F22">
        <v>3</v>
      </c>
      <c r="G22" s="2">
        <v>46182.75</v>
      </c>
      <c r="H22" s="2">
        <v>46182.583333333336</v>
      </c>
    </row>
    <row r="23" spans="1:8" x14ac:dyDescent="0.25">
      <c r="A23" s="8" t="s">
        <v>482</v>
      </c>
      <c r="B23" s="8" t="s">
        <v>13934</v>
      </c>
      <c r="C23" s="2">
        <v>46182.416666666664</v>
      </c>
      <c r="D23" s="8" t="s">
        <v>13935</v>
      </c>
      <c r="E23" s="8" t="s">
        <v>22</v>
      </c>
      <c r="F23">
        <v>4</v>
      </c>
      <c r="G23" s="2">
        <v>46182.75</v>
      </c>
      <c r="H23" s="2">
        <v>46182.583333333336</v>
      </c>
    </row>
    <row r="24" spans="1:8" x14ac:dyDescent="0.25">
      <c r="A24" s="8" t="s">
        <v>485</v>
      </c>
      <c r="B24" s="8" t="s">
        <v>13934</v>
      </c>
      <c r="C24" s="2">
        <v>46182.416666666664</v>
      </c>
      <c r="D24" s="8" t="s">
        <v>13935</v>
      </c>
      <c r="E24" s="8" t="s">
        <v>26</v>
      </c>
      <c r="F24">
        <v>4</v>
      </c>
      <c r="G24" s="2">
        <v>46182.75</v>
      </c>
      <c r="H24" s="2">
        <v>46182.583333333336</v>
      </c>
    </row>
    <row r="25" spans="1:8" x14ac:dyDescent="0.25">
      <c r="A25" s="8" t="s">
        <v>488</v>
      </c>
      <c r="B25" s="8" t="s">
        <v>13934</v>
      </c>
      <c r="C25" s="2">
        <v>46182.416666666664</v>
      </c>
      <c r="D25" s="8" t="s">
        <v>13935</v>
      </c>
      <c r="E25" s="8" t="s">
        <v>36</v>
      </c>
      <c r="F25">
        <v>4</v>
      </c>
      <c r="G25" s="2">
        <v>46182.75</v>
      </c>
      <c r="H25" s="2">
        <v>46182.583333333336</v>
      </c>
    </row>
    <row r="26" spans="1:8" x14ac:dyDescent="0.25">
      <c r="A26" s="8" t="s">
        <v>491</v>
      </c>
      <c r="B26" s="8" t="s">
        <v>13934</v>
      </c>
      <c r="C26" s="2">
        <v>46182.416666666664</v>
      </c>
      <c r="D26" s="8" t="s">
        <v>13935</v>
      </c>
      <c r="E26" s="8" t="s">
        <v>49</v>
      </c>
      <c r="F26">
        <v>4</v>
      </c>
      <c r="G26" s="2">
        <v>46182.75</v>
      </c>
      <c r="H26" s="2">
        <v>46182.583333333336</v>
      </c>
    </row>
    <row r="27" spans="1:8" x14ac:dyDescent="0.25">
      <c r="A27" s="8" t="s">
        <v>494</v>
      </c>
      <c r="B27" s="8" t="s">
        <v>13934</v>
      </c>
      <c r="C27" s="2">
        <v>46182.416666666664</v>
      </c>
      <c r="D27" s="8" t="s">
        <v>13935</v>
      </c>
      <c r="E27" s="8" t="s">
        <v>55</v>
      </c>
      <c r="F27">
        <v>6</v>
      </c>
      <c r="G27" s="2">
        <v>46182.75</v>
      </c>
      <c r="H27" s="2">
        <v>46182.583333333336</v>
      </c>
    </row>
    <row r="28" spans="1:8" x14ac:dyDescent="0.25">
      <c r="A28" s="8" t="s">
        <v>497</v>
      </c>
      <c r="B28" s="8" t="s">
        <v>13936</v>
      </c>
      <c r="C28" s="2">
        <v>46182.416666666664</v>
      </c>
      <c r="D28" s="8" t="s">
        <v>13937</v>
      </c>
      <c r="E28" s="8" t="s">
        <v>20</v>
      </c>
      <c r="F28">
        <v>4</v>
      </c>
      <c r="G28" s="2">
        <v>46182.75</v>
      </c>
      <c r="H28" s="2">
        <v>46182.583333333336</v>
      </c>
    </row>
    <row r="29" spans="1:8" x14ac:dyDescent="0.25">
      <c r="A29" s="8" t="s">
        <v>500</v>
      </c>
      <c r="B29" s="8" t="s">
        <v>13936</v>
      </c>
      <c r="C29" s="2">
        <v>46182.416666666664</v>
      </c>
      <c r="D29" s="8" t="s">
        <v>13937</v>
      </c>
      <c r="E29" s="8" t="s">
        <v>22</v>
      </c>
      <c r="F29">
        <v>4</v>
      </c>
      <c r="G29" s="2">
        <v>46182.75</v>
      </c>
      <c r="H29" s="2">
        <v>46182.583333333336</v>
      </c>
    </row>
    <row r="30" spans="1:8" x14ac:dyDescent="0.25">
      <c r="A30" s="8" t="s">
        <v>503</v>
      </c>
      <c r="B30" s="8" t="s">
        <v>13936</v>
      </c>
      <c r="C30" s="2">
        <v>46182.416666666664</v>
      </c>
      <c r="D30" s="8" t="s">
        <v>13937</v>
      </c>
      <c r="E30" s="8" t="s">
        <v>24</v>
      </c>
      <c r="F30">
        <v>2</v>
      </c>
      <c r="G30" s="2">
        <v>46182.75</v>
      </c>
      <c r="H30" s="2">
        <v>46182.583333333336</v>
      </c>
    </row>
    <row r="31" spans="1:8" x14ac:dyDescent="0.25">
      <c r="A31" s="8" t="s">
        <v>506</v>
      </c>
      <c r="B31" s="8" t="s">
        <v>13936</v>
      </c>
      <c r="C31" s="2">
        <v>46182.416666666664</v>
      </c>
      <c r="D31" s="8" t="s">
        <v>13937</v>
      </c>
      <c r="E31" s="8" t="s">
        <v>26</v>
      </c>
      <c r="F31">
        <v>3</v>
      </c>
      <c r="G31" s="2">
        <v>46182.75</v>
      </c>
      <c r="H31" s="2">
        <v>46182.583333333336</v>
      </c>
    </row>
    <row r="32" spans="1:8" x14ac:dyDescent="0.25">
      <c r="A32" s="8" t="s">
        <v>509</v>
      </c>
      <c r="B32" s="8" t="s">
        <v>13936</v>
      </c>
      <c r="C32" s="2">
        <v>46182.416666666664</v>
      </c>
      <c r="D32" s="8" t="s">
        <v>13937</v>
      </c>
      <c r="E32" s="8" t="s">
        <v>36</v>
      </c>
      <c r="F32">
        <v>4</v>
      </c>
      <c r="G32" s="2">
        <v>46182.75</v>
      </c>
      <c r="H32" s="2">
        <v>46182.583333333336</v>
      </c>
    </row>
    <row r="33" spans="1:8" x14ac:dyDescent="0.25">
      <c r="A33" s="8" t="s">
        <v>512</v>
      </c>
      <c r="B33" s="8" t="s">
        <v>13936</v>
      </c>
      <c r="C33" s="2">
        <v>46182.416666666664</v>
      </c>
      <c r="D33" s="8" t="s">
        <v>13937</v>
      </c>
      <c r="E33" s="8" t="s">
        <v>41</v>
      </c>
      <c r="F33">
        <v>1</v>
      </c>
      <c r="G33" s="2">
        <v>46182.75</v>
      </c>
      <c r="H33" s="2">
        <v>46182.583333333336</v>
      </c>
    </row>
    <row r="34" spans="1:8" x14ac:dyDescent="0.25">
      <c r="A34" s="8" t="s">
        <v>515</v>
      </c>
      <c r="B34" s="8" t="s">
        <v>13936</v>
      </c>
      <c r="C34" s="2">
        <v>46182.416666666664</v>
      </c>
      <c r="D34" s="8" t="s">
        <v>13937</v>
      </c>
      <c r="E34" s="8" t="s">
        <v>45</v>
      </c>
      <c r="F34">
        <v>1</v>
      </c>
      <c r="G34" s="2">
        <v>46182.75</v>
      </c>
      <c r="H34" s="2">
        <v>46182.583333333336</v>
      </c>
    </row>
    <row r="35" spans="1:8" x14ac:dyDescent="0.25">
      <c r="A35" s="8" t="s">
        <v>518</v>
      </c>
      <c r="B35" s="8" t="s">
        <v>13936</v>
      </c>
      <c r="C35" s="2">
        <v>46182.416666666664</v>
      </c>
      <c r="D35" s="8" t="s">
        <v>13937</v>
      </c>
      <c r="E35" s="8" t="s">
        <v>49</v>
      </c>
      <c r="F35">
        <v>2</v>
      </c>
      <c r="G35" s="2">
        <v>46182.75</v>
      </c>
      <c r="H35" s="2">
        <v>46182.583333333336</v>
      </c>
    </row>
    <row r="36" spans="1:8" x14ac:dyDescent="0.25">
      <c r="A36" s="8" t="s">
        <v>521</v>
      </c>
      <c r="B36" s="8" t="s">
        <v>13936</v>
      </c>
      <c r="C36" s="2">
        <v>46182.416666666664</v>
      </c>
      <c r="D36" s="8" t="s">
        <v>13937</v>
      </c>
      <c r="E36" s="8" t="s">
        <v>67</v>
      </c>
      <c r="F36">
        <v>4</v>
      </c>
      <c r="G36" s="2">
        <v>46182.75</v>
      </c>
      <c r="H36" s="2">
        <v>46182.583333333336</v>
      </c>
    </row>
    <row r="37" spans="1:8" x14ac:dyDescent="0.25">
      <c r="A37" s="8" t="s">
        <v>524</v>
      </c>
      <c r="B37" s="8" t="s">
        <v>13936</v>
      </c>
      <c r="C37" s="2">
        <v>46182.416666666664</v>
      </c>
      <c r="D37" s="8" t="s">
        <v>13937</v>
      </c>
      <c r="E37" s="8" t="s">
        <v>69</v>
      </c>
      <c r="F37">
        <v>2</v>
      </c>
      <c r="G37" s="2">
        <v>46182.75</v>
      </c>
      <c r="H37" s="2">
        <v>46182.583333333336</v>
      </c>
    </row>
    <row r="38" spans="1:8" x14ac:dyDescent="0.25">
      <c r="A38" s="8" t="s">
        <v>527</v>
      </c>
      <c r="B38" s="8" t="s">
        <v>13936</v>
      </c>
      <c r="C38" s="2">
        <v>46182.416666666664</v>
      </c>
      <c r="D38" s="8" t="s">
        <v>13937</v>
      </c>
      <c r="E38" s="8" t="s">
        <v>71</v>
      </c>
      <c r="F38">
        <v>4</v>
      </c>
      <c r="G38" s="2">
        <v>46182.75</v>
      </c>
      <c r="H38" s="2">
        <v>46182.583333333336</v>
      </c>
    </row>
    <row r="39" spans="1:8" x14ac:dyDescent="0.25">
      <c r="A39" s="8" t="s">
        <v>530</v>
      </c>
      <c r="B39" s="8" t="s">
        <v>13936</v>
      </c>
      <c r="C39" s="2">
        <v>46182.416666666664</v>
      </c>
      <c r="D39" s="8" t="s">
        <v>13937</v>
      </c>
      <c r="E39" s="8" t="s">
        <v>77</v>
      </c>
      <c r="F39">
        <v>3</v>
      </c>
      <c r="G39" s="2">
        <v>46182.75</v>
      </c>
      <c r="H39" s="2">
        <v>46182.583333333336</v>
      </c>
    </row>
    <row r="40" spans="1:8" x14ac:dyDescent="0.25">
      <c r="A40" s="8" t="s">
        <v>533</v>
      </c>
      <c r="B40" s="8" t="s">
        <v>13938</v>
      </c>
      <c r="C40" s="2">
        <v>46183.416666666664</v>
      </c>
      <c r="D40" s="8" t="s">
        <v>13929</v>
      </c>
      <c r="E40" s="8" t="s">
        <v>11</v>
      </c>
      <c r="F40">
        <v>4</v>
      </c>
      <c r="G40" s="2">
        <v>46183.75</v>
      </c>
      <c r="H40" s="2">
        <v>46183.583333333336</v>
      </c>
    </row>
    <row r="41" spans="1:8" x14ac:dyDescent="0.25">
      <c r="A41" s="8" t="s">
        <v>536</v>
      </c>
      <c r="B41" s="8" t="s">
        <v>13938</v>
      </c>
      <c r="C41" s="2">
        <v>46183.416666666664</v>
      </c>
      <c r="D41" s="8" t="s">
        <v>13929</v>
      </c>
      <c r="E41" s="8" t="s">
        <v>20</v>
      </c>
      <c r="F41">
        <v>4</v>
      </c>
      <c r="G41" s="2">
        <v>46183.75</v>
      </c>
      <c r="H41" s="2">
        <v>46183.583333333336</v>
      </c>
    </row>
    <row r="42" spans="1:8" x14ac:dyDescent="0.25">
      <c r="A42" s="8" t="s">
        <v>539</v>
      </c>
      <c r="B42" s="8" t="s">
        <v>13938</v>
      </c>
      <c r="C42" s="2">
        <v>46183.416666666664</v>
      </c>
      <c r="D42" s="8" t="s">
        <v>13929</v>
      </c>
      <c r="E42" s="8" t="s">
        <v>22</v>
      </c>
      <c r="F42">
        <v>3</v>
      </c>
      <c r="G42" s="2">
        <v>46183.75</v>
      </c>
      <c r="H42" s="2">
        <v>46183.583333333336</v>
      </c>
    </row>
    <row r="43" spans="1:8" x14ac:dyDescent="0.25">
      <c r="A43" s="8" t="s">
        <v>542</v>
      </c>
      <c r="B43" s="8" t="s">
        <v>13938</v>
      </c>
      <c r="C43" s="2">
        <v>46183.416666666664</v>
      </c>
      <c r="D43" s="8" t="s">
        <v>13929</v>
      </c>
      <c r="E43" s="8" t="s">
        <v>26</v>
      </c>
      <c r="F43">
        <v>3</v>
      </c>
      <c r="G43" s="2">
        <v>46183.75</v>
      </c>
      <c r="H43" s="2">
        <v>46183.583333333336</v>
      </c>
    </row>
    <row r="44" spans="1:8" x14ac:dyDescent="0.25">
      <c r="A44" s="8" t="s">
        <v>545</v>
      </c>
      <c r="B44" s="8" t="s">
        <v>13938</v>
      </c>
      <c r="C44" s="2">
        <v>46183.416666666664</v>
      </c>
      <c r="D44" s="8" t="s">
        <v>13929</v>
      </c>
      <c r="E44" s="8" t="s">
        <v>45</v>
      </c>
      <c r="F44">
        <v>3</v>
      </c>
      <c r="G44" s="2">
        <v>46183.75</v>
      </c>
      <c r="H44" s="2">
        <v>46183.583333333336</v>
      </c>
    </row>
    <row r="45" spans="1:8" x14ac:dyDescent="0.25">
      <c r="A45" s="8" t="s">
        <v>548</v>
      </c>
      <c r="B45" s="8" t="s">
        <v>13938</v>
      </c>
      <c r="C45" s="2">
        <v>46183.416666666664</v>
      </c>
      <c r="D45" s="8" t="s">
        <v>13929</v>
      </c>
      <c r="E45" s="8" t="s">
        <v>47</v>
      </c>
      <c r="F45">
        <v>2</v>
      </c>
      <c r="G45" s="2">
        <v>46183.75</v>
      </c>
      <c r="H45" s="2">
        <v>46183.583333333336</v>
      </c>
    </row>
    <row r="46" spans="1:8" x14ac:dyDescent="0.25">
      <c r="A46" s="8" t="s">
        <v>551</v>
      </c>
      <c r="B46" s="8" t="s">
        <v>13938</v>
      </c>
      <c r="C46" s="2">
        <v>46183.416666666664</v>
      </c>
      <c r="D46" s="8" t="s">
        <v>13929</v>
      </c>
      <c r="E46" s="8" t="s">
        <v>55</v>
      </c>
      <c r="F46">
        <v>2</v>
      </c>
      <c r="G46" s="2">
        <v>46183.75</v>
      </c>
      <c r="H46" s="2">
        <v>46183.583333333336</v>
      </c>
    </row>
    <row r="47" spans="1:8" x14ac:dyDescent="0.25">
      <c r="A47" s="8" t="s">
        <v>554</v>
      </c>
      <c r="B47" s="8" t="s">
        <v>13938</v>
      </c>
      <c r="C47" s="2">
        <v>46183.416666666664</v>
      </c>
      <c r="D47" s="8" t="s">
        <v>13929</v>
      </c>
      <c r="E47" s="8" t="s">
        <v>65</v>
      </c>
      <c r="F47">
        <v>2</v>
      </c>
      <c r="G47" s="2">
        <v>46183.75</v>
      </c>
      <c r="H47" s="2">
        <v>46183.583333333336</v>
      </c>
    </row>
    <row r="48" spans="1:8" x14ac:dyDescent="0.25">
      <c r="A48" s="8" t="s">
        <v>557</v>
      </c>
      <c r="B48" s="8" t="s">
        <v>13938</v>
      </c>
      <c r="C48" s="2">
        <v>46183.416666666664</v>
      </c>
      <c r="D48" s="8" t="s">
        <v>13929</v>
      </c>
      <c r="E48" s="8" t="s">
        <v>67</v>
      </c>
      <c r="F48">
        <v>2</v>
      </c>
      <c r="G48" s="2">
        <v>46183.75</v>
      </c>
      <c r="H48" s="2">
        <v>46183.583333333336</v>
      </c>
    </row>
    <row r="49" spans="1:8" x14ac:dyDescent="0.25">
      <c r="A49" s="8" t="s">
        <v>560</v>
      </c>
      <c r="B49" s="8" t="s">
        <v>13938</v>
      </c>
      <c r="C49" s="2">
        <v>46183.416666666664</v>
      </c>
      <c r="D49" s="8" t="s">
        <v>13929</v>
      </c>
      <c r="E49" s="8" t="s">
        <v>71</v>
      </c>
      <c r="F49">
        <v>1</v>
      </c>
      <c r="G49" s="2">
        <v>46183.75</v>
      </c>
      <c r="H49" s="2">
        <v>46183.583333333336</v>
      </c>
    </row>
    <row r="50" spans="1:8" x14ac:dyDescent="0.25">
      <c r="A50" s="8" t="s">
        <v>563</v>
      </c>
      <c r="B50" s="8" t="s">
        <v>13938</v>
      </c>
      <c r="C50" s="2">
        <v>46183.416666666664</v>
      </c>
      <c r="D50" s="8" t="s">
        <v>13929</v>
      </c>
      <c r="E50" s="8" t="s">
        <v>77</v>
      </c>
      <c r="F50">
        <v>3</v>
      </c>
      <c r="G50" s="2">
        <v>46183.75</v>
      </c>
      <c r="H50" s="2">
        <v>46183.583333333336</v>
      </c>
    </row>
    <row r="51" spans="1:8" x14ac:dyDescent="0.25">
      <c r="A51" s="8" t="s">
        <v>566</v>
      </c>
      <c r="B51" s="8" t="s">
        <v>13939</v>
      </c>
      <c r="C51" s="2">
        <v>46183.416666666664</v>
      </c>
      <c r="D51" s="8" t="s">
        <v>13931</v>
      </c>
      <c r="E51" s="8" t="s">
        <v>11</v>
      </c>
      <c r="F51">
        <v>2</v>
      </c>
      <c r="G51" s="2">
        <v>46183.75</v>
      </c>
      <c r="H51" s="2">
        <v>46183.583333333336</v>
      </c>
    </row>
    <row r="52" spans="1:8" x14ac:dyDescent="0.25">
      <c r="A52" s="8" t="s">
        <v>569</v>
      </c>
      <c r="B52" s="8" t="s">
        <v>13939</v>
      </c>
      <c r="C52" s="2">
        <v>46183.416666666664</v>
      </c>
      <c r="D52" s="8" t="s">
        <v>13931</v>
      </c>
      <c r="E52" s="8" t="s">
        <v>18</v>
      </c>
      <c r="F52">
        <v>4</v>
      </c>
      <c r="G52" s="2">
        <v>46183.75</v>
      </c>
      <c r="H52" s="2">
        <v>46183.583333333336</v>
      </c>
    </row>
    <row r="53" spans="1:8" x14ac:dyDescent="0.25">
      <c r="A53" s="8" t="s">
        <v>572</v>
      </c>
      <c r="B53" s="8" t="s">
        <v>13939</v>
      </c>
      <c r="C53" s="2">
        <v>46183.416666666664</v>
      </c>
      <c r="D53" s="8" t="s">
        <v>13931</v>
      </c>
      <c r="E53" s="8" t="s">
        <v>20</v>
      </c>
      <c r="F53">
        <v>1</v>
      </c>
      <c r="G53" s="2">
        <v>46183.75</v>
      </c>
      <c r="H53" s="2">
        <v>46183.583333333336</v>
      </c>
    </row>
    <row r="54" spans="1:8" x14ac:dyDescent="0.25">
      <c r="A54" s="8" t="s">
        <v>575</v>
      </c>
      <c r="B54" s="8" t="s">
        <v>13939</v>
      </c>
      <c r="C54" s="2">
        <v>46183.416666666664</v>
      </c>
      <c r="D54" s="8" t="s">
        <v>13931</v>
      </c>
      <c r="E54" s="8" t="s">
        <v>26</v>
      </c>
      <c r="F54">
        <v>5</v>
      </c>
      <c r="G54" s="2">
        <v>46183.75</v>
      </c>
      <c r="H54" s="2">
        <v>46183.583333333336</v>
      </c>
    </row>
    <row r="55" spans="1:8" x14ac:dyDescent="0.25">
      <c r="A55" s="8" t="s">
        <v>578</v>
      </c>
      <c r="B55" s="8" t="s">
        <v>13939</v>
      </c>
      <c r="C55" s="2">
        <v>46183.416666666664</v>
      </c>
      <c r="D55" s="8" t="s">
        <v>13931</v>
      </c>
      <c r="E55" s="8" t="s">
        <v>36</v>
      </c>
      <c r="F55">
        <v>4</v>
      </c>
      <c r="G55" s="2">
        <v>46183.75</v>
      </c>
      <c r="H55" s="2">
        <v>46183.583333333336</v>
      </c>
    </row>
    <row r="56" spans="1:8" x14ac:dyDescent="0.25">
      <c r="A56" s="8" t="s">
        <v>581</v>
      </c>
      <c r="B56" s="8" t="s">
        <v>13939</v>
      </c>
      <c r="C56" s="2">
        <v>46183.416666666664</v>
      </c>
      <c r="D56" s="8" t="s">
        <v>13931</v>
      </c>
      <c r="E56" s="8" t="s">
        <v>49</v>
      </c>
      <c r="F56">
        <v>1</v>
      </c>
      <c r="G56" s="2">
        <v>46183.75</v>
      </c>
      <c r="H56" s="2">
        <v>46183.583333333336</v>
      </c>
    </row>
    <row r="57" spans="1:8" x14ac:dyDescent="0.25">
      <c r="A57" s="8" t="s">
        <v>584</v>
      </c>
      <c r="B57" s="8" t="s">
        <v>13939</v>
      </c>
      <c r="C57" s="2">
        <v>46183.416666666664</v>
      </c>
      <c r="D57" s="8" t="s">
        <v>13931</v>
      </c>
      <c r="E57" s="8" t="s">
        <v>51</v>
      </c>
      <c r="F57">
        <v>1</v>
      </c>
      <c r="G57" s="2">
        <v>46183.75</v>
      </c>
      <c r="H57" s="2">
        <v>46183.583333333336</v>
      </c>
    </row>
    <row r="58" spans="1:8" x14ac:dyDescent="0.25">
      <c r="A58" s="8" t="s">
        <v>587</v>
      </c>
      <c r="B58" s="8" t="s">
        <v>13940</v>
      </c>
      <c r="C58" s="2">
        <v>46183.416666666664</v>
      </c>
      <c r="D58" s="8" t="s">
        <v>13933</v>
      </c>
      <c r="E58" s="8" t="s">
        <v>11</v>
      </c>
      <c r="F58">
        <v>1</v>
      </c>
      <c r="G58" s="2">
        <v>46183.75</v>
      </c>
      <c r="H58" s="2">
        <v>46183.583333333336</v>
      </c>
    </row>
    <row r="59" spans="1:8" x14ac:dyDescent="0.25">
      <c r="A59" s="8" t="s">
        <v>590</v>
      </c>
      <c r="B59" s="8" t="s">
        <v>13940</v>
      </c>
      <c r="C59" s="2">
        <v>46183.416666666664</v>
      </c>
      <c r="D59" s="8" t="s">
        <v>13933</v>
      </c>
      <c r="E59" s="8" t="s">
        <v>20</v>
      </c>
      <c r="F59">
        <v>5</v>
      </c>
      <c r="G59" s="2">
        <v>46183.75</v>
      </c>
      <c r="H59" s="2">
        <v>46183.583333333336</v>
      </c>
    </row>
    <row r="60" spans="1:8" x14ac:dyDescent="0.25">
      <c r="A60" s="8" t="s">
        <v>593</v>
      </c>
      <c r="B60" s="8" t="s">
        <v>13940</v>
      </c>
      <c r="C60" s="2">
        <v>46183.416666666664</v>
      </c>
      <c r="D60" s="8" t="s">
        <v>13933</v>
      </c>
      <c r="E60" s="8" t="s">
        <v>41</v>
      </c>
      <c r="F60">
        <v>5</v>
      </c>
      <c r="G60" s="2">
        <v>46183.75</v>
      </c>
      <c r="H60" s="2">
        <v>46183.583333333336</v>
      </c>
    </row>
    <row r="61" spans="1:8" x14ac:dyDescent="0.25">
      <c r="A61" s="8" t="s">
        <v>596</v>
      </c>
      <c r="B61" s="8" t="s">
        <v>13940</v>
      </c>
      <c r="C61" s="2">
        <v>46183.416666666664</v>
      </c>
      <c r="D61" s="8" t="s">
        <v>13933</v>
      </c>
      <c r="E61" s="8" t="s">
        <v>47</v>
      </c>
      <c r="F61">
        <v>5</v>
      </c>
      <c r="G61" s="2">
        <v>46183.75</v>
      </c>
      <c r="H61" s="2">
        <v>46183.583333333336</v>
      </c>
    </row>
    <row r="62" spans="1:8" x14ac:dyDescent="0.25">
      <c r="A62" s="8" t="s">
        <v>599</v>
      </c>
      <c r="B62" s="8" t="s">
        <v>13940</v>
      </c>
      <c r="C62" s="2">
        <v>46183.416666666664</v>
      </c>
      <c r="D62" s="8" t="s">
        <v>13933</v>
      </c>
      <c r="E62" s="8" t="s">
        <v>51</v>
      </c>
      <c r="F62">
        <v>4</v>
      </c>
      <c r="G62" s="2">
        <v>46183.75</v>
      </c>
      <c r="H62" s="2">
        <v>46183.583333333336</v>
      </c>
    </row>
    <row r="63" spans="1:8" x14ac:dyDescent="0.25">
      <c r="A63" s="8" t="s">
        <v>602</v>
      </c>
      <c r="B63" s="8" t="s">
        <v>13940</v>
      </c>
      <c r="C63" s="2">
        <v>46183.416666666664</v>
      </c>
      <c r="D63" s="8" t="s">
        <v>13933</v>
      </c>
      <c r="E63" s="8" t="s">
        <v>53</v>
      </c>
      <c r="F63">
        <v>2</v>
      </c>
      <c r="G63" s="2">
        <v>46183.75</v>
      </c>
      <c r="H63" s="2">
        <v>46183.583333333336</v>
      </c>
    </row>
    <row r="64" spans="1:8" x14ac:dyDescent="0.25">
      <c r="A64" s="8" t="s">
        <v>605</v>
      </c>
      <c r="B64" s="8" t="s">
        <v>13940</v>
      </c>
      <c r="C64" s="2">
        <v>46183.416666666664</v>
      </c>
      <c r="D64" s="8" t="s">
        <v>13933</v>
      </c>
      <c r="E64" s="8" t="s">
        <v>55</v>
      </c>
      <c r="F64">
        <v>6</v>
      </c>
      <c r="G64" s="2">
        <v>46183.75</v>
      </c>
      <c r="H64" s="2">
        <v>46183.583333333336</v>
      </c>
    </row>
    <row r="65" spans="1:8" x14ac:dyDescent="0.25">
      <c r="A65" s="8" t="s">
        <v>608</v>
      </c>
      <c r="B65" s="8" t="s">
        <v>13940</v>
      </c>
      <c r="C65" s="2">
        <v>46183.416666666664</v>
      </c>
      <c r="D65" s="8" t="s">
        <v>13933</v>
      </c>
      <c r="E65" s="8" t="s">
        <v>71</v>
      </c>
      <c r="F65">
        <v>6</v>
      </c>
      <c r="G65" s="2">
        <v>46183.75</v>
      </c>
      <c r="H65" s="2">
        <v>46183.583333333336</v>
      </c>
    </row>
    <row r="66" spans="1:8" x14ac:dyDescent="0.25">
      <c r="A66" s="8" t="s">
        <v>611</v>
      </c>
      <c r="B66" s="8" t="s">
        <v>13940</v>
      </c>
      <c r="C66" s="2">
        <v>46183.416666666664</v>
      </c>
      <c r="D66" s="8" t="s">
        <v>13933</v>
      </c>
      <c r="E66" s="8" t="s">
        <v>75</v>
      </c>
      <c r="F66">
        <v>2</v>
      </c>
      <c r="G66" s="2">
        <v>46183.75</v>
      </c>
      <c r="H66" s="2">
        <v>46183.583333333336</v>
      </c>
    </row>
    <row r="67" spans="1:8" x14ac:dyDescent="0.25">
      <c r="A67" s="8" t="s">
        <v>614</v>
      </c>
      <c r="B67" s="8" t="s">
        <v>13940</v>
      </c>
      <c r="C67" s="2">
        <v>46183.416666666664</v>
      </c>
      <c r="D67" s="8" t="s">
        <v>13933</v>
      </c>
      <c r="E67" s="8" t="s">
        <v>77</v>
      </c>
      <c r="F67">
        <v>1</v>
      </c>
      <c r="G67" s="2">
        <v>46183.75</v>
      </c>
      <c r="H67" s="2">
        <v>46183.583333333336</v>
      </c>
    </row>
    <row r="68" spans="1:8" x14ac:dyDescent="0.25">
      <c r="A68" s="8" t="s">
        <v>617</v>
      </c>
      <c r="B68" s="8" t="s">
        <v>13941</v>
      </c>
      <c r="C68" s="2">
        <v>46183.416666666664</v>
      </c>
      <c r="D68" s="8" t="s">
        <v>13935</v>
      </c>
      <c r="E68" s="8" t="s">
        <v>11</v>
      </c>
      <c r="F68">
        <v>3</v>
      </c>
      <c r="G68" s="2">
        <v>46183.75</v>
      </c>
      <c r="H68" s="2">
        <v>46183.583333333336</v>
      </c>
    </row>
    <row r="69" spans="1:8" x14ac:dyDescent="0.25">
      <c r="A69" s="8" t="s">
        <v>620</v>
      </c>
      <c r="B69" s="8" t="s">
        <v>13941</v>
      </c>
      <c r="C69" s="2">
        <v>46183.416666666664</v>
      </c>
      <c r="D69" s="8" t="s">
        <v>13935</v>
      </c>
      <c r="E69" s="8" t="s">
        <v>22</v>
      </c>
      <c r="F69">
        <v>6</v>
      </c>
      <c r="G69" s="2">
        <v>46183.75</v>
      </c>
      <c r="H69" s="2">
        <v>46183.583333333336</v>
      </c>
    </row>
    <row r="70" spans="1:8" x14ac:dyDescent="0.25">
      <c r="A70" s="8" t="s">
        <v>623</v>
      </c>
      <c r="B70" s="8" t="s">
        <v>13941</v>
      </c>
      <c r="C70" s="2">
        <v>46183.416666666664</v>
      </c>
      <c r="D70" s="8" t="s">
        <v>13935</v>
      </c>
      <c r="E70" s="8" t="s">
        <v>36</v>
      </c>
      <c r="F70">
        <v>1</v>
      </c>
      <c r="G70" s="2">
        <v>46183.75</v>
      </c>
      <c r="H70" s="2">
        <v>46183.583333333336</v>
      </c>
    </row>
    <row r="71" spans="1:8" x14ac:dyDescent="0.25">
      <c r="A71" s="8" t="s">
        <v>626</v>
      </c>
      <c r="B71" s="8" t="s">
        <v>13941</v>
      </c>
      <c r="C71" s="2">
        <v>46183.416666666664</v>
      </c>
      <c r="D71" s="8" t="s">
        <v>13935</v>
      </c>
      <c r="E71" s="8" t="s">
        <v>49</v>
      </c>
      <c r="F71">
        <v>3</v>
      </c>
      <c r="G71" s="2">
        <v>46183.75</v>
      </c>
      <c r="H71" s="2">
        <v>46183.583333333336</v>
      </c>
    </row>
    <row r="72" spans="1:8" x14ac:dyDescent="0.25">
      <c r="A72" s="8" t="s">
        <v>629</v>
      </c>
      <c r="B72" s="8" t="s">
        <v>13941</v>
      </c>
      <c r="C72" s="2">
        <v>46183.416666666664</v>
      </c>
      <c r="D72" s="8" t="s">
        <v>13935</v>
      </c>
      <c r="E72" s="8" t="s">
        <v>55</v>
      </c>
      <c r="F72">
        <v>1</v>
      </c>
      <c r="G72" s="2">
        <v>46183.75</v>
      </c>
      <c r="H72" s="2">
        <v>46183.583333333336</v>
      </c>
    </row>
    <row r="73" spans="1:8" x14ac:dyDescent="0.25">
      <c r="A73" s="8" t="s">
        <v>632</v>
      </c>
      <c r="B73" s="8" t="s">
        <v>13941</v>
      </c>
      <c r="C73" s="2">
        <v>46183.416666666664</v>
      </c>
      <c r="D73" s="8" t="s">
        <v>13935</v>
      </c>
      <c r="E73" s="8" t="s">
        <v>57</v>
      </c>
      <c r="F73">
        <v>1</v>
      </c>
      <c r="G73" s="2">
        <v>46183.75</v>
      </c>
      <c r="H73" s="2">
        <v>46183.583333333336</v>
      </c>
    </row>
    <row r="74" spans="1:8" x14ac:dyDescent="0.25">
      <c r="A74" s="8" t="s">
        <v>635</v>
      </c>
      <c r="B74" s="8" t="s">
        <v>13941</v>
      </c>
      <c r="C74" s="2">
        <v>46183.416666666664</v>
      </c>
      <c r="D74" s="8" t="s">
        <v>13935</v>
      </c>
      <c r="E74" s="8" t="s">
        <v>59</v>
      </c>
      <c r="F74">
        <v>1</v>
      </c>
      <c r="G74" s="2">
        <v>46183.75</v>
      </c>
      <c r="H74" s="2">
        <v>46183.583333333336</v>
      </c>
    </row>
    <row r="75" spans="1:8" x14ac:dyDescent="0.25">
      <c r="A75" s="8" t="s">
        <v>638</v>
      </c>
      <c r="B75" s="8" t="s">
        <v>13941</v>
      </c>
      <c r="C75" s="2">
        <v>46183.416666666664</v>
      </c>
      <c r="D75" s="8" t="s">
        <v>13935</v>
      </c>
      <c r="E75" s="8" t="s">
        <v>69</v>
      </c>
      <c r="F75">
        <v>7</v>
      </c>
      <c r="G75" s="2">
        <v>46183.75</v>
      </c>
      <c r="H75" s="2">
        <v>46183.583333333336</v>
      </c>
    </row>
    <row r="76" spans="1:8" x14ac:dyDescent="0.25">
      <c r="A76" s="8" t="s">
        <v>641</v>
      </c>
      <c r="B76" s="8" t="s">
        <v>13942</v>
      </c>
      <c r="C76" s="2">
        <v>46183.416666666664</v>
      </c>
      <c r="D76" s="8" t="s">
        <v>13937</v>
      </c>
      <c r="E76" s="8" t="s">
        <v>11</v>
      </c>
      <c r="F76">
        <v>1</v>
      </c>
      <c r="G76" s="2">
        <v>46183.75</v>
      </c>
      <c r="H76" s="2">
        <v>46183.583333333336</v>
      </c>
    </row>
    <row r="77" spans="1:8" x14ac:dyDescent="0.25">
      <c r="A77" s="8" t="s">
        <v>644</v>
      </c>
      <c r="B77" s="8" t="s">
        <v>13942</v>
      </c>
      <c r="C77" s="2">
        <v>46183.416666666664</v>
      </c>
      <c r="D77" s="8" t="s">
        <v>13937</v>
      </c>
      <c r="E77" s="8" t="s">
        <v>24</v>
      </c>
      <c r="F77">
        <v>3</v>
      </c>
      <c r="G77" s="2">
        <v>46183.75</v>
      </c>
      <c r="H77" s="2">
        <v>46183.583333333336</v>
      </c>
    </row>
    <row r="78" spans="1:8" x14ac:dyDescent="0.25">
      <c r="A78" s="8" t="s">
        <v>647</v>
      </c>
      <c r="B78" s="8" t="s">
        <v>13942</v>
      </c>
      <c r="C78" s="2">
        <v>46183.416666666664</v>
      </c>
      <c r="D78" s="8" t="s">
        <v>13937</v>
      </c>
      <c r="E78" s="8" t="s">
        <v>30</v>
      </c>
      <c r="F78">
        <v>1</v>
      </c>
      <c r="G78" s="2">
        <v>46183.75</v>
      </c>
      <c r="H78" s="2">
        <v>46183.583333333336</v>
      </c>
    </row>
    <row r="79" spans="1:8" x14ac:dyDescent="0.25">
      <c r="A79" s="8" t="s">
        <v>650</v>
      </c>
      <c r="B79" s="8" t="s">
        <v>13942</v>
      </c>
      <c r="C79" s="2">
        <v>46183.416666666664</v>
      </c>
      <c r="D79" s="8" t="s">
        <v>13937</v>
      </c>
      <c r="E79" s="8" t="s">
        <v>32</v>
      </c>
      <c r="F79">
        <v>3</v>
      </c>
      <c r="G79" s="2">
        <v>46183.75</v>
      </c>
      <c r="H79" s="2">
        <v>46183.583333333336</v>
      </c>
    </row>
    <row r="80" spans="1:8" x14ac:dyDescent="0.25">
      <c r="A80" s="8" t="s">
        <v>653</v>
      </c>
      <c r="B80" s="8" t="s">
        <v>13942</v>
      </c>
      <c r="C80" s="2">
        <v>46183.416666666664</v>
      </c>
      <c r="D80" s="8" t="s">
        <v>13937</v>
      </c>
      <c r="E80" s="8" t="s">
        <v>43</v>
      </c>
      <c r="F80">
        <v>4</v>
      </c>
      <c r="G80" s="2">
        <v>46183.75</v>
      </c>
      <c r="H80" s="2">
        <v>46183.583333333336</v>
      </c>
    </row>
    <row r="81" spans="1:8" x14ac:dyDescent="0.25">
      <c r="A81" s="8" t="s">
        <v>656</v>
      </c>
      <c r="B81" s="8" t="s">
        <v>13942</v>
      </c>
      <c r="C81" s="2">
        <v>46183.416666666664</v>
      </c>
      <c r="D81" s="8" t="s">
        <v>13937</v>
      </c>
      <c r="E81" s="8" t="s">
        <v>45</v>
      </c>
      <c r="F81">
        <v>2</v>
      </c>
      <c r="G81" s="2">
        <v>46183.75</v>
      </c>
      <c r="H81" s="2">
        <v>46183.583333333336</v>
      </c>
    </row>
    <row r="82" spans="1:8" x14ac:dyDescent="0.25">
      <c r="A82" s="8" t="s">
        <v>659</v>
      </c>
      <c r="B82" s="8" t="s">
        <v>13942</v>
      </c>
      <c r="C82" s="2">
        <v>46183.416666666664</v>
      </c>
      <c r="D82" s="8" t="s">
        <v>13937</v>
      </c>
      <c r="E82" s="8" t="s">
        <v>53</v>
      </c>
      <c r="F82">
        <v>1</v>
      </c>
      <c r="G82" s="2">
        <v>46183.75</v>
      </c>
      <c r="H82" s="2">
        <v>46183.583333333336</v>
      </c>
    </row>
    <row r="83" spans="1:8" x14ac:dyDescent="0.25">
      <c r="A83" s="8" t="s">
        <v>662</v>
      </c>
      <c r="B83" s="8" t="s">
        <v>13942</v>
      </c>
      <c r="C83" s="2">
        <v>46183.416666666664</v>
      </c>
      <c r="D83" s="8" t="s">
        <v>13937</v>
      </c>
      <c r="E83" s="8" t="s">
        <v>57</v>
      </c>
      <c r="F83">
        <v>4</v>
      </c>
      <c r="G83" s="2">
        <v>46183.75</v>
      </c>
      <c r="H83" s="2">
        <v>46183.583333333336</v>
      </c>
    </row>
    <row r="84" spans="1:8" x14ac:dyDescent="0.25">
      <c r="A84" s="8" t="s">
        <v>665</v>
      </c>
      <c r="B84" s="8" t="s">
        <v>13942</v>
      </c>
      <c r="C84" s="2">
        <v>46183.416666666664</v>
      </c>
      <c r="D84" s="8" t="s">
        <v>13937</v>
      </c>
      <c r="E84" s="8" t="s">
        <v>65</v>
      </c>
      <c r="F84">
        <v>4</v>
      </c>
      <c r="G84" s="2">
        <v>46183.75</v>
      </c>
      <c r="H84" s="2">
        <v>46183.583333333336</v>
      </c>
    </row>
    <row r="85" spans="1:8" x14ac:dyDescent="0.25">
      <c r="A85" s="8" t="s">
        <v>668</v>
      </c>
      <c r="B85" s="8" t="s">
        <v>13942</v>
      </c>
      <c r="C85" s="2">
        <v>46183.416666666664</v>
      </c>
      <c r="D85" s="8" t="s">
        <v>13937</v>
      </c>
      <c r="E85" s="8" t="s">
        <v>69</v>
      </c>
      <c r="F85">
        <v>3</v>
      </c>
      <c r="G85" s="2">
        <v>46183.75</v>
      </c>
      <c r="H85" s="2">
        <v>46183.583333333336</v>
      </c>
    </row>
    <row r="86" spans="1:8" x14ac:dyDescent="0.25">
      <c r="A86" s="8" t="s">
        <v>671</v>
      </c>
      <c r="B86" s="8" t="s">
        <v>13942</v>
      </c>
      <c r="C86" s="2">
        <v>46183.416666666664</v>
      </c>
      <c r="D86" s="8" t="s">
        <v>13937</v>
      </c>
      <c r="E86" s="8" t="s">
        <v>77</v>
      </c>
      <c r="F86">
        <v>4</v>
      </c>
      <c r="G86" s="2">
        <v>46183.75</v>
      </c>
      <c r="H86" s="2">
        <v>46183.583333333336</v>
      </c>
    </row>
    <row r="87" spans="1:8" x14ac:dyDescent="0.25">
      <c r="A87" s="8" t="s">
        <v>674</v>
      </c>
      <c r="B87" s="8" t="s">
        <v>13943</v>
      </c>
      <c r="C87" s="2">
        <v>46184.416666666664</v>
      </c>
      <c r="D87" s="8" t="s">
        <v>13929</v>
      </c>
      <c r="E87" s="8" t="s">
        <v>18</v>
      </c>
      <c r="F87">
        <v>2</v>
      </c>
      <c r="G87" s="2">
        <v>46184.75</v>
      </c>
      <c r="H87" s="2">
        <v>46184.583333333336</v>
      </c>
    </row>
    <row r="88" spans="1:8" x14ac:dyDescent="0.25">
      <c r="A88" s="8" t="s">
        <v>677</v>
      </c>
      <c r="B88" s="8" t="s">
        <v>13943</v>
      </c>
      <c r="C88" s="2">
        <v>46184.416666666664</v>
      </c>
      <c r="D88" s="8" t="s">
        <v>13929</v>
      </c>
      <c r="E88" s="8" t="s">
        <v>20</v>
      </c>
      <c r="F88">
        <v>1</v>
      </c>
      <c r="G88" s="2">
        <v>46184.75</v>
      </c>
      <c r="H88" s="2">
        <v>46184.583333333336</v>
      </c>
    </row>
    <row r="89" spans="1:8" x14ac:dyDescent="0.25">
      <c r="A89" s="8" t="s">
        <v>680</v>
      </c>
      <c r="B89" s="8" t="s">
        <v>13943</v>
      </c>
      <c r="C89" s="2">
        <v>46184.416666666664</v>
      </c>
      <c r="D89" s="8" t="s">
        <v>13929</v>
      </c>
      <c r="E89" s="8" t="s">
        <v>22</v>
      </c>
      <c r="F89">
        <v>4</v>
      </c>
      <c r="G89" s="2">
        <v>46184.75</v>
      </c>
      <c r="H89" s="2">
        <v>46184.583333333336</v>
      </c>
    </row>
    <row r="90" spans="1:8" x14ac:dyDescent="0.25">
      <c r="A90" s="8" t="s">
        <v>683</v>
      </c>
      <c r="B90" s="8" t="s">
        <v>13943</v>
      </c>
      <c r="C90" s="2">
        <v>46184.416666666664</v>
      </c>
      <c r="D90" s="8" t="s">
        <v>13929</v>
      </c>
      <c r="E90" s="8" t="s">
        <v>24</v>
      </c>
      <c r="F90">
        <v>2</v>
      </c>
      <c r="G90" s="2">
        <v>46184.75</v>
      </c>
      <c r="H90" s="2">
        <v>46184.583333333336</v>
      </c>
    </row>
    <row r="91" spans="1:8" x14ac:dyDescent="0.25">
      <c r="A91" s="8" t="s">
        <v>686</v>
      </c>
      <c r="B91" s="8" t="s">
        <v>13943</v>
      </c>
      <c r="C91" s="2">
        <v>46184.416666666664</v>
      </c>
      <c r="D91" s="8" t="s">
        <v>13929</v>
      </c>
      <c r="E91" s="8" t="s">
        <v>28</v>
      </c>
      <c r="F91">
        <v>4</v>
      </c>
      <c r="G91" s="2">
        <v>46184.75</v>
      </c>
      <c r="H91" s="2">
        <v>46184.583333333336</v>
      </c>
    </row>
    <row r="92" spans="1:8" x14ac:dyDescent="0.25">
      <c r="A92" s="8" t="s">
        <v>689</v>
      </c>
      <c r="B92" s="8" t="s">
        <v>13943</v>
      </c>
      <c r="C92" s="2">
        <v>46184.416666666664</v>
      </c>
      <c r="D92" s="8" t="s">
        <v>13929</v>
      </c>
      <c r="E92" s="8" t="s">
        <v>49</v>
      </c>
      <c r="F92">
        <v>2</v>
      </c>
      <c r="G92" s="2">
        <v>46184.75</v>
      </c>
      <c r="H92" s="2">
        <v>46184.583333333336</v>
      </c>
    </row>
    <row r="93" spans="1:8" x14ac:dyDescent="0.25">
      <c r="A93" s="8" t="s">
        <v>692</v>
      </c>
      <c r="B93" s="8" t="s">
        <v>13943</v>
      </c>
      <c r="C93" s="2">
        <v>46184.416666666664</v>
      </c>
      <c r="D93" s="8" t="s">
        <v>13929</v>
      </c>
      <c r="E93" s="8" t="s">
        <v>53</v>
      </c>
      <c r="F93">
        <v>1</v>
      </c>
      <c r="G93" s="2">
        <v>46184.75</v>
      </c>
      <c r="H93" s="2">
        <v>46184.583333333336</v>
      </c>
    </row>
    <row r="94" spans="1:8" x14ac:dyDescent="0.25">
      <c r="A94" s="8" t="s">
        <v>695</v>
      </c>
      <c r="B94" s="8" t="s">
        <v>13943</v>
      </c>
      <c r="C94" s="2">
        <v>46184.416666666664</v>
      </c>
      <c r="D94" s="8" t="s">
        <v>13929</v>
      </c>
      <c r="E94" s="8" t="s">
        <v>55</v>
      </c>
      <c r="F94">
        <v>4</v>
      </c>
      <c r="G94" s="2">
        <v>46184.75</v>
      </c>
      <c r="H94" s="2">
        <v>46184.583333333336</v>
      </c>
    </row>
    <row r="95" spans="1:8" x14ac:dyDescent="0.25">
      <c r="A95" s="8" t="s">
        <v>698</v>
      </c>
      <c r="B95" s="8" t="s">
        <v>13943</v>
      </c>
      <c r="C95" s="2">
        <v>46184.416666666664</v>
      </c>
      <c r="D95" s="8" t="s">
        <v>13929</v>
      </c>
      <c r="E95" s="8" t="s">
        <v>57</v>
      </c>
      <c r="F95">
        <v>4</v>
      </c>
      <c r="G95" s="2">
        <v>46184.75</v>
      </c>
      <c r="H95" s="2">
        <v>46184.583333333336</v>
      </c>
    </row>
    <row r="96" spans="1:8" x14ac:dyDescent="0.25">
      <c r="A96" s="8" t="s">
        <v>701</v>
      </c>
      <c r="B96" s="8" t="s">
        <v>13943</v>
      </c>
      <c r="C96" s="2">
        <v>46184.416666666664</v>
      </c>
      <c r="D96" s="8" t="s">
        <v>13929</v>
      </c>
      <c r="E96" s="8" t="s">
        <v>67</v>
      </c>
      <c r="F96">
        <v>2</v>
      </c>
      <c r="G96" s="2">
        <v>46184.75</v>
      </c>
      <c r="H96" s="2">
        <v>46184.583333333336</v>
      </c>
    </row>
    <row r="97" spans="1:8" x14ac:dyDescent="0.25">
      <c r="A97" s="8" t="s">
        <v>704</v>
      </c>
      <c r="B97" s="8" t="s">
        <v>13944</v>
      </c>
      <c r="C97" s="2">
        <v>46184.416666666664</v>
      </c>
      <c r="D97" s="8" t="s">
        <v>13931</v>
      </c>
      <c r="E97" s="8" t="s">
        <v>11</v>
      </c>
      <c r="F97">
        <v>3</v>
      </c>
      <c r="G97" s="2">
        <v>46184.75</v>
      </c>
      <c r="H97" s="2">
        <v>46184.583333333336</v>
      </c>
    </row>
    <row r="98" spans="1:8" x14ac:dyDescent="0.25">
      <c r="A98" s="8" t="s">
        <v>707</v>
      </c>
      <c r="B98" s="8" t="s">
        <v>13944</v>
      </c>
      <c r="C98" s="2">
        <v>46184.416666666664</v>
      </c>
      <c r="D98" s="8" t="s">
        <v>13931</v>
      </c>
      <c r="E98" s="8" t="s">
        <v>20</v>
      </c>
      <c r="F98">
        <v>1</v>
      </c>
      <c r="G98" s="2">
        <v>46184.75</v>
      </c>
      <c r="H98" s="2">
        <v>46184.583333333336</v>
      </c>
    </row>
    <row r="99" spans="1:8" x14ac:dyDescent="0.25">
      <c r="A99" s="8" t="s">
        <v>710</v>
      </c>
      <c r="B99" s="8" t="s">
        <v>13944</v>
      </c>
      <c r="C99" s="2">
        <v>46184.416666666664</v>
      </c>
      <c r="D99" s="8" t="s">
        <v>13931</v>
      </c>
      <c r="E99" s="8" t="s">
        <v>22</v>
      </c>
      <c r="F99">
        <v>1</v>
      </c>
      <c r="G99" s="2">
        <v>46184.75</v>
      </c>
      <c r="H99" s="2">
        <v>46184.583333333336</v>
      </c>
    </row>
    <row r="100" spans="1:8" x14ac:dyDescent="0.25">
      <c r="A100" s="8" t="s">
        <v>713</v>
      </c>
      <c r="B100" s="8" t="s">
        <v>13944</v>
      </c>
      <c r="C100" s="2">
        <v>46184.416666666664</v>
      </c>
      <c r="D100" s="8" t="s">
        <v>13931</v>
      </c>
      <c r="E100" s="8" t="s">
        <v>45</v>
      </c>
      <c r="F100">
        <v>1</v>
      </c>
      <c r="G100" s="2">
        <v>46184.75</v>
      </c>
      <c r="H100" s="2">
        <v>46184.583333333336</v>
      </c>
    </row>
    <row r="101" spans="1:8" x14ac:dyDescent="0.25">
      <c r="A101" s="8" t="s">
        <v>716</v>
      </c>
      <c r="B101" s="8" t="s">
        <v>13944</v>
      </c>
      <c r="C101" s="2">
        <v>46184.416666666664</v>
      </c>
      <c r="D101" s="8" t="s">
        <v>13931</v>
      </c>
      <c r="E101" s="8" t="s">
        <v>55</v>
      </c>
      <c r="F101">
        <v>3</v>
      </c>
      <c r="G101" s="2">
        <v>46184.75</v>
      </c>
      <c r="H101" s="2">
        <v>46184.583333333336</v>
      </c>
    </row>
    <row r="102" spans="1:8" x14ac:dyDescent="0.25">
      <c r="A102" s="8" t="s">
        <v>719</v>
      </c>
      <c r="B102" s="8" t="s">
        <v>13944</v>
      </c>
      <c r="C102" s="2">
        <v>46184.416666666664</v>
      </c>
      <c r="D102" s="8" t="s">
        <v>13931</v>
      </c>
      <c r="E102" s="8" t="s">
        <v>65</v>
      </c>
      <c r="F102">
        <v>3</v>
      </c>
      <c r="G102" s="2">
        <v>46184.75</v>
      </c>
      <c r="H102" s="2">
        <v>46184.583333333336</v>
      </c>
    </row>
    <row r="103" spans="1:8" x14ac:dyDescent="0.25">
      <c r="A103" s="8" t="s">
        <v>722</v>
      </c>
      <c r="B103" s="8" t="s">
        <v>13944</v>
      </c>
      <c r="C103" s="2">
        <v>46184.416666666664</v>
      </c>
      <c r="D103" s="8" t="s">
        <v>13931</v>
      </c>
      <c r="E103" s="8" t="s">
        <v>69</v>
      </c>
      <c r="F103">
        <v>2</v>
      </c>
      <c r="G103" s="2">
        <v>46184.75</v>
      </c>
      <c r="H103" s="2">
        <v>46184.583333333336</v>
      </c>
    </row>
    <row r="104" spans="1:8" x14ac:dyDescent="0.25">
      <c r="A104" s="8" t="s">
        <v>725</v>
      </c>
      <c r="B104" s="8" t="s">
        <v>13944</v>
      </c>
      <c r="C104" s="2">
        <v>46184.416666666664</v>
      </c>
      <c r="D104" s="8" t="s">
        <v>13931</v>
      </c>
      <c r="E104" s="8" t="s">
        <v>71</v>
      </c>
      <c r="F104">
        <v>2</v>
      </c>
      <c r="G104" s="2">
        <v>46184.75</v>
      </c>
      <c r="H104" s="2">
        <v>46184.583333333336</v>
      </c>
    </row>
    <row r="105" spans="1:8" x14ac:dyDescent="0.25">
      <c r="A105" s="8" t="s">
        <v>728</v>
      </c>
      <c r="B105" s="8" t="s">
        <v>13944</v>
      </c>
      <c r="C105" s="2">
        <v>46184.416666666664</v>
      </c>
      <c r="D105" s="8" t="s">
        <v>13931</v>
      </c>
      <c r="E105" s="8" t="s">
        <v>73</v>
      </c>
      <c r="F105">
        <v>2</v>
      </c>
      <c r="G105" s="2">
        <v>46184.75</v>
      </c>
      <c r="H105" s="2">
        <v>46184.583333333336</v>
      </c>
    </row>
    <row r="106" spans="1:8" x14ac:dyDescent="0.25">
      <c r="A106" s="8" t="s">
        <v>731</v>
      </c>
      <c r="B106" s="8" t="s">
        <v>13945</v>
      </c>
      <c r="C106" s="2">
        <v>46184.416666666664</v>
      </c>
      <c r="D106" s="8" t="s">
        <v>13933</v>
      </c>
      <c r="E106" s="8" t="s">
        <v>11</v>
      </c>
      <c r="F106">
        <v>1</v>
      </c>
      <c r="G106" s="2">
        <v>46184.75</v>
      </c>
      <c r="H106" s="2">
        <v>46184.583333333336</v>
      </c>
    </row>
    <row r="107" spans="1:8" x14ac:dyDescent="0.25">
      <c r="A107" s="8" t="s">
        <v>734</v>
      </c>
      <c r="B107" s="8" t="s">
        <v>13945</v>
      </c>
      <c r="C107" s="2">
        <v>46184.416666666664</v>
      </c>
      <c r="D107" s="8" t="s">
        <v>13933</v>
      </c>
      <c r="E107" s="8" t="s">
        <v>18</v>
      </c>
      <c r="F107">
        <v>4</v>
      </c>
      <c r="G107" s="2">
        <v>46184.75</v>
      </c>
      <c r="H107" s="2">
        <v>46184.583333333336</v>
      </c>
    </row>
    <row r="108" spans="1:8" x14ac:dyDescent="0.25">
      <c r="A108" s="8" t="s">
        <v>737</v>
      </c>
      <c r="B108" s="8" t="s">
        <v>13945</v>
      </c>
      <c r="C108" s="2">
        <v>46184.416666666664</v>
      </c>
      <c r="D108" s="8" t="s">
        <v>13933</v>
      </c>
      <c r="E108" s="8" t="s">
        <v>20</v>
      </c>
      <c r="F108">
        <v>6</v>
      </c>
      <c r="G108" s="2">
        <v>46184.75</v>
      </c>
      <c r="H108" s="2">
        <v>46184.583333333336</v>
      </c>
    </row>
    <row r="109" spans="1:8" x14ac:dyDescent="0.25">
      <c r="A109" s="8" t="s">
        <v>740</v>
      </c>
      <c r="B109" s="8" t="s">
        <v>13945</v>
      </c>
      <c r="C109" s="2">
        <v>46184.416666666664</v>
      </c>
      <c r="D109" s="8" t="s">
        <v>13933</v>
      </c>
      <c r="E109" s="8" t="s">
        <v>22</v>
      </c>
      <c r="F109">
        <v>2</v>
      </c>
      <c r="G109" s="2">
        <v>46184.75</v>
      </c>
      <c r="H109" s="2">
        <v>46184.583333333336</v>
      </c>
    </row>
    <row r="110" spans="1:8" x14ac:dyDescent="0.25">
      <c r="A110" s="8" t="s">
        <v>743</v>
      </c>
      <c r="B110" s="8" t="s">
        <v>13945</v>
      </c>
      <c r="C110" s="2">
        <v>46184.416666666664</v>
      </c>
      <c r="D110" s="8" t="s">
        <v>13933</v>
      </c>
      <c r="E110" s="8" t="s">
        <v>32</v>
      </c>
      <c r="F110">
        <v>4</v>
      </c>
      <c r="G110" s="2">
        <v>46184.75</v>
      </c>
      <c r="H110" s="2">
        <v>46184.583333333336</v>
      </c>
    </row>
    <row r="111" spans="1:8" x14ac:dyDescent="0.25">
      <c r="A111" s="8" t="s">
        <v>746</v>
      </c>
      <c r="B111" s="8" t="s">
        <v>13945</v>
      </c>
      <c r="C111" s="2">
        <v>46184.416666666664</v>
      </c>
      <c r="D111" s="8" t="s">
        <v>13933</v>
      </c>
      <c r="E111" s="8" t="s">
        <v>36</v>
      </c>
      <c r="F111">
        <v>2</v>
      </c>
      <c r="G111" s="2">
        <v>46184.75</v>
      </c>
      <c r="H111" s="2">
        <v>46184.583333333336</v>
      </c>
    </row>
    <row r="112" spans="1:8" x14ac:dyDescent="0.25">
      <c r="A112" s="8" t="s">
        <v>749</v>
      </c>
      <c r="B112" s="8" t="s">
        <v>13945</v>
      </c>
      <c r="C112" s="2">
        <v>46184.416666666664</v>
      </c>
      <c r="D112" s="8" t="s">
        <v>13933</v>
      </c>
      <c r="E112" s="8" t="s">
        <v>45</v>
      </c>
      <c r="F112">
        <v>1</v>
      </c>
      <c r="G112" s="2">
        <v>46184.75</v>
      </c>
      <c r="H112" s="2">
        <v>46184.583333333336</v>
      </c>
    </row>
    <row r="113" spans="1:8" x14ac:dyDescent="0.25">
      <c r="A113" s="8" t="s">
        <v>752</v>
      </c>
      <c r="B113" s="8" t="s">
        <v>13945</v>
      </c>
      <c r="C113" s="2">
        <v>46184.416666666664</v>
      </c>
      <c r="D113" s="8" t="s">
        <v>13933</v>
      </c>
      <c r="E113" s="8" t="s">
        <v>59</v>
      </c>
      <c r="F113">
        <v>2</v>
      </c>
      <c r="G113" s="2">
        <v>46184.75</v>
      </c>
      <c r="H113" s="2">
        <v>46184.583333333336</v>
      </c>
    </row>
    <row r="114" spans="1:8" x14ac:dyDescent="0.25">
      <c r="A114" s="8" t="s">
        <v>755</v>
      </c>
      <c r="B114" s="8" t="s">
        <v>13945</v>
      </c>
      <c r="C114" s="2">
        <v>46184.416666666664</v>
      </c>
      <c r="D114" s="8" t="s">
        <v>13933</v>
      </c>
      <c r="E114" s="8" t="s">
        <v>65</v>
      </c>
      <c r="F114">
        <v>4</v>
      </c>
      <c r="G114" s="2">
        <v>46184.75</v>
      </c>
      <c r="H114" s="2">
        <v>46184.583333333336</v>
      </c>
    </row>
    <row r="115" spans="1:8" x14ac:dyDescent="0.25">
      <c r="A115" s="8" t="s">
        <v>758</v>
      </c>
      <c r="B115" s="8" t="s">
        <v>13945</v>
      </c>
      <c r="C115" s="2">
        <v>46184.416666666664</v>
      </c>
      <c r="D115" s="8" t="s">
        <v>13933</v>
      </c>
      <c r="E115" s="8" t="s">
        <v>67</v>
      </c>
      <c r="F115">
        <v>4</v>
      </c>
      <c r="G115" s="2">
        <v>46184.75</v>
      </c>
      <c r="H115" s="2">
        <v>46184.583333333336</v>
      </c>
    </row>
    <row r="116" spans="1:8" x14ac:dyDescent="0.25">
      <c r="A116" s="8" t="s">
        <v>761</v>
      </c>
      <c r="B116" s="8" t="s">
        <v>13945</v>
      </c>
      <c r="C116" s="2">
        <v>46184.416666666664</v>
      </c>
      <c r="D116" s="8" t="s">
        <v>13933</v>
      </c>
      <c r="E116" s="8" t="s">
        <v>71</v>
      </c>
      <c r="F116">
        <v>4</v>
      </c>
      <c r="G116" s="2">
        <v>46184.75</v>
      </c>
      <c r="H116" s="2">
        <v>46184.583333333336</v>
      </c>
    </row>
    <row r="117" spans="1:8" x14ac:dyDescent="0.25">
      <c r="A117" s="8" t="s">
        <v>764</v>
      </c>
      <c r="B117" s="8" t="s">
        <v>13945</v>
      </c>
      <c r="C117" s="2">
        <v>46184.416666666664</v>
      </c>
      <c r="D117" s="8" t="s">
        <v>13933</v>
      </c>
      <c r="E117" s="8" t="s">
        <v>75</v>
      </c>
      <c r="F117">
        <v>6</v>
      </c>
      <c r="G117" s="2">
        <v>46184.75</v>
      </c>
      <c r="H117" s="2">
        <v>46184.583333333336</v>
      </c>
    </row>
    <row r="118" spans="1:8" x14ac:dyDescent="0.25">
      <c r="A118" s="8" t="s">
        <v>767</v>
      </c>
      <c r="B118" s="8" t="s">
        <v>13945</v>
      </c>
      <c r="C118" s="2">
        <v>46184.416666666664</v>
      </c>
      <c r="D118" s="8" t="s">
        <v>13933</v>
      </c>
      <c r="E118" s="8" t="s">
        <v>77</v>
      </c>
      <c r="F118">
        <v>1</v>
      </c>
      <c r="G118" s="2">
        <v>46184.75</v>
      </c>
      <c r="H118" s="2">
        <v>46184.583333333336</v>
      </c>
    </row>
    <row r="119" spans="1:8" x14ac:dyDescent="0.25">
      <c r="A119" s="8" t="s">
        <v>770</v>
      </c>
      <c r="B119" s="8" t="s">
        <v>13946</v>
      </c>
      <c r="C119" s="2">
        <v>46184.416666666664</v>
      </c>
      <c r="D119" s="8" t="s">
        <v>13935</v>
      </c>
      <c r="E119" s="8" t="s">
        <v>11</v>
      </c>
      <c r="F119">
        <v>3</v>
      </c>
      <c r="G119" s="2">
        <v>46184.75</v>
      </c>
      <c r="H119" s="2">
        <v>46184.583333333336</v>
      </c>
    </row>
    <row r="120" spans="1:8" x14ac:dyDescent="0.25">
      <c r="A120" s="8" t="s">
        <v>773</v>
      </c>
      <c r="B120" s="8" t="s">
        <v>13946</v>
      </c>
      <c r="C120" s="2">
        <v>46184.416666666664</v>
      </c>
      <c r="D120" s="8" t="s">
        <v>13935</v>
      </c>
      <c r="E120" s="8" t="s">
        <v>18</v>
      </c>
      <c r="F120">
        <v>3</v>
      </c>
      <c r="G120" s="2">
        <v>46184.75</v>
      </c>
      <c r="H120" s="2">
        <v>46184.583333333336</v>
      </c>
    </row>
    <row r="121" spans="1:8" x14ac:dyDescent="0.25">
      <c r="A121" s="8" t="s">
        <v>776</v>
      </c>
      <c r="B121" s="8" t="s">
        <v>13946</v>
      </c>
      <c r="C121" s="2">
        <v>46184.416666666664</v>
      </c>
      <c r="D121" s="8" t="s">
        <v>13935</v>
      </c>
      <c r="E121" s="8" t="s">
        <v>22</v>
      </c>
      <c r="F121">
        <v>3</v>
      </c>
      <c r="G121" s="2">
        <v>46184.75</v>
      </c>
      <c r="H121" s="2">
        <v>46184.583333333336</v>
      </c>
    </row>
    <row r="122" spans="1:8" x14ac:dyDescent="0.25">
      <c r="A122" s="8" t="s">
        <v>779</v>
      </c>
      <c r="B122" s="8" t="s">
        <v>13946</v>
      </c>
      <c r="C122" s="2">
        <v>46184.416666666664</v>
      </c>
      <c r="D122" s="8" t="s">
        <v>13935</v>
      </c>
      <c r="E122" s="8" t="s">
        <v>24</v>
      </c>
      <c r="F122">
        <v>7</v>
      </c>
      <c r="G122" s="2">
        <v>46184.75</v>
      </c>
      <c r="H122" s="2">
        <v>46184.583333333336</v>
      </c>
    </row>
    <row r="123" spans="1:8" x14ac:dyDescent="0.25">
      <c r="A123" s="8" t="s">
        <v>782</v>
      </c>
      <c r="B123" s="8" t="s">
        <v>13946</v>
      </c>
      <c r="C123" s="2">
        <v>46184.416666666664</v>
      </c>
      <c r="D123" s="8" t="s">
        <v>13935</v>
      </c>
      <c r="E123" s="8" t="s">
        <v>26</v>
      </c>
      <c r="F123">
        <v>3</v>
      </c>
      <c r="G123" s="2">
        <v>46184.75</v>
      </c>
      <c r="H123" s="2">
        <v>46184.583333333336</v>
      </c>
    </row>
    <row r="124" spans="1:8" x14ac:dyDescent="0.25">
      <c r="A124" s="8" t="s">
        <v>785</v>
      </c>
      <c r="B124" s="8" t="s">
        <v>13946</v>
      </c>
      <c r="C124" s="2">
        <v>46184.416666666664</v>
      </c>
      <c r="D124" s="8" t="s">
        <v>13935</v>
      </c>
      <c r="E124" s="8" t="s">
        <v>30</v>
      </c>
      <c r="F124">
        <v>3</v>
      </c>
      <c r="G124" s="2">
        <v>46184.75</v>
      </c>
      <c r="H124" s="2">
        <v>46184.583333333336</v>
      </c>
    </row>
    <row r="125" spans="1:8" x14ac:dyDescent="0.25">
      <c r="A125" s="8" t="s">
        <v>788</v>
      </c>
      <c r="B125" s="8" t="s">
        <v>13946</v>
      </c>
      <c r="C125" s="2">
        <v>46184.416666666664</v>
      </c>
      <c r="D125" s="8" t="s">
        <v>13935</v>
      </c>
      <c r="E125" s="8" t="s">
        <v>32</v>
      </c>
      <c r="F125">
        <v>3</v>
      </c>
      <c r="G125" s="2">
        <v>46184.75</v>
      </c>
      <c r="H125" s="2">
        <v>46184.583333333336</v>
      </c>
    </row>
    <row r="126" spans="1:8" x14ac:dyDescent="0.25">
      <c r="A126" s="8" t="s">
        <v>791</v>
      </c>
      <c r="B126" s="8" t="s">
        <v>13946</v>
      </c>
      <c r="C126" s="2">
        <v>46184.416666666664</v>
      </c>
      <c r="D126" s="8" t="s">
        <v>13935</v>
      </c>
      <c r="E126" s="8" t="s">
        <v>36</v>
      </c>
      <c r="F126">
        <v>4</v>
      </c>
      <c r="G126" s="2">
        <v>46184.75</v>
      </c>
      <c r="H126" s="2">
        <v>46184.583333333336</v>
      </c>
    </row>
    <row r="127" spans="1:8" x14ac:dyDescent="0.25">
      <c r="A127" s="8" t="s">
        <v>794</v>
      </c>
      <c r="B127" s="8" t="s">
        <v>13946</v>
      </c>
      <c r="C127" s="2">
        <v>46184.416666666664</v>
      </c>
      <c r="D127" s="8" t="s">
        <v>13935</v>
      </c>
      <c r="E127" s="8" t="s">
        <v>45</v>
      </c>
      <c r="F127">
        <v>1</v>
      </c>
      <c r="G127" s="2">
        <v>46184.75</v>
      </c>
      <c r="H127" s="2">
        <v>46184.583333333336</v>
      </c>
    </row>
    <row r="128" spans="1:8" x14ac:dyDescent="0.25">
      <c r="A128" s="8" t="s">
        <v>797</v>
      </c>
      <c r="B128" s="8" t="s">
        <v>13946</v>
      </c>
      <c r="C128" s="2">
        <v>46184.416666666664</v>
      </c>
      <c r="D128" s="8" t="s">
        <v>13935</v>
      </c>
      <c r="E128" s="8" t="s">
        <v>49</v>
      </c>
      <c r="F128">
        <v>6</v>
      </c>
      <c r="G128" s="2">
        <v>46184.75</v>
      </c>
      <c r="H128" s="2">
        <v>46184.583333333336</v>
      </c>
    </row>
    <row r="129" spans="1:8" x14ac:dyDescent="0.25">
      <c r="A129" s="8" t="s">
        <v>800</v>
      </c>
      <c r="B129" s="8" t="s">
        <v>13946</v>
      </c>
      <c r="C129" s="2">
        <v>46184.416666666664</v>
      </c>
      <c r="D129" s="8" t="s">
        <v>13935</v>
      </c>
      <c r="E129" s="8" t="s">
        <v>57</v>
      </c>
      <c r="F129">
        <v>1</v>
      </c>
      <c r="G129" s="2">
        <v>46184.75</v>
      </c>
      <c r="H129" s="2">
        <v>46184.583333333336</v>
      </c>
    </row>
    <row r="130" spans="1:8" x14ac:dyDescent="0.25">
      <c r="A130" s="8" t="s">
        <v>803</v>
      </c>
      <c r="B130" s="8" t="s">
        <v>13946</v>
      </c>
      <c r="C130" s="2">
        <v>46184.416666666664</v>
      </c>
      <c r="D130" s="8" t="s">
        <v>13935</v>
      </c>
      <c r="E130" s="8" t="s">
        <v>59</v>
      </c>
      <c r="F130">
        <v>6</v>
      </c>
      <c r="G130" s="2">
        <v>46184.75</v>
      </c>
      <c r="H130" s="2">
        <v>46184.583333333336</v>
      </c>
    </row>
    <row r="131" spans="1:8" x14ac:dyDescent="0.25">
      <c r="A131" s="8" t="s">
        <v>806</v>
      </c>
      <c r="B131" s="8" t="s">
        <v>13946</v>
      </c>
      <c r="C131" s="2">
        <v>46184.416666666664</v>
      </c>
      <c r="D131" s="8" t="s">
        <v>13935</v>
      </c>
      <c r="E131" s="8" t="s">
        <v>65</v>
      </c>
      <c r="F131">
        <v>7</v>
      </c>
      <c r="G131" s="2">
        <v>46184.75</v>
      </c>
      <c r="H131" s="2">
        <v>46184.583333333336</v>
      </c>
    </row>
    <row r="132" spans="1:8" x14ac:dyDescent="0.25">
      <c r="A132" s="8" t="s">
        <v>809</v>
      </c>
      <c r="B132" s="8" t="s">
        <v>13946</v>
      </c>
      <c r="C132" s="2">
        <v>46184.416666666664</v>
      </c>
      <c r="D132" s="8" t="s">
        <v>13935</v>
      </c>
      <c r="E132" s="8" t="s">
        <v>71</v>
      </c>
      <c r="F132">
        <v>7</v>
      </c>
      <c r="G132" s="2">
        <v>46184.75</v>
      </c>
      <c r="H132" s="2">
        <v>46184.583333333336</v>
      </c>
    </row>
    <row r="133" spans="1:8" x14ac:dyDescent="0.25">
      <c r="A133" s="8" t="s">
        <v>812</v>
      </c>
      <c r="B133" s="8" t="s">
        <v>13946</v>
      </c>
      <c r="C133" s="2">
        <v>46184.416666666664</v>
      </c>
      <c r="D133" s="8" t="s">
        <v>13935</v>
      </c>
      <c r="E133" s="8" t="s">
        <v>73</v>
      </c>
      <c r="F133">
        <v>3</v>
      </c>
      <c r="G133" s="2">
        <v>46184.75</v>
      </c>
      <c r="H133" s="2">
        <v>46184.583333333336</v>
      </c>
    </row>
    <row r="134" spans="1:8" x14ac:dyDescent="0.25">
      <c r="A134" s="8" t="s">
        <v>815</v>
      </c>
      <c r="B134" s="8" t="s">
        <v>13946</v>
      </c>
      <c r="C134" s="2">
        <v>46184.416666666664</v>
      </c>
      <c r="D134" s="8" t="s">
        <v>13935</v>
      </c>
      <c r="E134" s="8" t="s">
        <v>77</v>
      </c>
      <c r="F134">
        <v>7</v>
      </c>
      <c r="G134" s="2">
        <v>46184.75</v>
      </c>
      <c r="H134" s="2">
        <v>46184.583333333336</v>
      </c>
    </row>
    <row r="135" spans="1:8" x14ac:dyDescent="0.25">
      <c r="A135" s="8" t="s">
        <v>818</v>
      </c>
      <c r="B135" s="8" t="s">
        <v>13947</v>
      </c>
      <c r="C135" s="2">
        <v>46184.416666666664</v>
      </c>
      <c r="D135" s="8" t="s">
        <v>13937</v>
      </c>
      <c r="E135" s="8" t="s">
        <v>11</v>
      </c>
      <c r="F135">
        <v>1</v>
      </c>
      <c r="G135" s="2">
        <v>46184.75</v>
      </c>
      <c r="H135" s="2">
        <v>46184.583333333336</v>
      </c>
    </row>
    <row r="136" spans="1:8" x14ac:dyDescent="0.25">
      <c r="A136" s="8" t="s">
        <v>821</v>
      </c>
      <c r="B136" s="8" t="s">
        <v>13947</v>
      </c>
      <c r="C136" s="2">
        <v>46184.416666666664</v>
      </c>
      <c r="D136" s="8" t="s">
        <v>13937</v>
      </c>
      <c r="E136" s="8" t="s">
        <v>20</v>
      </c>
      <c r="F136">
        <v>4</v>
      </c>
      <c r="G136" s="2">
        <v>46184.75</v>
      </c>
      <c r="H136" s="2">
        <v>46184.583333333336</v>
      </c>
    </row>
    <row r="137" spans="1:8" x14ac:dyDescent="0.25">
      <c r="A137" s="8" t="s">
        <v>824</v>
      </c>
      <c r="B137" s="8" t="s">
        <v>13947</v>
      </c>
      <c r="C137" s="2">
        <v>46184.416666666664</v>
      </c>
      <c r="D137" s="8" t="s">
        <v>13937</v>
      </c>
      <c r="E137" s="8" t="s">
        <v>22</v>
      </c>
      <c r="F137">
        <v>3</v>
      </c>
      <c r="G137" s="2">
        <v>46184.75</v>
      </c>
      <c r="H137" s="2">
        <v>46184.583333333336</v>
      </c>
    </row>
    <row r="138" spans="1:8" x14ac:dyDescent="0.25">
      <c r="A138" s="8" t="s">
        <v>827</v>
      </c>
      <c r="B138" s="8" t="s">
        <v>13947</v>
      </c>
      <c r="C138" s="2">
        <v>46184.416666666664</v>
      </c>
      <c r="D138" s="8" t="s">
        <v>13937</v>
      </c>
      <c r="E138" s="8" t="s">
        <v>28</v>
      </c>
      <c r="F138">
        <v>3</v>
      </c>
      <c r="G138" s="2">
        <v>46184.75</v>
      </c>
      <c r="H138" s="2">
        <v>46184.583333333336</v>
      </c>
    </row>
    <row r="139" spans="1:8" x14ac:dyDescent="0.25">
      <c r="A139" s="8" t="s">
        <v>830</v>
      </c>
      <c r="B139" s="8" t="s">
        <v>13947</v>
      </c>
      <c r="C139" s="2">
        <v>46184.416666666664</v>
      </c>
      <c r="D139" s="8" t="s">
        <v>13937</v>
      </c>
      <c r="E139" s="8" t="s">
        <v>41</v>
      </c>
      <c r="F139">
        <v>4</v>
      </c>
      <c r="G139" s="2">
        <v>46184.75</v>
      </c>
      <c r="H139" s="2">
        <v>46184.583333333336</v>
      </c>
    </row>
    <row r="140" spans="1:8" x14ac:dyDescent="0.25">
      <c r="A140" s="8" t="s">
        <v>833</v>
      </c>
      <c r="B140" s="8" t="s">
        <v>13947</v>
      </c>
      <c r="C140" s="2">
        <v>46184.416666666664</v>
      </c>
      <c r="D140" s="8" t="s">
        <v>13937</v>
      </c>
      <c r="E140" s="8" t="s">
        <v>43</v>
      </c>
      <c r="F140">
        <v>2</v>
      </c>
      <c r="G140" s="2">
        <v>46184.75</v>
      </c>
      <c r="H140" s="2">
        <v>46184.583333333336</v>
      </c>
    </row>
    <row r="141" spans="1:8" x14ac:dyDescent="0.25">
      <c r="A141" s="8" t="s">
        <v>836</v>
      </c>
      <c r="B141" s="8" t="s">
        <v>13947</v>
      </c>
      <c r="C141" s="2">
        <v>46184.416666666664</v>
      </c>
      <c r="D141" s="8" t="s">
        <v>13937</v>
      </c>
      <c r="E141" s="8" t="s">
        <v>51</v>
      </c>
      <c r="F141">
        <v>1</v>
      </c>
      <c r="G141" s="2">
        <v>46184.75</v>
      </c>
      <c r="H141" s="2">
        <v>46184.583333333336</v>
      </c>
    </row>
    <row r="142" spans="1:8" x14ac:dyDescent="0.25">
      <c r="A142" s="8" t="s">
        <v>839</v>
      </c>
      <c r="B142" s="8" t="s">
        <v>13947</v>
      </c>
      <c r="C142" s="2">
        <v>46184.416666666664</v>
      </c>
      <c r="D142" s="8" t="s">
        <v>13937</v>
      </c>
      <c r="E142" s="8" t="s">
        <v>55</v>
      </c>
      <c r="F142">
        <v>4</v>
      </c>
      <c r="G142" s="2">
        <v>46184.75</v>
      </c>
      <c r="H142" s="2">
        <v>46184.583333333336</v>
      </c>
    </row>
    <row r="143" spans="1:8" x14ac:dyDescent="0.25">
      <c r="A143" s="8" t="s">
        <v>842</v>
      </c>
      <c r="B143" s="8" t="s">
        <v>13947</v>
      </c>
      <c r="C143" s="2">
        <v>46184.416666666664</v>
      </c>
      <c r="D143" s="8" t="s">
        <v>13937</v>
      </c>
      <c r="E143" s="8" t="s">
        <v>59</v>
      </c>
      <c r="F143">
        <v>4</v>
      </c>
      <c r="G143" s="2">
        <v>46184.75</v>
      </c>
      <c r="H143" s="2">
        <v>46184.583333333336</v>
      </c>
    </row>
    <row r="144" spans="1:8" x14ac:dyDescent="0.25">
      <c r="A144" s="8" t="s">
        <v>845</v>
      </c>
      <c r="B144" s="8" t="s">
        <v>13947</v>
      </c>
      <c r="C144" s="2">
        <v>46184.416666666664</v>
      </c>
      <c r="D144" s="8" t="s">
        <v>13937</v>
      </c>
      <c r="E144" s="8" t="s">
        <v>75</v>
      </c>
      <c r="F144">
        <v>1</v>
      </c>
      <c r="G144" s="2">
        <v>46184.75</v>
      </c>
      <c r="H144" s="2">
        <v>46184.583333333336</v>
      </c>
    </row>
    <row r="145" spans="1:8" x14ac:dyDescent="0.25">
      <c r="A145" s="8" t="s">
        <v>848</v>
      </c>
      <c r="B145" s="8" t="s">
        <v>13948</v>
      </c>
      <c r="C145" s="2">
        <v>46185.416666666664</v>
      </c>
      <c r="D145" s="8" t="s">
        <v>13929</v>
      </c>
      <c r="E145" s="8" t="s">
        <v>11</v>
      </c>
      <c r="F145">
        <v>1</v>
      </c>
      <c r="G145" s="2">
        <v>46185.75</v>
      </c>
      <c r="H145" s="2">
        <v>46185.583333333336</v>
      </c>
    </row>
    <row r="146" spans="1:8" x14ac:dyDescent="0.25">
      <c r="A146" s="8" t="s">
        <v>851</v>
      </c>
      <c r="B146" s="8" t="s">
        <v>13948</v>
      </c>
      <c r="C146" s="2">
        <v>46185.416666666664</v>
      </c>
      <c r="D146" s="8" t="s">
        <v>13929</v>
      </c>
      <c r="E146" s="8" t="s">
        <v>20</v>
      </c>
      <c r="F146">
        <v>2</v>
      </c>
      <c r="G146" s="2">
        <v>46185.75</v>
      </c>
      <c r="H146" s="2">
        <v>46185.583333333336</v>
      </c>
    </row>
    <row r="147" spans="1:8" x14ac:dyDescent="0.25">
      <c r="A147" s="8" t="s">
        <v>854</v>
      </c>
      <c r="B147" s="8" t="s">
        <v>13948</v>
      </c>
      <c r="C147" s="2">
        <v>46185.416666666664</v>
      </c>
      <c r="D147" s="8" t="s">
        <v>13929</v>
      </c>
      <c r="E147" s="8" t="s">
        <v>22</v>
      </c>
      <c r="F147">
        <v>2</v>
      </c>
      <c r="G147" s="2">
        <v>46185.75</v>
      </c>
      <c r="H147" s="2">
        <v>46185.583333333336</v>
      </c>
    </row>
    <row r="148" spans="1:8" x14ac:dyDescent="0.25">
      <c r="A148" s="8" t="s">
        <v>857</v>
      </c>
      <c r="B148" s="8" t="s">
        <v>13948</v>
      </c>
      <c r="C148" s="2">
        <v>46185.416666666664</v>
      </c>
      <c r="D148" s="8" t="s">
        <v>13929</v>
      </c>
      <c r="E148" s="8" t="s">
        <v>26</v>
      </c>
      <c r="F148">
        <v>1</v>
      </c>
      <c r="G148" s="2">
        <v>46185.75</v>
      </c>
      <c r="H148" s="2">
        <v>46185.583333333336</v>
      </c>
    </row>
    <row r="149" spans="1:8" x14ac:dyDescent="0.25">
      <c r="A149" s="8" t="s">
        <v>860</v>
      </c>
      <c r="B149" s="8" t="s">
        <v>13948</v>
      </c>
      <c r="C149" s="2">
        <v>46185.416666666664</v>
      </c>
      <c r="D149" s="8" t="s">
        <v>13929</v>
      </c>
      <c r="E149" s="8" t="s">
        <v>36</v>
      </c>
      <c r="F149">
        <v>2</v>
      </c>
      <c r="G149" s="2">
        <v>46185.75</v>
      </c>
      <c r="H149" s="2">
        <v>46185.583333333336</v>
      </c>
    </row>
    <row r="150" spans="1:8" x14ac:dyDescent="0.25">
      <c r="A150" s="8" t="s">
        <v>863</v>
      </c>
      <c r="B150" s="8" t="s">
        <v>13948</v>
      </c>
      <c r="C150" s="2">
        <v>46185.416666666664</v>
      </c>
      <c r="D150" s="8" t="s">
        <v>13929</v>
      </c>
      <c r="E150" s="8" t="s">
        <v>59</v>
      </c>
      <c r="F150">
        <v>2</v>
      </c>
      <c r="G150" s="2">
        <v>46185.75</v>
      </c>
      <c r="H150" s="2">
        <v>46185.583333333336</v>
      </c>
    </row>
    <row r="151" spans="1:8" x14ac:dyDescent="0.25">
      <c r="A151" s="8" t="s">
        <v>866</v>
      </c>
      <c r="B151" s="8" t="s">
        <v>13948</v>
      </c>
      <c r="C151" s="2">
        <v>46185.416666666664</v>
      </c>
      <c r="D151" s="8" t="s">
        <v>13929</v>
      </c>
      <c r="E151" s="8" t="s">
        <v>73</v>
      </c>
      <c r="F151">
        <v>3</v>
      </c>
      <c r="G151" s="2">
        <v>46185.75</v>
      </c>
      <c r="H151" s="2">
        <v>46185.583333333336</v>
      </c>
    </row>
    <row r="152" spans="1:8" x14ac:dyDescent="0.25">
      <c r="A152" s="8" t="s">
        <v>869</v>
      </c>
      <c r="B152" s="8" t="s">
        <v>13948</v>
      </c>
      <c r="C152" s="2">
        <v>46185.416666666664</v>
      </c>
      <c r="D152" s="8" t="s">
        <v>13929</v>
      </c>
      <c r="E152" s="8" t="s">
        <v>75</v>
      </c>
      <c r="F152">
        <v>1</v>
      </c>
      <c r="G152" s="2">
        <v>46185.75</v>
      </c>
      <c r="H152" s="2">
        <v>46185.583333333336</v>
      </c>
    </row>
    <row r="153" spans="1:8" x14ac:dyDescent="0.25">
      <c r="A153" s="8" t="s">
        <v>872</v>
      </c>
      <c r="B153" s="8" t="s">
        <v>13949</v>
      </c>
      <c r="C153" s="2">
        <v>46185.416666666664</v>
      </c>
      <c r="D153" s="8" t="s">
        <v>13931</v>
      </c>
      <c r="E153" s="8" t="s">
        <v>11</v>
      </c>
      <c r="F153">
        <v>1</v>
      </c>
      <c r="G153" s="2">
        <v>46185.75</v>
      </c>
      <c r="H153" s="2">
        <v>46185.583333333336</v>
      </c>
    </row>
    <row r="154" spans="1:8" x14ac:dyDescent="0.25">
      <c r="A154" s="8" t="s">
        <v>875</v>
      </c>
      <c r="B154" s="8" t="s">
        <v>13949</v>
      </c>
      <c r="C154" s="2">
        <v>46185.416666666664</v>
      </c>
      <c r="D154" s="8" t="s">
        <v>13931</v>
      </c>
      <c r="E154" s="8" t="s">
        <v>18</v>
      </c>
      <c r="F154">
        <v>2</v>
      </c>
      <c r="G154" s="2">
        <v>46185.75</v>
      </c>
      <c r="H154" s="2">
        <v>46185.583333333336</v>
      </c>
    </row>
    <row r="155" spans="1:8" x14ac:dyDescent="0.25">
      <c r="A155" s="8" t="s">
        <v>878</v>
      </c>
      <c r="B155" s="8" t="s">
        <v>13949</v>
      </c>
      <c r="C155" s="2">
        <v>46185.416666666664</v>
      </c>
      <c r="D155" s="8" t="s">
        <v>13931</v>
      </c>
      <c r="E155" s="8" t="s">
        <v>20</v>
      </c>
      <c r="F155">
        <v>4</v>
      </c>
      <c r="G155" s="2">
        <v>46185.75</v>
      </c>
      <c r="H155" s="2">
        <v>46185.583333333336</v>
      </c>
    </row>
    <row r="156" spans="1:8" x14ac:dyDescent="0.25">
      <c r="A156" s="8" t="s">
        <v>881</v>
      </c>
      <c r="B156" s="8" t="s">
        <v>13949</v>
      </c>
      <c r="C156" s="2">
        <v>46185.416666666664</v>
      </c>
      <c r="D156" s="8" t="s">
        <v>13931</v>
      </c>
      <c r="E156" s="8" t="s">
        <v>24</v>
      </c>
      <c r="F156">
        <v>4</v>
      </c>
      <c r="G156" s="2">
        <v>46185.75</v>
      </c>
      <c r="H156" s="2">
        <v>46185.583333333336</v>
      </c>
    </row>
    <row r="157" spans="1:8" x14ac:dyDescent="0.25">
      <c r="A157" s="8" t="s">
        <v>884</v>
      </c>
      <c r="B157" s="8" t="s">
        <v>13949</v>
      </c>
      <c r="C157" s="2">
        <v>46185.416666666664</v>
      </c>
      <c r="D157" s="8" t="s">
        <v>13931</v>
      </c>
      <c r="E157" s="8" t="s">
        <v>26</v>
      </c>
      <c r="F157">
        <v>3</v>
      </c>
      <c r="G157" s="2">
        <v>46185.75</v>
      </c>
      <c r="H157" s="2">
        <v>46185.583333333336</v>
      </c>
    </row>
    <row r="158" spans="1:8" x14ac:dyDescent="0.25">
      <c r="A158" s="8" t="s">
        <v>887</v>
      </c>
      <c r="B158" s="8" t="s">
        <v>13949</v>
      </c>
      <c r="C158" s="2">
        <v>46185.416666666664</v>
      </c>
      <c r="D158" s="8" t="s">
        <v>13931</v>
      </c>
      <c r="E158" s="8" t="s">
        <v>49</v>
      </c>
      <c r="F158">
        <v>4</v>
      </c>
      <c r="G158" s="2">
        <v>46185.75</v>
      </c>
      <c r="H158" s="2">
        <v>46185.583333333336</v>
      </c>
    </row>
    <row r="159" spans="1:8" x14ac:dyDescent="0.25">
      <c r="A159" s="8" t="s">
        <v>890</v>
      </c>
      <c r="B159" s="8" t="s">
        <v>13949</v>
      </c>
      <c r="C159" s="2">
        <v>46185.416666666664</v>
      </c>
      <c r="D159" s="8" t="s">
        <v>13931</v>
      </c>
      <c r="E159" s="8" t="s">
        <v>51</v>
      </c>
      <c r="F159">
        <v>4</v>
      </c>
      <c r="G159" s="2">
        <v>46185.75</v>
      </c>
      <c r="H159" s="2">
        <v>46185.583333333336</v>
      </c>
    </row>
    <row r="160" spans="1:8" x14ac:dyDescent="0.25">
      <c r="A160" s="8" t="s">
        <v>893</v>
      </c>
      <c r="B160" s="8" t="s">
        <v>13949</v>
      </c>
      <c r="C160" s="2">
        <v>46185.416666666664</v>
      </c>
      <c r="D160" s="8" t="s">
        <v>13931</v>
      </c>
      <c r="E160" s="8" t="s">
        <v>57</v>
      </c>
      <c r="F160">
        <v>1</v>
      </c>
      <c r="G160" s="2">
        <v>46185.75</v>
      </c>
      <c r="H160" s="2">
        <v>46185.583333333336</v>
      </c>
    </row>
    <row r="161" spans="1:8" x14ac:dyDescent="0.25">
      <c r="A161" s="8" t="s">
        <v>896</v>
      </c>
      <c r="B161" s="8" t="s">
        <v>13949</v>
      </c>
      <c r="C161" s="2">
        <v>46185.416666666664</v>
      </c>
      <c r="D161" s="8" t="s">
        <v>13931</v>
      </c>
      <c r="E161" s="8" t="s">
        <v>65</v>
      </c>
      <c r="F161">
        <v>1</v>
      </c>
      <c r="G161" s="2">
        <v>46185.75</v>
      </c>
      <c r="H161" s="2">
        <v>46185.583333333336</v>
      </c>
    </row>
    <row r="162" spans="1:8" x14ac:dyDescent="0.25">
      <c r="A162" s="8" t="s">
        <v>899</v>
      </c>
      <c r="B162" s="8" t="s">
        <v>13949</v>
      </c>
      <c r="C162" s="2">
        <v>46185.416666666664</v>
      </c>
      <c r="D162" s="8" t="s">
        <v>13931</v>
      </c>
      <c r="E162" s="8" t="s">
        <v>77</v>
      </c>
      <c r="F162">
        <v>2</v>
      </c>
      <c r="G162" s="2">
        <v>46185.75</v>
      </c>
      <c r="H162" s="2">
        <v>46185.583333333336</v>
      </c>
    </row>
    <row r="163" spans="1:8" x14ac:dyDescent="0.25">
      <c r="A163" s="8" t="s">
        <v>902</v>
      </c>
      <c r="B163" s="8" t="s">
        <v>13950</v>
      </c>
      <c r="C163" s="2">
        <v>46185.416666666664</v>
      </c>
      <c r="D163" s="8" t="s">
        <v>13933</v>
      </c>
      <c r="E163" s="8" t="s">
        <v>11</v>
      </c>
      <c r="F163">
        <v>6</v>
      </c>
      <c r="G163" s="2">
        <v>46185.75</v>
      </c>
      <c r="H163" s="2">
        <v>46185.583333333336</v>
      </c>
    </row>
    <row r="164" spans="1:8" x14ac:dyDescent="0.25">
      <c r="A164" s="8" t="s">
        <v>905</v>
      </c>
      <c r="B164" s="8" t="s">
        <v>13950</v>
      </c>
      <c r="C164" s="2">
        <v>46185.416666666664</v>
      </c>
      <c r="D164" s="8" t="s">
        <v>13933</v>
      </c>
      <c r="E164" s="8" t="s">
        <v>26</v>
      </c>
      <c r="F164">
        <v>6</v>
      </c>
      <c r="G164" s="2">
        <v>46185.75</v>
      </c>
      <c r="H164" s="2">
        <v>46185.583333333336</v>
      </c>
    </row>
    <row r="165" spans="1:8" x14ac:dyDescent="0.25">
      <c r="A165" s="8" t="s">
        <v>908</v>
      </c>
      <c r="B165" s="8" t="s">
        <v>13950</v>
      </c>
      <c r="C165" s="2">
        <v>46185.416666666664</v>
      </c>
      <c r="D165" s="8" t="s">
        <v>13933</v>
      </c>
      <c r="E165" s="8" t="s">
        <v>49</v>
      </c>
      <c r="F165">
        <v>4</v>
      </c>
      <c r="G165" s="2">
        <v>46185.75</v>
      </c>
      <c r="H165" s="2">
        <v>46185.583333333336</v>
      </c>
    </row>
    <row r="166" spans="1:8" x14ac:dyDescent="0.25">
      <c r="A166" s="8" t="s">
        <v>911</v>
      </c>
      <c r="B166" s="8" t="s">
        <v>13950</v>
      </c>
      <c r="C166" s="2">
        <v>46185.416666666664</v>
      </c>
      <c r="D166" s="8" t="s">
        <v>13933</v>
      </c>
      <c r="E166" s="8" t="s">
        <v>57</v>
      </c>
      <c r="F166">
        <v>1</v>
      </c>
      <c r="G166" s="2">
        <v>46185.75</v>
      </c>
      <c r="H166" s="2">
        <v>46185.583333333336</v>
      </c>
    </row>
    <row r="167" spans="1:8" x14ac:dyDescent="0.25">
      <c r="A167" s="8" t="s">
        <v>914</v>
      </c>
      <c r="B167" s="8" t="s">
        <v>13950</v>
      </c>
      <c r="C167" s="2">
        <v>46185.416666666664</v>
      </c>
      <c r="D167" s="8" t="s">
        <v>13933</v>
      </c>
      <c r="E167" s="8" t="s">
        <v>65</v>
      </c>
      <c r="F167">
        <v>1</v>
      </c>
      <c r="G167" s="2">
        <v>46185.75</v>
      </c>
      <c r="H167" s="2">
        <v>46185.583333333336</v>
      </c>
    </row>
    <row r="168" spans="1:8" x14ac:dyDescent="0.25">
      <c r="A168" s="8" t="s">
        <v>917</v>
      </c>
      <c r="B168" s="8" t="s">
        <v>13951</v>
      </c>
      <c r="C168" s="2">
        <v>46185.416666666664</v>
      </c>
      <c r="D168" s="8" t="s">
        <v>13935</v>
      </c>
      <c r="E168" s="8" t="s">
        <v>11</v>
      </c>
      <c r="F168">
        <v>3</v>
      </c>
      <c r="G168" s="2">
        <v>46185.75</v>
      </c>
      <c r="H168" s="2">
        <v>46185.583333333336</v>
      </c>
    </row>
    <row r="169" spans="1:8" x14ac:dyDescent="0.25">
      <c r="A169" s="8" t="s">
        <v>920</v>
      </c>
      <c r="B169" s="8" t="s">
        <v>13951</v>
      </c>
      <c r="C169" s="2">
        <v>46185.416666666664</v>
      </c>
      <c r="D169" s="8" t="s">
        <v>13935</v>
      </c>
      <c r="E169" s="8" t="s">
        <v>18</v>
      </c>
      <c r="F169">
        <v>4</v>
      </c>
      <c r="G169" s="2">
        <v>46185.75</v>
      </c>
      <c r="H169" s="2">
        <v>46185.583333333336</v>
      </c>
    </row>
    <row r="170" spans="1:8" x14ac:dyDescent="0.25">
      <c r="A170" s="8" t="s">
        <v>923</v>
      </c>
      <c r="B170" s="8" t="s">
        <v>13951</v>
      </c>
      <c r="C170" s="2">
        <v>46185.416666666664</v>
      </c>
      <c r="D170" s="8" t="s">
        <v>13935</v>
      </c>
      <c r="E170" s="8" t="s">
        <v>20</v>
      </c>
      <c r="F170">
        <v>1</v>
      </c>
      <c r="G170" s="2">
        <v>46185.75</v>
      </c>
      <c r="H170" s="2">
        <v>46185.583333333336</v>
      </c>
    </row>
    <row r="171" spans="1:8" x14ac:dyDescent="0.25">
      <c r="A171" s="8" t="s">
        <v>926</v>
      </c>
      <c r="B171" s="8" t="s">
        <v>13951</v>
      </c>
      <c r="C171" s="2">
        <v>46185.416666666664</v>
      </c>
      <c r="D171" s="8" t="s">
        <v>13935</v>
      </c>
      <c r="E171" s="8" t="s">
        <v>22</v>
      </c>
      <c r="F171">
        <v>3</v>
      </c>
      <c r="G171" s="2">
        <v>46185.75</v>
      </c>
      <c r="H171" s="2">
        <v>46185.583333333336</v>
      </c>
    </row>
    <row r="172" spans="1:8" x14ac:dyDescent="0.25">
      <c r="A172" s="8" t="s">
        <v>929</v>
      </c>
      <c r="B172" s="8" t="s">
        <v>13951</v>
      </c>
      <c r="C172" s="2">
        <v>46185.416666666664</v>
      </c>
      <c r="D172" s="8" t="s">
        <v>13935</v>
      </c>
      <c r="E172" s="8" t="s">
        <v>24</v>
      </c>
      <c r="F172">
        <v>6</v>
      </c>
      <c r="G172" s="2">
        <v>46185.75</v>
      </c>
      <c r="H172" s="2">
        <v>46185.583333333336</v>
      </c>
    </row>
    <row r="173" spans="1:8" x14ac:dyDescent="0.25">
      <c r="A173" s="8" t="s">
        <v>932</v>
      </c>
      <c r="B173" s="8" t="s">
        <v>13951</v>
      </c>
      <c r="C173" s="2">
        <v>46185.416666666664</v>
      </c>
      <c r="D173" s="8" t="s">
        <v>13935</v>
      </c>
      <c r="E173" s="8" t="s">
        <v>30</v>
      </c>
      <c r="F173">
        <v>7</v>
      </c>
      <c r="G173" s="2">
        <v>46185.75</v>
      </c>
      <c r="H173" s="2">
        <v>46185.583333333336</v>
      </c>
    </row>
    <row r="174" spans="1:8" x14ac:dyDescent="0.25">
      <c r="A174" s="8" t="s">
        <v>935</v>
      </c>
      <c r="B174" s="8" t="s">
        <v>13951</v>
      </c>
      <c r="C174" s="2">
        <v>46185.416666666664</v>
      </c>
      <c r="D174" s="8" t="s">
        <v>13935</v>
      </c>
      <c r="E174" s="8" t="s">
        <v>36</v>
      </c>
      <c r="F174">
        <v>4</v>
      </c>
      <c r="G174" s="2">
        <v>46185.75</v>
      </c>
      <c r="H174" s="2">
        <v>46185.583333333336</v>
      </c>
    </row>
    <row r="175" spans="1:8" x14ac:dyDescent="0.25">
      <c r="A175" s="8" t="s">
        <v>938</v>
      </c>
      <c r="B175" s="8" t="s">
        <v>13951</v>
      </c>
      <c r="C175" s="2">
        <v>46185.416666666664</v>
      </c>
      <c r="D175" s="8" t="s">
        <v>13935</v>
      </c>
      <c r="E175" s="8" t="s">
        <v>49</v>
      </c>
      <c r="F175">
        <v>7</v>
      </c>
      <c r="G175" s="2">
        <v>46185.75</v>
      </c>
      <c r="H175" s="2">
        <v>46185.583333333336</v>
      </c>
    </row>
    <row r="176" spans="1:8" x14ac:dyDescent="0.25">
      <c r="A176" s="8" t="s">
        <v>941</v>
      </c>
      <c r="B176" s="8" t="s">
        <v>13951</v>
      </c>
      <c r="C176" s="2">
        <v>46185.416666666664</v>
      </c>
      <c r="D176" s="8" t="s">
        <v>13935</v>
      </c>
      <c r="E176" s="8" t="s">
        <v>59</v>
      </c>
      <c r="F176">
        <v>1</v>
      </c>
      <c r="G176" s="2">
        <v>46185.75</v>
      </c>
      <c r="H176" s="2">
        <v>46185.583333333336</v>
      </c>
    </row>
    <row r="177" spans="1:8" x14ac:dyDescent="0.25">
      <c r="A177" s="8" t="s">
        <v>944</v>
      </c>
      <c r="B177" s="8" t="s">
        <v>13951</v>
      </c>
      <c r="C177" s="2">
        <v>46185.416666666664</v>
      </c>
      <c r="D177" s="8" t="s">
        <v>13935</v>
      </c>
      <c r="E177" s="8" t="s">
        <v>65</v>
      </c>
      <c r="F177">
        <v>6</v>
      </c>
      <c r="G177" s="2">
        <v>46185.75</v>
      </c>
      <c r="H177" s="2">
        <v>46185.583333333336</v>
      </c>
    </row>
    <row r="178" spans="1:8" x14ac:dyDescent="0.25">
      <c r="A178" s="8" t="s">
        <v>947</v>
      </c>
      <c r="B178" s="8" t="s">
        <v>13951</v>
      </c>
      <c r="C178" s="2">
        <v>46185.416666666664</v>
      </c>
      <c r="D178" s="8" t="s">
        <v>13935</v>
      </c>
      <c r="E178" s="8" t="s">
        <v>69</v>
      </c>
      <c r="F178">
        <v>1</v>
      </c>
      <c r="G178" s="2">
        <v>46185.75</v>
      </c>
      <c r="H178" s="2">
        <v>46185.583333333336</v>
      </c>
    </row>
    <row r="179" spans="1:8" x14ac:dyDescent="0.25">
      <c r="A179" s="8" t="s">
        <v>950</v>
      </c>
      <c r="B179" s="8" t="s">
        <v>13951</v>
      </c>
      <c r="C179" s="2">
        <v>46185.416666666664</v>
      </c>
      <c r="D179" s="8" t="s">
        <v>13935</v>
      </c>
      <c r="E179" s="8" t="s">
        <v>73</v>
      </c>
      <c r="F179">
        <v>3</v>
      </c>
      <c r="G179" s="2">
        <v>46185.75</v>
      </c>
      <c r="H179" s="2">
        <v>46185.583333333336</v>
      </c>
    </row>
    <row r="180" spans="1:8" x14ac:dyDescent="0.25">
      <c r="A180" s="8" t="s">
        <v>953</v>
      </c>
      <c r="B180" s="8" t="s">
        <v>13951</v>
      </c>
      <c r="C180" s="2">
        <v>46185.416666666664</v>
      </c>
      <c r="D180" s="8" t="s">
        <v>13935</v>
      </c>
      <c r="E180" s="8" t="s">
        <v>75</v>
      </c>
      <c r="F180">
        <v>1</v>
      </c>
      <c r="G180" s="2">
        <v>46185.75</v>
      </c>
      <c r="H180" s="2">
        <v>46185.583333333336</v>
      </c>
    </row>
    <row r="181" spans="1:8" x14ac:dyDescent="0.25">
      <c r="A181" s="8" t="s">
        <v>956</v>
      </c>
      <c r="B181" s="8" t="s">
        <v>13952</v>
      </c>
      <c r="C181" s="2">
        <v>46185.416666666664</v>
      </c>
      <c r="D181" s="8" t="s">
        <v>13937</v>
      </c>
      <c r="E181" s="8" t="s">
        <v>11</v>
      </c>
      <c r="F181">
        <v>4</v>
      </c>
      <c r="G181" s="2">
        <v>46185.75</v>
      </c>
      <c r="H181" s="2">
        <v>46185.583333333336</v>
      </c>
    </row>
    <row r="182" spans="1:8" x14ac:dyDescent="0.25">
      <c r="A182" s="8" t="s">
        <v>959</v>
      </c>
      <c r="B182" s="8" t="s">
        <v>13952</v>
      </c>
      <c r="C182" s="2">
        <v>46185.416666666664</v>
      </c>
      <c r="D182" s="8" t="s">
        <v>13937</v>
      </c>
      <c r="E182" s="8" t="s">
        <v>20</v>
      </c>
      <c r="F182">
        <v>3</v>
      </c>
      <c r="G182" s="2">
        <v>46185.75</v>
      </c>
      <c r="H182" s="2">
        <v>46185.583333333336</v>
      </c>
    </row>
    <row r="183" spans="1:8" x14ac:dyDescent="0.25">
      <c r="A183" s="8" t="s">
        <v>962</v>
      </c>
      <c r="B183" s="8" t="s">
        <v>13952</v>
      </c>
      <c r="C183" s="2">
        <v>46185.416666666664</v>
      </c>
      <c r="D183" s="8" t="s">
        <v>13937</v>
      </c>
      <c r="E183" s="8" t="s">
        <v>26</v>
      </c>
      <c r="F183">
        <v>1</v>
      </c>
      <c r="G183" s="2">
        <v>46185.75</v>
      </c>
      <c r="H183" s="2">
        <v>46185.583333333336</v>
      </c>
    </row>
    <row r="184" spans="1:8" x14ac:dyDescent="0.25">
      <c r="A184" s="8" t="s">
        <v>965</v>
      </c>
      <c r="B184" s="8" t="s">
        <v>13952</v>
      </c>
      <c r="C184" s="2">
        <v>46185.416666666664</v>
      </c>
      <c r="D184" s="8" t="s">
        <v>13937</v>
      </c>
      <c r="E184" s="8" t="s">
        <v>41</v>
      </c>
      <c r="F184">
        <v>1</v>
      </c>
      <c r="G184" s="2">
        <v>46185.75</v>
      </c>
      <c r="H184" s="2">
        <v>46185.583333333336</v>
      </c>
    </row>
    <row r="185" spans="1:8" x14ac:dyDescent="0.25">
      <c r="A185" s="8" t="s">
        <v>968</v>
      </c>
      <c r="B185" s="8" t="s">
        <v>13952</v>
      </c>
      <c r="C185" s="2">
        <v>46185.416666666664</v>
      </c>
      <c r="D185" s="8" t="s">
        <v>13937</v>
      </c>
      <c r="E185" s="8" t="s">
        <v>49</v>
      </c>
      <c r="F185">
        <v>3</v>
      </c>
      <c r="G185" s="2">
        <v>46185.75</v>
      </c>
      <c r="H185" s="2">
        <v>46185.583333333336</v>
      </c>
    </row>
    <row r="186" spans="1:8" x14ac:dyDescent="0.25">
      <c r="A186" s="8" t="s">
        <v>971</v>
      </c>
      <c r="B186" s="8" t="s">
        <v>13952</v>
      </c>
      <c r="C186" s="2">
        <v>46185.416666666664</v>
      </c>
      <c r="D186" s="8" t="s">
        <v>13937</v>
      </c>
      <c r="E186" s="8" t="s">
        <v>51</v>
      </c>
      <c r="F186">
        <v>4</v>
      </c>
      <c r="G186" s="2">
        <v>46185.75</v>
      </c>
      <c r="H186" s="2">
        <v>46185.583333333336</v>
      </c>
    </row>
    <row r="187" spans="1:8" x14ac:dyDescent="0.25">
      <c r="A187" s="8" t="s">
        <v>974</v>
      </c>
      <c r="B187" s="8" t="s">
        <v>13952</v>
      </c>
      <c r="C187" s="2">
        <v>46185.416666666664</v>
      </c>
      <c r="D187" s="8" t="s">
        <v>13937</v>
      </c>
      <c r="E187" s="8" t="s">
        <v>59</v>
      </c>
      <c r="F187">
        <v>4</v>
      </c>
      <c r="G187" s="2">
        <v>46185.75</v>
      </c>
      <c r="H187" s="2">
        <v>46185.583333333336</v>
      </c>
    </row>
    <row r="188" spans="1:8" x14ac:dyDescent="0.25">
      <c r="A188" s="8" t="s">
        <v>977</v>
      </c>
      <c r="B188" s="8" t="s">
        <v>13952</v>
      </c>
      <c r="C188" s="2">
        <v>46185.416666666664</v>
      </c>
      <c r="D188" s="8" t="s">
        <v>13937</v>
      </c>
      <c r="E188" s="8" t="s">
        <v>65</v>
      </c>
      <c r="F188">
        <v>4</v>
      </c>
      <c r="G188" s="2">
        <v>46185.75</v>
      </c>
      <c r="H188" s="2">
        <v>46185.583333333336</v>
      </c>
    </row>
    <row r="189" spans="1:8" x14ac:dyDescent="0.25">
      <c r="A189" s="8" t="s">
        <v>980</v>
      </c>
      <c r="B189" s="8" t="s">
        <v>13952</v>
      </c>
      <c r="C189" s="2">
        <v>46185.416666666664</v>
      </c>
      <c r="D189" s="8" t="s">
        <v>13937</v>
      </c>
      <c r="E189" s="8" t="s">
        <v>73</v>
      </c>
      <c r="F189">
        <v>1</v>
      </c>
      <c r="G189" s="2">
        <v>46185.75</v>
      </c>
      <c r="H189" s="2">
        <v>46185.583333333336</v>
      </c>
    </row>
    <row r="190" spans="1:8" x14ac:dyDescent="0.25">
      <c r="A190" s="8" t="s">
        <v>983</v>
      </c>
      <c r="B190" s="8" t="s">
        <v>13952</v>
      </c>
      <c r="C190" s="2">
        <v>46185.416666666664</v>
      </c>
      <c r="D190" s="8" t="s">
        <v>13937</v>
      </c>
      <c r="E190" s="8" t="s">
        <v>75</v>
      </c>
      <c r="F190">
        <v>3</v>
      </c>
      <c r="G190" s="2">
        <v>46185.75</v>
      </c>
      <c r="H190" s="2">
        <v>46185.583333333336</v>
      </c>
    </row>
    <row r="191" spans="1:8" x14ac:dyDescent="0.25">
      <c r="A191" s="8" t="s">
        <v>986</v>
      </c>
      <c r="B191" s="8" t="s">
        <v>13953</v>
      </c>
      <c r="C191" s="2">
        <v>46186.416666666664</v>
      </c>
      <c r="D191" s="8" t="s">
        <v>13929</v>
      </c>
      <c r="E191" s="8" t="s">
        <v>11</v>
      </c>
      <c r="F191">
        <v>1</v>
      </c>
      <c r="G191" s="2">
        <v>46186.75</v>
      </c>
      <c r="H191" s="2">
        <v>46186.583333333336</v>
      </c>
    </row>
    <row r="192" spans="1:8" x14ac:dyDescent="0.25">
      <c r="A192" s="8" t="s">
        <v>989</v>
      </c>
      <c r="B192" s="8" t="s">
        <v>13953</v>
      </c>
      <c r="C192" s="2">
        <v>46186.416666666664</v>
      </c>
      <c r="D192" s="8" t="s">
        <v>13929</v>
      </c>
      <c r="E192" s="8" t="s">
        <v>18</v>
      </c>
      <c r="F192">
        <v>2</v>
      </c>
      <c r="G192" s="2">
        <v>46186.75</v>
      </c>
      <c r="H192" s="2">
        <v>46186.583333333336</v>
      </c>
    </row>
    <row r="193" spans="1:8" x14ac:dyDescent="0.25">
      <c r="A193" s="8" t="s">
        <v>992</v>
      </c>
      <c r="B193" s="8" t="s">
        <v>13953</v>
      </c>
      <c r="C193" s="2">
        <v>46186.416666666664</v>
      </c>
      <c r="D193" s="8" t="s">
        <v>13929</v>
      </c>
      <c r="E193" s="8" t="s">
        <v>20</v>
      </c>
      <c r="F193">
        <v>5</v>
      </c>
      <c r="G193" s="2">
        <v>46186.75</v>
      </c>
      <c r="H193" s="2">
        <v>46186.583333333336</v>
      </c>
    </row>
    <row r="194" spans="1:8" x14ac:dyDescent="0.25">
      <c r="A194" s="8" t="s">
        <v>995</v>
      </c>
      <c r="B194" s="8" t="s">
        <v>13953</v>
      </c>
      <c r="C194" s="2">
        <v>46186.416666666664</v>
      </c>
      <c r="D194" s="8" t="s">
        <v>13929</v>
      </c>
      <c r="E194" s="8" t="s">
        <v>22</v>
      </c>
      <c r="F194">
        <v>1</v>
      </c>
      <c r="G194" s="2">
        <v>46186.75</v>
      </c>
      <c r="H194" s="2">
        <v>46186.583333333336</v>
      </c>
    </row>
    <row r="195" spans="1:8" x14ac:dyDescent="0.25">
      <c r="A195" s="8" t="s">
        <v>998</v>
      </c>
      <c r="B195" s="8" t="s">
        <v>13953</v>
      </c>
      <c r="C195" s="2">
        <v>46186.416666666664</v>
      </c>
      <c r="D195" s="8" t="s">
        <v>13929</v>
      </c>
      <c r="E195" s="8" t="s">
        <v>30</v>
      </c>
      <c r="F195">
        <v>5</v>
      </c>
      <c r="G195" s="2">
        <v>46186.75</v>
      </c>
      <c r="H195" s="2">
        <v>46186.583333333336</v>
      </c>
    </row>
    <row r="196" spans="1:8" x14ac:dyDescent="0.25">
      <c r="A196" s="8" t="s">
        <v>1001</v>
      </c>
      <c r="B196" s="8" t="s">
        <v>13953</v>
      </c>
      <c r="C196" s="2">
        <v>46186.416666666664</v>
      </c>
      <c r="D196" s="8" t="s">
        <v>13929</v>
      </c>
      <c r="E196" s="8" t="s">
        <v>32</v>
      </c>
      <c r="F196">
        <v>2</v>
      </c>
      <c r="G196" s="2">
        <v>46186.75</v>
      </c>
      <c r="H196" s="2">
        <v>46186.583333333336</v>
      </c>
    </row>
    <row r="197" spans="1:8" x14ac:dyDescent="0.25">
      <c r="A197" s="8" t="s">
        <v>1004</v>
      </c>
      <c r="B197" s="8" t="s">
        <v>13953</v>
      </c>
      <c r="C197" s="2">
        <v>46186.416666666664</v>
      </c>
      <c r="D197" s="8" t="s">
        <v>13929</v>
      </c>
      <c r="E197" s="8" t="s">
        <v>36</v>
      </c>
      <c r="F197">
        <v>4</v>
      </c>
      <c r="G197" s="2">
        <v>46186.75</v>
      </c>
      <c r="H197" s="2">
        <v>46186.583333333336</v>
      </c>
    </row>
    <row r="198" spans="1:8" x14ac:dyDescent="0.25">
      <c r="A198" s="8" t="s">
        <v>1007</v>
      </c>
      <c r="B198" s="8" t="s">
        <v>13953</v>
      </c>
      <c r="C198" s="2">
        <v>46186.416666666664</v>
      </c>
      <c r="D198" s="8" t="s">
        <v>13929</v>
      </c>
      <c r="E198" s="8" t="s">
        <v>45</v>
      </c>
      <c r="F198">
        <v>1</v>
      </c>
      <c r="G198" s="2">
        <v>46186.75</v>
      </c>
      <c r="H198" s="2">
        <v>46186.583333333336</v>
      </c>
    </row>
    <row r="199" spans="1:8" x14ac:dyDescent="0.25">
      <c r="A199" s="8" t="s">
        <v>1010</v>
      </c>
      <c r="B199" s="8" t="s">
        <v>13953</v>
      </c>
      <c r="C199" s="2">
        <v>46186.416666666664</v>
      </c>
      <c r="D199" s="8" t="s">
        <v>13929</v>
      </c>
      <c r="E199" s="8" t="s">
        <v>49</v>
      </c>
      <c r="F199">
        <v>5</v>
      </c>
      <c r="G199" s="2">
        <v>46186.75</v>
      </c>
      <c r="H199" s="2">
        <v>46186.583333333336</v>
      </c>
    </row>
    <row r="200" spans="1:8" x14ac:dyDescent="0.25">
      <c r="A200" s="8" t="s">
        <v>1013</v>
      </c>
      <c r="B200" s="8" t="s">
        <v>13953</v>
      </c>
      <c r="C200" s="2">
        <v>46186.416666666664</v>
      </c>
      <c r="D200" s="8" t="s">
        <v>13929</v>
      </c>
      <c r="E200" s="8" t="s">
        <v>73</v>
      </c>
      <c r="F200">
        <v>1</v>
      </c>
      <c r="G200" s="2">
        <v>46186.75</v>
      </c>
      <c r="H200" s="2">
        <v>46186.583333333336</v>
      </c>
    </row>
    <row r="201" spans="1:8" x14ac:dyDescent="0.25">
      <c r="A201" s="8" t="s">
        <v>1016</v>
      </c>
      <c r="B201" s="8" t="s">
        <v>13953</v>
      </c>
      <c r="C201" s="2">
        <v>46186.416666666664</v>
      </c>
      <c r="D201" s="8" t="s">
        <v>13929</v>
      </c>
      <c r="E201" s="8" t="s">
        <v>75</v>
      </c>
      <c r="F201">
        <v>1</v>
      </c>
      <c r="G201" s="2">
        <v>46186.75</v>
      </c>
      <c r="H201" s="2">
        <v>46186.583333333336</v>
      </c>
    </row>
    <row r="202" spans="1:8" x14ac:dyDescent="0.25">
      <c r="A202" s="8" t="s">
        <v>1019</v>
      </c>
      <c r="B202" s="8" t="s">
        <v>13954</v>
      </c>
      <c r="C202" s="2">
        <v>46186.416666666664</v>
      </c>
      <c r="D202" s="8" t="s">
        <v>13931</v>
      </c>
      <c r="E202" s="8" t="s">
        <v>11</v>
      </c>
      <c r="F202">
        <v>4</v>
      </c>
      <c r="G202" s="2">
        <v>46186.75</v>
      </c>
      <c r="H202" s="2">
        <v>46186.583333333336</v>
      </c>
    </row>
    <row r="203" spans="1:8" x14ac:dyDescent="0.25">
      <c r="A203" s="8" t="s">
        <v>1022</v>
      </c>
      <c r="B203" s="8" t="s">
        <v>13954</v>
      </c>
      <c r="C203" s="2">
        <v>46186.416666666664</v>
      </c>
      <c r="D203" s="8" t="s">
        <v>13931</v>
      </c>
      <c r="E203" s="8" t="s">
        <v>18</v>
      </c>
      <c r="F203">
        <v>1</v>
      </c>
      <c r="G203" s="2">
        <v>46186.75</v>
      </c>
      <c r="H203" s="2">
        <v>46186.583333333336</v>
      </c>
    </row>
    <row r="204" spans="1:8" x14ac:dyDescent="0.25">
      <c r="A204" s="8" t="s">
        <v>1025</v>
      </c>
      <c r="B204" s="8" t="s">
        <v>13954</v>
      </c>
      <c r="C204" s="2">
        <v>46186.416666666664</v>
      </c>
      <c r="D204" s="8" t="s">
        <v>13931</v>
      </c>
      <c r="E204" s="8" t="s">
        <v>22</v>
      </c>
      <c r="F204">
        <v>3</v>
      </c>
      <c r="G204" s="2">
        <v>46186.75</v>
      </c>
      <c r="H204" s="2">
        <v>46186.583333333336</v>
      </c>
    </row>
    <row r="205" spans="1:8" x14ac:dyDescent="0.25">
      <c r="A205" s="8" t="s">
        <v>1028</v>
      </c>
      <c r="B205" s="8" t="s">
        <v>13954</v>
      </c>
      <c r="C205" s="2">
        <v>46186.416666666664</v>
      </c>
      <c r="D205" s="8" t="s">
        <v>13931</v>
      </c>
      <c r="E205" s="8" t="s">
        <v>30</v>
      </c>
      <c r="F205">
        <v>4</v>
      </c>
      <c r="G205" s="2">
        <v>46186.75</v>
      </c>
      <c r="H205" s="2">
        <v>46186.583333333336</v>
      </c>
    </row>
    <row r="206" spans="1:8" x14ac:dyDescent="0.25">
      <c r="A206" s="8" t="s">
        <v>1031</v>
      </c>
      <c r="B206" s="8" t="s">
        <v>13954</v>
      </c>
      <c r="C206" s="2">
        <v>46186.416666666664</v>
      </c>
      <c r="D206" s="8" t="s">
        <v>13931</v>
      </c>
      <c r="E206" s="8" t="s">
        <v>41</v>
      </c>
      <c r="F206">
        <v>5</v>
      </c>
      <c r="G206" s="2">
        <v>46186.75</v>
      </c>
      <c r="H206" s="2">
        <v>46186.583333333336</v>
      </c>
    </row>
    <row r="207" spans="1:8" x14ac:dyDescent="0.25">
      <c r="A207" s="8" t="s">
        <v>1034</v>
      </c>
      <c r="B207" s="8" t="s">
        <v>13954</v>
      </c>
      <c r="C207" s="2">
        <v>46186.416666666664</v>
      </c>
      <c r="D207" s="8" t="s">
        <v>13931</v>
      </c>
      <c r="E207" s="8" t="s">
        <v>51</v>
      </c>
      <c r="F207">
        <v>4</v>
      </c>
      <c r="G207" s="2">
        <v>46186.75</v>
      </c>
      <c r="H207" s="2">
        <v>46186.583333333336</v>
      </c>
    </row>
    <row r="208" spans="1:8" x14ac:dyDescent="0.25">
      <c r="A208" s="8" t="s">
        <v>1037</v>
      </c>
      <c r="B208" s="8" t="s">
        <v>13954</v>
      </c>
      <c r="C208" s="2">
        <v>46186.416666666664</v>
      </c>
      <c r="D208" s="8" t="s">
        <v>13931</v>
      </c>
      <c r="E208" s="8" t="s">
        <v>53</v>
      </c>
      <c r="F208">
        <v>3</v>
      </c>
      <c r="G208" s="2">
        <v>46186.75</v>
      </c>
      <c r="H208" s="2">
        <v>46186.583333333336</v>
      </c>
    </row>
    <row r="209" spans="1:8" x14ac:dyDescent="0.25">
      <c r="A209" s="8" t="s">
        <v>1040</v>
      </c>
      <c r="B209" s="8" t="s">
        <v>13954</v>
      </c>
      <c r="C209" s="2">
        <v>46186.416666666664</v>
      </c>
      <c r="D209" s="8" t="s">
        <v>13931</v>
      </c>
      <c r="E209" s="8" t="s">
        <v>71</v>
      </c>
      <c r="F209">
        <v>5</v>
      </c>
      <c r="G209" s="2">
        <v>46186.75</v>
      </c>
      <c r="H209" s="2">
        <v>46186.583333333336</v>
      </c>
    </row>
    <row r="210" spans="1:8" x14ac:dyDescent="0.25">
      <c r="A210" s="8" t="s">
        <v>1043</v>
      </c>
      <c r="B210" s="8" t="s">
        <v>13954</v>
      </c>
      <c r="C210" s="2">
        <v>46186.416666666664</v>
      </c>
      <c r="D210" s="8" t="s">
        <v>13931</v>
      </c>
      <c r="E210" s="8" t="s">
        <v>77</v>
      </c>
      <c r="F210">
        <v>5</v>
      </c>
      <c r="G210" s="2">
        <v>46186.75</v>
      </c>
      <c r="H210" s="2">
        <v>46186.583333333336</v>
      </c>
    </row>
    <row r="211" spans="1:8" x14ac:dyDescent="0.25">
      <c r="A211" s="8" t="s">
        <v>1046</v>
      </c>
      <c r="B211" s="8" t="s">
        <v>13955</v>
      </c>
      <c r="C211" s="2">
        <v>46186.416666666664</v>
      </c>
      <c r="D211" s="8" t="s">
        <v>13933</v>
      </c>
      <c r="E211" s="8" t="s">
        <v>22</v>
      </c>
      <c r="F211">
        <v>3</v>
      </c>
      <c r="G211" s="2">
        <v>46186.75</v>
      </c>
      <c r="H211" s="2">
        <v>46186.583333333336</v>
      </c>
    </row>
    <row r="212" spans="1:8" x14ac:dyDescent="0.25">
      <c r="A212" s="8" t="s">
        <v>1049</v>
      </c>
      <c r="B212" s="8" t="s">
        <v>13955</v>
      </c>
      <c r="C212" s="2">
        <v>46186.416666666664</v>
      </c>
      <c r="D212" s="8" t="s">
        <v>13933</v>
      </c>
      <c r="E212" s="8" t="s">
        <v>24</v>
      </c>
      <c r="F212">
        <v>8</v>
      </c>
      <c r="G212" s="2">
        <v>46186.75</v>
      </c>
      <c r="H212" s="2">
        <v>46186.583333333336</v>
      </c>
    </row>
    <row r="213" spans="1:8" x14ac:dyDescent="0.25">
      <c r="A213" s="8" t="s">
        <v>1052</v>
      </c>
      <c r="B213" s="8" t="s">
        <v>13955</v>
      </c>
      <c r="C213" s="2">
        <v>46186.416666666664</v>
      </c>
      <c r="D213" s="8" t="s">
        <v>13933</v>
      </c>
      <c r="E213" s="8" t="s">
        <v>26</v>
      </c>
      <c r="F213">
        <v>6</v>
      </c>
      <c r="G213" s="2">
        <v>46186.75</v>
      </c>
      <c r="H213" s="2">
        <v>46186.583333333336</v>
      </c>
    </row>
    <row r="214" spans="1:8" x14ac:dyDescent="0.25">
      <c r="A214" s="8" t="s">
        <v>1055</v>
      </c>
      <c r="B214" s="8" t="s">
        <v>13955</v>
      </c>
      <c r="C214" s="2">
        <v>46186.416666666664</v>
      </c>
      <c r="D214" s="8" t="s">
        <v>13933</v>
      </c>
      <c r="E214" s="8" t="s">
        <v>28</v>
      </c>
      <c r="F214">
        <v>2</v>
      </c>
      <c r="G214" s="2">
        <v>46186.75</v>
      </c>
      <c r="H214" s="2">
        <v>46186.583333333336</v>
      </c>
    </row>
    <row r="215" spans="1:8" x14ac:dyDescent="0.25">
      <c r="A215" s="8" t="s">
        <v>1058</v>
      </c>
      <c r="B215" s="8" t="s">
        <v>13955</v>
      </c>
      <c r="C215" s="2">
        <v>46186.416666666664</v>
      </c>
      <c r="D215" s="8" t="s">
        <v>13933</v>
      </c>
      <c r="E215" s="8" t="s">
        <v>51</v>
      </c>
      <c r="F215">
        <v>3</v>
      </c>
      <c r="G215" s="2">
        <v>46186.75</v>
      </c>
      <c r="H215" s="2">
        <v>46186.583333333336</v>
      </c>
    </row>
    <row r="216" spans="1:8" x14ac:dyDescent="0.25">
      <c r="A216" s="8" t="s">
        <v>1061</v>
      </c>
      <c r="B216" s="8" t="s">
        <v>13955</v>
      </c>
      <c r="C216" s="2">
        <v>46186.416666666664</v>
      </c>
      <c r="D216" s="8" t="s">
        <v>13933</v>
      </c>
      <c r="E216" s="8" t="s">
        <v>53</v>
      </c>
      <c r="F216">
        <v>5</v>
      </c>
      <c r="G216" s="2">
        <v>46186.75</v>
      </c>
      <c r="H216" s="2">
        <v>46186.583333333336</v>
      </c>
    </row>
    <row r="217" spans="1:8" x14ac:dyDescent="0.25">
      <c r="A217" s="8" t="s">
        <v>1064</v>
      </c>
      <c r="B217" s="8" t="s">
        <v>13955</v>
      </c>
      <c r="C217" s="2">
        <v>46186.416666666664</v>
      </c>
      <c r="D217" s="8" t="s">
        <v>13933</v>
      </c>
      <c r="E217" s="8" t="s">
        <v>69</v>
      </c>
      <c r="F217">
        <v>2</v>
      </c>
      <c r="G217" s="2">
        <v>46186.75</v>
      </c>
      <c r="H217" s="2">
        <v>46186.583333333336</v>
      </c>
    </row>
    <row r="218" spans="1:8" x14ac:dyDescent="0.25">
      <c r="A218" s="8" t="s">
        <v>1067</v>
      </c>
      <c r="B218" s="8" t="s">
        <v>13955</v>
      </c>
      <c r="C218" s="2">
        <v>46186.416666666664</v>
      </c>
      <c r="D218" s="8" t="s">
        <v>13933</v>
      </c>
      <c r="E218" s="8" t="s">
        <v>73</v>
      </c>
      <c r="F218">
        <v>8</v>
      </c>
      <c r="G218" s="2">
        <v>46186.75</v>
      </c>
      <c r="H218" s="2">
        <v>46186.583333333336</v>
      </c>
    </row>
    <row r="219" spans="1:8" x14ac:dyDescent="0.25">
      <c r="A219" s="8" t="s">
        <v>1070</v>
      </c>
      <c r="B219" s="8" t="s">
        <v>13955</v>
      </c>
      <c r="C219" s="2">
        <v>46186.416666666664</v>
      </c>
      <c r="D219" s="8" t="s">
        <v>13933</v>
      </c>
      <c r="E219" s="8" t="s">
        <v>75</v>
      </c>
      <c r="F219">
        <v>3</v>
      </c>
      <c r="G219" s="2">
        <v>46186.75</v>
      </c>
      <c r="H219" s="2">
        <v>46186.583333333336</v>
      </c>
    </row>
    <row r="220" spans="1:8" x14ac:dyDescent="0.25">
      <c r="A220" s="8" t="s">
        <v>1073</v>
      </c>
      <c r="B220" s="8" t="s">
        <v>13956</v>
      </c>
      <c r="C220" s="2">
        <v>46186.416666666664</v>
      </c>
      <c r="D220" s="8" t="s">
        <v>13935</v>
      </c>
      <c r="E220" s="8" t="s">
        <v>22</v>
      </c>
      <c r="F220">
        <v>9</v>
      </c>
      <c r="G220" s="2">
        <v>46186.75</v>
      </c>
      <c r="H220" s="2">
        <v>46186.583333333336</v>
      </c>
    </row>
    <row r="221" spans="1:8" x14ac:dyDescent="0.25">
      <c r="A221" s="8" t="s">
        <v>1076</v>
      </c>
      <c r="B221" s="8" t="s">
        <v>13956</v>
      </c>
      <c r="C221" s="2">
        <v>46186.416666666664</v>
      </c>
      <c r="D221" s="8" t="s">
        <v>13935</v>
      </c>
      <c r="E221" s="8" t="s">
        <v>24</v>
      </c>
      <c r="F221">
        <v>9</v>
      </c>
      <c r="G221" s="2">
        <v>46186.75</v>
      </c>
      <c r="H221" s="2">
        <v>46186.583333333336</v>
      </c>
    </row>
    <row r="222" spans="1:8" x14ac:dyDescent="0.25">
      <c r="A222" s="8" t="s">
        <v>1079</v>
      </c>
      <c r="B222" s="8" t="s">
        <v>13956</v>
      </c>
      <c r="C222" s="2">
        <v>46186.416666666664</v>
      </c>
      <c r="D222" s="8" t="s">
        <v>13935</v>
      </c>
      <c r="E222" s="8" t="s">
        <v>26</v>
      </c>
      <c r="F222">
        <v>7</v>
      </c>
      <c r="G222" s="2">
        <v>46186.75</v>
      </c>
      <c r="H222" s="2">
        <v>46186.583333333336</v>
      </c>
    </row>
    <row r="223" spans="1:8" x14ac:dyDescent="0.25">
      <c r="A223" s="8" t="s">
        <v>1082</v>
      </c>
      <c r="B223" s="8" t="s">
        <v>13956</v>
      </c>
      <c r="C223" s="2">
        <v>46186.416666666664</v>
      </c>
      <c r="D223" s="8" t="s">
        <v>13935</v>
      </c>
      <c r="E223" s="8" t="s">
        <v>47</v>
      </c>
      <c r="F223">
        <v>4</v>
      </c>
      <c r="G223" s="2">
        <v>46186.75</v>
      </c>
      <c r="H223" s="2">
        <v>46186.583333333336</v>
      </c>
    </row>
    <row r="224" spans="1:8" x14ac:dyDescent="0.25">
      <c r="A224" s="8" t="s">
        <v>1085</v>
      </c>
      <c r="B224" s="8" t="s">
        <v>13956</v>
      </c>
      <c r="C224" s="2">
        <v>46186.416666666664</v>
      </c>
      <c r="D224" s="8" t="s">
        <v>13935</v>
      </c>
      <c r="E224" s="8" t="s">
        <v>57</v>
      </c>
      <c r="F224">
        <v>9</v>
      </c>
      <c r="G224" s="2">
        <v>46186.75</v>
      </c>
      <c r="H224" s="2">
        <v>46186.583333333336</v>
      </c>
    </row>
    <row r="225" spans="1:8" x14ac:dyDescent="0.25">
      <c r="A225" s="8" t="s">
        <v>1088</v>
      </c>
      <c r="B225" s="8" t="s">
        <v>13956</v>
      </c>
      <c r="C225" s="2">
        <v>46186.416666666664</v>
      </c>
      <c r="D225" s="8" t="s">
        <v>13935</v>
      </c>
      <c r="E225" s="8" t="s">
        <v>65</v>
      </c>
      <c r="F225">
        <v>2</v>
      </c>
      <c r="G225" s="2">
        <v>46186.75</v>
      </c>
      <c r="H225" s="2">
        <v>46186.583333333336</v>
      </c>
    </row>
    <row r="226" spans="1:8" x14ac:dyDescent="0.25">
      <c r="A226" s="8" t="s">
        <v>1091</v>
      </c>
      <c r="B226" s="8" t="s">
        <v>13956</v>
      </c>
      <c r="C226" s="2">
        <v>46186.416666666664</v>
      </c>
      <c r="D226" s="8" t="s">
        <v>13935</v>
      </c>
      <c r="E226" s="8" t="s">
        <v>67</v>
      </c>
      <c r="F226">
        <v>9</v>
      </c>
      <c r="G226" s="2">
        <v>46186.75</v>
      </c>
      <c r="H226" s="2">
        <v>46186.583333333336</v>
      </c>
    </row>
    <row r="227" spans="1:8" x14ac:dyDescent="0.25">
      <c r="A227" s="8" t="s">
        <v>1094</v>
      </c>
      <c r="B227" s="8" t="s">
        <v>13956</v>
      </c>
      <c r="C227" s="2">
        <v>46186.416666666664</v>
      </c>
      <c r="D227" s="8" t="s">
        <v>13935</v>
      </c>
      <c r="E227" s="8" t="s">
        <v>69</v>
      </c>
      <c r="F227">
        <v>4</v>
      </c>
      <c r="G227" s="2">
        <v>46186.75</v>
      </c>
      <c r="H227" s="2">
        <v>46186.583333333336</v>
      </c>
    </row>
    <row r="228" spans="1:8" x14ac:dyDescent="0.25">
      <c r="A228" s="8" t="s">
        <v>1097</v>
      </c>
      <c r="B228" s="8" t="s">
        <v>13956</v>
      </c>
      <c r="C228" s="2">
        <v>46186.416666666664</v>
      </c>
      <c r="D228" s="8" t="s">
        <v>13935</v>
      </c>
      <c r="E228" s="8" t="s">
        <v>71</v>
      </c>
      <c r="F228">
        <v>5</v>
      </c>
      <c r="G228" s="2">
        <v>46186.75</v>
      </c>
      <c r="H228" s="2">
        <v>46186.583333333336</v>
      </c>
    </row>
    <row r="229" spans="1:8" x14ac:dyDescent="0.25">
      <c r="A229" s="8" t="s">
        <v>1100</v>
      </c>
      <c r="B229" s="8" t="s">
        <v>13956</v>
      </c>
      <c r="C229" s="2">
        <v>46186.416666666664</v>
      </c>
      <c r="D229" s="8" t="s">
        <v>13935</v>
      </c>
      <c r="E229" s="8" t="s">
        <v>75</v>
      </c>
      <c r="F229">
        <v>4</v>
      </c>
      <c r="G229" s="2">
        <v>46186.75</v>
      </c>
      <c r="H229" s="2">
        <v>46186.583333333336</v>
      </c>
    </row>
    <row r="230" spans="1:8" x14ac:dyDescent="0.25">
      <c r="A230" s="8" t="s">
        <v>1103</v>
      </c>
      <c r="B230" s="8" t="s">
        <v>13957</v>
      </c>
      <c r="C230" s="2">
        <v>46186.416666666664</v>
      </c>
      <c r="D230" s="8" t="s">
        <v>13937</v>
      </c>
      <c r="E230" s="8" t="s">
        <v>11</v>
      </c>
      <c r="F230">
        <v>5</v>
      </c>
      <c r="G230" s="2">
        <v>46186.75</v>
      </c>
      <c r="H230" s="2">
        <v>46186.583333333336</v>
      </c>
    </row>
    <row r="231" spans="1:8" x14ac:dyDescent="0.25">
      <c r="A231" s="8" t="s">
        <v>1106</v>
      </c>
      <c r="B231" s="8" t="s">
        <v>13957</v>
      </c>
      <c r="C231" s="2">
        <v>46186.416666666664</v>
      </c>
      <c r="D231" s="8" t="s">
        <v>13937</v>
      </c>
      <c r="E231" s="8" t="s">
        <v>20</v>
      </c>
      <c r="F231">
        <v>5</v>
      </c>
      <c r="G231" s="2">
        <v>46186.75</v>
      </c>
      <c r="H231" s="2">
        <v>46186.583333333336</v>
      </c>
    </row>
    <row r="232" spans="1:8" x14ac:dyDescent="0.25">
      <c r="A232" s="8" t="s">
        <v>1109</v>
      </c>
      <c r="B232" s="8" t="s">
        <v>13957</v>
      </c>
      <c r="C232" s="2">
        <v>46186.416666666664</v>
      </c>
      <c r="D232" s="8" t="s">
        <v>13937</v>
      </c>
      <c r="E232" s="8" t="s">
        <v>22</v>
      </c>
      <c r="F232">
        <v>5</v>
      </c>
      <c r="G232" s="2">
        <v>46186.75</v>
      </c>
      <c r="H232" s="2">
        <v>46186.583333333336</v>
      </c>
    </row>
    <row r="233" spans="1:8" x14ac:dyDescent="0.25">
      <c r="A233" s="8" t="s">
        <v>1112</v>
      </c>
      <c r="B233" s="8" t="s">
        <v>13957</v>
      </c>
      <c r="C233" s="2">
        <v>46186.416666666664</v>
      </c>
      <c r="D233" s="8" t="s">
        <v>13937</v>
      </c>
      <c r="E233" s="8" t="s">
        <v>24</v>
      </c>
      <c r="F233">
        <v>6</v>
      </c>
      <c r="G233" s="2">
        <v>46186.75</v>
      </c>
      <c r="H233" s="2">
        <v>46186.583333333336</v>
      </c>
    </row>
    <row r="234" spans="1:8" x14ac:dyDescent="0.25">
      <c r="A234" s="8" t="s">
        <v>1115</v>
      </c>
      <c r="B234" s="8" t="s">
        <v>13957</v>
      </c>
      <c r="C234" s="2">
        <v>46186.416666666664</v>
      </c>
      <c r="D234" s="8" t="s">
        <v>13937</v>
      </c>
      <c r="E234" s="8" t="s">
        <v>43</v>
      </c>
      <c r="F234">
        <v>2</v>
      </c>
      <c r="G234" s="2">
        <v>46186.75</v>
      </c>
      <c r="H234" s="2">
        <v>46186.583333333336</v>
      </c>
    </row>
    <row r="235" spans="1:8" x14ac:dyDescent="0.25">
      <c r="A235" s="8" t="s">
        <v>1118</v>
      </c>
      <c r="B235" s="8" t="s">
        <v>13957</v>
      </c>
      <c r="C235" s="2">
        <v>46186.416666666664</v>
      </c>
      <c r="D235" s="8" t="s">
        <v>13937</v>
      </c>
      <c r="E235" s="8" t="s">
        <v>57</v>
      </c>
      <c r="F235">
        <v>6</v>
      </c>
      <c r="G235" s="2">
        <v>46186.75</v>
      </c>
      <c r="H235" s="2">
        <v>46186.583333333336</v>
      </c>
    </row>
    <row r="236" spans="1:8" x14ac:dyDescent="0.25">
      <c r="A236" s="8" t="s">
        <v>1121</v>
      </c>
      <c r="B236" s="8" t="s">
        <v>13957</v>
      </c>
      <c r="C236" s="2">
        <v>46186.416666666664</v>
      </c>
      <c r="D236" s="8" t="s">
        <v>13937</v>
      </c>
      <c r="E236" s="8" t="s">
        <v>69</v>
      </c>
      <c r="F236">
        <v>4</v>
      </c>
      <c r="G236" s="2">
        <v>46186.75</v>
      </c>
      <c r="H236" s="2">
        <v>46186.583333333336</v>
      </c>
    </row>
    <row r="237" spans="1:8" x14ac:dyDescent="0.25">
      <c r="A237" s="8" t="s">
        <v>1124</v>
      </c>
      <c r="B237" s="8" t="s">
        <v>13957</v>
      </c>
      <c r="C237" s="2">
        <v>46186.416666666664</v>
      </c>
      <c r="D237" s="8" t="s">
        <v>13937</v>
      </c>
      <c r="E237" s="8" t="s">
        <v>75</v>
      </c>
      <c r="F237">
        <v>1</v>
      </c>
      <c r="G237" s="2">
        <v>46186.75</v>
      </c>
      <c r="H237" s="2">
        <v>46186.583333333336</v>
      </c>
    </row>
    <row r="238" spans="1:8" x14ac:dyDescent="0.25">
      <c r="A238" s="8" t="s">
        <v>1127</v>
      </c>
      <c r="B238" s="8" t="s">
        <v>13957</v>
      </c>
      <c r="C238" s="2">
        <v>46186.416666666664</v>
      </c>
      <c r="D238" s="8" t="s">
        <v>13937</v>
      </c>
      <c r="E238" s="8" t="s">
        <v>77</v>
      </c>
      <c r="F238">
        <v>6</v>
      </c>
      <c r="G238" s="2">
        <v>46186.75</v>
      </c>
      <c r="H238" s="2">
        <v>46186.583333333336</v>
      </c>
    </row>
    <row r="239" spans="1:8" x14ac:dyDescent="0.25">
      <c r="A239" s="8" t="s">
        <v>1130</v>
      </c>
      <c r="B239" s="8" t="s">
        <v>13958</v>
      </c>
      <c r="C239" s="2">
        <v>46187.416666666664</v>
      </c>
      <c r="D239" s="8" t="s">
        <v>13929</v>
      </c>
      <c r="E239" s="8" t="s">
        <v>11</v>
      </c>
      <c r="F239">
        <v>4</v>
      </c>
      <c r="G239" s="2">
        <v>46187.75</v>
      </c>
      <c r="H239" s="2">
        <v>46187.583333333336</v>
      </c>
    </row>
    <row r="240" spans="1:8" x14ac:dyDescent="0.25">
      <c r="A240" s="8" t="s">
        <v>1133</v>
      </c>
      <c r="B240" s="8" t="s">
        <v>13958</v>
      </c>
      <c r="C240" s="2">
        <v>46187.416666666664</v>
      </c>
      <c r="D240" s="8" t="s">
        <v>13929</v>
      </c>
      <c r="E240" s="8" t="s">
        <v>18</v>
      </c>
      <c r="F240">
        <v>3</v>
      </c>
      <c r="G240" s="2">
        <v>46187.75</v>
      </c>
      <c r="H240" s="2">
        <v>46187.583333333336</v>
      </c>
    </row>
    <row r="241" spans="1:8" x14ac:dyDescent="0.25">
      <c r="A241" s="8" t="s">
        <v>1136</v>
      </c>
      <c r="B241" s="8" t="s">
        <v>13958</v>
      </c>
      <c r="C241" s="2">
        <v>46187.416666666664</v>
      </c>
      <c r="D241" s="8" t="s">
        <v>13929</v>
      </c>
      <c r="E241" s="8" t="s">
        <v>20</v>
      </c>
      <c r="F241">
        <v>5</v>
      </c>
      <c r="G241" s="2">
        <v>46187.75</v>
      </c>
      <c r="H241" s="2">
        <v>46187.583333333336</v>
      </c>
    </row>
    <row r="242" spans="1:8" x14ac:dyDescent="0.25">
      <c r="A242" s="8" t="s">
        <v>1139</v>
      </c>
      <c r="B242" s="8" t="s">
        <v>13958</v>
      </c>
      <c r="C242" s="2">
        <v>46187.416666666664</v>
      </c>
      <c r="D242" s="8" t="s">
        <v>13929</v>
      </c>
      <c r="E242" s="8" t="s">
        <v>22</v>
      </c>
      <c r="F242">
        <v>1</v>
      </c>
      <c r="G242" s="2">
        <v>46187.75</v>
      </c>
      <c r="H242" s="2">
        <v>46187.583333333336</v>
      </c>
    </row>
    <row r="243" spans="1:8" x14ac:dyDescent="0.25">
      <c r="A243" s="8" t="s">
        <v>1142</v>
      </c>
      <c r="B243" s="8" t="s">
        <v>13958</v>
      </c>
      <c r="C243" s="2">
        <v>46187.416666666664</v>
      </c>
      <c r="D243" s="8" t="s">
        <v>13929</v>
      </c>
      <c r="E243" s="8" t="s">
        <v>24</v>
      </c>
      <c r="F243">
        <v>5</v>
      </c>
      <c r="G243" s="2">
        <v>46187.75</v>
      </c>
      <c r="H243" s="2">
        <v>46187.583333333336</v>
      </c>
    </row>
    <row r="244" spans="1:8" x14ac:dyDescent="0.25">
      <c r="A244" s="8" t="s">
        <v>1145</v>
      </c>
      <c r="B244" s="8" t="s">
        <v>13958</v>
      </c>
      <c r="C244" s="2">
        <v>46187.416666666664</v>
      </c>
      <c r="D244" s="8" t="s">
        <v>13929</v>
      </c>
      <c r="E244" s="8" t="s">
        <v>32</v>
      </c>
      <c r="F244">
        <v>3</v>
      </c>
      <c r="G244" s="2">
        <v>46187.75</v>
      </c>
      <c r="H244" s="2">
        <v>46187.583333333336</v>
      </c>
    </row>
    <row r="245" spans="1:8" x14ac:dyDescent="0.25">
      <c r="A245" s="8" t="s">
        <v>1148</v>
      </c>
      <c r="B245" s="8" t="s">
        <v>13958</v>
      </c>
      <c r="C245" s="2">
        <v>46187.416666666664</v>
      </c>
      <c r="D245" s="8" t="s">
        <v>13929</v>
      </c>
      <c r="E245" s="8" t="s">
        <v>41</v>
      </c>
      <c r="F245">
        <v>4</v>
      </c>
      <c r="G245" s="2">
        <v>46187.75</v>
      </c>
      <c r="H245" s="2">
        <v>46187.583333333336</v>
      </c>
    </row>
    <row r="246" spans="1:8" x14ac:dyDescent="0.25">
      <c r="A246" s="8" t="s">
        <v>1151</v>
      </c>
      <c r="B246" s="8" t="s">
        <v>13958</v>
      </c>
      <c r="C246" s="2">
        <v>46187.416666666664</v>
      </c>
      <c r="D246" s="8" t="s">
        <v>13929</v>
      </c>
      <c r="E246" s="8" t="s">
        <v>43</v>
      </c>
      <c r="F246">
        <v>2</v>
      </c>
      <c r="G246" s="2">
        <v>46187.75</v>
      </c>
      <c r="H246" s="2">
        <v>46187.583333333336</v>
      </c>
    </row>
    <row r="247" spans="1:8" x14ac:dyDescent="0.25">
      <c r="A247" s="8" t="s">
        <v>1154</v>
      </c>
      <c r="B247" s="8" t="s">
        <v>13958</v>
      </c>
      <c r="C247" s="2">
        <v>46187.416666666664</v>
      </c>
      <c r="D247" s="8" t="s">
        <v>13929</v>
      </c>
      <c r="E247" s="8" t="s">
        <v>47</v>
      </c>
      <c r="F247">
        <v>2</v>
      </c>
      <c r="G247" s="2">
        <v>46187.75</v>
      </c>
      <c r="H247" s="2">
        <v>46187.583333333336</v>
      </c>
    </row>
    <row r="248" spans="1:8" x14ac:dyDescent="0.25">
      <c r="A248" s="8" t="s">
        <v>1157</v>
      </c>
      <c r="B248" s="8" t="s">
        <v>13958</v>
      </c>
      <c r="C248" s="2">
        <v>46187.416666666664</v>
      </c>
      <c r="D248" s="8" t="s">
        <v>13929</v>
      </c>
      <c r="E248" s="8" t="s">
        <v>51</v>
      </c>
      <c r="F248">
        <v>2</v>
      </c>
      <c r="G248" s="2">
        <v>46187.75</v>
      </c>
      <c r="H248" s="2">
        <v>46187.583333333336</v>
      </c>
    </row>
    <row r="249" spans="1:8" x14ac:dyDescent="0.25">
      <c r="A249" s="8" t="s">
        <v>1160</v>
      </c>
      <c r="B249" s="8" t="s">
        <v>13958</v>
      </c>
      <c r="C249" s="2">
        <v>46187.416666666664</v>
      </c>
      <c r="D249" s="8" t="s">
        <v>13929</v>
      </c>
      <c r="E249" s="8" t="s">
        <v>67</v>
      </c>
      <c r="F249">
        <v>4</v>
      </c>
      <c r="G249" s="2">
        <v>46187.75</v>
      </c>
      <c r="H249" s="2">
        <v>46187.583333333336</v>
      </c>
    </row>
    <row r="250" spans="1:8" x14ac:dyDescent="0.25">
      <c r="A250" s="8" t="s">
        <v>1163</v>
      </c>
      <c r="B250" s="8" t="s">
        <v>13958</v>
      </c>
      <c r="C250" s="2">
        <v>46187.416666666664</v>
      </c>
      <c r="D250" s="8" t="s">
        <v>13929</v>
      </c>
      <c r="E250" s="8" t="s">
        <v>71</v>
      </c>
      <c r="F250">
        <v>2</v>
      </c>
      <c r="G250" s="2">
        <v>46187.75</v>
      </c>
      <c r="H250" s="2">
        <v>46187.583333333336</v>
      </c>
    </row>
    <row r="251" spans="1:8" x14ac:dyDescent="0.25">
      <c r="A251" s="8" t="s">
        <v>1166</v>
      </c>
      <c r="B251" s="8" t="s">
        <v>13959</v>
      </c>
      <c r="C251" s="2">
        <v>46187.416666666664</v>
      </c>
      <c r="D251" s="8" t="s">
        <v>13931</v>
      </c>
      <c r="E251" s="8" t="s">
        <v>18</v>
      </c>
      <c r="F251">
        <v>3</v>
      </c>
      <c r="G251" s="2">
        <v>46187.75</v>
      </c>
      <c r="H251" s="2">
        <v>46187.583333333336</v>
      </c>
    </row>
    <row r="252" spans="1:8" x14ac:dyDescent="0.25">
      <c r="A252" s="8" t="s">
        <v>1169</v>
      </c>
      <c r="B252" s="8" t="s">
        <v>13959</v>
      </c>
      <c r="C252" s="2">
        <v>46187.416666666664</v>
      </c>
      <c r="D252" s="8" t="s">
        <v>13931</v>
      </c>
      <c r="E252" s="8" t="s">
        <v>20</v>
      </c>
      <c r="F252">
        <v>5</v>
      </c>
      <c r="G252" s="2">
        <v>46187.75</v>
      </c>
      <c r="H252" s="2">
        <v>46187.583333333336</v>
      </c>
    </row>
    <row r="253" spans="1:8" x14ac:dyDescent="0.25">
      <c r="A253" s="8" t="s">
        <v>1172</v>
      </c>
      <c r="B253" s="8" t="s">
        <v>13959</v>
      </c>
      <c r="C253" s="2">
        <v>46187.416666666664</v>
      </c>
      <c r="D253" s="8" t="s">
        <v>13931</v>
      </c>
      <c r="E253" s="8" t="s">
        <v>24</v>
      </c>
      <c r="F253">
        <v>4</v>
      </c>
      <c r="G253" s="2">
        <v>46187.75</v>
      </c>
      <c r="H253" s="2">
        <v>46187.583333333336</v>
      </c>
    </row>
    <row r="254" spans="1:8" x14ac:dyDescent="0.25">
      <c r="A254" s="8" t="s">
        <v>1175</v>
      </c>
      <c r="B254" s="8" t="s">
        <v>13959</v>
      </c>
      <c r="C254" s="2">
        <v>46187.416666666664</v>
      </c>
      <c r="D254" s="8" t="s">
        <v>13931</v>
      </c>
      <c r="E254" s="8" t="s">
        <v>28</v>
      </c>
      <c r="F254">
        <v>4</v>
      </c>
      <c r="G254" s="2">
        <v>46187.75</v>
      </c>
      <c r="H254" s="2">
        <v>46187.583333333336</v>
      </c>
    </row>
    <row r="255" spans="1:8" x14ac:dyDescent="0.25">
      <c r="A255" s="8" t="s">
        <v>1178</v>
      </c>
      <c r="B255" s="8" t="s">
        <v>13959</v>
      </c>
      <c r="C255" s="2">
        <v>46187.416666666664</v>
      </c>
      <c r="D255" s="8" t="s">
        <v>13931</v>
      </c>
      <c r="E255" s="8" t="s">
        <v>30</v>
      </c>
      <c r="F255">
        <v>5</v>
      </c>
      <c r="G255" s="2">
        <v>46187.75</v>
      </c>
      <c r="H255" s="2">
        <v>46187.583333333336</v>
      </c>
    </row>
    <row r="256" spans="1:8" x14ac:dyDescent="0.25">
      <c r="A256" s="8" t="s">
        <v>1181</v>
      </c>
      <c r="B256" s="8" t="s">
        <v>13959</v>
      </c>
      <c r="C256" s="2">
        <v>46187.416666666664</v>
      </c>
      <c r="D256" s="8" t="s">
        <v>13931</v>
      </c>
      <c r="E256" s="8" t="s">
        <v>32</v>
      </c>
      <c r="F256">
        <v>1</v>
      </c>
      <c r="G256" s="2">
        <v>46187.75</v>
      </c>
      <c r="H256" s="2">
        <v>46187.583333333336</v>
      </c>
    </row>
    <row r="257" spans="1:8" x14ac:dyDescent="0.25">
      <c r="A257" s="8" t="s">
        <v>1184</v>
      </c>
      <c r="B257" s="8" t="s">
        <v>13959</v>
      </c>
      <c r="C257" s="2">
        <v>46187.416666666664</v>
      </c>
      <c r="D257" s="8" t="s">
        <v>13931</v>
      </c>
      <c r="E257" s="8" t="s">
        <v>36</v>
      </c>
      <c r="F257">
        <v>3</v>
      </c>
      <c r="G257" s="2">
        <v>46187.75</v>
      </c>
      <c r="H257" s="2">
        <v>46187.583333333336</v>
      </c>
    </row>
    <row r="258" spans="1:8" x14ac:dyDescent="0.25">
      <c r="A258" s="8" t="s">
        <v>1187</v>
      </c>
      <c r="B258" s="8" t="s">
        <v>13960</v>
      </c>
      <c r="C258" s="2">
        <v>46187.416666666664</v>
      </c>
      <c r="D258" s="8" t="s">
        <v>13933</v>
      </c>
      <c r="E258" s="8" t="s">
        <v>11</v>
      </c>
      <c r="F258">
        <v>2</v>
      </c>
      <c r="G258" s="2">
        <v>46187.75</v>
      </c>
      <c r="H258" s="2">
        <v>46187.583333333336</v>
      </c>
    </row>
    <row r="259" spans="1:8" x14ac:dyDescent="0.25">
      <c r="A259" s="8" t="s">
        <v>1190</v>
      </c>
      <c r="B259" s="8" t="s">
        <v>13960</v>
      </c>
      <c r="C259" s="2">
        <v>46187.416666666664</v>
      </c>
      <c r="D259" s="8" t="s">
        <v>13933</v>
      </c>
      <c r="E259" s="8" t="s">
        <v>20</v>
      </c>
      <c r="F259">
        <v>3</v>
      </c>
      <c r="G259" s="2">
        <v>46187.75</v>
      </c>
      <c r="H259" s="2">
        <v>46187.583333333336</v>
      </c>
    </row>
    <row r="260" spans="1:8" x14ac:dyDescent="0.25">
      <c r="A260" s="8" t="s">
        <v>1193</v>
      </c>
      <c r="B260" s="8" t="s">
        <v>13960</v>
      </c>
      <c r="C260" s="2">
        <v>46187.416666666664</v>
      </c>
      <c r="D260" s="8" t="s">
        <v>13933</v>
      </c>
      <c r="E260" s="8" t="s">
        <v>26</v>
      </c>
      <c r="F260">
        <v>6</v>
      </c>
      <c r="G260" s="2">
        <v>46187.75</v>
      </c>
      <c r="H260" s="2">
        <v>46187.583333333336</v>
      </c>
    </row>
    <row r="261" spans="1:8" x14ac:dyDescent="0.25">
      <c r="A261" s="8" t="s">
        <v>1196</v>
      </c>
      <c r="B261" s="8" t="s">
        <v>13960</v>
      </c>
      <c r="C261" s="2">
        <v>46187.416666666664</v>
      </c>
      <c r="D261" s="8" t="s">
        <v>13933</v>
      </c>
      <c r="E261" s="8" t="s">
        <v>32</v>
      </c>
      <c r="F261">
        <v>6</v>
      </c>
      <c r="G261" s="2">
        <v>46187.75</v>
      </c>
      <c r="H261" s="2">
        <v>46187.583333333336</v>
      </c>
    </row>
    <row r="262" spans="1:8" x14ac:dyDescent="0.25">
      <c r="A262" s="8" t="s">
        <v>1199</v>
      </c>
      <c r="B262" s="8" t="s">
        <v>13960</v>
      </c>
      <c r="C262" s="2">
        <v>46187.416666666664</v>
      </c>
      <c r="D262" s="8" t="s">
        <v>13933</v>
      </c>
      <c r="E262" s="8" t="s">
        <v>41</v>
      </c>
      <c r="F262">
        <v>3</v>
      </c>
      <c r="G262" s="2">
        <v>46187.75</v>
      </c>
      <c r="H262" s="2">
        <v>46187.583333333336</v>
      </c>
    </row>
    <row r="263" spans="1:8" x14ac:dyDescent="0.25">
      <c r="A263" s="8" t="s">
        <v>1202</v>
      </c>
      <c r="B263" s="8" t="s">
        <v>13960</v>
      </c>
      <c r="C263" s="2">
        <v>46187.416666666664</v>
      </c>
      <c r="D263" s="8" t="s">
        <v>13933</v>
      </c>
      <c r="E263" s="8" t="s">
        <v>51</v>
      </c>
      <c r="F263">
        <v>3</v>
      </c>
      <c r="G263" s="2">
        <v>46187.75</v>
      </c>
      <c r="H263" s="2">
        <v>46187.583333333336</v>
      </c>
    </row>
    <row r="264" spans="1:8" x14ac:dyDescent="0.25">
      <c r="A264" s="8" t="s">
        <v>1205</v>
      </c>
      <c r="B264" s="8" t="s">
        <v>13960</v>
      </c>
      <c r="C264" s="2">
        <v>46187.416666666664</v>
      </c>
      <c r="D264" s="8" t="s">
        <v>13933</v>
      </c>
      <c r="E264" s="8" t="s">
        <v>59</v>
      </c>
      <c r="F264">
        <v>5</v>
      </c>
      <c r="G264" s="2">
        <v>46187.75</v>
      </c>
      <c r="H264" s="2">
        <v>46187.583333333336</v>
      </c>
    </row>
    <row r="265" spans="1:8" x14ac:dyDescent="0.25">
      <c r="A265" s="8" t="s">
        <v>1208</v>
      </c>
      <c r="B265" s="8" t="s">
        <v>13961</v>
      </c>
      <c r="C265" s="2">
        <v>46187.416666666664</v>
      </c>
      <c r="D265" s="8" t="s">
        <v>13935</v>
      </c>
      <c r="E265" s="8" t="s">
        <v>11</v>
      </c>
      <c r="F265">
        <v>2</v>
      </c>
      <c r="G265" s="2">
        <v>46187.75</v>
      </c>
      <c r="H265" s="2">
        <v>46187.583333333336</v>
      </c>
    </row>
    <row r="266" spans="1:8" x14ac:dyDescent="0.25">
      <c r="A266" s="8" t="s">
        <v>1211</v>
      </c>
      <c r="B266" s="8" t="s">
        <v>13961</v>
      </c>
      <c r="C266" s="2">
        <v>46187.416666666664</v>
      </c>
      <c r="D266" s="8" t="s">
        <v>13935</v>
      </c>
      <c r="E266" s="8" t="s">
        <v>18</v>
      </c>
      <c r="F266">
        <v>7</v>
      </c>
      <c r="G266" s="2">
        <v>46187.75</v>
      </c>
      <c r="H266" s="2">
        <v>46187.583333333336</v>
      </c>
    </row>
    <row r="267" spans="1:8" x14ac:dyDescent="0.25">
      <c r="A267" s="8" t="s">
        <v>1214</v>
      </c>
      <c r="B267" s="8" t="s">
        <v>13961</v>
      </c>
      <c r="C267" s="2">
        <v>46187.416666666664</v>
      </c>
      <c r="D267" s="8" t="s">
        <v>13935</v>
      </c>
      <c r="E267" s="8" t="s">
        <v>20</v>
      </c>
      <c r="F267">
        <v>7</v>
      </c>
      <c r="G267" s="2">
        <v>46187.75</v>
      </c>
      <c r="H267" s="2">
        <v>46187.583333333336</v>
      </c>
    </row>
    <row r="268" spans="1:8" x14ac:dyDescent="0.25">
      <c r="A268" s="8" t="s">
        <v>1217</v>
      </c>
      <c r="B268" s="8" t="s">
        <v>13961</v>
      </c>
      <c r="C268" s="2">
        <v>46187.416666666664</v>
      </c>
      <c r="D268" s="8" t="s">
        <v>13935</v>
      </c>
      <c r="E268" s="8" t="s">
        <v>26</v>
      </c>
      <c r="F268">
        <v>4</v>
      </c>
      <c r="G268" s="2">
        <v>46187.75</v>
      </c>
      <c r="H268" s="2">
        <v>46187.583333333336</v>
      </c>
    </row>
    <row r="269" spans="1:8" x14ac:dyDescent="0.25">
      <c r="A269" s="8" t="s">
        <v>1220</v>
      </c>
      <c r="B269" s="8" t="s">
        <v>13961</v>
      </c>
      <c r="C269" s="2">
        <v>46187.416666666664</v>
      </c>
      <c r="D269" s="8" t="s">
        <v>13935</v>
      </c>
      <c r="E269" s="8" t="s">
        <v>59</v>
      </c>
      <c r="F269">
        <v>4</v>
      </c>
      <c r="G269" s="2">
        <v>46187.75</v>
      </c>
      <c r="H269" s="2">
        <v>46187.583333333336</v>
      </c>
    </row>
    <row r="270" spans="1:8" x14ac:dyDescent="0.25">
      <c r="A270" s="8" t="s">
        <v>1223</v>
      </c>
      <c r="B270" s="8" t="s">
        <v>13962</v>
      </c>
      <c r="C270" s="2">
        <v>46187.416666666664</v>
      </c>
      <c r="D270" s="8" t="s">
        <v>13937</v>
      </c>
      <c r="E270" s="8" t="s">
        <v>11</v>
      </c>
      <c r="F270">
        <v>1</v>
      </c>
      <c r="G270" s="2">
        <v>46187.75</v>
      </c>
      <c r="H270" s="2">
        <v>46187.583333333336</v>
      </c>
    </row>
    <row r="271" spans="1:8" x14ac:dyDescent="0.25">
      <c r="A271" s="8" t="s">
        <v>1226</v>
      </c>
      <c r="B271" s="8" t="s">
        <v>13962</v>
      </c>
      <c r="C271" s="2">
        <v>46187.416666666664</v>
      </c>
      <c r="D271" s="8" t="s">
        <v>13937</v>
      </c>
      <c r="E271" s="8" t="s">
        <v>18</v>
      </c>
      <c r="F271">
        <v>1</v>
      </c>
      <c r="G271" s="2">
        <v>46187.75</v>
      </c>
      <c r="H271" s="2">
        <v>46187.583333333336</v>
      </c>
    </row>
    <row r="272" spans="1:8" x14ac:dyDescent="0.25">
      <c r="A272" s="8" t="s">
        <v>1229</v>
      </c>
      <c r="B272" s="8" t="s">
        <v>13962</v>
      </c>
      <c r="C272" s="2">
        <v>46187.416666666664</v>
      </c>
      <c r="D272" s="8" t="s">
        <v>13937</v>
      </c>
      <c r="E272" s="8" t="s">
        <v>20</v>
      </c>
      <c r="F272">
        <v>5</v>
      </c>
      <c r="G272" s="2">
        <v>46187.75</v>
      </c>
      <c r="H272" s="2">
        <v>46187.583333333336</v>
      </c>
    </row>
    <row r="273" spans="1:8" x14ac:dyDescent="0.25">
      <c r="A273" s="8" t="s">
        <v>1232</v>
      </c>
      <c r="B273" s="8" t="s">
        <v>13962</v>
      </c>
      <c r="C273" s="2">
        <v>46187.416666666664</v>
      </c>
      <c r="D273" s="8" t="s">
        <v>13937</v>
      </c>
      <c r="E273" s="8" t="s">
        <v>22</v>
      </c>
      <c r="F273">
        <v>6</v>
      </c>
      <c r="G273" s="2">
        <v>46187.75</v>
      </c>
      <c r="H273" s="2">
        <v>46187.583333333336</v>
      </c>
    </row>
    <row r="274" spans="1:8" x14ac:dyDescent="0.25">
      <c r="A274" s="8" t="s">
        <v>1235</v>
      </c>
      <c r="B274" s="8" t="s">
        <v>13962</v>
      </c>
      <c r="C274" s="2">
        <v>46187.416666666664</v>
      </c>
      <c r="D274" s="8" t="s">
        <v>13937</v>
      </c>
      <c r="E274" s="8" t="s">
        <v>24</v>
      </c>
      <c r="F274">
        <v>4</v>
      </c>
      <c r="G274" s="2">
        <v>46187.75</v>
      </c>
      <c r="H274" s="2">
        <v>46187.583333333336</v>
      </c>
    </row>
    <row r="275" spans="1:8" x14ac:dyDescent="0.25">
      <c r="A275" s="8" t="s">
        <v>1238</v>
      </c>
      <c r="B275" s="8" t="s">
        <v>13962</v>
      </c>
      <c r="C275" s="2">
        <v>46187.416666666664</v>
      </c>
      <c r="D275" s="8" t="s">
        <v>13937</v>
      </c>
      <c r="E275" s="8" t="s">
        <v>51</v>
      </c>
      <c r="F275">
        <v>4</v>
      </c>
      <c r="G275" s="2">
        <v>46187.75</v>
      </c>
      <c r="H275" s="2">
        <v>46187.583333333336</v>
      </c>
    </row>
    <row r="276" spans="1:8" x14ac:dyDescent="0.25">
      <c r="A276" s="8" t="s">
        <v>1241</v>
      </c>
      <c r="B276" s="8" t="s">
        <v>13962</v>
      </c>
      <c r="C276" s="2">
        <v>46187.416666666664</v>
      </c>
      <c r="D276" s="8" t="s">
        <v>13937</v>
      </c>
      <c r="E276" s="8" t="s">
        <v>55</v>
      </c>
      <c r="F276">
        <v>1</v>
      </c>
      <c r="G276" s="2">
        <v>46187.75</v>
      </c>
      <c r="H276" s="2">
        <v>46187.583333333336</v>
      </c>
    </row>
    <row r="277" spans="1:8" x14ac:dyDescent="0.25">
      <c r="A277" s="8" t="s">
        <v>1244</v>
      </c>
      <c r="B277" s="8" t="s">
        <v>13962</v>
      </c>
      <c r="C277" s="2">
        <v>46187.416666666664</v>
      </c>
      <c r="D277" s="8" t="s">
        <v>13937</v>
      </c>
      <c r="E277" s="8" t="s">
        <v>59</v>
      </c>
      <c r="F277">
        <v>5</v>
      </c>
      <c r="G277" s="2">
        <v>46187.75</v>
      </c>
      <c r="H277" s="2">
        <v>46187.583333333336</v>
      </c>
    </row>
    <row r="278" spans="1:8" x14ac:dyDescent="0.25">
      <c r="A278" s="8" t="s">
        <v>1247</v>
      </c>
      <c r="B278" s="8" t="s">
        <v>13962</v>
      </c>
      <c r="C278" s="2">
        <v>46187.416666666664</v>
      </c>
      <c r="D278" s="8" t="s">
        <v>13937</v>
      </c>
      <c r="E278" s="8" t="s">
        <v>75</v>
      </c>
      <c r="F278">
        <v>1</v>
      </c>
      <c r="G278" s="2">
        <v>46187.75</v>
      </c>
      <c r="H278" s="2">
        <v>46187.583333333336</v>
      </c>
    </row>
    <row r="279" spans="1:8" x14ac:dyDescent="0.25">
      <c r="A279" s="8" t="s">
        <v>1250</v>
      </c>
      <c r="B279" s="8" t="s">
        <v>13963</v>
      </c>
      <c r="C279" s="2">
        <v>46188.416666666664</v>
      </c>
      <c r="D279" s="8" t="s">
        <v>13929</v>
      </c>
      <c r="E279" s="8" t="s">
        <v>11</v>
      </c>
      <c r="F279">
        <v>1</v>
      </c>
      <c r="G279" s="2">
        <v>46188.75</v>
      </c>
      <c r="H279" s="2">
        <v>46188.583333333336</v>
      </c>
    </row>
    <row r="280" spans="1:8" x14ac:dyDescent="0.25">
      <c r="A280" s="8" t="s">
        <v>1253</v>
      </c>
      <c r="B280" s="8" t="s">
        <v>13963</v>
      </c>
      <c r="C280" s="2">
        <v>46188.416666666664</v>
      </c>
      <c r="D280" s="8" t="s">
        <v>13929</v>
      </c>
      <c r="E280" s="8" t="s">
        <v>22</v>
      </c>
      <c r="F280">
        <v>1</v>
      </c>
      <c r="G280" s="2">
        <v>46188.75</v>
      </c>
      <c r="H280" s="2">
        <v>46188.583333333336</v>
      </c>
    </row>
    <row r="281" spans="1:8" x14ac:dyDescent="0.25">
      <c r="A281" s="8" t="s">
        <v>1256</v>
      </c>
      <c r="B281" s="8" t="s">
        <v>13963</v>
      </c>
      <c r="C281" s="2">
        <v>46188.416666666664</v>
      </c>
      <c r="D281" s="8" t="s">
        <v>13929</v>
      </c>
      <c r="E281" s="8" t="s">
        <v>32</v>
      </c>
      <c r="F281">
        <v>1</v>
      </c>
      <c r="G281" s="2">
        <v>46188.75</v>
      </c>
      <c r="H281" s="2">
        <v>46188.583333333336</v>
      </c>
    </row>
    <row r="282" spans="1:8" x14ac:dyDescent="0.25">
      <c r="A282" s="8" t="s">
        <v>1259</v>
      </c>
      <c r="B282" s="8" t="s">
        <v>13963</v>
      </c>
      <c r="C282" s="2">
        <v>46188.416666666664</v>
      </c>
      <c r="D282" s="8" t="s">
        <v>13929</v>
      </c>
      <c r="E282" s="8" t="s">
        <v>65</v>
      </c>
      <c r="F282">
        <v>2</v>
      </c>
      <c r="G282" s="2">
        <v>46188.75</v>
      </c>
      <c r="H282" s="2">
        <v>46188.583333333336</v>
      </c>
    </row>
    <row r="283" spans="1:8" x14ac:dyDescent="0.25">
      <c r="A283" s="8" t="s">
        <v>1262</v>
      </c>
      <c r="B283" s="8" t="s">
        <v>13963</v>
      </c>
      <c r="C283" s="2">
        <v>46188.416666666664</v>
      </c>
      <c r="D283" s="8" t="s">
        <v>13929</v>
      </c>
      <c r="E283" s="8" t="s">
        <v>67</v>
      </c>
      <c r="F283">
        <v>1</v>
      </c>
      <c r="G283" s="2">
        <v>46188.75</v>
      </c>
      <c r="H283" s="2">
        <v>46188.583333333336</v>
      </c>
    </row>
    <row r="284" spans="1:8" x14ac:dyDescent="0.25">
      <c r="A284" s="8" t="s">
        <v>1265</v>
      </c>
      <c r="B284" s="8" t="s">
        <v>13963</v>
      </c>
      <c r="C284" s="2">
        <v>46188.416666666664</v>
      </c>
      <c r="D284" s="8" t="s">
        <v>13929</v>
      </c>
      <c r="E284" s="8" t="s">
        <v>71</v>
      </c>
      <c r="F284">
        <v>2</v>
      </c>
      <c r="G284" s="2">
        <v>46188.75</v>
      </c>
      <c r="H284" s="2">
        <v>46188.583333333336</v>
      </c>
    </row>
    <row r="285" spans="1:8" x14ac:dyDescent="0.25">
      <c r="A285" s="8" t="s">
        <v>1268</v>
      </c>
      <c r="B285" s="8" t="s">
        <v>13964</v>
      </c>
      <c r="C285" s="2">
        <v>46188.416666666664</v>
      </c>
      <c r="D285" s="8" t="s">
        <v>13931</v>
      </c>
      <c r="E285" s="8" t="s">
        <v>11</v>
      </c>
      <c r="F285">
        <v>3</v>
      </c>
      <c r="G285" s="2">
        <v>46188.75</v>
      </c>
      <c r="H285" s="2">
        <v>46188.583333333336</v>
      </c>
    </row>
    <row r="286" spans="1:8" x14ac:dyDescent="0.25">
      <c r="A286" s="8" t="s">
        <v>1271</v>
      </c>
      <c r="B286" s="8" t="s">
        <v>13964</v>
      </c>
      <c r="C286" s="2">
        <v>46188.416666666664</v>
      </c>
      <c r="D286" s="8" t="s">
        <v>13931</v>
      </c>
      <c r="E286" s="8" t="s">
        <v>18</v>
      </c>
      <c r="F286">
        <v>5</v>
      </c>
      <c r="G286" s="2">
        <v>46188.75</v>
      </c>
      <c r="H286" s="2">
        <v>46188.583333333336</v>
      </c>
    </row>
    <row r="287" spans="1:8" x14ac:dyDescent="0.25">
      <c r="A287" s="8" t="s">
        <v>13965</v>
      </c>
      <c r="B287" s="8" t="s">
        <v>13964</v>
      </c>
      <c r="C287" s="2">
        <v>46188.416666666664</v>
      </c>
      <c r="D287" s="8" t="s">
        <v>13931</v>
      </c>
      <c r="E287" s="8" t="s">
        <v>20</v>
      </c>
      <c r="F287">
        <v>1</v>
      </c>
      <c r="G287" s="2">
        <v>46188.75</v>
      </c>
      <c r="H287" s="2"/>
    </row>
    <row r="288" spans="1:8" x14ac:dyDescent="0.25">
      <c r="A288" s="8" t="s">
        <v>1274</v>
      </c>
      <c r="B288" s="8" t="s">
        <v>13964</v>
      </c>
      <c r="C288" s="2">
        <v>46188.416666666664</v>
      </c>
      <c r="D288" s="8" t="s">
        <v>13931</v>
      </c>
      <c r="E288" s="8" t="s">
        <v>24</v>
      </c>
      <c r="F288">
        <v>1</v>
      </c>
      <c r="G288" s="2">
        <v>46188.75</v>
      </c>
      <c r="H288" s="2">
        <v>46188.583333333336</v>
      </c>
    </row>
    <row r="289" spans="1:8" x14ac:dyDescent="0.25">
      <c r="A289" s="8" t="s">
        <v>1277</v>
      </c>
      <c r="B289" s="8" t="s">
        <v>13964</v>
      </c>
      <c r="C289" s="2">
        <v>46188.416666666664</v>
      </c>
      <c r="D289" s="8" t="s">
        <v>13931</v>
      </c>
      <c r="E289" s="8" t="s">
        <v>26</v>
      </c>
      <c r="F289">
        <v>5</v>
      </c>
      <c r="G289" s="2">
        <v>46188.75</v>
      </c>
      <c r="H289" s="2">
        <v>46188.583333333336</v>
      </c>
    </row>
    <row r="290" spans="1:8" x14ac:dyDescent="0.25">
      <c r="A290" s="8" t="s">
        <v>1280</v>
      </c>
      <c r="B290" s="8" t="s">
        <v>13964</v>
      </c>
      <c r="C290" s="2">
        <v>46188.416666666664</v>
      </c>
      <c r="D290" s="8" t="s">
        <v>13931</v>
      </c>
      <c r="E290" s="8" t="s">
        <v>28</v>
      </c>
      <c r="F290">
        <v>3</v>
      </c>
      <c r="G290" s="2">
        <v>46188.75</v>
      </c>
      <c r="H290" s="2">
        <v>46188.583333333336</v>
      </c>
    </row>
    <row r="291" spans="1:8" x14ac:dyDescent="0.25">
      <c r="A291" s="8" t="s">
        <v>1283</v>
      </c>
      <c r="B291" s="8" t="s">
        <v>13964</v>
      </c>
      <c r="C291" s="2">
        <v>46188.416666666664</v>
      </c>
      <c r="D291" s="8" t="s">
        <v>13931</v>
      </c>
      <c r="E291" s="8" t="s">
        <v>32</v>
      </c>
      <c r="F291">
        <v>5</v>
      </c>
      <c r="G291" s="2">
        <v>46188.75</v>
      </c>
      <c r="H291" s="2">
        <v>46188.583333333336</v>
      </c>
    </row>
    <row r="292" spans="1:8" x14ac:dyDescent="0.25">
      <c r="A292" s="8" t="s">
        <v>1286</v>
      </c>
      <c r="B292" s="8" t="s">
        <v>13964</v>
      </c>
      <c r="C292" s="2">
        <v>46188.416666666664</v>
      </c>
      <c r="D292" s="8" t="s">
        <v>13931</v>
      </c>
      <c r="E292" s="8" t="s">
        <v>45</v>
      </c>
      <c r="F292">
        <v>5</v>
      </c>
      <c r="G292" s="2">
        <v>46188.75</v>
      </c>
      <c r="H292" s="2">
        <v>46188.583333333336</v>
      </c>
    </row>
    <row r="293" spans="1:8" x14ac:dyDescent="0.25">
      <c r="A293" s="8" t="s">
        <v>1289</v>
      </c>
      <c r="B293" s="8" t="s">
        <v>13964</v>
      </c>
      <c r="C293" s="2">
        <v>46188.416666666664</v>
      </c>
      <c r="D293" s="8" t="s">
        <v>13931</v>
      </c>
      <c r="E293" s="8" t="s">
        <v>47</v>
      </c>
      <c r="F293">
        <v>1</v>
      </c>
      <c r="G293" s="2">
        <v>46188.75</v>
      </c>
      <c r="H293" s="2">
        <v>46188.583333333336</v>
      </c>
    </row>
    <row r="294" spans="1:8" x14ac:dyDescent="0.25">
      <c r="A294" s="8" t="s">
        <v>1292</v>
      </c>
      <c r="B294" s="8" t="s">
        <v>13964</v>
      </c>
      <c r="C294" s="2">
        <v>46188.416666666664</v>
      </c>
      <c r="D294" s="8" t="s">
        <v>13931</v>
      </c>
      <c r="E294" s="8" t="s">
        <v>51</v>
      </c>
      <c r="F294">
        <v>3</v>
      </c>
      <c r="G294" s="2">
        <v>46188.75</v>
      </c>
      <c r="H294" s="2">
        <v>46188.583333333336</v>
      </c>
    </row>
    <row r="295" spans="1:8" x14ac:dyDescent="0.25">
      <c r="A295" s="8" t="s">
        <v>1295</v>
      </c>
      <c r="B295" s="8" t="s">
        <v>13964</v>
      </c>
      <c r="C295" s="2">
        <v>46188.416666666664</v>
      </c>
      <c r="D295" s="8" t="s">
        <v>13931</v>
      </c>
      <c r="E295" s="8" t="s">
        <v>57</v>
      </c>
      <c r="F295">
        <v>2</v>
      </c>
      <c r="G295" s="2">
        <v>46188.75</v>
      </c>
      <c r="H295" s="2">
        <v>46188.583333333336</v>
      </c>
    </row>
    <row r="296" spans="1:8" x14ac:dyDescent="0.25">
      <c r="A296" s="8" t="s">
        <v>1298</v>
      </c>
      <c r="B296" s="8" t="s">
        <v>13964</v>
      </c>
      <c r="C296" s="2">
        <v>46188.416666666664</v>
      </c>
      <c r="D296" s="8" t="s">
        <v>13931</v>
      </c>
      <c r="E296" s="8" t="s">
        <v>59</v>
      </c>
      <c r="F296">
        <v>3</v>
      </c>
      <c r="G296" s="2">
        <v>46188.75</v>
      </c>
      <c r="H296" s="2">
        <v>46188.583333333336</v>
      </c>
    </row>
    <row r="297" spans="1:8" x14ac:dyDescent="0.25">
      <c r="A297" s="8" t="s">
        <v>1301</v>
      </c>
      <c r="B297" s="8" t="s">
        <v>13964</v>
      </c>
      <c r="C297" s="2">
        <v>46188.416666666664</v>
      </c>
      <c r="D297" s="8" t="s">
        <v>13931</v>
      </c>
      <c r="E297" s="8" t="s">
        <v>71</v>
      </c>
      <c r="F297">
        <v>2</v>
      </c>
      <c r="G297" s="2">
        <v>46188.75</v>
      </c>
      <c r="H297" s="2">
        <v>46188.583333333336</v>
      </c>
    </row>
    <row r="298" spans="1:8" x14ac:dyDescent="0.25">
      <c r="A298" s="8" t="s">
        <v>1304</v>
      </c>
      <c r="B298" s="8" t="s">
        <v>13964</v>
      </c>
      <c r="C298" s="2">
        <v>46188.416666666664</v>
      </c>
      <c r="D298" s="8" t="s">
        <v>13931</v>
      </c>
      <c r="E298" s="8" t="s">
        <v>75</v>
      </c>
      <c r="F298">
        <v>2</v>
      </c>
      <c r="G298" s="2">
        <v>46188.75</v>
      </c>
      <c r="H298" s="2">
        <v>46188.583333333336</v>
      </c>
    </row>
    <row r="299" spans="1:8" x14ac:dyDescent="0.25">
      <c r="A299" s="8" t="s">
        <v>1307</v>
      </c>
      <c r="B299" s="8" t="s">
        <v>13966</v>
      </c>
      <c r="C299" s="2">
        <v>46188.416666666664</v>
      </c>
      <c r="D299" s="8" t="s">
        <v>13933</v>
      </c>
      <c r="E299" s="8" t="s">
        <v>11</v>
      </c>
      <c r="F299">
        <v>6</v>
      </c>
      <c r="G299" s="2">
        <v>46188.75</v>
      </c>
      <c r="H299" s="2">
        <v>46188.583333333336</v>
      </c>
    </row>
    <row r="300" spans="1:8" x14ac:dyDescent="0.25">
      <c r="A300" s="8" t="s">
        <v>1310</v>
      </c>
      <c r="B300" s="8" t="s">
        <v>13966</v>
      </c>
      <c r="C300" s="2">
        <v>46188.416666666664</v>
      </c>
      <c r="D300" s="8" t="s">
        <v>13933</v>
      </c>
      <c r="E300" s="8" t="s">
        <v>18</v>
      </c>
      <c r="F300">
        <v>1</v>
      </c>
      <c r="G300" s="2">
        <v>46188.75</v>
      </c>
      <c r="H300" s="2">
        <v>46188.583333333336</v>
      </c>
    </row>
    <row r="301" spans="1:8" x14ac:dyDescent="0.25">
      <c r="A301" s="8" t="s">
        <v>13967</v>
      </c>
      <c r="B301" s="8" t="s">
        <v>13966</v>
      </c>
      <c r="C301" s="2">
        <v>46188.416666666664</v>
      </c>
      <c r="D301" s="8" t="s">
        <v>13933</v>
      </c>
      <c r="E301" s="8" t="s">
        <v>20</v>
      </c>
      <c r="F301">
        <v>2</v>
      </c>
      <c r="G301" s="2">
        <v>46188.75</v>
      </c>
      <c r="H301" s="2"/>
    </row>
    <row r="302" spans="1:8" x14ac:dyDescent="0.25">
      <c r="A302" s="8" t="s">
        <v>1313</v>
      </c>
      <c r="B302" s="8" t="s">
        <v>13966</v>
      </c>
      <c r="C302" s="2">
        <v>46188.416666666664</v>
      </c>
      <c r="D302" s="8" t="s">
        <v>13933</v>
      </c>
      <c r="E302" s="8" t="s">
        <v>22</v>
      </c>
      <c r="F302">
        <v>6</v>
      </c>
      <c r="G302" s="2">
        <v>46188.75</v>
      </c>
      <c r="H302" s="2">
        <v>46188.583333333336</v>
      </c>
    </row>
    <row r="303" spans="1:8" x14ac:dyDescent="0.25">
      <c r="A303" s="8" t="s">
        <v>1316</v>
      </c>
      <c r="B303" s="8" t="s">
        <v>13966</v>
      </c>
      <c r="C303" s="2">
        <v>46188.416666666664</v>
      </c>
      <c r="D303" s="8" t="s">
        <v>13933</v>
      </c>
      <c r="E303" s="8" t="s">
        <v>24</v>
      </c>
      <c r="F303">
        <v>2</v>
      </c>
      <c r="G303" s="2">
        <v>46188.75</v>
      </c>
      <c r="H303" s="2">
        <v>46188.583333333336</v>
      </c>
    </row>
    <row r="304" spans="1:8" x14ac:dyDescent="0.25">
      <c r="A304" s="8" t="s">
        <v>1319</v>
      </c>
      <c r="B304" s="8" t="s">
        <v>13966</v>
      </c>
      <c r="C304" s="2">
        <v>46188.416666666664</v>
      </c>
      <c r="D304" s="8" t="s">
        <v>13933</v>
      </c>
      <c r="E304" s="8" t="s">
        <v>26</v>
      </c>
      <c r="F304">
        <v>5</v>
      </c>
      <c r="G304" s="2">
        <v>46188.75</v>
      </c>
      <c r="H304" s="2">
        <v>46188.583333333336</v>
      </c>
    </row>
    <row r="305" spans="1:8" x14ac:dyDescent="0.25">
      <c r="A305" s="8" t="s">
        <v>1322</v>
      </c>
      <c r="B305" s="8" t="s">
        <v>13966</v>
      </c>
      <c r="C305" s="2">
        <v>46188.416666666664</v>
      </c>
      <c r="D305" s="8" t="s">
        <v>13933</v>
      </c>
      <c r="E305" s="8" t="s">
        <v>28</v>
      </c>
      <c r="F305">
        <v>6</v>
      </c>
      <c r="G305" s="2">
        <v>46188.75</v>
      </c>
      <c r="H305" s="2">
        <v>46188.583333333336</v>
      </c>
    </row>
    <row r="306" spans="1:8" x14ac:dyDescent="0.25">
      <c r="A306" s="8" t="s">
        <v>1325</v>
      </c>
      <c r="B306" s="8" t="s">
        <v>13966</v>
      </c>
      <c r="C306" s="2">
        <v>46188.416666666664</v>
      </c>
      <c r="D306" s="8" t="s">
        <v>13933</v>
      </c>
      <c r="E306" s="8" t="s">
        <v>36</v>
      </c>
      <c r="F306">
        <v>6</v>
      </c>
      <c r="G306" s="2">
        <v>46188.75</v>
      </c>
      <c r="H306" s="2">
        <v>46188.583333333336</v>
      </c>
    </row>
    <row r="307" spans="1:8" x14ac:dyDescent="0.25">
      <c r="A307" s="8" t="s">
        <v>1328</v>
      </c>
      <c r="B307" s="8" t="s">
        <v>13966</v>
      </c>
      <c r="C307" s="2">
        <v>46188.416666666664</v>
      </c>
      <c r="D307" s="8" t="s">
        <v>13933</v>
      </c>
      <c r="E307" s="8" t="s">
        <v>43</v>
      </c>
      <c r="F307">
        <v>4</v>
      </c>
      <c r="G307" s="2">
        <v>46188.75</v>
      </c>
      <c r="H307" s="2">
        <v>46188.583333333336</v>
      </c>
    </row>
    <row r="308" spans="1:8" x14ac:dyDescent="0.25">
      <c r="A308" s="8" t="s">
        <v>1331</v>
      </c>
      <c r="B308" s="8" t="s">
        <v>13966</v>
      </c>
      <c r="C308" s="2">
        <v>46188.416666666664</v>
      </c>
      <c r="D308" s="8" t="s">
        <v>13933</v>
      </c>
      <c r="E308" s="8" t="s">
        <v>45</v>
      </c>
      <c r="F308">
        <v>2</v>
      </c>
      <c r="G308" s="2">
        <v>46188.75</v>
      </c>
      <c r="H308" s="2">
        <v>46188.583333333336</v>
      </c>
    </row>
    <row r="309" spans="1:8" x14ac:dyDescent="0.25">
      <c r="A309" s="8" t="s">
        <v>1334</v>
      </c>
      <c r="B309" s="8" t="s">
        <v>13966</v>
      </c>
      <c r="C309" s="2">
        <v>46188.416666666664</v>
      </c>
      <c r="D309" s="8" t="s">
        <v>13933</v>
      </c>
      <c r="E309" s="8" t="s">
        <v>53</v>
      </c>
      <c r="F309">
        <v>6</v>
      </c>
      <c r="G309" s="2">
        <v>46188.75</v>
      </c>
      <c r="H309" s="2">
        <v>46188.583333333336</v>
      </c>
    </row>
    <row r="310" spans="1:8" x14ac:dyDescent="0.25">
      <c r="A310" s="8" t="s">
        <v>1337</v>
      </c>
      <c r="B310" s="8" t="s">
        <v>13966</v>
      </c>
      <c r="C310" s="2">
        <v>46188.416666666664</v>
      </c>
      <c r="D310" s="8" t="s">
        <v>13933</v>
      </c>
      <c r="E310" s="8" t="s">
        <v>59</v>
      </c>
      <c r="F310">
        <v>1</v>
      </c>
      <c r="G310" s="2">
        <v>46188.75</v>
      </c>
      <c r="H310" s="2">
        <v>46188.583333333336</v>
      </c>
    </row>
    <row r="311" spans="1:8" x14ac:dyDescent="0.25">
      <c r="A311" s="8" t="s">
        <v>1340</v>
      </c>
      <c r="B311" s="8" t="s">
        <v>13966</v>
      </c>
      <c r="C311" s="2">
        <v>46188.416666666664</v>
      </c>
      <c r="D311" s="8" t="s">
        <v>13933</v>
      </c>
      <c r="E311" s="8" t="s">
        <v>67</v>
      </c>
      <c r="F311">
        <v>4</v>
      </c>
      <c r="G311" s="2">
        <v>46188.75</v>
      </c>
      <c r="H311" s="2">
        <v>46188.583333333336</v>
      </c>
    </row>
    <row r="312" spans="1:8" x14ac:dyDescent="0.25">
      <c r="A312" s="8" t="s">
        <v>1343</v>
      </c>
      <c r="B312" s="8" t="s">
        <v>13968</v>
      </c>
      <c r="C312" s="2">
        <v>46188.416666666664</v>
      </c>
      <c r="D312" s="8" t="s">
        <v>13935</v>
      </c>
      <c r="E312" s="8" t="s">
        <v>11</v>
      </c>
      <c r="F312">
        <v>3</v>
      </c>
      <c r="G312" s="2">
        <v>46188.75</v>
      </c>
      <c r="H312" s="2">
        <v>46188.583333333336</v>
      </c>
    </row>
    <row r="313" spans="1:8" x14ac:dyDescent="0.25">
      <c r="A313" s="8" t="s">
        <v>1346</v>
      </c>
      <c r="B313" s="8" t="s">
        <v>13968</v>
      </c>
      <c r="C313" s="2">
        <v>46188.416666666664</v>
      </c>
      <c r="D313" s="8" t="s">
        <v>13935</v>
      </c>
      <c r="E313" s="8" t="s">
        <v>18</v>
      </c>
      <c r="F313">
        <v>7</v>
      </c>
      <c r="G313" s="2">
        <v>46188.75</v>
      </c>
      <c r="H313" s="2">
        <v>46188.583333333336</v>
      </c>
    </row>
    <row r="314" spans="1:8" x14ac:dyDescent="0.25">
      <c r="A314" s="8" t="s">
        <v>1349</v>
      </c>
      <c r="B314" s="8" t="s">
        <v>13968</v>
      </c>
      <c r="C314" s="2">
        <v>46188.416666666664</v>
      </c>
      <c r="D314" s="8" t="s">
        <v>13935</v>
      </c>
      <c r="E314" s="8" t="s">
        <v>22</v>
      </c>
      <c r="F314">
        <v>1</v>
      </c>
      <c r="G314" s="2">
        <v>46188.75</v>
      </c>
      <c r="H314" s="2">
        <v>46188.583333333336</v>
      </c>
    </row>
    <row r="315" spans="1:8" x14ac:dyDescent="0.25">
      <c r="A315" s="8" t="s">
        <v>1352</v>
      </c>
      <c r="B315" s="8" t="s">
        <v>13968</v>
      </c>
      <c r="C315" s="2">
        <v>46188.416666666664</v>
      </c>
      <c r="D315" s="8" t="s">
        <v>13935</v>
      </c>
      <c r="E315" s="8" t="s">
        <v>30</v>
      </c>
      <c r="F315">
        <v>6</v>
      </c>
      <c r="G315" s="2">
        <v>46188.75</v>
      </c>
      <c r="H315" s="2">
        <v>46188.583333333336</v>
      </c>
    </row>
    <row r="316" spans="1:8" x14ac:dyDescent="0.25">
      <c r="A316" s="8" t="s">
        <v>1355</v>
      </c>
      <c r="B316" s="8" t="s">
        <v>13968</v>
      </c>
      <c r="C316" s="2">
        <v>46188.416666666664</v>
      </c>
      <c r="D316" s="8" t="s">
        <v>13935</v>
      </c>
      <c r="E316" s="8" t="s">
        <v>32</v>
      </c>
      <c r="F316">
        <v>4</v>
      </c>
      <c r="G316" s="2">
        <v>46188.75</v>
      </c>
      <c r="H316" s="2">
        <v>46188.583333333336</v>
      </c>
    </row>
    <row r="317" spans="1:8" x14ac:dyDescent="0.25">
      <c r="A317" s="8" t="s">
        <v>1358</v>
      </c>
      <c r="B317" s="8" t="s">
        <v>13968</v>
      </c>
      <c r="C317" s="2">
        <v>46188.416666666664</v>
      </c>
      <c r="D317" s="8" t="s">
        <v>13935</v>
      </c>
      <c r="E317" s="8" t="s">
        <v>45</v>
      </c>
      <c r="F317">
        <v>3</v>
      </c>
      <c r="G317" s="2">
        <v>46188.75</v>
      </c>
      <c r="H317" s="2">
        <v>46188.583333333336</v>
      </c>
    </row>
    <row r="318" spans="1:8" x14ac:dyDescent="0.25">
      <c r="A318" s="8" t="s">
        <v>1361</v>
      </c>
      <c r="B318" s="8" t="s">
        <v>13968</v>
      </c>
      <c r="C318" s="2">
        <v>46188.416666666664</v>
      </c>
      <c r="D318" s="8" t="s">
        <v>13935</v>
      </c>
      <c r="E318" s="8" t="s">
        <v>49</v>
      </c>
      <c r="F318">
        <v>7</v>
      </c>
      <c r="G318" s="2">
        <v>46188.75</v>
      </c>
      <c r="H318" s="2">
        <v>46188.583333333336</v>
      </c>
    </row>
    <row r="319" spans="1:8" x14ac:dyDescent="0.25">
      <c r="A319" s="8" t="s">
        <v>1364</v>
      </c>
      <c r="B319" s="8" t="s">
        <v>13968</v>
      </c>
      <c r="C319" s="2">
        <v>46188.416666666664</v>
      </c>
      <c r="D319" s="8" t="s">
        <v>13935</v>
      </c>
      <c r="E319" s="8" t="s">
        <v>53</v>
      </c>
      <c r="F319">
        <v>1</v>
      </c>
      <c r="G319" s="2">
        <v>46188.75</v>
      </c>
      <c r="H319" s="2">
        <v>46188.583333333336</v>
      </c>
    </row>
    <row r="320" spans="1:8" x14ac:dyDescent="0.25">
      <c r="A320" s="8" t="s">
        <v>1367</v>
      </c>
      <c r="B320" s="8" t="s">
        <v>13968</v>
      </c>
      <c r="C320" s="2">
        <v>46188.416666666664</v>
      </c>
      <c r="D320" s="8" t="s">
        <v>13935</v>
      </c>
      <c r="E320" s="8" t="s">
        <v>57</v>
      </c>
      <c r="F320">
        <v>6</v>
      </c>
      <c r="G320" s="2">
        <v>46188.75</v>
      </c>
      <c r="H320" s="2">
        <v>46188.583333333336</v>
      </c>
    </row>
    <row r="321" spans="1:8" x14ac:dyDescent="0.25">
      <c r="A321" s="8" t="s">
        <v>1370</v>
      </c>
      <c r="B321" s="8" t="s">
        <v>13968</v>
      </c>
      <c r="C321" s="2">
        <v>46188.416666666664</v>
      </c>
      <c r="D321" s="8" t="s">
        <v>13935</v>
      </c>
      <c r="E321" s="8" t="s">
        <v>67</v>
      </c>
      <c r="F321">
        <v>1</v>
      </c>
      <c r="G321" s="2">
        <v>46188.75</v>
      </c>
      <c r="H321" s="2">
        <v>46188.583333333336</v>
      </c>
    </row>
    <row r="322" spans="1:8" x14ac:dyDescent="0.25">
      <c r="A322" s="8" t="s">
        <v>1373</v>
      </c>
      <c r="B322" s="8" t="s">
        <v>13968</v>
      </c>
      <c r="C322" s="2">
        <v>46188.416666666664</v>
      </c>
      <c r="D322" s="8" t="s">
        <v>13935</v>
      </c>
      <c r="E322" s="8" t="s">
        <v>71</v>
      </c>
      <c r="F322">
        <v>1</v>
      </c>
      <c r="G322" s="2">
        <v>46188.75</v>
      </c>
      <c r="H322" s="2">
        <v>46188.583333333336</v>
      </c>
    </row>
    <row r="323" spans="1:8" x14ac:dyDescent="0.25">
      <c r="A323" s="8" t="s">
        <v>1376</v>
      </c>
      <c r="B323" s="8" t="s">
        <v>13968</v>
      </c>
      <c r="C323" s="2">
        <v>46188.416666666664</v>
      </c>
      <c r="D323" s="8" t="s">
        <v>13935</v>
      </c>
      <c r="E323" s="8" t="s">
        <v>77</v>
      </c>
      <c r="F323">
        <v>4</v>
      </c>
      <c r="G323" s="2">
        <v>46188.75</v>
      </c>
      <c r="H323" s="2">
        <v>46188.583333333336</v>
      </c>
    </row>
    <row r="324" spans="1:8" x14ac:dyDescent="0.25">
      <c r="A324" s="8" t="s">
        <v>1379</v>
      </c>
      <c r="B324" s="8" t="s">
        <v>13969</v>
      </c>
      <c r="C324" s="2">
        <v>46188.416666666664</v>
      </c>
      <c r="D324" s="8" t="s">
        <v>13937</v>
      </c>
      <c r="E324" s="8" t="s">
        <v>11</v>
      </c>
      <c r="F324">
        <v>3</v>
      </c>
      <c r="G324" s="2">
        <v>46188.75</v>
      </c>
      <c r="H324" s="2">
        <v>46188.583333333336</v>
      </c>
    </row>
    <row r="325" spans="1:8" x14ac:dyDescent="0.25">
      <c r="A325" s="8" t="s">
        <v>1382</v>
      </c>
      <c r="B325" s="8" t="s">
        <v>13969</v>
      </c>
      <c r="C325" s="2">
        <v>46188.416666666664</v>
      </c>
      <c r="D325" s="8" t="s">
        <v>13937</v>
      </c>
      <c r="E325" s="8" t="s">
        <v>18</v>
      </c>
      <c r="F325">
        <v>4</v>
      </c>
      <c r="G325" s="2">
        <v>46188.75</v>
      </c>
      <c r="H325" s="2">
        <v>46188.583333333336</v>
      </c>
    </row>
    <row r="326" spans="1:8" x14ac:dyDescent="0.25">
      <c r="A326" s="8" t="s">
        <v>13970</v>
      </c>
      <c r="B326" s="8" t="s">
        <v>13969</v>
      </c>
      <c r="C326" s="2">
        <v>46188.416666666664</v>
      </c>
      <c r="D326" s="8" t="s">
        <v>13937</v>
      </c>
      <c r="E326" s="8" t="s">
        <v>20</v>
      </c>
      <c r="F326">
        <v>3</v>
      </c>
      <c r="G326" s="2">
        <v>46188.75</v>
      </c>
      <c r="H326" s="2"/>
    </row>
    <row r="327" spans="1:8" x14ac:dyDescent="0.25">
      <c r="A327" s="8" t="s">
        <v>1385</v>
      </c>
      <c r="B327" s="8" t="s">
        <v>13969</v>
      </c>
      <c r="C327" s="2">
        <v>46188.416666666664</v>
      </c>
      <c r="D327" s="8" t="s">
        <v>13937</v>
      </c>
      <c r="E327" s="8" t="s">
        <v>22</v>
      </c>
      <c r="F327">
        <v>3</v>
      </c>
      <c r="G327" s="2">
        <v>46188.75</v>
      </c>
      <c r="H327" s="2">
        <v>46188.583333333336</v>
      </c>
    </row>
    <row r="328" spans="1:8" x14ac:dyDescent="0.25">
      <c r="A328" s="8" t="s">
        <v>1388</v>
      </c>
      <c r="B328" s="8" t="s">
        <v>13969</v>
      </c>
      <c r="C328" s="2">
        <v>46188.416666666664</v>
      </c>
      <c r="D328" s="8" t="s">
        <v>13937</v>
      </c>
      <c r="E328" s="8" t="s">
        <v>24</v>
      </c>
      <c r="F328">
        <v>2</v>
      </c>
      <c r="G328" s="2">
        <v>46188.75</v>
      </c>
      <c r="H328" s="2">
        <v>46188.583333333336</v>
      </c>
    </row>
    <row r="329" spans="1:8" x14ac:dyDescent="0.25">
      <c r="A329" s="8" t="s">
        <v>1391</v>
      </c>
      <c r="B329" s="8" t="s">
        <v>13969</v>
      </c>
      <c r="C329" s="2">
        <v>46188.416666666664</v>
      </c>
      <c r="D329" s="8" t="s">
        <v>13937</v>
      </c>
      <c r="E329" s="8" t="s">
        <v>36</v>
      </c>
      <c r="F329">
        <v>4</v>
      </c>
      <c r="G329" s="2">
        <v>46188.75</v>
      </c>
      <c r="H329" s="2">
        <v>46188.583333333336</v>
      </c>
    </row>
    <row r="330" spans="1:8" x14ac:dyDescent="0.25">
      <c r="A330" s="8" t="s">
        <v>1394</v>
      </c>
      <c r="B330" s="8" t="s">
        <v>13969</v>
      </c>
      <c r="C330" s="2">
        <v>46188.416666666664</v>
      </c>
      <c r="D330" s="8" t="s">
        <v>13937</v>
      </c>
      <c r="E330" s="8" t="s">
        <v>41</v>
      </c>
      <c r="F330">
        <v>3</v>
      </c>
      <c r="G330" s="2">
        <v>46188.75</v>
      </c>
      <c r="H330" s="2">
        <v>46188.583333333336</v>
      </c>
    </row>
    <row r="331" spans="1:8" x14ac:dyDescent="0.25">
      <c r="A331" s="8" t="s">
        <v>1397</v>
      </c>
      <c r="B331" s="8" t="s">
        <v>13969</v>
      </c>
      <c r="C331" s="2">
        <v>46188.416666666664</v>
      </c>
      <c r="D331" s="8" t="s">
        <v>13937</v>
      </c>
      <c r="E331" s="8" t="s">
        <v>45</v>
      </c>
      <c r="F331">
        <v>4</v>
      </c>
      <c r="G331" s="2">
        <v>46188.75</v>
      </c>
      <c r="H331" s="2">
        <v>46188.583333333336</v>
      </c>
    </row>
    <row r="332" spans="1:8" x14ac:dyDescent="0.25">
      <c r="A332" s="8" t="s">
        <v>1400</v>
      </c>
      <c r="B332" s="8" t="s">
        <v>13969</v>
      </c>
      <c r="C332" s="2">
        <v>46188.416666666664</v>
      </c>
      <c r="D332" s="8" t="s">
        <v>13937</v>
      </c>
      <c r="E332" s="8" t="s">
        <v>53</v>
      </c>
      <c r="F332">
        <v>4</v>
      </c>
      <c r="G332" s="2">
        <v>46188.75</v>
      </c>
      <c r="H332" s="2">
        <v>46188.583333333336</v>
      </c>
    </row>
    <row r="333" spans="1:8" x14ac:dyDescent="0.25">
      <c r="A333" s="8" t="s">
        <v>1403</v>
      </c>
      <c r="B333" s="8" t="s">
        <v>13969</v>
      </c>
      <c r="C333" s="2">
        <v>46188.416666666664</v>
      </c>
      <c r="D333" s="8" t="s">
        <v>13937</v>
      </c>
      <c r="E333" s="8" t="s">
        <v>57</v>
      </c>
      <c r="F333">
        <v>2</v>
      </c>
      <c r="G333" s="2">
        <v>46188.75</v>
      </c>
      <c r="H333" s="2">
        <v>46188.583333333336</v>
      </c>
    </row>
    <row r="334" spans="1:8" x14ac:dyDescent="0.25">
      <c r="A334" s="8" t="s">
        <v>1406</v>
      </c>
      <c r="B334" s="8" t="s">
        <v>13969</v>
      </c>
      <c r="C334" s="2">
        <v>46188.416666666664</v>
      </c>
      <c r="D334" s="8" t="s">
        <v>13937</v>
      </c>
      <c r="E334" s="8" t="s">
        <v>71</v>
      </c>
      <c r="F334">
        <v>4</v>
      </c>
      <c r="G334" s="2">
        <v>46188.75</v>
      </c>
      <c r="H334" s="2">
        <v>46188.583333333336</v>
      </c>
    </row>
    <row r="335" spans="1:8" x14ac:dyDescent="0.25">
      <c r="A335" s="8" t="s">
        <v>1409</v>
      </c>
      <c r="B335" s="8" t="s">
        <v>13969</v>
      </c>
      <c r="C335" s="2">
        <v>46188.416666666664</v>
      </c>
      <c r="D335" s="8" t="s">
        <v>13937</v>
      </c>
      <c r="E335" s="8" t="s">
        <v>77</v>
      </c>
      <c r="F335">
        <v>2</v>
      </c>
      <c r="G335" s="2">
        <v>46188.75</v>
      </c>
      <c r="H335" s="2">
        <v>46188.583333333336</v>
      </c>
    </row>
    <row r="336" spans="1:8" x14ac:dyDescent="0.25">
      <c r="A336" s="8" t="s">
        <v>1497</v>
      </c>
      <c r="B336" s="8" t="s">
        <v>13971</v>
      </c>
      <c r="C336" s="2">
        <v>46189.416666666664</v>
      </c>
      <c r="D336" s="8" t="s">
        <v>13929</v>
      </c>
      <c r="E336" s="8" t="s">
        <v>18</v>
      </c>
      <c r="F336">
        <v>2</v>
      </c>
      <c r="G336" s="2">
        <v>46189.75</v>
      </c>
      <c r="H336" s="2">
        <v>46189.583333333336</v>
      </c>
    </row>
    <row r="337" spans="1:8" x14ac:dyDescent="0.25">
      <c r="A337" s="8" t="s">
        <v>1500</v>
      </c>
      <c r="B337" s="8" t="s">
        <v>13971</v>
      </c>
      <c r="C337" s="2">
        <v>46189.416666666664</v>
      </c>
      <c r="D337" s="8" t="s">
        <v>13929</v>
      </c>
      <c r="E337" s="8" t="s">
        <v>20</v>
      </c>
      <c r="F337">
        <v>2</v>
      </c>
      <c r="G337" s="2">
        <v>46189.75</v>
      </c>
      <c r="H337" s="2">
        <v>46189.583333333336</v>
      </c>
    </row>
    <row r="338" spans="1:8" x14ac:dyDescent="0.25">
      <c r="A338" s="8" t="s">
        <v>1503</v>
      </c>
      <c r="B338" s="8" t="s">
        <v>13971</v>
      </c>
      <c r="C338" s="2">
        <v>46189.416666666664</v>
      </c>
      <c r="D338" s="8" t="s">
        <v>13929</v>
      </c>
      <c r="E338" s="8" t="s">
        <v>24</v>
      </c>
      <c r="F338">
        <v>2</v>
      </c>
      <c r="G338" s="2">
        <v>46189.75</v>
      </c>
      <c r="H338" s="2">
        <v>46189.583333333336</v>
      </c>
    </row>
    <row r="339" spans="1:8" x14ac:dyDescent="0.25">
      <c r="A339" s="8" t="s">
        <v>1506</v>
      </c>
      <c r="B339" s="8" t="s">
        <v>13971</v>
      </c>
      <c r="C339" s="2">
        <v>46189.416666666664</v>
      </c>
      <c r="D339" s="8" t="s">
        <v>13929</v>
      </c>
      <c r="E339" s="8" t="s">
        <v>26</v>
      </c>
      <c r="F339">
        <v>3</v>
      </c>
      <c r="G339" s="2">
        <v>46189.75</v>
      </c>
      <c r="H339" s="2">
        <v>46189.583333333336</v>
      </c>
    </row>
    <row r="340" spans="1:8" x14ac:dyDescent="0.25">
      <c r="A340" s="8" t="s">
        <v>1509</v>
      </c>
      <c r="B340" s="8" t="s">
        <v>13971</v>
      </c>
      <c r="C340" s="2">
        <v>46189.416666666664</v>
      </c>
      <c r="D340" s="8" t="s">
        <v>13929</v>
      </c>
      <c r="E340" s="8" t="s">
        <v>28</v>
      </c>
      <c r="F340">
        <v>4</v>
      </c>
      <c r="G340" s="2">
        <v>46189.75</v>
      </c>
      <c r="H340" s="2">
        <v>46189.583333333336</v>
      </c>
    </row>
    <row r="341" spans="1:8" x14ac:dyDescent="0.25">
      <c r="A341" s="8" t="s">
        <v>1512</v>
      </c>
      <c r="B341" s="8" t="s">
        <v>13971</v>
      </c>
      <c r="C341" s="2">
        <v>46189.416666666664</v>
      </c>
      <c r="D341" s="8" t="s">
        <v>13929</v>
      </c>
      <c r="E341" s="8" t="s">
        <v>32</v>
      </c>
      <c r="F341">
        <v>2</v>
      </c>
      <c r="G341" s="2">
        <v>46189.75</v>
      </c>
      <c r="H341" s="2">
        <v>46189.583333333336</v>
      </c>
    </row>
    <row r="342" spans="1:8" x14ac:dyDescent="0.25">
      <c r="A342" s="8" t="s">
        <v>1515</v>
      </c>
      <c r="B342" s="8" t="s">
        <v>13971</v>
      </c>
      <c r="C342" s="2">
        <v>46189.416666666664</v>
      </c>
      <c r="D342" s="8" t="s">
        <v>13929</v>
      </c>
      <c r="E342" s="8" t="s">
        <v>36</v>
      </c>
      <c r="F342">
        <v>2</v>
      </c>
      <c r="G342" s="2">
        <v>46189.75</v>
      </c>
      <c r="H342" s="2">
        <v>46189.583333333336</v>
      </c>
    </row>
    <row r="343" spans="1:8" x14ac:dyDescent="0.25">
      <c r="A343" s="8" t="s">
        <v>1518</v>
      </c>
      <c r="B343" s="8" t="s">
        <v>13971</v>
      </c>
      <c r="C343" s="2">
        <v>46189.416666666664</v>
      </c>
      <c r="D343" s="8" t="s">
        <v>13929</v>
      </c>
      <c r="E343" s="8" t="s">
        <v>45</v>
      </c>
      <c r="F343">
        <v>1</v>
      </c>
      <c r="G343" s="2">
        <v>46189.75</v>
      </c>
      <c r="H343" s="2">
        <v>46189.583333333336</v>
      </c>
    </row>
    <row r="344" spans="1:8" x14ac:dyDescent="0.25">
      <c r="A344" s="8" t="s">
        <v>1521</v>
      </c>
      <c r="B344" s="8" t="s">
        <v>13971</v>
      </c>
      <c r="C344" s="2">
        <v>46189.416666666664</v>
      </c>
      <c r="D344" s="8" t="s">
        <v>13929</v>
      </c>
      <c r="E344" s="8" t="s">
        <v>49</v>
      </c>
      <c r="F344">
        <v>4</v>
      </c>
      <c r="G344" s="2">
        <v>46189.75</v>
      </c>
      <c r="H344" s="2">
        <v>46189.583333333336</v>
      </c>
    </row>
    <row r="345" spans="1:8" x14ac:dyDescent="0.25">
      <c r="A345" s="8" t="s">
        <v>1524</v>
      </c>
      <c r="B345" s="8" t="s">
        <v>13971</v>
      </c>
      <c r="C345" s="2">
        <v>46189.416666666664</v>
      </c>
      <c r="D345" s="8" t="s">
        <v>13929</v>
      </c>
      <c r="E345" s="8" t="s">
        <v>51</v>
      </c>
      <c r="F345">
        <v>1</v>
      </c>
      <c r="G345" s="2">
        <v>46189.75</v>
      </c>
      <c r="H345" s="2">
        <v>46189.583333333336</v>
      </c>
    </row>
    <row r="346" spans="1:8" x14ac:dyDescent="0.25">
      <c r="A346" s="8" t="s">
        <v>1527</v>
      </c>
      <c r="B346" s="8" t="s">
        <v>13971</v>
      </c>
      <c r="C346" s="2">
        <v>46189.416666666664</v>
      </c>
      <c r="D346" s="8" t="s">
        <v>13929</v>
      </c>
      <c r="E346" s="8" t="s">
        <v>57</v>
      </c>
      <c r="F346">
        <v>4</v>
      </c>
      <c r="G346" s="2">
        <v>46189.75</v>
      </c>
      <c r="H346" s="2">
        <v>46189.583333333336</v>
      </c>
    </row>
    <row r="347" spans="1:8" x14ac:dyDescent="0.25">
      <c r="A347" s="8" t="s">
        <v>1530</v>
      </c>
      <c r="B347" s="8" t="s">
        <v>13971</v>
      </c>
      <c r="C347" s="2">
        <v>46189.416666666664</v>
      </c>
      <c r="D347" s="8" t="s">
        <v>13929</v>
      </c>
      <c r="E347" s="8" t="s">
        <v>59</v>
      </c>
      <c r="F347">
        <v>2</v>
      </c>
      <c r="G347" s="2">
        <v>46189.75</v>
      </c>
      <c r="H347" s="2">
        <v>46189.583333333336</v>
      </c>
    </row>
    <row r="348" spans="1:8" x14ac:dyDescent="0.25">
      <c r="A348" s="8" t="s">
        <v>1533</v>
      </c>
      <c r="B348" s="8" t="s">
        <v>13971</v>
      </c>
      <c r="C348" s="2">
        <v>46189.416666666664</v>
      </c>
      <c r="D348" s="8" t="s">
        <v>13929</v>
      </c>
      <c r="E348" s="8" t="s">
        <v>69</v>
      </c>
      <c r="F348">
        <v>1</v>
      </c>
      <c r="G348" s="2">
        <v>46189.75</v>
      </c>
      <c r="H348" s="2">
        <v>46189.583333333336</v>
      </c>
    </row>
    <row r="349" spans="1:8" x14ac:dyDescent="0.25">
      <c r="A349" s="8" t="s">
        <v>1536</v>
      </c>
      <c r="B349" s="8" t="s">
        <v>13971</v>
      </c>
      <c r="C349" s="2">
        <v>46189.416666666664</v>
      </c>
      <c r="D349" s="8" t="s">
        <v>13929</v>
      </c>
      <c r="E349" s="8" t="s">
        <v>73</v>
      </c>
      <c r="F349">
        <v>1</v>
      </c>
      <c r="G349" s="2">
        <v>46189.75</v>
      </c>
      <c r="H349" s="2">
        <v>46189.583333333336</v>
      </c>
    </row>
    <row r="350" spans="1:8" x14ac:dyDescent="0.25">
      <c r="A350" s="8" t="s">
        <v>1539</v>
      </c>
      <c r="B350" s="8" t="s">
        <v>13971</v>
      </c>
      <c r="C350" s="2">
        <v>46189.416666666664</v>
      </c>
      <c r="D350" s="8" t="s">
        <v>13929</v>
      </c>
      <c r="E350" s="8" t="s">
        <v>75</v>
      </c>
      <c r="F350">
        <v>1</v>
      </c>
      <c r="G350" s="2">
        <v>46189.75</v>
      </c>
      <c r="H350" s="2">
        <v>46189.583333333336</v>
      </c>
    </row>
    <row r="351" spans="1:8" x14ac:dyDescent="0.25">
      <c r="A351" s="8" t="s">
        <v>1542</v>
      </c>
      <c r="B351" s="8" t="s">
        <v>13972</v>
      </c>
      <c r="C351" s="2">
        <v>46189.416666666664</v>
      </c>
      <c r="D351" s="8" t="s">
        <v>13931</v>
      </c>
      <c r="E351" s="8" t="s">
        <v>20</v>
      </c>
      <c r="F351">
        <v>4</v>
      </c>
      <c r="G351" s="2">
        <v>46189.75</v>
      </c>
      <c r="H351" s="2">
        <v>46189.583333333336</v>
      </c>
    </row>
    <row r="352" spans="1:8" x14ac:dyDescent="0.25">
      <c r="A352" s="8" t="s">
        <v>1545</v>
      </c>
      <c r="B352" s="8" t="s">
        <v>13972</v>
      </c>
      <c r="C352" s="2">
        <v>46189.416666666664</v>
      </c>
      <c r="D352" s="8" t="s">
        <v>13931</v>
      </c>
      <c r="E352" s="8" t="s">
        <v>22</v>
      </c>
      <c r="F352">
        <v>2</v>
      </c>
      <c r="G352" s="2">
        <v>46189.75</v>
      </c>
      <c r="H352" s="2">
        <v>46189.583333333336</v>
      </c>
    </row>
    <row r="353" spans="1:8" x14ac:dyDescent="0.25">
      <c r="A353" s="8" t="s">
        <v>1548</v>
      </c>
      <c r="B353" s="8" t="s">
        <v>13972</v>
      </c>
      <c r="C353" s="2">
        <v>46189.416666666664</v>
      </c>
      <c r="D353" s="8" t="s">
        <v>13931</v>
      </c>
      <c r="E353" s="8" t="s">
        <v>30</v>
      </c>
      <c r="F353">
        <v>5</v>
      </c>
      <c r="G353" s="2">
        <v>46189.75</v>
      </c>
      <c r="H353" s="2">
        <v>46189.583333333336</v>
      </c>
    </row>
    <row r="354" spans="1:8" x14ac:dyDescent="0.25">
      <c r="A354" s="8" t="s">
        <v>1551</v>
      </c>
      <c r="B354" s="8" t="s">
        <v>13972</v>
      </c>
      <c r="C354" s="2">
        <v>46189.416666666664</v>
      </c>
      <c r="D354" s="8" t="s">
        <v>13931</v>
      </c>
      <c r="E354" s="8" t="s">
        <v>41</v>
      </c>
      <c r="F354">
        <v>1</v>
      </c>
      <c r="G354" s="2">
        <v>46189.75</v>
      </c>
      <c r="H354" s="2">
        <v>46189.583333333336</v>
      </c>
    </row>
    <row r="355" spans="1:8" x14ac:dyDescent="0.25">
      <c r="A355" s="8" t="s">
        <v>1554</v>
      </c>
      <c r="B355" s="8" t="s">
        <v>13972</v>
      </c>
      <c r="C355" s="2">
        <v>46189.416666666664</v>
      </c>
      <c r="D355" s="8" t="s">
        <v>13931</v>
      </c>
      <c r="E355" s="8" t="s">
        <v>47</v>
      </c>
      <c r="F355">
        <v>1</v>
      </c>
      <c r="G355" s="2">
        <v>46189.75</v>
      </c>
      <c r="H355" s="2">
        <v>46189.583333333336</v>
      </c>
    </row>
    <row r="356" spans="1:8" x14ac:dyDescent="0.25">
      <c r="A356" s="8" t="s">
        <v>1557</v>
      </c>
      <c r="B356" s="8" t="s">
        <v>13972</v>
      </c>
      <c r="C356" s="2">
        <v>46189.416666666664</v>
      </c>
      <c r="D356" s="8" t="s">
        <v>13931</v>
      </c>
      <c r="E356" s="8" t="s">
        <v>49</v>
      </c>
      <c r="F356">
        <v>1</v>
      </c>
      <c r="G356" s="2">
        <v>46189.75</v>
      </c>
      <c r="H356" s="2">
        <v>46189.583333333336</v>
      </c>
    </row>
    <row r="357" spans="1:8" x14ac:dyDescent="0.25">
      <c r="A357" s="8" t="s">
        <v>1560</v>
      </c>
      <c r="B357" s="8" t="s">
        <v>13972</v>
      </c>
      <c r="C357" s="2">
        <v>46189.416666666664</v>
      </c>
      <c r="D357" s="8" t="s">
        <v>13931</v>
      </c>
      <c r="E357" s="8" t="s">
        <v>65</v>
      </c>
      <c r="F357">
        <v>5</v>
      </c>
      <c r="G357" s="2">
        <v>46189.75</v>
      </c>
      <c r="H357" s="2">
        <v>46189.583333333336</v>
      </c>
    </row>
    <row r="358" spans="1:8" x14ac:dyDescent="0.25">
      <c r="A358" s="8" t="s">
        <v>1563</v>
      </c>
      <c r="B358" s="8" t="s">
        <v>13972</v>
      </c>
      <c r="C358" s="2">
        <v>46189.416666666664</v>
      </c>
      <c r="D358" s="8" t="s">
        <v>13931</v>
      </c>
      <c r="E358" s="8" t="s">
        <v>69</v>
      </c>
      <c r="F358">
        <v>2</v>
      </c>
      <c r="G358" s="2">
        <v>46189.75</v>
      </c>
      <c r="H358" s="2">
        <v>46189.583333333336</v>
      </c>
    </row>
    <row r="359" spans="1:8" x14ac:dyDescent="0.25">
      <c r="A359" s="8" t="s">
        <v>1566</v>
      </c>
      <c r="B359" s="8" t="s">
        <v>13973</v>
      </c>
      <c r="C359" s="2">
        <v>46189.416666666664</v>
      </c>
      <c r="D359" s="8" t="s">
        <v>13933</v>
      </c>
      <c r="E359" s="8" t="s">
        <v>11</v>
      </c>
      <c r="F359">
        <v>1</v>
      </c>
      <c r="G359" s="2">
        <v>46189.75</v>
      </c>
      <c r="H359" s="2">
        <v>46189.583333333336</v>
      </c>
    </row>
    <row r="360" spans="1:8" x14ac:dyDescent="0.25">
      <c r="A360" s="8" t="s">
        <v>1569</v>
      </c>
      <c r="B360" s="8" t="s">
        <v>13973</v>
      </c>
      <c r="C360" s="2">
        <v>46189.416666666664</v>
      </c>
      <c r="D360" s="8" t="s">
        <v>13933</v>
      </c>
      <c r="E360" s="8" t="s">
        <v>20</v>
      </c>
      <c r="F360">
        <v>6</v>
      </c>
      <c r="G360" s="2">
        <v>46189.75</v>
      </c>
      <c r="H360" s="2">
        <v>46189.583333333336</v>
      </c>
    </row>
    <row r="361" spans="1:8" x14ac:dyDescent="0.25">
      <c r="A361" s="8" t="s">
        <v>1572</v>
      </c>
      <c r="B361" s="8" t="s">
        <v>13973</v>
      </c>
      <c r="C361" s="2">
        <v>46189.416666666664</v>
      </c>
      <c r="D361" s="8" t="s">
        <v>13933</v>
      </c>
      <c r="E361" s="8" t="s">
        <v>22</v>
      </c>
      <c r="F361">
        <v>2</v>
      </c>
      <c r="G361" s="2">
        <v>46189.75</v>
      </c>
      <c r="H361" s="2">
        <v>46189.583333333336</v>
      </c>
    </row>
    <row r="362" spans="1:8" x14ac:dyDescent="0.25">
      <c r="A362" s="8" t="s">
        <v>1575</v>
      </c>
      <c r="B362" s="8" t="s">
        <v>13973</v>
      </c>
      <c r="C362" s="2">
        <v>46189.416666666664</v>
      </c>
      <c r="D362" s="8" t="s">
        <v>13933</v>
      </c>
      <c r="E362" s="8" t="s">
        <v>26</v>
      </c>
      <c r="F362">
        <v>5</v>
      </c>
      <c r="G362" s="2">
        <v>46189.75</v>
      </c>
      <c r="H362" s="2">
        <v>46189.583333333336</v>
      </c>
    </row>
    <row r="363" spans="1:8" x14ac:dyDescent="0.25">
      <c r="A363" s="8" t="s">
        <v>1578</v>
      </c>
      <c r="B363" s="8" t="s">
        <v>13973</v>
      </c>
      <c r="C363" s="2">
        <v>46189.416666666664</v>
      </c>
      <c r="D363" s="8" t="s">
        <v>13933</v>
      </c>
      <c r="E363" s="8" t="s">
        <v>49</v>
      </c>
      <c r="F363">
        <v>6</v>
      </c>
      <c r="G363" s="2">
        <v>46189.75</v>
      </c>
      <c r="H363" s="2">
        <v>46189.583333333336</v>
      </c>
    </row>
    <row r="364" spans="1:8" x14ac:dyDescent="0.25">
      <c r="A364" s="8" t="s">
        <v>1581</v>
      </c>
      <c r="B364" s="8" t="s">
        <v>13973</v>
      </c>
      <c r="C364" s="2">
        <v>46189.416666666664</v>
      </c>
      <c r="D364" s="8" t="s">
        <v>13933</v>
      </c>
      <c r="E364" s="8" t="s">
        <v>53</v>
      </c>
      <c r="F364">
        <v>5</v>
      </c>
      <c r="G364" s="2">
        <v>46189.75</v>
      </c>
      <c r="H364" s="2">
        <v>46189.583333333336</v>
      </c>
    </row>
    <row r="365" spans="1:8" x14ac:dyDescent="0.25">
      <c r="A365" s="8" t="s">
        <v>1584</v>
      </c>
      <c r="B365" s="8" t="s">
        <v>13973</v>
      </c>
      <c r="C365" s="2">
        <v>46189.416666666664</v>
      </c>
      <c r="D365" s="8" t="s">
        <v>13933</v>
      </c>
      <c r="E365" s="8" t="s">
        <v>57</v>
      </c>
      <c r="F365">
        <v>5</v>
      </c>
      <c r="G365" s="2">
        <v>46189.75</v>
      </c>
      <c r="H365" s="2">
        <v>46189.583333333336</v>
      </c>
    </row>
    <row r="366" spans="1:8" x14ac:dyDescent="0.25">
      <c r="A366" s="8" t="s">
        <v>1587</v>
      </c>
      <c r="B366" s="8" t="s">
        <v>13973</v>
      </c>
      <c r="C366" s="2">
        <v>46189.416666666664</v>
      </c>
      <c r="D366" s="8" t="s">
        <v>13933</v>
      </c>
      <c r="E366" s="8" t="s">
        <v>65</v>
      </c>
      <c r="F366">
        <v>2</v>
      </c>
      <c r="G366" s="2">
        <v>46189.75</v>
      </c>
      <c r="H366" s="2">
        <v>46189.583333333336</v>
      </c>
    </row>
    <row r="367" spans="1:8" x14ac:dyDescent="0.25">
      <c r="A367" s="8" t="s">
        <v>1590</v>
      </c>
      <c r="B367" s="8" t="s">
        <v>13973</v>
      </c>
      <c r="C367" s="2">
        <v>46189.416666666664</v>
      </c>
      <c r="D367" s="8" t="s">
        <v>13933</v>
      </c>
      <c r="E367" s="8" t="s">
        <v>67</v>
      </c>
      <c r="F367">
        <v>2</v>
      </c>
      <c r="G367" s="2">
        <v>46189.75</v>
      </c>
      <c r="H367" s="2">
        <v>46189.583333333336</v>
      </c>
    </row>
    <row r="368" spans="1:8" x14ac:dyDescent="0.25">
      <c r="A368" s="8" t="s">
        <v>1593</v>
      </c>
      <c r="B368" s="8" t="s">
        <v>13973</v>
      </c>
      <c r="C368" s="2">
        <v>46189.416666666664</v>
      </c>
      <c r="D368" s="8" t="s">
        <v>13933</v>
      </c>
      <c r="E368" s="8" t="s">
        <v>71</v>
      </c>
      <c r="F368">
        <v>2</v>
      </c>
      <c r="G368" s="2">
        <v>46189.75</v>
      </c>
      <c r="H368" s="2">
        <v>46189.583333333336</v>
      </c>
    </row>
    <row r="369" spans="1:8" x14ac:dyDescent="0.25">
      <c r="A369" s="8" t="s">
        <v>1596</v>
      </c>
      <c r="B369" s="8" t="s">
        <v>13973</v>
      </c>
      <c r="C369" s="2">
        <v>46189.416666666664</v>
      </c>
      <c r="D369" s="8" t="s">
        <v>13933</v>
      </c>
      <c r="E369" s="8" t="s">
        <v>77</v>
      </c>
      <c r="F369">
        <v>2</v>
      </c>
      <c r="G369" s="2">
        <v>46189.75</v>
      </c>
      <c r="H369" s="2">
        <v>46189.583333333336</v>
      </c>
    </row>
    <row r="370" spans="1:8" x14ac:dyDescent="0.25">
      <c r="A370" s="8" t="s">
        <v>1599</v>
      </c>
      <c r="B370" s="8" t="s">
        <v>13974</v>
      </c>
      <c r="C370" s="2">
        <v>46189.416666666664</v>
      </c>
      <c r="D370" s="8" t="s">
        <v>13935</v>
      </c>
      <c r="E370" s="8" t="s">
        <v>11</v>
      </c>
      <c r="F370">
        <v>6</v>
      </c>
      <c r="G370" s="2">
        <v>46189.75</v>
      </c>
      <c r="H370" s="2">
        <v>46189.583333333336</v>
      </c>
    </row>
    <row r="371" spans="1:8" x14ac:dyDescent="0.25">
      <c r="A371" s="8" t="s">
        <v>1602</v>
      </c>
      <c r="B371" s="8" t="s">
        <v>13974</v>
      </c>
      <c r="C371" s="2">
        <v>46189.416666666664</v>
      </c>
      <c r="D371" s="8" t="s">
        <v>13935</v>
      </c>
      <c r="E371" s="8" t="s">
        <v>18</v>
      </c>
      <c r="F371">
        <v>4</v>
      </c>
      <c r="G371" s="2">
        <v>46189.75</v>
      </c>
      <c r="H371" s="2">
        <v>46189.583333333336</v>
      </c>
    </row>
    <row r="372" spans="1:8" x14ac:dyDescent="0.25">
      <c r="A372" s="8" t="s">
        <v>1605</v>
      </c>
      <c r="B372" s="8" t="s">
        <v>13974</v>
      </c>
      <c r="C372" s="2">
        <v>46189.416666666664</v>
      </c>
      <c r="D372" s="8" t="s">
        <v>13935</v>
      </c>
      <c r="E372" s="8" t="s">
        <v>20</v>
      </c>
      <c r="F372">
        <v>3</v>
      </c>
      <c r="G372" s="2">
        <v>46189.75</v>
      </c>
      <c r="H372" s="2">
        <v>46189.583333333336</v>
      </c>
    </row>
    <row r="373" spans="1:8" x14ac:dyDescent="0.25">
      <c r="A373" s="8" t="s">
        <v>1608</v>
      </c>
      <c r="B373" s="8" t="s">
        <v>13974</v>
      </c>
      <c r="C373" s="2">
        <v>46189.416666666664</v>
      </c>
      <c r="D373" s="8" t="s">
        <v>13935</v>
      </c>
      <c r="E373" s="8" t="s">
        <v>22</v>
      </c>
      <c r="F373">
        <v>7</v>
      </c>
      <c r="G373" s="2">
        <v>46189.75</v>
      </c>
      <c r="H373" s="2">
        <v>46189.583333333336</v>
      </c>
    </row>
    <row r="374" spans="1:8" x14ac:dyDescent="0.25">
      <c r="A374" s="8" t="s">
        <v>1611</v>
      </c>
      <c r="B374" s="8" t="s">
        <v>13974</v>
      </c>
      <c r="C374" s="2">
        <v>46189.416666666664</v>
      </c>
      <c r="D374" s="8" t="s">
        <v>13935</v>
      </c>
      <c r="E374" s="8" t="s">
        <v>26</v>
      </c>
      <c r="F374">
        <v>6</v>
      </c>
      <c r="G374" s="2">
        <v>46189.75</v>
      </c>
      <c r="H374" s="2">
        <v>46189.583333333336</v>
      </c>
    </row>
    <row r="375" spans="1:8" x14ac:dyDescent="0.25">
      <c r="A375" s="8" t="s">
        <v>1614</v>
      </c>
      <c r="B375" s="8" t="s">
        <v>13974</v>
      </c>
      <c r="C375" s="2">
        <v>46189.416666666664</v>
      </c>
      <c r="D375" s="8" t="s">
        <v>13935</v>
      </c>
      <c r="E375" s="8" t="s">
        <v>32</v>
      </c>
      <c r="F375">
        <v>7</v>
      </c>
      <c r="G375" s="2">
        <v>46189.75</v>
      </c>
      <c r="H375" s="2">
        <v>46189.583333333336</v>
      </c>
    </row>
    <row r="376" spans="1:8" x14ac:dyDescent="0.25">
      <c r="A376" s="8" t="s">
        <v>1617</v>
      </c>
      <c r="B376" s="8" t="s">
        <v>13974</v>
      </c>
      <c r="C376" s="2">
        <v>46189.416666666664</v>
      </c>
      <c r="D376" s="8" t="s">
        <v>13935</v>
      </c>
      <c r="E376" s="8" t="s">
        <v>36</v>
      </c>
      <c r="F376">
        <v>1</v>
      </c>
      <c r="G376" s="2">
        <v>46189.75</v>
      </c>
      <c r="H376" s="2">
        <v>46189.583333333336</v>
      </c>
    </row>
    <row r="377" spans="1:8" x14ac:dyDescent="0.25">
      <c r="A377" s="8" t="s">
        <v>1620</v>
      </c>
      <c r="B377" s="8" t="s">
        <v>13974</v>
      </c>
      <c r="C377" s="2">
        <v>46189.416666666664</v>
      </c>
      <c r="D377" s="8" t="s">
        <v>13935</v>
      </c>
      <c r="E377" s="8" t="s">
        <v>45</v>
      </c>
      <c r="F377">
        <v>3</v>
      </c>
      <c r="G377" s="2">
        <v>46189.75</v>
      </c>
      <c r="H377" s="2">
        <v>46189.583333333336</v>
      </c>
    </row>
    <row r="378" spans="1:8" x14ac:dyDescent="0.25">
      <c r="A378" s="8" t="s">
        <v>1623</v>
      </c>
      <c r="B378" s="8" t="s">
        <v>13974</v>
      </c>
      <c r="C378" s="2">
        <v>46189.416666666664</v>
      </c>
      <c r="D378" s="8" t="s">
        <v>13935</v>
      </c>
      <c r="E378" s="8" t="s">
        <v>47</v>
      </c>
      <c r="F378">
        <v>3</v>
      </c>
      <c r="G378" s="2">
        <v>46189.75</v>
      </c>
      <c r="H378" s="2">
        <v>46189.583333333336</v>
      </c>
    </row>
    <row r="379" spans="1:8" x14ac:dyDescent="0.25">
      <c r="A379" s="8" t="s">
        <v>1626</v>
      </c>
      <c r="B379" s="8" t="s">
        <v>13974</v>
      </c>
      <c r="C379" s="2">
        <v>46189.416666666664</v>
      </c>
      <c r="D379" s="8" t="s">
        <v>13935</v>
      </c>
      <c r="E379" s="8" t="s">
        <v>65</v>
      </c>
      <c r="F379">
        <v>7</v>
      </c>
      <c r="G379" s="2">
        <v>46189.75</v>
      </c>
      <c r="H379" s="2">
        <v>46189.583333333336</v>
      </c>
    </row>
    <row r="380" spans="1:8" x14ac:dyDescent="0.25">
      <c r="A380" s="8" t="s">
        <v>1629</v>
      </c>
      <c r="B380" s="8" t="s">
        <v>13974</v>
      </c>
      <c r="C380" s="2">
        <v>46189.416666666664</v>
      </c>
      <c r="D380" s="8" t="s">
        <v>13935</v>
      </c>
      <c r="E380" s="8" t="s">
        <v>71</v>
      </c>
      <c r="F380">
        <v>3</v>
      </c>
      <c r="G380" s="2">
        <v>46189.75</v>
      </c>
      <c r="H380" s="2">
        <v>46189.583333333336</v>
      </c>
    </row>
    <row r="381" spans="1:8" x14ac:dyDescent="0.25">
      <c r="A381" s="8" t="s">
        <v>1632</v>
      </c>
      <c r="B381" s="8" t="s">
        <v>13975</v>
      </c>
      <c r="C381" s="2">
        <v>46189.416666666664</v>
      </c>
      <c r="D381" s="8" t="s">
        <v>13937</v>
      </c>
      <c r="E381" s="8" t="s">
        <v>20</v>
      </c>
      <c r="F381">
        <v>3</v>
      </c>
      <c r="G381" s="2">
        <v>46189.75</v>
      </c>
      <c r="H381" s="2">
        <v>46189.583333333336</v>
      </c>
    </row>
    <row r="382" spans="1:8" x14ac:dyDescent="0.25">
      <c r="A382" s="8" t="s">
        <v>1635</v>
      </c>
      <c r="B382" s="8" t="s">
        <v>13975</v>
      </c>
      <c r="C382" s="2">
        <v>46189.416666666664</v>
      </c>
      <c r="D382" s="8" t="s">
        <v>13937</v>
      </c>
      <c r="E382" s="8" t="s">
        <v>22</v>
      </c>
      <c r="F382">
        <v>4</v>
      </c>
      <c r="G382" s="2">
        <v>46189.75</v>
      </c>
      <c r="H382" s="2">
        <v>46189.583333333336</v>
      </c>
    </row>
    <row r="383" spans="1:8" x14ac:dyDescent="0.25">
      <c r="A383" s="8" t="s">
        <v>1638</v>
      </c>
      <c r="B383" s="8" t="s">
        <v>13975</v>
      </c>
      <c r="C383" s="2">
        <v>46189.416666666664</v>
      </c>
      <c r="D383" s="8" t="s">
        <v>13937</v>
      </c>
      <c r="E383" s="8" t="s">
        <v>24</v>
      </c>
      <c r="F383">
        <v>3</v>
      </c>
      <c r="G383" s="2">
        <v>46189.75</v>
      </c>
      <c r="H383" s="2">
        <v>46189.583333333336</v>
      </c>
    </row>
    <row r="384" spans="1:8" x14ac:dyDescent="0.25">
      <c r="A384" s="8" t="s">
        <v>1641</v>
      </c>
      <c r="B384" s="8" t="s">
        <v>13975</v>
      </c>
      <c r="C384" s="2">
        <v>46189.416666666664</v>
      </c>
      <c r="D384" s="8" t="s">
        <v>13937</v>
      </c>
      <c r="E384" s="8" t="s">
        <v>26</v>
      </c>
      <c r="F384">
        <v>4</v>
      </c>
      <c r="G384" s="2">
        <v>46189.75</v>
      </c>
      <c r="H384" s="2">
        <v>46189.583333333336</v>
      </c>
    </row>
    <row r="385" spans="1:8" x14ac:dyDescent="0.25">
      <c r="A385" s="8" t="s">
        <v>1644</v>
      </c>
      <c r="B385" s="8" t="s">
        <v>13975</v>
      </c>
      <c r="C385" s="2">
        <v>46189.416666666664</v>
      </c>
      <c r="D385" s="8" t="s">
        <v>13937</v>
      </c>
      <c r="E385" s="8" t="s">
        <v>57</v>
      </c>
      <c r="F385">
        <v>3</v>
      </c>
      <c r="G385" s="2">
        <v>46189.75</v>
      </c>
      <c r="H385" s="2">
        <v>46189.583333333336</v>
      </c>
    </row>
    <row r="386" spans="1:8" x14ac:dyDescent="0.25">
      <c r="A386" s="8" t="s">
        <v>1647</v>
      </c>
      <c r="B386" s="8" t="s">
        <v>13975</v>
      </c>
      <c r="C386" s="2">
        <v>46189.416666666664</v>
      </c>
      <c r="D386" s="8" t="s">
        <v>13937</v>
      </c>
      <c r="E386" s="8" t="s">
        <v>67</v>
      </c>
      <c r="F386">
        <v>2</v>
      </c>
      <c r="G386" s="2">
        <v>46189.75</v>
      </c>
      <c r="H386" s="2">
        <v>46189.583333333336</v>
      </c>
    </row>
    <row r="387" spans="1:8" x14ac:dyDescent="0.25">
      <c r="A387" s="8" t="s">
        <v>1650</v>
      </c>
      <c r="B387" s="8" t="s">
        <v>13975</v>
      </c>
      <c r="C387" s="2">
        <v>46189.416666666664</v>
      </c>
      <c r="D387" s="8" t="s">
        <v>13937</v>
      </c>
      <c r="E387" s="8" t="s">
        <v>69</v>
      </c>
      <c r="F387">
        <v>4</v>
      </c>
      <c r="G387" s="2">
        <v>46189.75</v>
      </c>
      <c r="H387" s="2">
        <v>46189.583333333336</v>
      </c>
    </row>
    <row r="388" spans="1:8" x14ac:dyDescent="0.25">
      <c r="A388" s="8" t="s">
        <v>1653</v>
      </c>
      <c r="B388" s="8" t="s">
        <v>13976</v>
      </c>
      <c r="C388" s="2">
        <v>46190.416666666664</v>
      </c>
      <c r="D388" s="8" t="s">
        <v>13929</v>
      </c>
      <c r="E388" s="8" t="s">
        <v>11</v>
      </c>
      <c r="F388">
        <v>3</v>
      </c>
      <c r="G388" s="2">
        <v>46190.75</v>
      </c>
      <c r="H388" s="2">
        <v>46190.583333333336</v>
      </c>
    </row>
    <row r="389" spans="1:8" x14ac:dyDescent="0.25">
      <c r="A389" s="8" t="s">
        <v>1656</v>
      </c>
      <c r="B389" s="8" t="s">
        <v>13976</v>
      </c>
      <c r="C389" s="2">
        <v>46190.416666666664</v>
      </c>
      <c r="D389" s="8" t="s">
        <v>13929</v>
      </c>
      <c r="E389" s="8" t="s">
        <v>18</v>
      </c>
      <c r="F389">
        <v>3</v>
      </c>
      <c r="G389" s="2">
        <v>46190.75</v>
      </c>
      <c r="H389" s="2">
        <v>46190.583333333336</v>
      </c>
    </row>
    <row r="390" spans="1:8" x14ac:dyDescent="0.25">
      <c r="A390" s="8" t="s">
        <v>1659</v>
      </c>
      <c r="B390" s="8" t="s">
        <v>13976</v>
      </c>
      <c r="C390" s="2">
        <v>46190.416666666664</v>
      </c>
      <c r="D390" s="8" t="s">
        <v>13929</v>
      </c>
      <c r="E390" s="8" t="s">
        <v>24</v>
      </c>
      <c r="F390">
        <v>2</v>
      </c>
      <c r="G390" s="2">
        <v>46190.75</v>
      </c>
      <c r="H390" s="2">
        <v>46190.583333333336</v>
      </c>
    </row>
    <row r="391" spans="1:8" x14ac:dyDescent="0.25">
      <c r="A391" s="8" t="s">
        <v>1662</v>
      </c>
      <c r="B391" s="8" t="s">
        <v>13976</v>
      </c>
      <c r="C391" s="2">
        <v>46190.416666666664</v>
      </c>
      <c r="D391" s="8" t="s">
        <v>13929</v>
      </c>
      <c r="E391" s="8" t="s">
        <v>26</v>
      </c>
      <c r="F391">
        <v>1</v>
      </c>
      <c r="G391" s="2">
        <v>46190.75</v>
      </c>
      <c r="H391" s="2">
        <v>46190.583333333336</v>
      </c>
    </row>
    <row r="392" spans="1:8" x14ac:dyDescent="0.25">
      <c r="A392" s="8" t="s">
        <v>1665</v>
      </c>
      <c r="B392" s="8" t="s">
        <v>13976</v>
      </c>
      <c r="C392" s="2">
        <v>46190.416666666664</v>
      </c>
      <c r="D392" s="8" t="s">
        <v>13929</v>
      </c>
      <c r="E392" s="8" t="s">
        <v>45</v>
      </c>
      <c r="F392">
        <v>4</v>
      </c>
      <c r="G392" s="2">
        <v>46190.75</v>
      </c>
      <c r="H392" s="2">
        <v>46190.583333333336</v>
      </c>
    </row>
    <row r="393" spans="1:8" x14ac:dyDescent="0.25">
      <c r="A393" s="8" t="s">
        <v>1668</v>
      </c>
      <c r="B393" s="8" t="s">
        <v>13976</v>
      </c>
      <c r="C393" s="2">
        <v>46190.416666666664</v>
      </c>
      <c r="D393" s="8" t="s">
        <v>13929</v>
      </c>
      <c r="E393" s="8" t="s">
        <v>47</v>
      </c>
      <c r="F393">
        <v>1</v>
      </c>
      <c r="G393" s="2">
        <v>46190.75</v>
      </c>
      <c r="H393" s="2">
        <v>46190.583333333336</v>
      </c>
    </row>
    <row r="394" spans="1:8" x14ac:dyDescent="0.25">
      <c r="A394" s="8" t="s">
        <v>1671</v>
      </c>
      <c r="B394" s="8" t="s">
        <v>13976</v>
      </c>
      <c r="C394" s="2">
        <v>46190.416666666664</v>
      </c>
      <c r="D394" s="8" t="s">
        <v>13929</v>
      </c>
      <c r="E394" s="8" t="s">
        <v>67</v>
      </c>
      <c r="F394">
        <v>4</v>
      </c>
      <c r="G394" s="2">
        <v>46190.75</v>
      </c>
      <c r="H394" s="2">
        <v>46190.583333333336</v>
      </c>
    </row>
    <row r="395" spans="1:8" x14ac:dyDescent="0.25">
      <c r="A395" s="8" t="s">
        <v>1674</v>
      </c>
      <c r="B395" s="8" t="s">
        <v>13976</v>
      </c>
      <c r="C395" s="2">
        <v>46190.416666666664</v>
      </c>
      <c r="D395" s="8" t="s">
        <v>13929</v>
      </c>
      <c r="E395" s="8" t="s">
        <v>75</v>
      </c>
      <c r="F395">
        <v>2</v>
      </c>
      <c r="G395" s="2">
        <v>46190.75</v>
      </c>
      <c r="H395" s="2">
        <v>46190.583333333336</v>
      </c>
    </row>
    <row r="396" spans="1:8" x14ac:dyDescent="0.25">
      <c r="A396" s="8" t="s">
        <v>1677</v>
      </c>
      <c r="B396" s="8" t="s">
        <v>13977</v>
      </c>
      <c r="C396" s="2">
        <v>46190.416666666664</v>
      </c>
      <c r="D396" s="8" t="s">
        <v>13931</v>
      </c>
      <c r="E396" s="8" t="s">
        <v>11</v>
      </c>
      <c r="F396">
        <v>3</v>
      </c>
      <c r="G396" s="2">
        <v>46190.75</v>
      </c>
      <c r="H396" s="2">
        <v>46190.583333333336</v>
      </c>
    </row>
    <row r="397" spans="1:8" x14ac:dyDescent="0.25">
      <c r="A397" s="8" t="s">
        <v>1680</v>
      </c>
      <c r="B397" s="8" t="s">
        <v>13977</v>
      </c>
      <c r="C397" s="2">
        <v>46190.416666666664</v>
      </c>
      <c r="D397" s="8" t="s">
        <v>13931</v>
      </c>
      <c r="E397" s="8" t="s">
        <v>20</v>
      </c>
      <c r="F397">
        <v>2</v>
      </c>
      <c r="G397" s="2">
        <v>46190.75</v>
      </c>
      <c r="H397" s="2">
        <v>46190.583333333336</v>
      </c>
    </row>
    <row r="398" spans="1:8" x14ac:dyDescent="0.25">
      <c r="A398" s="8" t="s">
        <v>1683</v>
      </c>
      <c r="B398" s="8" t="s">
        <v>13977</v>
      </c>
      <c r="C398" s="2">
        <v>46190.416666666664</v>
      </c>
      <c r="D398" s="8" t="s">
        <v>13931</v>
      </c>
      <c r="E398" s="8" t="s">
        <v>22</v>
      </c>
      <c r="F398">
        <v>4</v>
      </c>
      <c r="G398" s="2">
        <v>46190.75</v>
      </c>
      <c r="H398" s="2">
        <v>46190.583333333336</v>
      </c>
    </row>
    <row r="399" spans="1:8" x14ac:dyDescent="0.25">
      <c r="A399" s="8" t="s">
        <v>1686</v>
      </c>
      <c r="B399" s="8" t="s">
        <v>13977</v>
      </c>
      <c r="C399" s="2">
        <v>46190.416666666664</v>
      </c>
      <c r="D399" s="8" t="s">
        <v>13931</v>
      </c>
      <c r="E399" s="8" t="s">
        <v>24</v>
      </c>
      <c r="F399">
        <v>1</v>
      </c>
      <c r="G399" s="2">
        <v>46190.75</v>
      </c>
      <c r="H399" s="2">
        <v>46190.583333333336</v>
      </c>
    </row>
    <row r="400" spans="1:8" x14ac:dyDescent="0.25">
      <c r="A400" s="8" t="s">
        <v>1689</v>
      </c>
      <c r="B400" s="8" t="s">
        <v>13977</v>
      </c>
      <c r="C400" s="2">
        <v>46190.416666666664</v>
      </c>
      <c r="D400" s="8" t="s">
        <v>13931</v>
      </c>
      <c r="E400" s="8" t="s">
        <v>26</v>
      </c>
      <c r="F400">
        <v>5</v>
      </c>
      <c r="G400" s="2">
        <v>46190.75</v>
      </c>
      <c r="H400" s="2">
        <v>46190.583333333336</v>
      </c>
    </row>
    <row r="401" spans="1:8" x14ac:dyDescent="0.25">
      <c r="A401" s="8" t="s">
        <v>1692</v>
      </c>
      <c r="B401" s="8" t="s">
        <v>13977</v>
      </c>
      <c r="C401" s="2">
        <v>46190.416666666664</v>
      </c>
      <c r="D401" s="8" t="s">
        <v>13931</v>
      </c>
      <c r="E401" s="8" t="s">
        <v>32</v>
      </c>
      <c r="F401">
        <v>2</v>
      </c>
      <c r="G401" s="2">
        <v>46190.75</v>
      </c>
      <c r="H401" s="2">
        <v>46190.583333333336</v>
      </c>
    </row>
    <row r="402" spans="1:8" x14ac:dyDescent="0.25">
      <c r="A402" s="8" t="s">
        <v>1695</v>
      </c>
      <c r="B402" s="8" t="s">
        <v>13977</v>
      </c>
      <c r="C402" s="2">
        <v>46190.416666666664</v>
      </c>
      <c r="D402" s="8" t="s">
        <v>13931</v>
      </c>
      <c r="E402" s="8" t="s">
        <v>36</v>
      </c>
      <c r="F402">
        <v>1</v>
      </c>
      <c r="G402" s="2">
        <v>46190.75</v>
      </c>
      <c r="H402" s="2">
        <v>46190.583333333336</v>
      </c>
    </row>
    <row r="403" spans="1:8" x14ac:dyDescent="0.25">
      <c r="A403" s="8" t="s">
        <v>1698</v>
      </c>
      <c r="B403" s="8" t="s">
        <v>13977</v>
      </c>
      <c r="C403" s="2">
        <v>46190.416666666664</v>
      </c>
      <c r="D403" s="8" t="s">
        <v>13931</v>
      </c>
      <c r="E403" s="8" t="s">
        <v>49</v>
      </c>
      <c r="F403">
        <v>3</v>
      </c>
      <c r="G403" s="2">
        <v>46190.75</v>
      </c>
      <c r="H403" s="2">
        <v>46190.583333333336</v>
      </c>
    </row>
    <row r="404" spans="1:8" x14ac:dyDescent="0.25">
      <c r="A404" s="8" t="s">
        <v>1701</v>
      </c>
      <c r="B404" s="8" t="s">
        <v>13977</v>
      </c>
      <c r="C404" s="2">
        <v>46190.416666666664</v>
      </c>
      <c r="D404" s="8" t="s">
        <v>13931</v>
      </c>
      <c r="E404" s="8" t="s">
        <v>55</v>
      </c>
      <c r="F404">
        <v>1</v>
      </c>
      <c r="G404" s="2">
        <v>46190.75</v>
      </c>
      <c r="H404" s="2">
        <v>46190.583333333336</v>
      </c>
    </row>
    <row r="405" spans="1:8" x14ac:dyDescent="0.25">
      <c r="A405" s="8" t="s">
        <v>1704</v>
      </c>
      <c r="B405" s="8" t="s">
        <v>13977</v>
      </c>
      <c r="C405" s="2">
        <v>46190.416666666664</v>
      </c>
      <c r="D405" s="8" t="s">
        <v>13931</v>
      </c>
      <c r="E405" s="8" t="s">
        <v>57</v>
      </c>
      <c r="F405">
        <v>5</v>
      </c>
      <c r="G405" s="2">
        <v>46190.75</v>
      </c>
      <c r="H405" s="2">
        <v>46190.583333333336</v>
      </c>
    </row>
    <row r="406" spans="1:8" x14ac:dyDescent="0.25">
      <c r="A406" s="8" t="s">
        <v>1707</v>
      </c>
      <c r="B406" s="8" t="s">
        <v>13977</v>
      </c>
      <c r="C406" s="2">
        <v>46190.416666666664</v>
      </c>
      <c r="D406" s="8" t="s">
        <v>13931</v>
      </c>
      <c r="E406" s="8" t="s">
        <v>67</v>
      </c>
      <c r="F406">
        <v>3</v>
      </c>
      <c r="G406" s="2">
        <v>46190.75</v>
      </c>
      <c r="H406" s="2">
        <v>46190.583333333336</v>
      </c>
    </row>
    <row r="407" spans="1:8" x14ac:dyDescent="0.25">
      <c r="A407" s="8" t="s">
        <v>1710</v>
      </c>
      <c r="B407" s="8" t="s">
        <v>13977</v>
      </c>
      <c r="C407" s="2">
        <v>46190.416666666664</v>
      </c>
      <c r="D407" s="8" t="s">
        <v>13931</v>
      </c>
      <c r="E407" s="8" t="s">
        <v>69</v>
      </c>
      <c r="F407">
        <v>2</v>
      </c>
      <c r="G407" s="2">
        <v>46190.75</v>
      </c>
      <c r="H407" s="2">
        <v>46190.583333333336</v>
      </c>
    </row>
    <row r="408" spans="1:8" x14ac:dyDescent="0.25">
      <c r="A408" s="8" t="s">
        <v>1713</v>
      </c>
      <c r="B408" s="8" t="s">
        <v>13977</v>
      </c>
      <c r="C408" s="2">
        <v>46190.416666666664</v>
      </c>
      <c r="D408" s="8" t="s">
        <v>13931</v>
      </c>
      <c r="E408" s="8" t="s">
        <v>73</v>
      </c>
      <c r="F408">
        <v>3</v>
      </c>
      <c r="G408" s="2">
        <v>46190.75</v>
      </c>
      <c r="H408" s="2">
        <v>46190.583333333336</v>
      </c>
    </row>
    <row r="409" spans="1:8" x14ac:dyDescent="0.25">
      <c r="A409" s="8" t="s">
        <v>1716</v>
      </c>
      <c r="B409" s="8" t="s">
        <v>13978</v>
      </c>
      <c r="C409" s="2">
        <v>46190.416666666664</v>
      </c>
      <c r="D409" s="8" t="s">
        <v>13933</v>
      </c>
      <c r="E409" s="8" t="s">
        <v>11</v>
      </c>
      <c r="F409">
        <v>2</v>
      </c>
      <c r="G409" s="2">
        <v>46190.75</v>
      </c>
      <c r="H409" s="2">
        <v>46190.583333333336</v>
      </c>
    </row>
    <row r="410" spans="1:8" x14ac:dyDescent="0.25">
      <c r="A410" s="8" t="s">
        <v>1719</v>
      </c>
      <c r="B410" s="8" t="s">
        <v>13978</v>
      </c>
      <c r="C410" s="2">
        <v>46190.416666666664</v>
      </c>
      <c r="D410" s="8" t="s">
        <v>13933</v>
      </c>
      <c r="E410" s="8" t="s">
        <v>20</v>
      </c>
      <c r="F410">
        <v>4</v>
      </c>
      <c r="G410" s="2">
        <v>46190.75</v>
      </c>
      <c r="H410" s="2">
        <v>46190.583333333336</v>
      </c>
    </row>
    <row r="411" spans="1:8" x14ac:dyDescent="0.25">
      <c r="A411" s="8" t="s">
        <v>1722</v>
      </c>
      <c r="B411" s="8" t="s">
        <v>13978</v>
      </c>
      <c r="C411" s="2">
        <v>46190.416666666664</v>
      </c>
      <c r="D411" s="8" t="s">
        <v>13933</v>
      </c>
      <c r="E411" s="8" t="s">
        <v>22</v>
      </c>
      <c r="F411">
        <v>5</v>
      </c>
      <c r="G411" s="2">
        <v>46190.75</v>
      </c>
      <c r="H411" s="2">
        <v>46190.583333333336</v>
      </c>
    </row>
    <row r="412" spans="1:8" x14ac:dyDescent="0.25">
      <c r="A412" s="8" t="s">
        <v>1725</v>
      </c>
      <c r="B412" s="8" t="s">
        <v>13978</v>
      </c>
      <c r="C412" s="2">
        <v>46190.416666666664</v>
      </c>
      <c r="D412" s="8" t="s">
        <v>13933</v>
      </c>
      <c r="E412" s="8" t="s">
        <v>24</v>
      </c>
      <c r="F412">
        <v>2</v>
      </c>
      <c r="G412" s="2">
        <v>46190.75</v>
      </c>
      <c r="H412" s="2">
        <v>46190.583333333336</v>
      </c>
    </row>
    <row r="413" spans="1:8" x14ac:dyDescent="0.25">
      <c r="A413" s="8" t="s">
        <v>1728</v>
      </c>
      <c r="B413" s="8" t="s">
        <v>13978</v>
      </c>
      <c r="C413" s="2">
        <v>46190.416666666664</v>
      </c>
      <c r="D413" s="8" t="s">
        <v>13933</v>
      </c>
      <c r="E413" s="8" t="s">
        <v>26</v>
      </c>
      <c r="F413">
        <v>2</v>
      </c>
      <c r="G413" s="2">
        <v>46190.75</v>
      </c>
      <c r="H413" s="2">
        <v>46190.583333333336</v>
      </c>
    </row>
    <row r="414" spans="1:8" x14ac:dyDescent="0.25">
      <c r="A414" s="8" t="s">
        <v>1731</v>
      </c>
      <c r="B414" s="8" t="s">
        <v>13978</v>
      </c>
      <c r="C414" s="2">
        <v>46190.416666666664</v>
      </c>
      <c r="D414" s="8" t="s">
        <v>13933</v>
      </c>
      <c r="E414" s="8" t="s">
        <v>30</v>
      </c>
      <c r="F414">
        <v>6</v>
      </c>
      <c r="G414" s="2">
        <v>46190.75</v>
      </c>
      <c r="H414" s="2">
        <v>46190.583333333336</v>
      </c>
    </row>
    <row r="415" spans="1:8" x14ac:dyDescent="0.25">
      <c r="A415" s="8" t="s">
        <v>1734</v>
      </c>
      <c r="B415" s="8" t="s">
        <v>13978</v>
      </c>
      <c r="C415" s="2">
        <v>46190.416666666664</v>
      </c>
      <c r="D415" s="8" t="s">
        <v>13933</v>
      </c>
      <c r="E415" s="8" t="s">
        <v>41</v>
      </c>
      <c r="F415">
        <v>6</v>
      </c>
      <c r="G415" s="2">
        <v>46190.75</v>
      </c>
      <c r="H415" s="2">
        <v>46190.583333333336</v>
      </c>
    </row>
    <row r="416" spans="1:8" x14ac:dyDescent="0.25">
      <c r="A416" s="8" t="s">
        <v>1737</v>
      </c>
      <c r="B416" s="8" t="s">
        <v>13978</v>
      </c>
      <c r="C416" s="2">
        <v>46190.416666666664</v>
      </c>
      <c r="D416" s="8" t="s">
        <v>13933</v>
      </c>
      <c r="E416" s="8" t="s">
        <v>43</v>
      </c>
      <c r="F416">
        <v>4</v>
      </c>
      <c r="G416" s="2">
        <v>46190.75</v>
      </c>
      <c r="H416" s="2">
        <v>46190.583333333336</v>
      </c>
    </row>
    <row r="417" spans="1:8" x14ac:dyDescent="0.25">
      <c r="A417" s="8" t="s">
        <v>1740</v>
      </c>
      <c r="B417" s="8" t="s">
        <v>13978</v>
      </c>
      <c r="C417" s="2">
        <v>46190.416666666664</v>
      </c>
      <c r="D417" s="8" t="s">
        <v>13933</v>
      </c>
      <c r="E417" s="8" t="s">
        <v>49</v>
      </c>
      <c r="F417">
        <v>5</v>
      </c>
      <c r="G417" s="2">
        <v>46190.75</v>
      </c>
      <c r="H417" s="2">
        <v>46190.583333333336</v>
      </c>
    </row>
    <row r="418" spans="1:8" x14ac:dyDescent="0.25">
      <c r="A418" s="8" t="s">
        <v>1743</v>
      </c>
      <c r="B418" s="8" t="s">
        <v>13978</v>
      </c>
      <c r="C418" s="2">
        <v>46190.416666666664</v>
      </c>
      <c r="D418" s="8" t="s">
        <v>13933</v>
      </c>
      <c r="E418" s="8" t="s">
        <v>51</v>
      </c>
      <c r="F418">
        <v>4</v>
      </c>
      <c r="G418" s="2">
        <v>46190.75</v>
      </c>
      <c r="H418" s="2">
        <v>46190.583333333336</v>
      </c>
    </row>
    <row r="419" spans="1:8" x14ac:dyDescent="0.25">
      <c r="A419" s="8" t="s">
        <v>1746</v>
      </c>
      <c r="B419" s="8" t="s">
        <v>13978</v>
      </c>
      <c r="C419" s="2">
        <v>46190.416666666664</v>
      </c>
      <c r="D419" s="8" t="s">
        <v>13933</v>
      </c>
      <c r="E419" s="8" t="s">
        <v>55</v>
      </c>
      <c r="F419">
        <v>4</v>
      </c>
      <c r="G419" s="2">
        <v>46190.75</v>
      </c>
      <c r="H419" s="2">
        <v>46190.583333333336</v>
      </c>
    </row>
    <row r="420" spans="1:8" x14ac:dyDescent="0.25">
      <c r="A420" s="8" t="s">
        <v>1749</v>
      </c>
      <c r="B420" s="8" t="s">
        <v>13978</v>
      </c>
      <c r="C420" s="2">
        <v>46190.416666666664</v>
      </c>
      <c r="D420" s="8" t="s">
        <v>13933</v>
      </c>
      <c r="E420" s="8" t="s">
        <v>57</v>
      </c>
      <c r="F420">
        <v>6</v>
      </c>
      <c r="G420" s="2">
        <v>46190.75</v>
      </c>
      <c r="H420" s="2">
        <v>46190.583333333336</v>
      </c>
    </row>
    <row r="421" spans="1:8" x14ac:dyDescent="0.25">
      <c r="A421" s="8" t="s">
        <v>1752</v>
      </c>
      <c r="B421" s="8" t="s">
        <v>13978</v>
      </c>
      <c r="C421" s="2">
        <v>46190.416666666664</v>
      </c>
      <c r="D421" s="8" t="s">
        <v>13933</v>
      </c>
      <c r="E421" s="8" t="s">
        <v>59</v>
      </c>
      <c r="F421">
        <v>1</v>
      </c>
      <c r="G421" s="2">
        <v>46190.75</v>
      </c>
      <c r="H421" s="2">
        <v>46190.583333333336</v>
      </c>
    </row>
    <row r="422" spans="1:8" x14ac:dyDescent="0.25">
      <c r="A422" s="8" t="s">
        <v>1755</v>
      </c>
      <c r="B422" s="8" t="s">
        <v>13978</v>
      </c>
      <c r="C422" s="2">
        <v>46190.416666666664</v>
      </c>
      <c r="D422" s="8" t="s">
        <v>13933</v>
      </c>
      <c r="E422" s="8" t="s">
        <v>65</v>
      </c>
      <c r="F422">
        <v>5</v>
      </c>
      <c r="G422" s="2">
        <v>46190.75</v>
      </c>
      <c r="H422" s="2">
        <v>46190.583333333336</v>
      </c>
    </row>
    <row r="423" spans="1:8" x14ac:dyDescent="0.25">
      <c r="A423" s="8" t="s">
        <v>1758</v>
      </c>
      <c r="B423" s="8" t="s">
        <v>13978</v>
      </c>
      <c r="C423" s="2">
        <v>46190.416666666664</v>
      </c>
      <c r="D423" s="8" t="s">
        <v>13933</v>
      </c>
      <c r="E423" s="8" t="s">
        <v>69</v>
      </c>
      <c r="F423">
        <v>4</v>
      </c>
      <c r="G423" s="2">
        <v>46190.75</v>
      </c>
      <c r="H423" s="2">
        <v>46190.583333333336</v>
      </c>
    </row>
    <row r="424" spans="1:8" x14ac:dyDescent="0.25">
      <c r="A424" s="8" t="s">
        <v>1761</v>
      </c>
      <c r="B424" s="8" t="s">
        <v>13979</v>
      </c>
      <c r="C424" s="2">
        <v>46190.416666666664</v>
      </c>
      <c r="D424" s="8" t="s">
        <v>13935</v>
      </c>
      <c r="E424" s="8" t="s">
        <v>11</v>
      </c>
      <c r="F424">
        <v>7</v>
      </c>
      <c r="G424" s="2">
        <v>46190.75</v>
      </c>
      <c r="H424" s="2">
        <v>46190.583333333336</v>
      </c>
    </row>
    <row r="425" spans="1:8" x14ac:dyDescent="0.25">
      <c r="A425" s="8" t="s">
        <v>1764</v>
      </c>
      <c r="B425" s="8" t="s">
        <v>13979</v>
      </c>
      <c r="C425" s="2">
        <v>46190.416666666664</v>
      </c>
      <c r="D425" s="8" t="s">
        <v>13935</v>
      </c>
      <c r="E425" s="8" t="s">
        <v>20</v>
      </c>
      <c r="F425">
        <v>3</v>
      </c>
      <c r="G425" s="2">
        <v>46190.75</v>
      </c>
      <c r="H425" s="2">
        <v>46190.583333333336</v>
      </c>
    </row>
    <row r="426" spans="1:8" x14ac:dyDescent="0.25">
      <c r="A426" s="8" t="s">
        <v>1767</v>
      </c>
      <c r="B426" s="8" t="s">
        <v>13979</v>
      </c>
      <c r="C426" s="2">
        <v>46190.416666666664</v>
      </c>
      <c r="D426" s="8" t="s">
        <v>13935</v>
      </c>
      <c r="E426" s="8" t="s">
        <v>22</v>
      </c>
      <c r="F426">
        <v>7</v>
      </c>
      <c r="G426" s="2">
        <v>46190.75</v>
      </c>
      <c r="H426" s="2">
        <v>46190.583333333336</v>
      </c>
    </row>
    <row r="427" spans="1:8" x14ac:dyDescent="0.25">
      <c r="A427" s="8" t="s">
        <v>1770</v>
      </c>
      <c r="B427" s="8" t="s">
        <v>13979</v>
      </c>
      <c r="C427" s="2">
        <v>46190.416666666664</v>
      </c>
      <c r="D427" s="8" t="s">
        <v>13935</v>
      </c>
      <c r="E427" s="8" t="s">
        <v>36</v>
      </c>
      <c r="F427">
        <v>7</v>
      </c>
      <c r="G427" s="2">
        <v>46190.75</v>
      </c>
      <c r="H427" s="2">
        <v>46190.583333333336</v>
      </c>
    </row>
    <row r="428" spans="1:8" x14ac:dyDescent="0.25">
      <c r="A428" s="8" t="s">
        <v>1773</v>
      </c>
      <c r="B428" s="8" t="s">
        <v>13979</v>
      </c>
      <c r="C428" s="2">
        <v>46190.416666666664</v>
      </c>
      <c r="D428" s="8" t="s">
        <v>13935</v>
      </c>
      <c r="E428" s="8" t="s">
        <v>41</v>
      </c>
      <c r="F428">
        <v>6</v>
      </c>
      <c r="G428" s="2">
        <v>46190.75</v>
      </c>
      <c r="H428" s="2">
        <v>46190.583333333336</v>
      </c>
    </row>
    <row r="429" spans="1:8" x14ac:dyDescent="0.25">
      <c r="A429" s="8" t="s">
        <v>1776</v>
      </c>
      <c r="B429" s="8" t="s">
        <v>13979</v>
      </c>
      <c r="C429" s="2">
        <v>46190.416666666664</v>
      </c>
      <c r="D429" s="8" t="s">
        <v>13935</v>
      </c>
      <c r="E429" s="8" t="s">
        <v>57</v>
      </c>
      <c r="F429">
        <v>7</v>
      </c>
      <c r="G429" s="2">
        <v>46190.75</v>
      </c>
      <c r="H429" s="2">
        <v>46190.583333333336</v>
      </c>
    </row>
    <row r="430" spans="1:8" x14ac:dyDescent="0.25">
      <c r="A430" s="8" t="s">
        <v>1779</v>
      </c>
      <c r="B430" s="8" t="s">
        <v>13979</v>
      </c>
      <c r="C430" s="2">
        <v>46190.416666666664</v>
      </c>
      <c r="D430" s="8" t="s">
        <v>13935</v>
      </c>
      <c r="E430" s="8" t="s">
        <v>59</v>
      </c>
      <c r="F430">
        <v>4</v>
      </c>
      <c r="G430" s="2">
        <v>46190.75</v>
      </c>
      <c r="H430" s="2">
        <v>46190.583333333336</v>
      </c>
    </row>
    <row r="431" spans="1:8" x14ac:dyDescent="0.25">
      <c r="A431" s="8" t="s">
        <v>1782</v>
      </c>
      <c r="B431" s="8" t="s">
        <v>13980</v>
      </c>
      <c r="C431" s="2">
        <v>46190.416666666664</v>
      </c>
      <c r="D431" s="8" t="s">
        <v>13937</v>
      </c>
      <c r="E431" s="8" t="s">
        <v>20</v>
      </c>
      <c r="F431">
        <v>2</v>
      </c>
      <c r="G431" s="2">
        <v>46190.75</v>
      </c>
      <c r="H431" s="2">
        <v>46190.583333333336</v>
      </c>
    </row>
    <row r="432" spans="1:8" x14ac:dyDescent="0.25">
      <c r="A432" s="8" t="s">
        <v>1785</v>
      </c>
      <c r="B432" s="8" t="s">
        <v>13980</v>
      </c>
      <c r="C432" s="2">
        <v>46190.416666666664</v>
      </c>
      <c r="D432" s="8" t="s">
        <v>13937</v>
      </c>
      <c r="E432" s="8" t="s">
        <v>22</v>
      </c>
      <c r="F432">
        <v>4</v>
      </c>
      <c r="G432" s="2">
        <v>46190.75</v>
      </c>
      <c r="H432" s="2">
        <v>46190.583333333336</v>
      </c>
    </row>
    <row r="433" spans="1:8" x14ac:dyDescent="0.25">
      <c r="A433" s="8" t="s">
        <v>1788</v>
      </c>
      <c r="B433" s="8" t="s">
        <v>13980</v>
      </c>
      <c r="C433" s="2">
        <v>46190.416666666664</v>
      </c>
      <c r="D433" s="8" t="s">
        <v>13937</v>
      </c>
      <c r="E433" s="8" t="s">
        <v>30</v>
      </c>
      <c r="F433">
        <v>1</v>
      </c>
      <c r="G433" s="2">
        <v>46190.75</v>
      </c>
      <c r="H433" s="2">
        <v>46190.583333333336</v>
      </c>
    </row>
    <row r="434" spans="1:8" x14ac:dyDescent="0.25">
      <c r="A434" s="8" t="s">
        <v>1791</v>
      </c>
      <c r="B434" s="8" t="s">
        <v>13980</v>
      </c>
      <c r="C434" s="2">
        <v>46190.416666666664</v>
      </c>
      <c r="D434" s="8" t="s">
        <v>13937</v>
      </c>
      <c r="E434" s="8" t="s">
        <v>36</v>
      </c>
      <c r="F434">
        <v>4</v>
      </c>
      <c r="G434" s="2">
        <v>46190.75</v>
      </c>
      <c r="H434" s="2">
        <v>46190.583333333336</v>
      </c>
    </row>
    <row r="435" spans="1:8" x14ac:dyDescent="0.25">
      <c r="A435" s="8" t="s">
        <v>1794</v>
      </c>
      <c r="B435" s="8" t="s">
        <v>13980</v>
      </c>
      <c r="C435" s="2">
        <v>46190.416666666664</v>
      </c>
      <c r="D435" s="8" t="s">
        <v>13937</v>
      </c>
      <c r="E435" s="8" t="s">
        <v>41</v>
      </c>
      <c r="F435">
        <v>4</v>
      </c>
      <c r="G435" s="2">
        <v>46190.75</v>
      </c>
      <c r="H435" s="2">
        <v>46190.583333333336</v>
      </c>
    </row>
    <row r="436" spans="1:8" x14ac:dyDescent="0.25">
      <c r="A436" s="8" t="s">
        <v>1797</v>
      </c>
      <c r="B436" s="8" t="s">
        <v>13980</v>
      </c>
      <c r="C436" s="2">
        <v>46190.416666666664</v>
      </c>
      <c r="D436" s="8" t="s">
        <v>13937</v>
      </c>
      <c r="E436" s="8" t="s">
        <v>45</v>
      </c>
      <c r="F436">
        <v>3</v>
      </c>
      <c r="G436" s="2">
        <v>46190.75</v>
      </c>
      <c r="H436" s="2">
        <v>46190.583333333336</v>
      </c>
    </row>
    <row r="437" spans="1:8" x14ac:dyDescent="0.25">
      <c r="A437" s="8" t="s">
        <v>1800</v>
      </c>
      <c r="B437" s="8" t="s">
        <v>13980</v>
      </c>
      <c r="C437" s="2">
        <v>46190.416666666664</v>
      </c>
      <c r="D437" s="8" t="s">
        <v>13937</v>
      </c>
      <c r="E437" s="8" t="s">
        <v>47</v>
      </c>
      <c r="F437">
        <v>3</v>
      </c>
      <c r="G437" s="2">
        <v>46190.75</v>
      </c>
      <c r="H437" s="2">
        <v>46190.583333333336</v>
      </c>
    </row>
    <row r="438" spans="1:8" x14ac:dyDescent="0.25">
      <c r="A438" s="8" t="s">
        <v>1803</v>
      </c>
      <c r="B438" s="8" t="s">
        <v>13980</v>
      </c>
      <c r="C438" s="2">
        <v>46190.416666666664</v>
      </c>
      <c r="D438" s="8" t="s">
        <v>13937</v>
      </c>
      <c r="E438" s="8" t="s">
        <v>55</v>
      </c>
      <c r="F438">
        <v>2</v>
      </c>
      <c r="G438" s="2">
        <v>46190.75</v>
      </c>
      <c r="H438" s="2">
        <v>46190.583333333336</v>
      </c>
    </row>
    <row r="439" spans="1:8" x14ac:dyDescent="0.25">
      <c r="A439" s="8" t="s">
        <v>1806</v>
      </c>
      <c r="B439" s="8" t="s">
        <v>13980</v>
      </c>
      <c r="C439" s="2">
        <v>46190.416666666664</v>
      </c>
      <c r="D439" s="8" t="s">
        <v>13937</v>
      </c>
      <c r="E439" s="8" t="s">
        <v>69</v>
      </c>
      <c r="F439">
        <v>2</v>
      </c>
      <c r="G439" s="2">
        <v>46190.75</v>
      </c>
      <c r="H439" s="2">
        <v>46190.583333333336</v>
      </c>
    </row>
    <row r="440" spans="1:8" x14ac:dyDescent="0.25">
      <c r="A440" s="8" t="s">
        <v>1809</v>
      </c>
      <c r="B440" s="8" t="s">
        <v>13980</v>
      </c>
      <c r="C440" s="2">
        <v>46190.416666666664</v>
      </c>
      <c r="D440" s="8" t="s">
        <v>13937</v>
      </c>
      <c r="E440" s="8" t="s">
        <v>71</v>
      </c>
      <c r="F440">
        <v>4</v>
      </c>
      <c r="G440" s="2">
        <v>46190.75</v>
      </c>
      <c r="H440" s="2">
        <v>46190.583333333336</v>
      </c>
    </row>
    <row r="441" spans="1:8" x14ac:dyDescent="0.25">
      <c r="A441" s="8" t="s">
        <v>1812</v>
      </c>
      <c r="B441" s="8" t="s">
        <v>13980</v>
      </c>
      <c r="C441" s="2">
        <v>46190.416666666664</v>
      </c>
      <c r="D441" s="8" t="s">
        <v>13937</v>
      </c>
      <c r="E441" s="8" t="s">
        <v>73</v>
      </c>
      <c r="F441">
        <v>1</v>
      </c>
      <c r="G441" s="2">
        <v>46190.75</v>
      </c>
      <c r="H441" s="2">
        <v>46190.583333333336</v>
      </c>
    </row>
    <row r="442" spans="1:8" x14ac:dyDescent="0.25">
      <c r="A442" s="8" t="s">
        <v>1815</v>
      </c>
      <c r="B442" s="8" t="s">
        <v>13981</v>
      </c>
      <c r="C442" s="2">
        <v>46191.416666666664</v>
      </c>
      <c r="D442" s="8" t="s">
        <v>13929</v>
      </c>
      <c r="E442" s="8" t="s">
        <v>11</v>
      </c>
      <c r="F442">
        <v>2</v>
      </c>
      <c r="G442" s="2">
        <v>46191.75</v>
      </c>
      <c r="H442" s="2">
        <v>46191.583333333336</v>
      </c>
    </row>
    <row r="443" spans="1:8" x14ac:dyDescent="0.25">
      <c r="A443" s="8" t="s">
        <v>1818</v>
      </c>
      <c r="B443" s="8" t="s">
        <v>13981</v>
      </c>
      <c r="C443" s="2">
        <v>46191.416666666664</v>
      </c>
      <c r="D443" s="8" t="s">
        <v>13929</v>
      </c>
      <c r="E443" s="8" t="s">
        <v>18</v>
      </c>
      <c r="F443">
        <v>1</v>
      </c>
      <c r="G443" s="2">
        <v>46191.75</v>
      </c>
      <c r="H443" s="2">
        <v>46191.583333333336</v>
      </c>
    </row>
    <row r="444" spans="1:8" x14ac:dyDescent="0.25">
      <c r="A444" s="8" t="s">
        <v>1821</v>
      </c>
      <c r="B444" s="8" t="s">
        <v>13981</v>
      </c>
      <c r="C444" s="2">
        <v>46191.416666666664</v>
      </c>
      <c r="D444" s="8" t="s">
        <v>13929</v>
      </c>
      <c r="E444" s="8" t="s">
        <v>20</v>
      </c>
      <c r="F444">
        <v>2</v>
      </c>
      <c r="G444" s="2">
        <v>46191.75</v>
      </c>
      <c r="H444" s="2">
        <v>46191.583333333336</v>
      </c>
    </row>
    <row r="445" spans="1:8" x14ac:dyDescent="0.25">
      <c r="A445" s="8" t="s">
        <v>1824</v>
      </c>
      <c r="B445" s="8" t="s">
        <v>13981</v>
      </c>
      <c r="C445" s="2">
        <v>46191.416666666664</v>
      </c>
      <c r="D445" s="8" t="s">
        <v>13929</v>
      </c>
      <c r="E445" s="8" t="s">
        <v>22</v>
      </c>
      <c r="F445">
        <v>2</v>
      </c>
      <c r="G445" s="2">
        <v>46191.75</v>
      </c>
      <c r="H445" s="2">
        <v>46191.583333333336</v>
      </c>
    </row>
    <row r="446" spans="1:8" x14ac:dyDescent="0.25">
      <c r="A446" s="8" t="s">
        <v>1827</v>
      </c>
      <c r="B446" s="8" t="s">
        <v>13981</v>
      </c>
      <c r="C446" s="2">
        <v>46191.416666666664</v>
      </c>
      <c r="D446" s="8" t="s">
        <v>13929</v>
      </c>
      <c r="E446" s="8" t="s">
        <v>26</v>
      </c>
      <c r="F446">
        <v>2</v>
      </c>
      <c r="G446" s="2">
        <v>46191.75</v>
      </c>
      <c r="H446" s="2">
        <v>46191.583333333336</v>
      </c>
    </row>
    <row r="447" spans="1:8" x14ac:dyDescent="0.25">
      <c r="A447" s="8" t="s">
        <v>1830</v>
      </c>
      <c r="B447" s="8" t="s">
        <v>13981</v>
      </c>
      <c r="C447" s="2">
        <v>46191.416666666664</v>
      </c>
      <c r="D447" s="8" t="s">
        <v>13929</v>
      </c>
      <c r="E447" s="8" t="s">
        <v>30</v>
      </c>
      <c r="F447">
        <v>2</v>
      </c>
      <c r="G447" s="2">
        <v>46191.75</v>
      </c>
      <c r="H447" s="2">
        <v>46191.583333333336</v>
      </c>
    </row>
    <row r="448" spans="1:8" x14ac:dyDescent="0.25">
      <c r="A448" s="8" t="s">
        <v>1833</v>
      </c>
      <c r="B448" s="8" t="s">
        <v>13981</v>
      </c>
      <c r="C448" s="2">
        <v>46191.416666666664</v>
      </c>
      <c r="D448" s="8" t="s">
        <v>13929</v>
      </c>
      <c r="E448" s="8" t="s">
        <v>47</v>
      </c>
      <c r="F448">
        <v>4</v>
      </c>
      <c r="G448" s="2">
        <v>46191.75</v>
      </c>
      <c r="H448" s="2">
        <v>46191.583333333336</v>
      </c>
    </row>
    <row r="449" spans="1:8" x14ac:dyDescent="0.25">
      <c r="A449" s="8" t="s">
        <v>1836</v>
      </c>
      <c r="B449" s="8" t="s">
        <v>13981</v>
      </c>
      <c r="C449" s="2">
        <v>46191.416666666664</v>
      </c>
      <c r="D449" s="8" t="s">
        <v>13929</v>
      </c>
      <c r="E449" s="8" t="s">
        <v>51</v>
      </c>
      <c r="F449">
        <v>2</v>
      </c>
      <c r="G449" s="2">
        <v>46191.75</v>
      </c>
      <c r="H449" s="2">
        <v>46191.583333333336</v>
      </c>
    </row>
    <row r="450" spans="1:8" x14ac:dyDescent="0.25">
      <c r="A450" s="8" t="s">
        <v>1839</v>
      </c>
      <c r="B450" s="8" t="s">
        <v>13981</v>
      </c>
      <c r="C450" s="2">
        <v>46191.416666666664</v>
      </c>
      <c r="D450" s="8" t="s">
        <v>13929</v>
      </c>
      <c r="E450" s="8" t="s">
        <v>53</v>
      </c>
      <c r="F450">
        <v>2</v>
      </c>
      <c r="G450" s="2">
        <v>46191.75</v>
      </c>
      <c r="H450" s="2">
        <v>46191.583333333336</v>
      </c>
    </row>
    <row r="451" spans="1:8" x14ac:dyDescent="0.25">
      <c r="A451" s="8" t="s">
        <v>1842</v>
      </c>
      <c r="B451" s="8" t="s">
        <v>13981</v>
      </c>
      <c r="C451" s="2">
        <v>46191.416666666664</v>
      </c>
      <c r="D451" s="8" t="s">
        <v>13929</v>
      </c>
      <c r="E451" s="8" t="s">
        <v>71</v>
      </c>
      <c r="F451">
        <v>2</v>
      </c>
      <c r="G451" s="2">
        <v>46191.75</v>
      </c>
      <c r="H451" s="2">
        <v>46191.583333333336</v>
      </c>
    </row>
    <row r="452" spans="1:8" x14ac:dyDescent="0.25">
      <c r="A452" s="8" t="s">
        <v>1845</v>
      </c>
      <c r="B452" s="8" t="s">
        <v>13982</v>
      </c>
      <c r="C452" s="2">
        <v>46191.416666666664</v>
      </c>
      <c r="D452" s="8" t="s">
        <v>13931</v>
      </c>
      <c r="E452" s="8" t="s">
        <v>11</v>
      </c>
      <c r="F452">
        <v>5</v>
      </c>
      <c r="G452" s="2">
        <v>46191.75</v>
      </c>
      <c r="H452" s="2">
        <v>46191.583333333336</v>
      </c>
    </row>
    <row r="453" spans="1:8" x14ac:dyDescent="0.25">
      <c r="A453" s="8" t="s">
        <v>1848</v>
      </c>
      <c r="B453" s="8" t="s">
        <v>13982</v>
      </c>
      <c r="C453" s="2">
        <v>46191.416666666664</v>
      </c>
      <c r="D453" s="8" t="s">
        <v>13931</v>
      </c>
      <c r="E453" s="8" t="s">
        <v>18</v>
      </c>
      <c r="F453">
        <v>3</v>
      </c>
      <c r="G453" s="2">
        <v>46191.75</v>
      </c>
      <c r="H453" s="2">
        <v>46191.583333333336</v>
      </c>
    </row>
    <row r="454" spans="1:8" x14ac:dyDescent="0.25">
      <c r="A454" s="8" t="s">
        <v>1851</v>
      </c>
      <c r="B454" s="8" t="s">
        <v>13982</v>
      </c>
      <c r="C454" s="2">
        <v>46191.416666666664</v>
      </c>
      <c r="D454" s="8" t="s">
        <v>13931</v>
      </c>
      <c r="E454" s="8" t="s">
        <v>22</v>
      </c>
      <c r="F454">
        <v>2</v>
      </c>
      <c r="G454" s="2">
        <v>46191.75</v>
      </c>
      <c r="H454" s="2">
        <v>46191.583333333336</v>
      </c>
    </row>
    <row r="455" spans="1:8" x14ac:dyDescent="0.25">
      <c r="A455" s="8" t="s">
        <v>1854</v>
      </c>
      <c r="B455" s="8" t="s">
        <v>13982</v>
      </c>
      <c r="C455" s="2">
        <v>46191.416666666664</v>
      </c>
      <c r="D455" s="8" t="s">
        <v>13931</v>
      </c>
      <c r="E455" s="8" t="s">
        <v>24</v>
      </c>
      <c r="F455">
        <v>4</v>
      </c>
      <c r="G455" s="2">
        <v>46191.75</v>
      </c>
      <c r="H455" s="2">
        <v>46191.583333333336</v>
      </c>
    </row>
    <row r="456" spans="1:8" x14ac:dyDescent="0.25">
      <c r="A456" s="8" t="s">
        <v>1857</v>
      </c>
      <c r="B456" s="8" t="s">
        <v>13982</v>
      </c>
      <c r="C456" s="2">
        <v>46191.416666666664</v>
      </c>
      <c r="D456" s="8" t="s">
        <v>13931</v>
      </c>
      <c r="E456" s="8" t="s">
        <v>26</v>
      </c>
      <c r="F456">
        <v>5</v>
      </c>
      <c r="G456" s="2">
        <v>46191.75</v>
      </c>
      <c r="H456" s="2">
        <v>46191.583333333336</v>
      </c>
    </row>
    <row r="457" spans="1:8" x14ac:dyDescent="0.25">
      <c r="A457" s="8" t="s">
        <v>1860</v>
      </c>
      <c r="B457" s="8" t="s">
        <v>13982</v>
      </c>
      <c r="C457" s="2">
        <v>46191.416666666664</v>
      </c>
      <c r="D457" s="8" t="s">
        <v>13931</v>
      </c>
      <c r="E457" s="8" t="s">
        <v>41</v>
      </c>
      <c r="F457">
        <v>3</v>
      </c>
      <c r="G457" s="2">
        <v>46191.75</v>
      </c>
      <c r="H457" s="2">
        <v>46191.583333333336</v>
      </c>
    </row>
    <row r="458" spans="1:8" x14ac:dyDescent="0.25">
      <c r="A458" s="8" t="s">
        <v>1863</v>
      </c>
      <c r="B458" s="8" t="s">
        <v>13982</v>
      </c>
      <c r="C458" s="2">
        <v>46191.416666666664</v>
      </c>
      <c r="D458" s="8" t="s">
        <v>13931</v>
      </c>
      <c r="E458" s="8" t="s">
        <v>45</v>
      </c>
      <c r="F458">
        <v>3</v>
      </c>
      <c r="G458" s="2">
        <v>46191.75</v>
      </c>
      <c r="H458" s="2">
        <v>46191.583333333336</v>
      </c>
    </row>
    <row r="459" spans="1:8" x14ac:dyDescent="0.25">
      <c r="A459" s="8" t="s">
        <v>1866</v>
      </c>
      <c r="B459" s="8" t="s">
        <v>13982</v>
      </c>
      <c r="C459" s="2">
        <v>46191.416666666664</v>
      </c>
      <c r="D459" s="8" t="s">
        <v>13931</v>
      </c>
      <c r="E459" s="8" t="s">
        <v>47</v>
      </c>
      <c r="F459">
        <v>1</v>
      </c>
      <c r="G459" s="2">
        <v>46191.75</v>
      </c>
      <c r="H459" s="2">
        <v>46191.583333333336</v>
      </c>
    </row>
    <row r="460" spans="1:8" x14ac:dyDescent="0.25">
      <c r="A460" s="8" t="s">
        <v>1869</v>
      </c>
      <c r="B460" s="8" t="s">
        <v>13982</v>
      </c>
      <c r="C460" s="2">
        <v>46191.416666666664</v>
      </c>
      <c r="D460" s="8" t="s">
        <v>13931</v>
      </c>
      <c r="E460" s="8" t="s">
        <v>55</v>
      </c>
      <c r="F460">
        <v>1</v>
      </c>
      <c r="G460" s="2">
        <v>46191.75</v>
      </c>
      <c r="H460" s="2">
        <v>46191.583333333336</v>
      </c>
    </row>
    <row r="461" spans="1:8" x14ac:dyDescent="0.25">
      <c r="A461" s="8" t="s">
        <v>1872</v>
      </c>
      <c r="B461" s="8" t="s">
        <v>13982</v>
      </c>
      <c r="C461" s="2">
        <v>46191.416666666664</v>
      </c>
      <c r="D461" s="8" t="s">
        <v>13931</v>
      </c>
      <c r="E461" s="8" t="s">
        <v>57</v>
      </c>
      <c r="F461">
        <v>3</v>
      </c>
      <c r="G461" s="2">
        <v>46191.75</v>
      </c>
      <c r="H461" s="2">
        <v>46191.583333333336</v>
      </c>
    </row>
    <row r="462" spans="1:8" x14ac:dyDescent="0.25">
      <c r="A462" s="8" t="s">
        <v>1875</v>
      </c>
      <c r="B462" s="8" t="s">
        <v>13982</v>
      </c>
      <c r="C462" s="2">
        <v>46191.416666666664</v>
      </c>
      <c r="D462" s="8" t="s">
        <v>13931</v>
      </c>
      <c r="E462" s="8" t="s">
        <v>71</v>
      </c>
      <c r="F462">
        <v>1</v>
      </c>
      <c r="G462" s="2">
        <v>46191.75</v>
      </c>
      <c r="H462" s="2">
        <v>46191.583333333336</v>
      </c>
    </row>
    <row r="463" spans="1:8" x14ac:dyDescent="0.25">
      <c r="A463" s="8" t="s">
        <v>1878</v>
      </c>
      <c r="B463" s="8" t="s">
        <v>13982</v>
      </c>
      <c r="C463" s="2">
        <v>46191.416666666664</v>
      </c>
      <c r="D463" s="8" t="s">
        <v>13931</v>
      </c>
      <c r="E463" s="8" t="s">
        <v>75</v>
      </c>
      <c r="F463">
        <v>2</v>
      </c>
      <c r="G463" s="2">
        <v>46191.75</v>
      </c>
      <c r="H463" s="2">
        <v>46191.583333333336</v>
      </c>
    </row>
    <row r="464" spans="1:8" x14ac:dyDescent="0.25">
      <c r="A464" s="8" t="s">
        <v>1881</v>
      </c>
      <c r="B464" s="8" t="s">
        <v>13983</v>
      </c>
      <c r="C464" s="2">
        <v>46191.416666666664</v>
      </c>
      <c r="D464" s="8" t="s">
        <v>13933</v>
      </c>
      <c r="E464" s="8" t="s">
        <v>18</v>
      </c>
      <c r="F464">
        <v>5</v>
      </c>
      <c r="G464" s="2">
        <v>46191.75</v>
      </c>
      <c r="H464" s="2">
        <v>46191.583333333336</v>
      </c>
    </row>
    <row r="465" spans="1:8" x14ac:dyDescent="0.25">
      <c r="A465" s="8" t="s">
        <v>1884</v>
      </c>
      <c r="B465" s="8" t="s">
        <v>13983</v>
      </c>
      <c r="C465" s="2">
        <v>46191.416666666664</v>
      </c>
      <c r="D465" s="8" t="s">
        <v>13933</v>
      </c>
      <c r="E465" s="8" t="s">
        <v>20</v>
      </c>
      <c r="F465">
        <v>5</v>
      </c>
      <c r="G465" s="2">
        <v>46191.75</v>
      </c>
      <c r="H465" s="2">
        <v>46191.583333333336</v>
      </c>
    </row>
    <row r="466" spans="1:8" x14ac:dyDescent="0.25">
      <c r="A466" s="8" t="s">
        <v>1887</v>
      </c>
      <c r="B466" s="8" t="s">
        <v>13983</v>
      </c>
      <c r="C466" s="2">
        <v>46191.416666666664</v>
      </c>
      <c r="D466" s="8" t="s">
        <v>13933</v>
      </c>
      <c r="E466" s="8" t="s">
        <v>22</v>
      </c>
      <c r="F466">
        <v>6</v>
      </c>
      <c r="G466" s="2">
        <v>46191.75</v>
      </c>
      <c r="H466" s="2">
        <v>46191.583333333336</v>
      </c>
    </row>
    <row r="467" spans="1:8" x14ac:dyDescent="0.25">
      <c r="A467" s="8" t="s">
        <v>1890</v>
      </c>
      <c r="B467" s="8" t="s">
        <v>13983</v>
      </c>
      <c r="C467" s="2">
        <v>46191.416666666664</v>
      </c>
      <c r="D467" s="8" t="s">
        <v>13933</v>
      </c>
      <c r="E467" s="8" t="s">
        <v>24</v>
      </c>
      <c r="F467">
        <v>6</v>
      </c>
      <c r="G467" s="2">
        <v>46191.75</v>
      </c>
      <c r="H467" s="2">
        <v>46191.583333333336</v>
      </c>
    </row>
    <row r="468" spans="1:8" x14ac:dyDescent="0.25">
      <c r="A468" s="8" t="s">
        <v>1893</v>
      </c>
      <c r="B468" s="8" t="s">
        <v>13983</v>
      </c>
      <c r="C468" s="2">
        <v>46191.416666666664</v>
      </c>
      <c r="D468" s="8" t="s">
        <v>13933</v>
      </c>
      <c r="E468" s="8" t="s">
        <v>32</v>
      </c>
      <c r="F468">
        <v>1</v>
      </c>
      <c r="G468" s="2">
        <v>46191.75</v>
      </c>
      <c r="H468" s="2">
        <v>46191.583333333336</v>
      </c>
    </row>
    <row r="469" spans="1:8" x14ac:dyDescent="0.25">
      <c r="A469" s="8" t="s">
        <v>1896</v>
      </c>
      <c r="B469" s="8" t="s">
        <v>13983</v>
      </c>
      <c r="C469" s="2">
        <v>46191.416666666664</v>
      </c>
      <c r="D469" s="8" t="s">
        <v>13933</v>
      </c>
      <c r="E469" s="8" t="s">
        <v>36</v>
      </c>
      <c r="F469">
        <v>5</v>
      </c>
      <c r="G469" s="2">
        <v>46191.75</v>
      </c>
      <c r="H469" s="2">
        <v>46191.583333333336</v>
      </c>
    </row>
    <row r="470" spans="1:8" x14ac:dyDescent="0.25">
      <c r="A470" s="8" t="s">
        <v>1899</v>
      </c>
      <c r="B470" s="8" t="s">
        <v>13983</v>
      </c>
      <c r="C470" s="2">
        <v>46191.416666666664</v>
      </c>
      <c r="D470" s="8" t="s">
        <v>13933</v>
      </c>
      <c r="E470" s="8" t="s">
        <v>65</v>
      </c>
      <c r="F470">
        <v>6</v>
      </c>
      <c r="G470" s="2">
        <v>46191.75</v>
      </c>
      <c r="H470" s="2">
        <v>46191.583333333336</v>
      </c>
    </row>
    <row r="471" spans="1:8" x14ac:dyDescent="0.25">
      <c r="A471" s="8" t="s">
        <v>1902</v>
      </c>
      <c r="B471" s="8" t="s">
        <v>13983</v>
      </c>
      <c r="C471" s="2">
        <v>46191.416666666664</v>
      </c>
      <c r="D471" s="8" t="s">
        <v>13933</v>
      </c>
      <c r="E471" s="8" t="s">
        <v>75</v>
      </c>
      <c r="F471">
        <v>2</v>
      </c>
      <c r="G471" s="2">
        <v>46191.75</v>
      </c>
      <c r="H471" s="2">
        <v>46191.583333333336</v>
      </c>
    </row>
    <row r="472" spans="1:8" x14ac:dyDescent="0.25">
      <c r="A472" s="8" t="s">
        <v>1905</v>
      </c>
      <c r="B472" s="8" t="s">
        <v>13984</v>
      </c>
      <c r="C472" s="2">
        <v>46191.416666666664</v>
      </c>
      <c r="D472" s="8" t="s">
        <v>13935</v>
      </c>
      <c r="E472" s="8" t="s">
        <v>11</v>
      </c>
      <c r="F472">
        <v>4</v>
      </c>
      <c r="G472" s="2">
        <v>46191.75</v>
      </c>
      <c r="H472" s="2">
        <v>46191.583333333336</v>
      </c>
    </row>
    <row r="473" spans="1:8" x14ac:dyDescent="0.25">
      <c r="A473" s="8" t="s">
        <v>1908</v>
      </c>
      <c r="B473" s="8" t="s">
        <v>13984</v>
      </c>
      <c r="C473" s="2">
        <v>46191.416666666664</v>
      </c>
      <c r="D473" s="8" t="s">
        <v>13935</v>
      </c>
      <c r="E473" s="8" t="s">
        <v>20</v>
      </c>
      <c r="F473">
        <v>1</v>
      </c>
      <c r="G473" s="2">
        <v>46191.75</v>
      </c>
      <c r="H473" s="2">
        <v>46191.583333333336</v>
      </c>
    </row>
    <row r="474" spans="1:8" x14ac:dyDescent="0.25">
      <c r="A474" s="8" t="s">
        <v>1911</v>
      </c>
      <c r="B474" s="8" t="s">
        <v>13984</v>
      </c>
      <c r="C474" s="2">
        <v>46191.416666666664</v>
      </c>
      <c r="D474" s="8" t="s">
        <v>13935</v>
      </c>
      <c r="E474" s="8" t="s">
        <v>22</v>
      </c>
      <c r="F474">
        <v>6</v>
      </c>
      <c r="G474" s="2">
        <v>46191.75</v>
      </c>
      <c r="H474" s="2">
        <v>46191.583333333336</v>
      </c>
    </row>
    <row r="475" spans="1:8" x14ac:dyDescent="0.25">
      <c r="A475" s="8" t="s">
        <v>1914</v>
      </c>
      <c r="B475" s="8" t="s">
        <v>13984</v>
      </c>
      <c r="C475" s="2">
        <v>46191.416666666664</v>
      </c>
      <c r="D475" s="8" t="s">
        <v>13935</v>
      </c>
      <c r="E475" s="8" t="s">
        <v>24</v>
      </c>
      <c r="F475">
        <v>3</v>
      </c>
      <c r="G475" s="2">
        <v>46191.75</v>
      </c>
      <c r="H475" s="2">
        <v>46191.583333333336</v>
      </c>
    </row>
    <row r="476" spans="1:8" x14ac:dyDescent="0.25">
      <c r="A476" s="8" t="s">
        <v>1917</v>
      </c>
      <c r="B476" s="8" t="s">
        <v>13984</v>
      </c>
      <c r="C476" s="2">
        <v>46191.416666666664</v>
      </c>
      <c r="D476" s="8" t="s">
        <v>13935</v>
      </c>
      <c r="E476" s="8" t="s">
        <v>26</v>
      </c>
      <c r="F476">
        <v>7</v>
      </c>
      <c r="G476" s="2">
        <v>46191.75</v>
      </c>
      <c r="H476" s="2">
        <v>46191.583333333336</v>
      </c>
    </row>
    <row r="477" spans="1:8" x14ac:dyDescent="0.25">
      <c r="A477" s="8" t="s">
        <v>1920</v>
      </c>
      <c r="B477" s="8" t="s">
        <v>13984</v>
      </c>
      <c r="C477" s="2">
        <v>46191.416666666664</v>
      </c>
      <c r="D477" s="8" t="s">
        <v>13935</v>
      </c>
      <c r="E477" s="8" t="s">
        <v>47</v>
      </c>
      <c r="F477">
        <v>4</v>
      </c>
      <c r="G477" s="2">
        <v>46191.75</v>
      </c>
      <c r="H477" s="2">
        <v>46191.583333333336</v>
      </c>
    </row>
    <row r="478" spans="1:8" x14ac:dyDescent="0.25">
      <c r="A478" s="8" t="s">
        <v>1923</v>
      </c>
      <c r="B478" s="8" t="s">
        <v>13984</v>
      </c>
      <c r="C478" s="2">
        <v>46191.416666666664</v>
      </c>
      <c r="D478" s="8" t="s">
        <v>13935</v>
      </c>
      <c r="E478" s="8" t="s">
        <v>71</v>
      </c>
      <c r="F478">
        <v>6</v>
      </c>
      <c r="G478" s="2">
        <v>46191.75</v>
      </c>
      <c r="H478" s="2">
        <v>46191.583333333336</v>
      </c>
    </row>
    <row r="479" spans="1:8" x14ac:dyDescent="0.25">
      <c r="A479" s="8" t="s">
        <v>1926</v>
      </c>
      <c r="B479" s="8" t="s">
        <v>13985</v>
      </c>
      <c r="C479" s="2">
        <v>46191.416666666664</v>
      </c>
      <c r="D479" s="8" t="s">
        <v>13937</v>
      </c>
      <c r="E479" s="8" t="s">
        <v>11</v>
      </c>
      <c r="F479">
        <v>4</v>
      </c>
      <c r="G479" s="2">
        <v>46191.75</v>
      </c>
      <c r="H479" s="2">
        <v>46191.583333333336</v>
      </c>
    </row>
    <row r="480" spans="1:8" x14ac:dyDescent="0.25">
      <c r="A480" s="8" t="s">
        <v>1929</v>
      </c>
      <c r="B480" s="8" t="s">
        <v>13985</v>
      </c>
      <c r="C480" s="2">
        <v>46191.416666666664</v>
      </c>
      <c r="D480" s="8" t="s">
        <v>13937</v>
      </c>
      <c r="E480" s="8" t="s">
        <v>18</v>
      </c>
      <c r="F480">
        <v>4</v>
      </c>
      <c r="G480" s="2">
        <v>46191.75</v>
      </c>
      <c r="H480" s="2">
        <v>46191.583333333336</v>
      </c>
    </row>
    <row r="481" spans="1:8" x14ac:dyDescent="0.25">
      <c r="A481" s="8" t="s">
        <v>1934</v>
      </c>
      <c r="B481" s="8" t="s">
        <v>13985</v>
      </c>
      <c r="C481" s="2">
        <v>46191.416666666664</v>
      </c>
      <c r="D481" s="8" t="s">
        <v>13937</v>
      </c>
      <c r="E481" s="8" t="s">
        <v>20</v>
      </c>
      <c r="F481">
        <v>4</v>
      </c>
      <c r="G481" s="2">
        <v>46191.75</v>
      </c>
      <c r="H481" s="2">
        <v>46191.583333333336</v>
      </c>
    </row>
    <row r="482" spans="1:8" x14ac:dyDescent="0.25">
      <c r="A482" s="8" t="s">
        <v>1937</v>
      </c>
      <c r="B482" s="8" t="s">
        <v>13985</v>
      </c>
      <c r="C482" s="2">
        <v>46191.416666666664</v>
      </c>
      <c r="D482" s="8" t="s">
        <v>13937</v>
      </c>
      <c r="E482" s="8" t="s">
        <v>22</v>
      </c>
      <c r="F482">
        <v>3</v>
      </c>
      <c r="G482" s="2">
        <v>46191.75</v>
      </c>
      <c r="H482" s="2">
        <v>46191.583333333336</v>
      </c>
    </row>
    <row r="483" spans="1:8" x14ac:dyDescent="0.25">
      <c r="A483" s="8" t="s">
        <v>1940</v>
      </c>
      <c r="B483" s="8" t="s">
        <v>13985</v>
      </c>
      <c r="C483" s="2">
        <v>46191.416666666664</v>
      </c>
      <c r="D483" s="8" t="s">
        <v>13937</v>
      </c>
      <c r="E483" s="8" t="s">
        <v>24</v>
      </c>
      <c r="F483">
        <v>4</v>
      </c>
      <c r="G483" s="2">
        <v>46191.75</v>
      </c>
      <c r="H483" s="2">
        <v>46191.583333333336</v>
      </c>
    </row>
    <row r="484" spans="1:8" x14ac:dyDescent="0.25">
      <c r="A484" s="8" t="s">
        <v>1943</v>
      </c>
      <c r="B484" s="8" t="s">
        <v>13985</v>
      </c>
      <c r="C484" s="2">
        <v>46191.416666666664</v>
      </c>
      <c r="D484" s="8" t="s">
        <v>13937</v>
      </c>
      <c r="E484" s="8" t="s">
        <v>43</v>
      </c>
      <c r="F484">
        <v>4</v>
      </c>
      <c r="G484" s="2">
        <v>46191.75</v>
      </c>
      <c r="H484" s="2">
        <v>46191.583333333336</v>
      </c>
    </row>
    <row r="485" spans="1:8" x14ac:dyDescent="0.25">
      <c r="A485" s="8" t="s">
        <v>1946</v>
      </c>
      <c r="B485" s="8" t="s">
        <v>13985</v>
      </c>
      <c r="C485" s="2">
        <v>46191.416666666664</v>
      </c>
      <c r="D485" s="8" t="s">
        <v>13937</v>
      </c>
      <c r="E485" s="8" t="s">
        <v>47</v>
      </c>
      <c r="F485">
        <v>1</v>
      </c>
      <c r="G485" s="2">
        <v>46191.75</v>
      </c>
      <c r="H485" s="2">
        <v>46191.583333333336</v>
      </c>
    </row>
    <row r="486" spans="1:8" x14ac:dyDescent="0.25">
      <c r="A486" s="8" t="s">
        <v>1949</v>
      </c>
      <c r="B486" s="8" t="s">
        <v>13985</v>
      </c>
      <c r="C486" s="2">
        <v>46191.416666666664</v>
      </c>
      <c r="D486" s="8" t="s">
        <v>13937</v>
      </c>
      <c r="E486" s="8" t="s">
        <v>53</v>
      </c>
      <c r="F486">
        <v>3</v>
      </c>
      <c r="G486" s="2">
        <v>46191.75</v>
      </c>
      <c r="H486" s="2">
        <v>46191.583333333336</v>
      </c>
    </row>
    <row r="487" spans="1:8" x14ac:dyDescent="0.25">
      <c r="A487" s="8" t="s">
        <v>1952</v>
      </c>
      <c r="B487" s="8" t="s">
        <v>13985</v>
      </c>
      <c r="C487" s="2">
        <v>46191.416666666664</v>
      </c>
      <c r="D487" s="8" t="s">
        <v>13937</v>
      </c>
      <c r="E487" s="8" t="s">
        <v>55</v>
      </c>
      <c r="F487">
        <v>1</v>
      </c>
      <c r="G487" s="2">
        <v>46191.75</v>
      </c>
      <c r="H487" s="2">
        <v>46191.583333333336</v>
      </c>
    </row>
    <row r="488" spans="1:8" x14ac:dyDescent="0.25">
      <c r="A488" s="8" t="s">
        <v>1955</v>
      </c>
      <c r="B488" s="8" t="s">
        <v>13985</v>
      </c>
      <c r="C488" s="2">
        <v>46191.416666666664</v>
      </c>
      <c r="D488" s="8" t="s">
        <v>13937</v>
      </c>
      <c r="E488" s="8" t="s">
        <v>57</v>
      </c>
      <c r="F488">
        <v>4</v>
      </c>
      <c r="G488" s="2">
        <v>46191.75</v>
      </c>
      <c r="H488" s="2">
        <v>46191.583333333336</v>
      </c>
    </row>
    <row r="489" spans="1:8" x14ac:dyDescent="0.25">
      <c r="A489" s="8" t="s">
        <v>1958</v>
      </c>
      <c r="B489" s="8" t="s">
        <v>13985</v>
      </c>
      <c r="C489" s="2">
        <v>46191.416666666664</v>
      </c>
      <c r="D489" s="8" t="s">
        <v>13937</v>
      </c>
      <c r="E489" s="8" t="s">
        <v>59</v>
      </c>
      <c r="F489">
        <v>4</v>
      </c>
      <c r="G489" s="2">
        <v>46191.75</v>
      </c>
      <c r="H489" s="2">
        <v>46191.583333333336</v>
      </c>
    </row>
    <row r="490" spans="1:8" x14ac:dyDescent="0.25">
      <c r="A490" s="8" t="s">
        <v>1961</v>
      </c>
      <c r="B490" s="8" t="s">
        <v>13985</v>
      </c>
      <c r="C490" s="2">
        <v>46191.416666666664</v>
      </c>
      <c r="D490" s="8" t="s">
        <v>13937</v>
      </c>
      <c r="E490" s="8" t="s">
        <v>65</v>
      </c>
      <c r="F490">
        <v>3</v>
      </c>
      <c r="G490" s="2">
        <v>46191.75</v>
      </c>
      <c r="H490" s="2">
        <v>46191.583333333336</v>
      </c>
    </row>
    <row r="491" spans="1:8" x14ac:dyDescent="0.25">
      <c r="A491" s="8" t="s">
        <v>1964</v>
      </c>
      <c r="B491" s="8" t="s">
        <v>13986</v>
      </c>
      <c r="C491" s="2">
        <v>46192.416666666664</v>
      </c>
      <c r="D491" s="8" t="s">
        <v>13929</v>
      </c>
      <c r="E491" s="8" t="s">
        <v>18</v>
      </c>
      <c r="F491">
        <v>2</v>
      </c>
      <c r="G491" s="2">
        <v>46192.75</v>
      </c>
      <c r="H491" s="2">
        <v>46192.583333333336</v>
      </c>
    </row>
    <row r="492" spans="1:8" x14ac:dyDescent="0.25">
      <c r="A492" s="8" t="s">
        <v>1967</v>
      </c>
      <c r="B492" s="8" t="s">
        <v>13986</v>
      </c>
      <c r="C492" s="2">
        <v>46192.416666666664</v>
      </c>
      <c r="D492" s="8" t="s">
        <v>13929</v>
      </c>
      <c r="E492" s="8" t="s">
        <v>22</v>
      </c>
      <c r="F492">
        <v>1</v>
      </c>
      <c r="G492" s="2">
        <v>46192.75</v>
      </c>
      <c r="H492" s="2">
        <v>46192.583333333336</v>
      </c>
    </row>
    <row r="493" spans="1:8" x14ac:dyDescent="0.25">
      <c r="A493" s="8" t="s">
        <v>1970</v>
      </c>
      <c r="B493" s="8" t="s">
        <v>13986</v>
      </c>
      <c r="C493" s="2">
        <v>46192.416666666664</v>
      </c>
      <c r="D493" s="8" t="s">
        <v>13929</v>
      </c>
      <c r="E493" s="8" t="s">
        <v>24</v>
      </c>
      <c r="F493">
        <v>3</v>
      </c>
      <c r="G493" s="2">
        <v>46192.75</v>
      </c>
      <c r="H493" s="2">
        <v>46192.583333333336</v>
      </c>
    </row>
    <row r="494" spans="1:8" x14ac:dyDescent="0.25">
      <c r="A494" s="8" t="s">
        <v>1973</v>
      </c>
      <c r="B494" s="8" t="s">
        <v>13986</v>
      </c>
      <c r="C494" s="2">
        <v>46192.416666666664</v>
      </c>
      <c r="D494" s="8" t="s">
        <v>13929</v>
      </c>
      <c r="E494" s="8" t="s">
        <v>32</v>
      </c>
      <c r="F494">
        <v>1</v>
      </c>
      <c r="G494" s="2">
        <v>46192.75</v>
      </c>
      <c r="H494" s="2">
        <v>46192.583333333336</v>
      </c>
    </row>
    <row r="495" spans="1:8" x14ac:dyDescent="0.25">
      <c r="A495" s="8" t="s">
        <v>1976</v>
      </c>
      <c r="B495" s="8" t="s">
        <v>13986</v>
      </c>
      <c r="C495" s="2">
        <v>46192.416666666664</v>
      </c>
      <c r="D495" s="8" t="s">
        <v>13929</v>
      </c>
      <c r="E495" s="8" t="s">
        <v>49</v>
      </c>
      <c r="F495">
        <v>2</v>
      </c>
      <c r="G495" s="2">
        <v>46192.75</v>
      </c>
      <c r="H495" s="2">
        <v>46192.583333333336</v>
      </c>
    </row>
    <row r="496" spans="1:8" x14ac:dyDescent="0.25">
      <c r="A496" s="8" t="s">
        <v>1979</v>
      </c>
      <c r="B496" s="8" t="s">
        <v>13986</v>
      </c>
      <c r="C496" s="2">
        <v>46192.416666666664</v>
      </c>
      <c r="D496" s="8" t="s">
        <v>13929</v>
      </c>
      <c r="E496" s="8" t="s">
        <v>51</v>
      </c>
      <c r="F496">
        <v>2</v>
      </c>
      <c r="G496" s="2">
        <v>46192.75</v>
      </c>
      <c r="H496" s="2">
        <v>46192.583333333336</v>
      </c>
    </row>
    <row r="497" spans="1:8" x14ac:dyDescent="0.25">
      <c r="A497" s="8" t="s">
        <v>1982</v>
      </c>
      <c r="B497" s="8" t="s">
        <v>13986</v>
      </c>
      <c r="C497" s="2">
        <v>46192.416666666664</v>
      </c>
      <c r="D497" s="8" t="s">
        <v>13929</v>
      </c>
      <c r="E497" s="8" t="s">
        <v>67</v>
      </c>
      <c r="F497">
        <v>2</v>
      </c>
      <c r="G497" s="2">
        <v>46192.75</v>
      </c>
      <c r="H497" s="2">
        <v>46192.583333333336</v>
      </c>
    </row>
    <row r="498" spans="1:8" x14ac:dyDescent="0.25">
      <c r="A498" s="8" t="s">
        <v>1985</v>
      </c>
      <c r="B498" s="8" t="s">
        <v>13987</v>
      </c>
      <c r="C498" s="2">
        <v>46192.416666666664</v>
      </c>
      <c r="D498" s="8" t="s">
        <v>13931</v>
      </c>
      <c r="E498" s="8" t="s">
        <v>11</v>
      </c>
      <c r="F498">
        <v>2</v>
      </c>
      <c r="G498" s="2">
        <v>46192.75</v>
      </c>
      <c r="H498" s="2">
        <v>46192.583333333336</v>
      </c>
    </row>
    <row r="499" spans="1:8" x14ac:dyDescent="0.25">
      <c r="A499" s="8" t="s">
        <v>1988</v>
      </c>
      <c r="B499" s="8" t="s">
        <v>13987</v>
      </c>
      <c r="C499" s="2">
        <v>46192.416666666664</v>
      </c>
      <c r="D499" s="8" t="s">
        <v>13931</v>
      </c>
      <c r="E499" s="8" t="s">
        <v>24</v>
      </c>
      <c r="F499">
        <v>1</v>
      </c>
      <c r="G499" s="2">
        <v>46192.75</v>
      </c>
      <c r="H499" s="2">
        <v>46192.583333333336</v>
      </c>
    </row>
    <row r="500" spans="1:8" x14ac:dyDescent="0.25">
      <c r="A500" s="8" t="s">
        <v>1991</v>
      </c>
      <c r="B500" s="8" t="s">
        <v>13987</v>
      </c>
      <c r="C500" s="2">
        <v>46192.416666666664</v>
      </c>
      <c r="D500" s="8" t="s">
        <v>13931</v>
      </c>
      <c r="E500" s="8" t="s">
        <v>28</v>
      </c>
      <c r="F500">
        <v>1</v>
      </c>
      <c r="G500" s="2">
        <v>46192.75</v>
      </c>
      <c r="H500" s="2">
        <v>46192.583333333336</v>
      </c>
    </row>
    <row r="501" spans="1:8" x14ac:dyDescent="0.25">
      <c r="A501" s="8" t="s">
        <v>1994</v>
      </c>
      <c r="B501" s="8" t="s">
        <v>13987</v>
      </c>
      <c r="C501" s="2">
        <v>46192.416666666664</v>
      </c>
      <c r="D501" s="8" t="s">
        <v>13931</v>
      </c>
      <c r="E501" s="8" t="s">
        <v>32</v>
      </c>
      <c r="F501">
        <v>5</v>
      </c>
      <c r="G501" s="2">
        <v>46192.75</v>
      </c>
      <c r="H501" s="2">
        <v>46192.583333333336</v>
      </c>
    </row>
    <row r="502" spans="1:8" x14ac:dyDescent="0.25">
      <c r="A502" s="8" t="s">
        <v>1997</v>
      </c>
      <c r="B502" s="8" t="s">
        <v>13987</v>
      </c>
      <c r="C502" s="2">
        <v>46192.416666666664</v>
      </c>
      <c r="D502" s="8" t="s">
        <v>13931</v>
      </c>
      <c r="E502" s="8" t="s">
        <v>36</v>
      </c>
      <c r="F502">
        <v>2</v>
      </c>
      <c r="G502" s="2">
        <v>46192.75</v>
      </c>
      <c r="H502" s="2">
        <v>46192.583333333336</v>
      </c>
    </row>
    <row r="503" spans="1:8" x14ac:dyDescent="0.25">
      <c r="A503" s="8" t="s">
        <v>2000</v>
      </c>
      <c r="B503" s="8" t="s">
        <v>13987</v>
      </c>
      <c r="C503" s="2">
        <v>46192.416666666664</v>
      </c>
      <c r="D503" s="8" t="s">
        <v>13931</v>
      </c>
      <c r="E503" s="8" t="s">
        <v>41</v>
      </c>
      <c r="F503">
        <v>4</v>
      </c>
      <c r="G503" s="2">
        <v>46192.75</v>
      </c>
      <c r="H503" s="2">
        <v>46192.583333333336</v>
      </c>
    </row>
    <row r="504" spans="1:8" x14ac:dyDescent="0.25">
      <c r="A504" s="8" t="s">
        <v>2003</v>
      </c>
      <c r="B504" s="8" t="s">
        <v>13987</v>
      </c>
      <c r="C504" s="2">
        <v>46192.416666666664</v>
      </c>
      <c r="D504" s="8" t="s">
        <v>13931</v>
      </c>
      <c r="E504" s="8" t="s">
        <v>49</v>
      </c>
      <c r="F504">
        <v>3</v>
      </c>
      <c r="G504" s="2">
        <v>46192.75</v>
      </c>
      <c r="H504" s="2">
        <v>46192.583333333336</v>
      </c>
    </row>
    <row r="505" spans="1:8" x14ac:dyDescent="0.25">
      <c r="A505" s="8" t="s">
        <v>2006</v>
      </c>
      <c r="B505" s="8" t="s">
        <v>13987</v>
      </c>
      <c r="C505" s="2">
        <v>46192.416666666664</v>
      </c>
      <c r="D505" s="8" t="s">
        <v>13931</v>
      </c>
      <c r="E505" s="8" t="s">
        <v>57</v>
      </c>
      <c r="F505">
        <v>1</v>
      </c>
      <c r="G505" s="2">
        <v>46192.75</v>
      </c>
      <c r="H505" s="2">
        <v>46192.583333333336</v>
      </c>
    </row>
    <row r="506" spans="1:8" x14ac:dyDescent="0.25">
      <c r="A506" s="8" t="s">
        <v>2009</v>
      </c>
      <c r="B506" s="8" t="s">
        <v>13988</v>
      </c>
      <c r="C506" s="2">
        <v>46192.416666666664</v>
      </c>
      <c r="D506" s="8" t="s">
        <v>13933</v>
      </c>
      <c r="E506" s="8" t="s">
        <v>11</v>
      </c>
      <c r="F506">
        <v>1</v>
      </c>
      <c r="G506" s="2">
        <v>46192.75</v>
      </c>
      <c r="H506" s="2">
        <v>46192.583333333336</v>
      </c>
    </row>
    <row r="507" spans="1:8" x14ac:dyDescent="0.25">
      <c r="A507" s="8" t="s">
        <v>2012</v>
      </c>
      <c r="B507" s="8" t="s">
        <v>13988</v>
      </c>
      <c r="C507" s="2">
        <v>46192.416666666664</v>
      </c>
      <c r="D507" s="8" t="s">
        <v>13933</v>
      </c>
      <c r="E507" s="8" t="s">
        <v>20</v>
      </c>
      <c r="F507">
        <v>2</v>
      </c>
      <c r="G507" s="2">
        <v>46192.75</v>
      </c>
      <c r="H507" s="2">
        <v>46192.583333333336</v>
      </c>
    </row>
    <row r="508" spans="1:8" x14ac:dyDescent="0.25">
      <c r="A508" s="8" t="s">
        <v>2015</v>
      </c>
      <c r="B508" s="8" t="s">
        <v>13988</v>
      </c>
      <c r="C508" s="2">
        <v>46192.416666666664</v>
      </c>
      <c r="D508" s="8" t="s">
        <v>13933</v>
      </c>
      <c r="E508" s="8" t="s">
        <v>24</v>
      </c>
      <c r="F508">
        <v>2</v>
      </c>
      <c r="G508" s="2">
        <v>46192.75</v>
      </c>
      <c r="H508" s="2">
        <v>46192.583333333336</v>
      </c>
    </row>
    <row r="509" spans="1:8" x14ac:dyDescent="0.25">
      <c r="A509" s="8" t="s">
        <v>2018</v>
      </c>
      <c r="B509" s="8" t="s">
        <v>13988</v>
      </c>
      <c r="C509" s="2">
        <v>46192.416666666664</v>
      </c>
      <c r="D509" s="8" t="s">
        <v>13933</v>
      </c>
      <c r="E509" s="8" t="s">
        <v>26</v>
      </c>
      <c r="F509">
        <v>1</v>
      </c>
      <c r="G509" s="2">
        <v>46192.75</v>
      </c>
      <c r="H509" s="2">
        <v>46192.583333333336</v>
      </c>
    </row>
    <row r="510" spans="1:8" x14ac:dyDescent="0.25">
      <c r="A510" s="8" t="s">
        <v>2021</v>
      </c>
      <c r="B510" s="8" t="s">
        <v>13988</v>
      </c>
      <c r="C510" s="2">
        <v>46192.416666666664</v>
      </c>
      <c r="D510" s="8" t="s">
        <v>13933</v>
      </c>
      <c r="E510" s="8" t="s">
        <v>32</v>
      </c>
      <c r="F510">
        <v>6</v>
      </c>
      <c r="G510" s="2">
        <v>46192.75</v>
      </c>
      <c r="H510" s="2">
        <v>46192.583333333336</v>
      </c>
    </row>
    <row r="511" spans="1:8" x14ac:dyDescent="0.25">
      <c r="A511" s="8" t="s">
        <v>2024</v>
      </c>
      <c r="B511" s="8" t="s">
        <v>13988</v>
      </c>
      <c r="C511" s="2">
        <v>46192.416666666664</v>
      </c>
      <c r="D511" s="8" t="s">
        <v>13933</v>
      </c>
      <c r="E511" s="8" t="s">
        <v>41</v>
      </c>
      <c r="F511">
        <v>6</v>
      </c>
      <c r="G511" s="2">
        <v>46192.75</v>
      </c>
      <c r="H511" s="2">
        <v>46192.583333333336</v>
      </c>
    </row>
    <row r="512" spans="1:8" x14ac:dyDescent="0.25">
      <c r="A512" s="8" t="s">
        <v>2027</v>
      </c>
      <c r="B512" s="8" t="s">
        <v>13988</v>
      </c>
      <c r="C512" s="2">
        <v>46192.416666666664</v>
      </c>
      <c r="D512" s="8" t="s">
        <v>13933</v>
      </c>
      <c r="E512" s="8" t="s">
        <v>67</v>
      </c>
      <c r="F512">
        <v>1</v>
      </c>
      <c r="G512" s="2">
        <v>46192.75</v>
      </c>
      <c r="H512" s="2">
        <v>46192.583333333336</v>
      </c>
    </row>
    <row r="513" spans="1:8" x14ac:dyDescent="0.25">
      <c r="A513" s="8" t="s">
        <v>2030</v>
      </c>
      <c r="B513" s="8" t="s">
        <v>13988</v>
      </c>
      <c r="C513" s="2">
        <v>46192.416666666664</v>
      </c>
      <c r="D513" s="8" t="s">
        <v>13933</v>
      </c>
      <c r="E513" s="8" t="s">
        <v>71</v>
      </c>
      <c r="F513">
        <v>6</v>
      </c>
      <c r="G513" s="2">
        <v>46192.75</v>
      </c>
      <c r="H513" s="2">
        <v>46192.583333333336</v>
      </c>
    </row>
    <row r="514" spans="1:8" x14ac:dyDescent="0.25">
      <c r="A514" s="8" t="s">
        <v>2033</v>
      </c>
      <c r="B514" s="8" t="s">
        <v>13988</v>
      </c>
      <c r="C514" s="2">
        <v>46192.416666666664</v>
      </c>
      <c r="D514" s="8" t="s">
        <v>13933</v>
      </c>
      <c r="E514" s="8" t="s">
        <v>73</v>
      </c>
      <c r="F514">
        <v>2</v>
      </c>
      <c r="G514" s="2">
        <v>46192.75</v>
      </c>
      <c r="H514" s="2">
        <v>46192.583333333336</v>
      </c>
    </row>
    <row r="515" spans="1:8" x14ac:dyDescent="0.25">
      <c r="A515" s="8" t="s">
        <v>2036</v>
      </c>
      <c r="B515" s="8" t="s">
        <v>13988</v>
      </c>
      <c r="C515" s="2">
        <v>46192.416666666664</v>
      </c>
      <c r="D515" s="8" t="s">
        <v>13933</v>
      </c>
      <c r="E515" s="8" t="s">
        <v>75</v>
      </c>
      <c r="F515">
        <v>6</v>
      </c>
      <c r="G515" s="2">
        <v>46192.75</v>
      </c>
      <c r="H515" s="2">
        <v>46192.583333333336</v>
      </c>
    </row>
    <row r="516" spans="1:8" x14ac:dyDescent="0.25">
      <c r="A516" s="8" t="s">
        <v>2039</v>
      </c>
      <c r="B516" s="8" t="s">
        <v>13989</v>
      </c>
      <c r="C516" s="2">
        <v>46192.416666666664</v>
      </c>
      <c r="D516" s="8" t="s">
        <v>13935</v>
      </c>
      <c r="E516" s="8" t="s">
        <v>18</v>
      </c>
      <c r="F516">
        <v>7</v>
      </c>
      <c r="G516" s="2">
        <v>46192.75</v>
      </c>
      <c r="H516" s="2">
        <v>46192.583333333336</v>
      </c>
    </row>
    <row r="517" spans="1:8" x14ac:dyDescent="0.25">
      <c r="A517" s="8" t="s">
        <v>2042</v>
      </c>
      <c r="B517" s="8" t="s">
        <v>13989</v>
      </c>
      <c r="C517" s="2">
        <v>46192.416666666664</v>
      </c>
      <c r="D517" s="8" t="s">
        <v>13935</v>
      </c>
      <c r="E517" s="8" t="s">
        <v>20</v>
      </c>
      <c r="F517">
        <v>4</v>
      </c>
      <c r="G517" s="2">
        <v>46192.75</v>
      </c>
      <c r="H517" s="2">
        <v>46192.583333333336</v>
      </c>
    </row>
    <row r="518" spans="1:8" x14ac:dyDescent="0.25">
      <c r="A518" s="8" t="s">
        <v>2045</v>
      </c>
      <c r="B518" s="8" t="s">
        <v>13989</v>
      </c>
      <c r="C518" s="2">
        <v>46192.416666666664</v>
      </c>
      <c r="D518" s="8" t="s">
        <v>13935</v>
      </c>
      <c r="E518" s="8" t="s">
        <v>22</v>
      </c>
      <c r="F518">
        <v>4</v>
      </c>
      <c r="G518" s="2">
        <v>46192.75</v>
      </c>
      <c r="H518" s="2">
        <v>46192.583333333336</v>
      </c>
    </row>
    <row r="519" spans="1:8" x14ac:dyDescent="0.25">
      <c r="A519" s="8" t="s">
        <v>2048</v>
      </c>
      <c r="B519" s="8" t="s">
        <v>13989</v>
      </c>
      <c r="C519" s="2">
        <v>46192.416666666664</v>
      </c>
      <c r="D519" s="8" t="s">
        <v>13935</v>
      </c>
      <c r="E519" s="8" t="s">
        <v>24</v>
      </c>
      <c r="F519">
        <v>7</v>
      </c>
      <c r="G519" s="2">
        <v>46192.75</v>
      </c>
      <c r="H519" s="2">
        <v>46192.583333333336</v>
      </c>
    </row>
    <row r="520" spans="1:8" x14ac:dyDescent="0.25">
      <c r="A520" s="8" t="s">
        <v>2051</v>
      </c>
      <c r="B520" s="8" t="s">
        <v>13989</v>
      </c>
      <c r="C520" s="2">
        <v>46192.416666666664</v>
      </c>
      <c r="D520" s="8" t="s">
        <v>13935</v>
      </c>
      <c r="E520" s="8" t="s">
        <v>26</v>
      </c>
      <c r="F520">
        <v>3</v>
      </c>
      <c r="G520" s="2">
        <v>46192.75</v>
      </c>
      <c r="H520" s="2">
        <v>46192.583333333336</v>
      </c>
    </row>
    <row r="521" spans="1:8" x14ac:dyDescent="0.25">
      <c r="A521" s="8" t="s">
        <v>2054</v>
      </c>
      <c r="B521" s="8" t="s">
        <v>13989</v>
      </c>
      <c r="C521" s="2">
        <v>46192.416666666664</v>
      </c>
      <c r="D521" s="8" t="s">
        <v>13935</v>
      </c>
      <c r="E521" s="8" t="s">
        <v>45</v>
      </c>
      <c r="F521">
        <v>4</v>
      </c>
      <c r="G521" s="2">
        <v>46192.75</v>
      </c>
      <c r="H521" s="2">
        <v>46192.583333333336</v>
      </c>
    </row>
    <row r="522" spans="1:8" x14ac:dyDescent="0.25">
      <c r="A522" s="8" t="s">
        <v>2057</v>
      </c>
      <c r="B522" s="8" t="s">
        <v>13989</v>
      </c>
      <c r="C522" s="2">
        <v>46192.416666666664</v>
      </c>
      <c r="D522" s="8" t="s">
        <v>13935</v>
      </c>
      <c r="E522" s="8" t="s">
        <v>59</v>
      </c>
      <c r="F522">
        <v>7</v>
      </c>
      <c r="G522" s="2">
        <v>46192.75</v>
      </c>
      <c r="H522" s="2">
        <v>46192.583333333336</v>
      </c>
    </row>
    <row r="523" spans="1:8" x14ac:dyDescent="0.25">
      <c r="A523" s="8" t="s">
        <v>2060</v>
      </c>
      <c r="B523" s="8" t="s">
        <v>13989</v>
      </c>
      <c r="C523" s="2">
        <v>46192.416666666664</v>
      </c>
      <c r="D523" s="8" t="s">
        <v>13935</v>
      </c>
      <c r="E523" s="8" t="s">
        <v>75</v>
      </c>
      <c r="F523">
        <v>7</v>
      </c>
      <c r="G523" s="2">
        <v>46192.75</v>
      </c>
      <c r="H523" s="2">
        <v>46192.583333333336</v>
      </c>
    </row>
    <row r="524" spans="1:8" x14ac:dyDescent="0.25">
      <c r="A524" s="8" t="s">
        <v>2063</v>
      </c>
      <c r="B524" s="8" t="s">
        <v>13989</v>
      </c>
      <c r="C524" s="2">
        <v>46192.416666666664</v>
      </c>
      <c r="D524" s="8" t="s">
        <v>13935</v>
      </c>
      <c r="E524" s="8" t="s">
        <v>77</v>
      </c>
      <c r="F524">
        <v>1</v>
      </c>
      <c r="G524" s="2">
        <v>46192.75</v>
      </c>
      <c r="H524" s="2">
        <v>46192.583333333336</v>
      </c>
    </row>
    <row r="525" spans="1:8" x14ac:dyDescent="0.25">
      <c r="A525" s="8" t="s">
        <v>2066</v>
      </c>
      <c r="B525" s="8" t="s">
        <v>13990</v>
      </c>
      <c r="C525" s="2">
        <v>46192.416666666664</v>
      </c>
      <c r="D525" s="8" t="s">
        <v>13937</v>
      </c>
      <c r="E525" s="8" t="s">
        <v>11</v>
      </c>
      <c r="F525">
        <v>4</v>
      </c>
      <c r="G525" s="2">
        <v>46192.75</v>
      </c>
      <c r="H525" s="2">
        <v>46192.583333333336</v>
      </c>
    </row>
    <row r="526" spans="1:8" x14ac:dyDescent="0.25">
      <c r="A526" s="8" t="s">
        <v>2069</v>
      </c>
      <c r="B526" s="8" t="s">
        <v>13990</v>
      </c>
      <c r="C526" s="2">
        <v>46192.416666666664</v>
      </c>
      <c r="D526" s="8" t="s">
        <v>13937</v>
      </c>
      <c r="E526" s="8" t="s">
        <v>18</v>
      </c>
      <c r="F526">
        <v>2</v>
      </c>
      <c r="G526" s="2">
        <v>46192.75</v>
      </c>
      <c r="H526" s="2">
        <v>46192.583333333336</v>
      </c>
    </row>
    <row r="527" spans="1:8" x14ac:dyDescent="0.25">
      <c r="A527" s="8" t="s">
        <v>2072</v>
      </c>
      <c r="B527" s="8" t="s">
        <v>13990</v>
      </c>
      <c r="C527" s="2">
        <v>46192.416666666664</v>
      </c>
      <c r="D527" s="8" t="s">
        <v>13937</v>
      </c>
      <c r="E527" s="8" t="s">
        <v>20</v>
      </c>
      <c r="F527">
        <v>1</v>
      </c>
      <c r="G527" s="2">
        <v>46192.75</v>
      </c>
      <c r="H527" s="2">
        <v>46192.583333333336</v>
      </c>
    </row>
    <row r="528" spans="1:8" x14ac:dyDescent="0.25">
      <c r="A528" s="8" t="s">
        <v>2075</v>
      </c>
      <c r="B528" s="8" t="s">
        <v>13990</v>
      </c>
      <c r="C528" s="2">
        <v>46192.416666666664</v>
      </c>
      <c r="D528" s="8" t="s">
        <v>13937</v>
      </c>
      <c r="E528" s="8" t="s">
        <v>22</v>
      </c>
      <c r="F528">
        <v>3</v>
      </c>
      <c r="G528" s="2">
        <v>46192.75</v>
      </c>
      <c r="H528" s="2">
        <v>46192.583333333336</v>
      </c>
    </row>
    <row r="529" spans="1:8" x14ac:dyDescent="0.25">
      <c r="A529" s="8" t="s">
        <v>2078</v>
      </c>
      <c r="B529" s="8" t="s">
        <v>13990</v>
      </c>
      <c r="C529" s="2">
        <v>46192.416666666664</v>
      </c>
      <c r="D529" s="8" t="s">
        <v>13937</v>
      </c>
      <c r="E529" s="8" t="s">
        <v>49</v>
      </c>
      <c r="F529">
        <v>1</v>
      </c>
      <c r="G529" s="2">
        <v>46192.75</v>
      </c>
      <c r="H529" s="2">
        <v>46192.583333333336</v>
      </c>
    </row>
    <row r="530" spans="1:8" x14ac:dyDescent="0.25">
      <c r="A530" s="8" t="s">
        <v>2081</v>
      </c>
      <c r="B530" s="8" t="s">
        <v>13990</v>
      </c>
      <c r="C530" s="2">
        <v>46192.416666666664</v>
      </c>
      <c r="D530" s="8" t="s">
        <v>13937</v>
      </c>
      <c r="E530" s="8" t="s">
        <v>55</v>
      </c>
      <c r="F530">
        <v>4</v>
      </c>
      <c r="G530" s="2">
        <v>46192.75</v>
      </c>
      <c r="H530" s="2">
        <v>46192.583333333336</v>
      </c>
    </row>
    <row r="531" spans="1:8" x14ac:dyDescent="0.25">
      <c r="A531" s="8" t="s">
        <v>2084</v>
      </c>
      <c r="B531" s="8" t="s">
        <v>13991</v>
      </c>
      <c r="C531" s="2">
        <v>46193.416666666664</v>
      </c>
      <c r="D531" s="8" t="s">
        <v>13929</v>
      </c>
      <c r="E531" s="8" t="s">
        <v>11</v>
      </c>
      <c r="F531">
        <v>4</v>
      </c>
      <c r="G531" s="2">
        <v>46193.75</v>
      </c>
      <c r="H531" s="2">
        <v>46193.583333333336</v>
      </c>
    </row>
    <row r="532" spans="1:8" x14ac:dyDescent="0.25">
      <c r="A532" s="8" t="s">
        <v>2087</v>
      </c>
      <c r="B532" s="8" t="s">
        <v>13991</v>
      </c>
      <c r="C532" s="2">
        <v>46193.416666666664</v>
      </c>
      <c r="D532" s="8" t="s">
        <v>13929</v>
      </c>
      <c r="E532" s="8" t="s">
        <v>20</v>
      </c>
      <c r="F532">
        <v>3</v>
      </c>
      <c r="G532" s="2">
        <v>46193.75</v>
      </c>
      <c r="H532" s="2">
        <v>46193.583333333336</v>
      </c>
    </row>
    <row r="533" spans="1:8" x14ac:dyDescent="0.25">
      <c r="A533" s="8" t="s">
        <v>2090</v>
      </c>
      <c r="B533" s="8" t="s">
        <v>13991</v>
      </c>
      <c r="C533" s="2">
        <v>46193.416666666664</v>
      </c>
      <c r="D533" s="8" t="s">
        <v>13929</v>
      </c>
      <c r="E533" s="8" t="s">
        <v>24</v>
      </c>
      <c r="F533">
        <v>5</v>
      </c>
      <c r="G533" s="2">
        <v>46193.75</v>
      </c>
      <c r="H533" s="2">
        <v>46193.583333333336</v>
      </c>
    </row>
    <row r="534" spans="1:8" x14ac:dyDescent="0.25">
      <c r="A534" s="8" t="s">
        <v>2093</v>
      </c>
      <c r="B534" s="8" t="s">
        <v>13991</v>
      </c>
      <c r="C534" s="2">
        <v>46193.416666666664</v>
      </c>
      <c r="D534" s="8" t="s">
        <v>13929</v>
      </c>
      <c r="E534" s="8" t="s">
        <v>26</v>
      </c>
      <c r="F534">
        <v>3</v>
      </c>
      <c r="G534" s="2">
        <v>46193.75</v>
      </c>
      <c r="H534" s="2">
        <v>46193.583333333336</v>
      </c>
    </row>
    <row r="535" spans="1:8" x14ac:dyDescent="0.25">
      <c r="A535" s="8" t="s">
        <v>2096</v>
      </c>
      <c r="B535" s="8" t="s">
        <v>13991</v>
      </c>
      <c r="C535" s="2">
        <v>46193.416666666664</v>
      </c>
      <c r="D535" s="8" t="s">
        <v>13929</v>
      </c>
      <c r="E535" s="8" t="s">
        <v>30</v>
      </c>
      <c r="F535">
        <v>4</v>
      </c>
      <c r="G535" s="2">
        <v>46193.75</v>
      </c>
      <c r="H535" s="2">
        <v>46193.583333333336</v>
      </c>
    </row>
    <row r="536" spans="1:8" x14ac:dyDescent="0.25">
      <c r="A536" s="8" t="s">
        <v>2099</v>
      </c>
      <c r="B536" s="8" t="s">
        <v>13991</v>
      </c>
      <c r="C536" s="2">
        <v>46193.416666666664</v>
      </c>
      <c r="D536" s="8" t="s">
        <v>13929</v>
      </c>
      <c r="E536" s="8" t="s">
        <v>45</v>
      </c>
      <c r="F536">
        <v>4</v>
      </c>
      <c r="G536" s="2">
        <v>46193.75</v>
      </c>
      <c r="H536" s="2">
        <v>46193.583333333336</v>
      </c>
    </row>
    <row r="537" spans="1:8" x14ac:dyDescent="0.25">
      <c r="A537" s="8" t="s">
        <v>2102</v>
      </c>
      <c r="B537" s="8" t="s">
        <v>13991</v>
      </c>
      <c r="C537" s="2">
        <v>46193.416666666664</v>
      </c>
      <c r="D537" s="8" t="s">
        <v>13929</v>
      </c>
      <c r="E537" s="8" t="s">
        <v>49</v>
      </c>
      <c r="F537">
        <v>3</v>
      </c>
      <c r="G537" s="2">
        <v>46193.75</v>
      </c>
      <c r="H537" s="2">
        <v>46193.583333333336</v>
      </c>
    </row>
    <row r="538" spans="1:8" x14ac:dyDescent="0.25">
      <c r="A538" s="8" t="s">
        <v>2105</v>
      </c>
      <c r="B538" s="8" t="s">
        <v>13991</v>
      </c>
      <c r="C538" s="2">
        <v>46193.416666666664</v>
      </c>
      <c r="D538" s="8" t="s">
        <v>13929</v>
      </c>
      <c r="E538" s="8" t="s">
        <v>55</v>
      </c>
      <c r="F538">
        <v>3</v>
      </c>
      <c r="G538" s="2">
        <v>46193.75</v>
      </c>
      <c r="H538" s="2">
        <v>46193.583333333336</v>
      </c>
    </row>
    <row r="539" spans="1:8" x14ac:dyDescent="0.25">
      <c r="A539" s="8" t="s">
        <v>2108</v>
      </c>
      <c r="B539" s="8" t="s">
        <v>13991</v>
      </c>
      <c r="C539" s="2">
        <v>46193.416666666664</v>
      </c>
      <c r="D539" s="8" t="s">
        <v>13929</v>
      </c>
      <c r="E539" s="8" t="s">
        <v>57</v>
      </c>
      <c r="F539">
        <v>4</v>
      </c>
      <c r="G539" s="2">
        <v>46193.75</v>
      </c>
      <c r="H539" s="2">
        <v>46193.583333333336</v>
      </c>
    </row>
    <row r="540" spans="1:8" x14ac:dyDescent="0.25">
      <c r="A540" s="8" t="s">
        <v>2111</v>
      </c>
      <c r="B540" s="8" t="s">
        <v>13991</v>
      </c>
      <c r="C540" s="2">
        <v>46193.416666666664</v>
      </c>
      <c r="D540" s="8" t="s">
        <v>13929</v>
      </c>
      <c r="E540" s="8" t="s">
        <v>75</v>
      </c>
      <c r="F540">
        <v>2</v>
      </c>
      <c r="G540" s="2">
        <v>46193.75</v>
      </c>
      <c r="H540" s="2">
        <v>46193.583333333336</v>
      </c>
    </row>
    <row r="541" spans="1:8" x14ac:dyDescent="0.25">
      <c r="A541" s="8" t="s">
        <v>2114</v>
      </c>
      <c r="B541" s="8" t="s">
        <v>13991</v>
      </c>
      <c r="C541" s="2">
        <v>46193.416666666664</v>
      </c>
      <c r="D541" s="8" t="s">
        <v>13929</v>
      </c>
      <c r="E541" s="8" t="s">
        <v>77</v>
      </c>
      <c r="F541">
        <v>1</v>
      </c>
      <c r="G541" s="2">
        <v>46193.75</v>
      </c>
      <c r="H541" s="2">
        <v>46193.583333333336</v>
      </c>
    </row>
    <row r="542" spans="1:8" x14ac:dyDescent="0.25">
      <c r="A542" s="8" t="s">
        <v>2117</v>
      </c>
      <c r="B542" s="8" t="s">
        <v>13992</v>
      </c>
      <c r="C542" s="2">
        <v>46193.416666666664</v>
      </c>
      <c r="D542" s="8" t="s">
        <v>13931</v>
      </c>
      <c r="E542" s="8" t="s">
        <v>11</v>
      </c>
      <c r="F542">
        <v>1</v>
      </c>
      <c r="G542" s="2">
        <v>46193.75</v>
      </c>
      <c r="H542" s="2">
        <v>46193.583333333336</v>
      </c>
    </row>
    <row r="543" spans="1:8" x14ac:dyDescent="0.25">
      <c r="A543" s="8" t="s">
        <v>2120</v>
      </c>
      <c r="B543" s="8" t="s">
        <v>13992</v>
      </c>
      <c r="C543" s="2">
        <v>46193.416666666664</v>
      </c>
      <c r="D543" s="8" t="s">
        <v>13931</v>
      </c>
      <c r="E543" s="8" t="s">
        <v>20</v>
      </c>
      <c r="F543">
        <v>4</v>
      </c>
      <c r="G543" s="2">
        <v>46193.75</v>
      </c>
      <c r="H543" s="2">
        <v>46193.583333333336</v>
      </c>
    </row>
    <row r="544" spans="1:8" x14ac:dyDescent="0.25">
      <c r="A544" s="8" t="s">
        <v>2123</v>
      </c>
      <c r="B544" s="8" t="s">
        <v>13992</v>
      </c>
      <c r="C544" s="2">
        <v>46193.416666666664</v>
      </c>
      <c r="D544" s="8" t="s">
        <v>13931</v>
      </c>
      <c r="E544" s="8" t="s">
        <v>28</v>
      </c>
      <c r="F544">
        <v>3</v>
      </c>
      <c r="G544" s="2">
        <v>46193.75</v>
      </c>
      <c r="H544" s="2">
        <v>46193.583333333336</v>
      </c>
    </row>
    <row r="545" spans="1:8" x14ac:dyDescent="0.25">
      <c r="A545" s="8" t="s">
        <v>2126</v>
      </c>
      <c r="B545" s="8" t="s">
        <v>13992</v>
      </c>
      <c r="C545" s="2">
        <v>46193.416666666664</v>
      </c>
      <c r="D545" s="8" t="s">
        <v>13931</v>
      </c>
      <c r="E545" s="8" t="s">
        <v>32</v>
      </c>
      <c r="F545">
        <v>4</v>
      </c>
      <c r="G545" s="2">
        <v>46193.75</v>
      </c>
      <c r="H545" s="2">
        <v>46193.583333333336</v>
      </c>
    </row>
    <row r="546" spans="1:8" x14ac:dyDescent="0.25">
      <c r="A546" s="8" t="s">
        <v>2129</v>
      </c>
      <c r="B546" s="8" t="s">
        <v>13992</v>
      </c>
      <c r="C546" s="2">
        <v>46193.416666666664</v>
      </c>
      <c r="D546" s="8" t="s">
        <v>13931</v>
      </c>
      <c r="E546" s="8" t="s">
        <v>36</v>
      </c>
      <c r="F546">
        <v>6</v>
      </c>
      <c r="G546" s="2">
        <v>46193.75</v>
      </c>
      <c r="H546" s="2">
        <v>46193.583333333336</v>
      </c>
    </row>
    <row r="547" spans="1:8" x14ac:dyDescent="0.25">
      <c r="A547" s="8" t="s">
        <v>2132</v>
      </c>
      <c r="B547" s="8" t="s">
        <v>13992</v>
      </c>
      <c r="C547" s="2">
        <v>46193.416666666664</v>
      </c>
      <c r="D547" s="8" t="s">
        <v>13931</v>
      </c>
      <c r="E547" s="8" t="s">
        <v>41</v>
      </c>
      <c r="F547">
        <v>4</v>
      </c>
      <c r="G547" s="2">
        <v>46193.75</v>
      </c>
      <c r="H547" s="2">
        <v>46193.583333333336</v>
      </c>
    </row>
    <row r="548" spans="1:8" x14ac:dyDescent="0.25">
      <c r="A548" s="8" t="s">
        <v>2135</v>
      </c>
      <c r="B548" s="8" t="s">
        <v>13992</v>
      </c>
      <c r="C548" s="2">
        <v>46193.416666666664</v>
      </c>
      <c r="D548" s="8" t="s">
        <v>13931</v>
      </c>
      <c r="E548" s="8" t="s">
        <v>47</v>
      </c>
      <c r="F548">
        <v>1</v>
      </c>
      <c r="G548" s="2">
        <v>46193.75</v>
      </c>
      <c r="H548" s="2">
        <v>46193.583333333336</v>
      </c>
    </row>
    <row r="549" spans="1:8" x14ac:dyDescent="0.25">
      <c r="A549" s="8" t="s">
        <v>2138</v>
      </c>
      <c r="B549" s="8" t="s">
        <v>13992</v>
      </c>
      <c r="C549" s="2">
        <v>46193.416666666664</v>
      </c>
      <c r="D549" s="8" t="s">
        <v>13931</v>
      </c>
      <c r="E549" s="8" t="s">
        <v>49</v>
      </c>
      <c r="F549">
        <v>1</v>
      </c>
      <c r="G549" s="2">
        <v>46193.75</v>
      </c>
      <c r="H549" s="2">
        <v>46193.583333333336</v>
      </c>
    </row>
    <row r="550" spans="1:8" x14ac:dyDescent="0.25">
      <c r="A550" s="8" t="s">
        <v>2141</v>
      </c>
      <c r="B550" s="8" t="s">
        <v>13992</v>
      </c>
      <c r="C550" s="2">
        <v>46193.416666666664</v>
      </c>
      <c r="D550" s="8" t="s">
        <v>13931</v>
      </c>
      <c r="E550" s="8" t="s">
        <v>55</v>
      </c>
      <c r="F550">
        <v>5</v>
      </c>
      <c r="G550" s="2">
        <v>46193.75</v>
      </c>
      <c r="H550" s="2">
        <v>46193.583333333336</v>
      </c>
    </row>
    <row r="551" spans="1:8" x14ac:dyDescent="0.25">
      <c r="A551" s="8" t="s">
        <v>2144</v>
      </c>
      <c r="B551" s="8" t="s">
        <v>13992</v>
      </c>
      <c r="C551" s="2">
        <v>46193.416666666664</v>
      </c>
      <c r="D551" s="8" t="s">
        <v>13931</v>
      </c>
      <c r="E551" s="8" t="s">
        <v>57</v>
      </c>
      <c r="F551">
        <v>4</v>
      </c>
      <c r="G551" s="2">
        <v>46193.75</v>
      </c>
      <c r="H551" s="2">
        <v>46193.583333333336</v>
      </c>
    </row>
    <row r="552" spans="1:8" x14ac:dyDescent="0.25">
      <c r="A552" s="8" t="s">
        <v>2149</v>
      </c>
      <c r="B552" s="8" t="s">
        <v>13992</v>
      </c>
      <c r="C552" s="2">
        <v>46193.416666666664</v>
      </c>
      <c r="D552" s="8" t="s">
        <v>13931</v>
      </c>
      <c r="E552" s="8" t="s">
        <v>67</v>
      </c>
      <c r="F552">
        <v>5</v>
      </c>
      <c r="G552" s="2">
        <v>46193.75</v>
      </c>
      <c r="H552" s="2">
        <v>46193.583333333336</v>
      </c>
    </row>
    <row r="553" spans="1:8" x14ac:dyDescent="0.25">
      <c r="A553" s="8" t="s">
        <v>2152</v>
      </c>
      <c r="B553" s="8" t="s">
        <v>13992</v>
      </c>
      <c r="C553" s="2">
        <v>46193.416666666664</v>
      </c>
      <c r="D553" s="8" t="s">
        <v>13931</v>
      </c>
      <c r="E553" s="8" t="s">
        <v>69</v>
      </c>
      <c r="F553">
        <v>3</v>
      </c>
      <c r="G553" s="2">
        <v>46193.75</v>
      </c>
      <c r="H553" s="2">
        <v>46193.583333333336</v>
      </c>
    </row>
    <row r="554" spans="1:8" x14ac:dyDescent="0.25">
      <c r="A554" s="8" t="s">
        <v>2155</v>
      </c>
      <c r="B554" s="8" t="s">
        <v>13993</v>
      </c>
      <c r="C554" s="2">
        <v>46193.416666666664</v>
      </c>
      <c r="D554" s="8" t="s">
        <v>13933</v>
      </c>
      <c r="E554" s="8" t="s">
        <v>22</v>
      </c>
      <c r="F554">
        <v>3</v>
      </c>
      <c r="G554" s="2">
        <v>46193.75</v>
      </c>
      <c r="H554" s="2">
        <v>46193.583333333336</v>
      </c>
    </row>
    <row r="555" spans="1:8" x14ac:dyDescent="0.25">
      <c r="A555" s="8" t="s">
        <v>2158</v>
      </c>
      <c r="B555" s="8" t="s">
        <v>13993</v>
      </c>
      <c r="C555" s="2">
        <v>46193.416666666664</v>
      </c>
      <c r="D555" s="8" t="s">
        <v>13933</v>
      </c>
      <c r="E555" s="8" t="s">
        <v>47</v>
      </c>
      <c r="F555">
        <v>8</v>
      </c>
      <c r="G555" s="2">
        <v>46193.75</v>
      </c>
      <c r="H555" s="2">
        <v>46193.583333333336</v>
      </c>
    </row>
    <row r="556" spans="1:8" x14ac:dyDescent="0.25">
      <c r="A556" s="8" t="s">
        <v>2161</v>
      </c>
      <c r="B556" s="8" t="s">
        <v>13993</v>
      </c>
      <c r="C556" s="2">
        <v>46193.416666666664</v>
      </c>
      <c r="D556" s="8" t="s">
        <v>13933</v>
      </c>
      <c r="E556" s="8" t="s">
        <v>55</v>
      </c>
      <c r="F556">
        <v>2</v>
      </c>
      <c r="G556" s="2">
        <v>46193.75</v>
      </c>
      <c r="H556" s="2">
        <v>46193.583333333336</v>
      </c>
    </row>
    <row r="557" spans="1:8" x14ac:dyDescent="0.25">
      <c r="A557" s="8" t="s">
        <v>2164</v>
      </c>
      <c r="B557" s="8" t="s">
        <v>13993</v>
      </c>
      <c r="C557" s="2">
        <v>46193.416666666664</v>
      </c>
      <c r="D557" s="8" t="s">
        <v>13933</v>
      </c>
      <c r="E557" s="8" t="s">
        <v>71</v>
      </c>
      <c r="F557">
        <v>3</v>
      </c>
      <c r="G557" s="2">
        <v>46193.75</v>
      </c>
      <c r="H557" s="2">
        <v>46193.583333333336</v>
      </c>
    </row>
    <row r="558" spans="1:8" x14ac:dyDescent="0.25">
      <c r="A558" s="8" t="s">
        <v>2167</v>
      </c>
      <c r="B558" s="8" t="s">
        <v>13994</v>
      </c>
      <c r="C558" s="2">
        <v>46193.416666666664</v>
      </c>
      <c r="D558" s="8" t="s">
        <v>13935</v>
      </c>
      <c r="E558" s="8" t="s">
        <v>11</v>
      </c>
      <c r="F558">
        <v>9</v>
      </c>
      <c r="G558" s="2">
        <v>46193.75</v>
      </c>
      <c r="H558" s="2">
        <v>46193.583333333336</v>
      </c>
    </row>
    <row r="559" spans="1:8" x14ac:dyDescent="0.25">
      <c r="A559" s="8" t="s">
        <v>2170</v>
      </c>
      <c r="B559" s="8" t="s">
        <v>13994</v>
      </c>
      <c r="C559" s="2">
        <v>46193.416666666664</v>
      </c>
      <c r="D559" s="8" t="s">
        <v>13935</v>
      </c>
      <c r="E559" s="8" t="s">
        <v>20</v>
      </c>
      <c r="F559">
        <v>2</v>
      </c>
      <c r="G559" s="2">
        <v>46193.75</v>
      </c>
      <c r="H559" s="2">
        <v>46193.583333333336</v>
      </c>
    </row>
    <row r="560" spans="1:8" x14ac:dyDescent="0.25">
      <c r="A560" s="8" t="s">
        <v>2173</v>
      </c>
      <c r="B560" s="8" t="s">
        <v>13994</v>
      </c>
      <c r="C560" s="2">
        <v>46193.416666666664</v>
      </c>
      <c r="D560" s="8" t="s">
        <v>13935</v>
      </c>
      <c r="E560" s="8" t="s">
        <v>22</v>
      </c>
      <c r="F560">
        <v>5</v>
      </c>
      <c r="G560" s="2">
        <v>46193.75</v>
      </c>
      <c r="H560" s="2">
        <v>46193.583333333336</v>
      </c>
    </row>
    <row r="561" spans="1:8" x14ac:dyDescent="0.25">
      <c r="A561" s="8" t="s">
        <v>2178</v>
      </c>
      <c r="B561" s="8" t="s">
        <v>13994</v>
      </c>
      <c r="C561" s="2">
        <v>46193.416666666664</v>
      </c>
      <c r="D561" s="8" t="s">
        <v>13935</v>
      </c>
      <c r="E561" s="8" t="s">
        <v>24</v>
      </c>
      <c r="F561">
        <v>5</v>
      </c>
      <c r="G561" s="2">
        <v>46193.75</v>
      </c>
      <c r="H561" s="2">
        <v>46193.583333333336</v>
      </c>
    </row>
    <row r="562" spans="1:8" x14ac:dyDescent="0.25">
      <c r="A562" s="8" t="s">
        <v>2181</v>
      </c>
      <c r="B562" s="8" t="s">
        <v>13994</v>
      </c>
      <c r="C562" s="2">
        <v>46193.416666666664</v>
      </c>
      <c r="D562" s="8" t="s">
        <v>13935</v>
      </c>
      <c r="E562" s="8" t="s">
        <v>26</v>
      </c>
      <c r="F562">
        <v>2</v>
      </c>
      <c r="G562" s="2">
        <v>46193.75</v>
      </c>
      <c r="H562" s="2">
        <v>46193.583333333336</v>
      </c>
    </row>
    <row r="563" spans="1:8" x14ac:dyDescent="0.25">
      <c r="A563" s="8" t="s">
        <v>2184</v>
      </c>
      <c r="B563" s="8" t="s">
        <v>13994</v>
      </c>
      <c r="C563" s="2">
        <v>46193.416666666664</v>
      </c>
      <c r="D563" s="8" t="s">
        <v>13935</v>
      </c>
      <c r="E563" s="8" t="s">
        <v>41</v>
      </c>
      <c r="F563">
        <v>2</v>
      </c>
      <c r="G563" s="2">
        <v>46193.75</v>
      </c>
      <c r="H563" s="2">
        <v>46193.583333333336</v>
      </c>
    </row>
    <row r="564" spans="1:8" x14ac:dyDescent="0.25">
      <c r="A564" s="8" t="s">
        <v>2187</v>
      </c>
      <c r="B564" s="8" t="s">
        <v>13994</v>
      </c>
      <c r="C564" s="2">
        <v>46193.416666666664</v>
      </c>
      <c r="D564" s="8" t="s">
        <v>13935</v>
      </c>
      <c r="E564" s="8" t="s">
        <v>51</v>
      </c>
      <c r="F564">
        <v>4</v>
      </c>
      <c r="G564" s="2">
        <v>46193.75</v>
      </c>
      <c r="H564" s="2">
        <v>46193.583333333336</v>
      </c>
    </row>
    <row r="565" spans="1:8" x14ac:dyDescent="0.25">
      <c r="A565" s="8" t="s">
        <v>2190</v>
      </c>
      <c r="B565" s="8" t="s">
        <v>13994</v>
      </c>
      <c r="C565" s="2">
        <v>46193.416666666664</v>
      </c>
      <c r="D565" s="8" t="s">
        <v>13935</v>
      </c>
      <c r="E565" s="8" t="s">
        <v>55</v>
      </c>
      <c r="F565">
        <v>9</v>
      </c>
      <c r="G565" s="2">
        <v>46193.75</v>
      </c>
      <c r="H565" s="2">
        <v>46193.583333333336</v>
      </c>
    </row>
    <row r="566" spans="1:8" x14ac:dyDescent="0.25">
      <c r="A566" s="8" t="s">
        <v>2193</v>
      </c>
      <c r="B566" s="8" t="s">
        <v>13994</v>
      </c>
      <c r="C566" s="2">
        <v>46193.416666666664</v>
      </c>
      <c r="D566" s="8" t="s">
        <v>13935</v>
      </c>
      <c r="E566" s="8" t="s">
        <v>57</v>
      </c>
      <c r="F566">
        <v>9</v>
      </c>
      <c r="G566" s="2">
        <v>46193.75</v>
      </c>
      <c r="H566" s="2">
        <v>46193.583333333336</v>
      </c>
    </row>
    <row r="567" spans="1:8" x14ac:dyDescent="0.25">
      <c r="A567" s="8" t="s">
        <v>2196</v>
      </c>
      <c r="B567" s="8" t="s">
        <v>13994</v>
      </c>
      <c r="C567" s="2">
        <v>46193.416666666664</v>
      </c>
      <c r="D567" s="8" t="s">
        <v>13935</v>
      </c>
      <c r="E567" s="8" t="s">
        <v>59</v>
      </c>
      <c r="F567">
        <v>2</v>
      </c>
      <c r="G567" s="2">
        <v>46193.75</v>
      </c>
      <c r="H567" s="2">
        <v>46193.583333333336</v>
      </c>
    </row>
    <row r="568" spans="1:8" x14ac:dyDescent="0.25">
      <c r="A568" s="8" t="s">
        <v>2199</v>
      </c>
      <c r="B568" s="8" t="s">
        <v>13995</v>
      </c>
      <c r="C568" s="2">
        <v>46193.416666666664</v>
      </c>
      <c r="D568" s="8" t="s">
        <v>13937</v>
      </c>
      <c r="E568" s="8" t="s">
        <v>20</v>
      </c>
      <c r="F568">
        <v>5</v>
      </c>
      <c r="G568" s="2">
        <v>46193.75</v>
      </c>
      <c r="H568" s="2">
        <v>46193.583333333336</v>
      </c>
    </row>
    <row r="569" spans="1:8" x14ac:dyDescent="0.25">
      <c r="A569" s="8" t="s">
        <v>2202</v>
      </c>
      <c r="B569" s="8" t="s">
        <v>13995</v>
      </c>
      <c r="C569" s="2">
        <v>46193.416666666664</v>
      </c>
      <c r="D569" s="8" t="s">
        <v>13937</v>
      </c>
      <c r="E569" s="8" t="s">
        <v>22</v>
      </c>
      <c r="F569">
        <v>4</v>
      </c>
      <c r="G569" s="2">
        <v>46193.75</v>
      </c>
      <c r="H569" s="2">
        <v>46193.583333333336</v>
      </c>
    </row>
    <row r="570" spans="1:8" x14ac:dyDescent="0.25">
      <c r="A570" s="8" t="s">
        <v>2205</v>
      </c>
      <c r="B570" s="8" t="s">
        <v>13995</v>
      </c>
      <c r="C570" s="2">
        <v>46193.416666666664</v>
      </c>
      <c r="D570" s="8" t="s">
        <v>13937</v>
      </c>
      <c r="E570" s="8" t="s">
        <v>26</v>
      </c>
      <c r="F570">
        <v>5</v>
      </c>
      <c r="G570" s="2">
        <v>46193.75</v>
      </c>
      <c r="H570" s="2">
        <v>46193.583333333336</v>
      </c>
    </row>
    <row r="571" spans="1:8" x14ac:dyDescent="0.25">
      <c r="A571" s="8" t="s">
        <v>2208</v>
      </c>
      <c r="B571" s="8" t="s">
        <v>13995</v>
      </c>
      <c r="C571" s="2">
        <v>46193.416666666664</v>
      </c>
      <c r="D571" s="8" t="s">
        <v>13937</v>
      </c>
      <c r="E571" s="8" t="s">
        <v>55</v>
      </c>
      <c r="F571">
        <v>1</v>
      </c>
      <c r="G571" s="2">
        <v>46193.75</v>
      </c>
      <c r="H571" s="2">
        <v>46193.583333333336</v>
      </c>
    </row>
    <row r="572" spans="1:8" x14ac:dyDescent="0.25">
      <c r="A572" s="8" t="s">
        <v>2211</v>
      </c>
      <c r="B572" s="8" t="s">
        <v>13996</v>
      </c>
      <c r="C572" s="2">
        <v>46194.416666666664</v>
      </c>
      <c r="D572" s="8" t="s">
        <v>13929</v>
      </c>
      <c r="E572" s="8" t="s">
        <v>11</v>
      </c>
      <c r="F572">
        <v>4</v>
      </c>
      <c r="G572" s="2">
        <v>46194.75</v>
      </c>
      <c r="H572" s="2">
        <v>46194.583333333336</v>
      </c>
    </row>
    <row r="573" spans="1:8" x14ac:dyDescent="0.25">
      <c r="A573" s="8" t="s">
        <v>2214</v>
      </c>
      <c r="B573" s="8" t="s">
        <v>13996</v>
      </c>
      <c r="C573" s="2">
        <v>46194.416666666664</v>
      </c>
      <c r="D573" s="8" t="s">
        <v>13929</v>
      </c>
      <c r="E573" s="8" t="s">
        <v>18</v>
      </c>
      <c r="F573">
        <v>5</v>
      </c>
      <c r="G573" s="2">
        <v>46194.75</v>
      </c>
      <c r="H573" s="2">
        <v>46194.583333333336</v>
      </c>
    </row>
    <row r="574" spans="1:8" x14ac:dyDescent="0.25">
      <c r="A574" s="8" t="s">
        <v>2217</v>
      </c>
      <c r="B574" s="8" t="s">
        <v>13996</v>
      </c>
      <c r="C574" s="2">
        <v>46194.416666666664</v>
      </c>
      <c r="D574" s="8" t="s">
        <v>13929</v>
      </c>
      <c r="E574" s="8" t="s">
        <v>20</v>
      </c>
      <c r="F574">
        <v>3</v>
      </c>
      <c r="G574" s="2">
        <v>46194.75</v>
      </c>
      <c r="H574" s="2">
        <v>46194.583333333336</v>
      </c>
    </row>
    <row r="575" spans="1:8" x14ac:dyDescent="0.25">
      <c r="A575" s="8" t="s">
        <v>2220</v>
      </c>
      <c r="B575" s="8" t="s">
        <v>13996</v>
      </c>
      <c r="C575" s="2">
        <v>46194.416666666664</v>
      </c>
      <c r="D575" s="8" t="s">
        <v>13929</v>
      </c>
      <c r="E575" s="8" t="s">
        <v>24</v>
      </c>
      <c r="F575">
        <v>4</v>
      </c>
      <c r="G575" s="2">
        <v>46194.75</v>
      </c>
      <c r="H575" s="2">
        <v>46194.583333333336</v>
      </c>
    </row>
    <row r="576" spans="1:8" x14ac:dyDescent="0.25">
      <c r="A576" s="8" t="s">
        <v>2223</v>
      </c>
      <c r="B576" s="8" t="s">
        <v>13996</v>
      </c>
      <c r="C576" s="2">
        <v>46194.416666666664</v>
      </c>
      <c r="D576" s="8" t="s">
        <v>13929</v>
      </c>
      <c r="E576" s="8" t="s">
        <v>28</v>
      </c>
      <c r="F576">
        <v>4</v>
      </c>
      <c r="G576" s="2">
        <v>46194.75</v>
      </c>
      <c r="H576" s="2">
        <v>46194.583333333336</v>
      </c>
    </row>
    <row r="577" spans="1:8" x14ac:dyDescent="0.25">
      <c r="A577" s="8" t="s">
        <v>2226</v>
      </c>
      <c r="B577" s="8" t="s">
        <v>13996</v>
      </c>
      <c r="C577" s="2">
        <v>46194.416666666664</v>
      </c>
      <c r="D577" s="8" t="s">
        <v>13929</v>
      </c>
      <c r="E577" s="8" t="s">
        <v>45</v>
      </c>
      <c r="F577">
        <v>1</v>
      </c>
      <c r="G577" s="2">
        <v>46194.75</v>
      </c>
      <c r="H577" s="2">
        <v>46194.583333333336</v>
      </c>
    </row>
    <row r="578" spans="1:8" x14ac:dyDescent="0.25">
      <c r="A578" s="8" t="s">
        <v>2229</v>
      </c>
      <c r="B578" s="8" t="s">
        <v>13996</v>
      </c>
      <c r="C578" s="2">
        <v>46194.416666666664</v>
      </c>
      <c r="D578" s="8" t="s">
        <v>13929</v>
      </c>
      <c r="E578" s="8" t="s">
        <v>55</v>
      </c>
      <c r="F578">
        <v>3</v>
      </c>
      <c r="G578" s="2">
        <v>46194.75</v>
      </c>
      <c r="H578" s="2">
        <v>46194.583333333336</v>
      </c>
    </row>
    <row r="579" spans="1:8" x14ac:dyDescent="0.25">
      <c r="A579" s="8" t="s">
        <v>2232</v>
      </c>
      <c r="B579" s="8" t="s">
        <v>13996</v>
      </c>
      <c r="C579" s="2">
        <v>46194.416666666664</v>
      </c>
      <c r="D579" s="8" t="s">
        <v>13929</v>
      </c>
      <c r="E579" s="8" t="s">
        <v>69</v>
      </c>
      <c r="F579">
        <v>4</v>
      </c>
      <c r="G579" s="2">
        <v>46194.75</v>
      </c>
      <c r="H579" s="2">
        <v>46194.583333333336</v>
      </c>
    </row>
    <row r="580" spans="1:8" x14ac:dyDescent="0.25">
      <c r="A580" s="8" t="s">
        <v>2235</v>
      </c>
      <c r="B580" s="8" t="s">
        <v>13996</v>
      </c>
      <c r="C580" s="2">
        <v>46194.416666666664</v>
      </c>
      <c r="D580" s="8" t="s">
        <v>13929</v>
      </c>
      <c r="E580" s="8" t="s">
        <v>71</v>
      </c>
      <c r="F580">
        <v>1</v>
      </c>
      <c r="G580" s="2">
        <v>46194.75</v>
      </c>
      <c r="H580" s="2">
        <v>46194.583333333336</v>
      </c>
    </row>
    <row r="581" spans="1:8" x14ac:dyDescent="0.25">
      <c r="A581" s="8" t="s">
        <v>2238</v>
      </c>
      <c r="B581" s="8" t="s">
        <v>13996</v>
      </c>
      <c r="C581" s="2">
        <v>46194.416666666664</v>
      </c>
      <c r="D581" s="8" t="s">
        <v>13929</v>
      </c>
      <c r="E581" s="8" t="s">
        <v>73</v>
      </c>
      <c r="F581">
        <v>4</v>
      </c>
      <c r="G581" s="2">
        <v>46194.75</v>
      </c>
      <c r="H581" s="2">
        <v>46194.583333333336</v>
      </c>
    </row>
    <row r="582" spans="1:8" x14ac:dyDescent="0.25">
      <c r="A582" s="8" t="s">
        <v>2241</v>
      </c>
      <c r="B582" s="8" t="s">
        <v>13997</v>
      </c>
      <c r="C582" s="2">
        <v>46194.416666666664</v>
      </c>
      <c r="D582" s="8" t="s">
        <v>13931</v>
      </c>
      <c r="E582" s="8" t="s">
        <v>11</v>
      </c>
      <c r="F582">
        <v>4</v>
      </c>
      <c r="G582" s="2">
        <v>46194.75</v>
      </c>
      <c r="H582" s="2">
        <v>46194.583333333336</v>
      </c>
    </row>
    <row r="583" spans="1:8" x14ac:dyDescent="0.25">
      <c r="A583" s="8" t="s">
        <v>2244</v>
      </c>
      <c r="B583" s="8" t="s">
        <v>13997</v>
      </c>
      <c r="C583" s="2">
        <v>46194.416666666664</v>
      </c>
      <c r="D583" s="8" t="s">
        <v>13931</v>
      </c>
      <c r="E583" s="8" t="s">
        <v>20</v>
      </c>
      <c r="F583">
        <v>3</v>
      </c>
      <c r="G583" s="2">
        <v>46194.75</v>
      </c>
      <c r="H583" s="2">
        <v>46194.583333333336</v>
      </c>
    </row>
    <row r="584" spans="1:8" x14ac:dyDescent="0.25">
      <c r="A584" s="8" t="s">
        <v>2247</v>
      </c>
      <c r="B584" s="8" t="s">
        <v>13997</v>
      </c>
      <c r="C584" s="2">
        <v>46194.416666666664</v>
      </c>
      <c r="D584" s="8" t="s">
        <v>13931</v>
      </c>
      <c r="E584" s="8" t="s">
        <v>24</v>
      </c>
      <c r="F584">
        <v>1</v>
      </c>
      <c r="G584" s="2">
        <v>46194.75</v>
      </c>
      <c r="H584" s="2">
        <v>46194.583333333336</v>
      </c>
    </row>
    <row r="585" spans="1:8" x14ac:dyDescent="0.25">
      <c r="A585" s="8" t="s">
        <v>2250</v>
      </c>
      <c r="B585" s="8" t="s">
        <v>13997</v>
      </c>
      <c r="C585" s="2">
        <v>46194.416666666664</v>
      </c>
      <c r="D585" s="8" t="s">
        <v>13931</v>
      </c>
      <c r="E585" s="8" t="s">
        <v>32</v>
      </c>
      <c r="F585">
        <v>6</v>
      </c>
      <c r="G585" s="2">
        <v>46194.75</v>
      </c>
      <c r="H585" s="2">
        <v>46194.583333333336</v>
      </c>
    </row>
    <row r="586" spans="1:8" x14ac:dyDescent="0.25">
      <c r="A586" s="8" t="s">
        <v>2253</v>
      </c>
      <c r="B586" s="8" t="s">
        <v>13997</v>
      </c>
      <c r="C586" s="2">
        <v>46194.416666666664</v>
      </c>
      <c r="D586" s="8" t="s">
        <v>13931</v>
      </c>
      <c r="E586" s="8" t="s">
        <v>43</v>
      </c>
      <c r="F586">
        <v>4</v>
      </c>
      <c r="G586" s="2">
        <v>46194.75</v>
      </c>
      <c r="H586" s="2">
        <v>46194.583333333336</v>
      </c>
    </row>
    <row r="587" spans="1:8" x14ac:dyDescent="0.25">
      <c r="A587" s="8" t="s">
        <v>2256</v>
      </c>
      <c r="B587" s="8" t="s">
        <v>13997</v>
      </c>
      <c r="C587" s="2">
        <v>46194.416666666664</v>
      </c>
      <c r="D587" s="8" t="s">
        <v>13931</v>
      </c>
      <c r="E587" s="8" t="s">
        <v>53</v>
      </c>
      <c r="F587">
        <v>5</v>
      </c>
      <c r="G587" s="2">
        <v>46194.75</v>
      </c>
      <c r="H587" s="2">
        <v>46194.583333333336</v>
      </c>
    </row>
    <row r="588" spans="1:8" x14ac:dyDescent="0.25">
      <c r="A588" s="8" t="s">
        <v>2259</v>
      </c>
      <c r="B588" s="8" t="s">
        <v>13997</v>
      </c>
      <c r="C588" s="2">
        <v>46194.416666666664</v>
      </c>
      <c r="D588" s="8" t="s">
        <v>13931</v>
      </c>
      <c r="E588" s="8" t="s">
        <v>57</v>
      </c>
      <c r="F588">
        <v>5</v>
      </c>
      <c r="G588" s="2">
        <v>46194.75</v>
      </c>
      <c r="H588" s="2">
        <v>46194.583333333336</v>
      </c>
    </row>
    <row r="589" spans="1:8" x14ac:dyDescent="0.25">
      <c r="A589" s="8" t="s">
        <v>2262</v>
      </c>
      <c r="B589" s="8" t="s">
        <v>13997</v>
      </c>
      <c r="C589" s="2">
        <v>46194.416666666664</v>
      </c>
      <c r="D589" s="8" t="s">
        <v>13931</v>
      </c>
      <c r="E589" s="8" t="s">
        <v>59</v>
      </c>
      <c r="F589">
        <v>4</v>
      </c>
      <c r="G589" s="2">
        <v>46194.75</v>
      </c>
      <c r="H589" s="2">
        <v>46194.583333333336</v>
      </c>
    </row>
    <row r="590" spans="1:8" x14ac:dyDescent="0.25">
      <c r="A590" s="8" t="s">
        <v>2265</v>
      </c>
      <c r="B590" s="8" t="s">
        <v>13997</v>
      </c>
      <c r="C590" s="2">
        <v>46194.416666666664</v>
      </c>
      <c r="D590" s="8" t="s">
        <v>13931</v>
      </c>
      <c r="E590" s="8" t="s">
        <v>65</v>
      </c>
      <c r="F590">
        <v>5</v>
      </c>
      <c r="G590" s="2">
        <v>46194.75</v>
      </c>
      <c r="H590" s="2">
        <v>46194.583333333336</v>
      </c>
    </row>
    <row r="591" spans="1:8" x14ac:dyDescent="0.25">
      <c r="A591" s="8" t="s">
        <v>2268</v>
      </c>
      <c r="B591" s="8" t="s">
        <v>13997</v>
      </c>
      <c r="C591" s="2">
        <v>46194.416666666664</v>
      </c>
      <c r="D591" s="8" t="s">
        <v>13931</v>
      </c>
      <c r="E591" s="8" t="s">
        <v>67</v>
      </c>
      <c r="F591">
        <v>5</v>
      </c>
      <c r="G591" s="2">
        <v>46194.75</v>
      </c>
      <c r="H591" s="2">
        <v>46194.583333333336</v>
      </c>
    </row>
    <row r="592" spans="1:8" x14ac:dyDescent="0.25">
      <c r="A592" s="8" t="s">
        <v>2271</v>
      </c>
      <c r="B592" s="8" t="s">
        <v>13998</v>
      </c>
      <c r="C592" s="2">
        <v>46194.416666666664</v>
      </c>
      <c r="D592" s="8" t="s">
        <v>13933</v>
      </c>
      <c r="E592" s="8" t="s">
        <v>11</v>
      </c>
      <c r="F592">
        <v>2</v>
      </c>
      <c r="G592" s="2">
        <v>46194.75</v>
      </c>
      <c r="H592" s="2">
        <v>46194.583333333336</v>
      </c>
    </row>
    <row r="593" spans="1:8" x14ac:dyDescent="0.25">
      <c r="A593" s="8" t="s">
        <v>2274</v>
      </c>
      <c r="B593" s="8" t="s">
        <v>13998</v>
      </c>
      <c r="C593" s="2">
        <v>46194.416666666664</v>
      </c>
      <c r="D593" s="8" t="s">
        <v>13933</v>
      </c>
      <c r="E593" s="8" t="s">
        <v>18</v>
      </c>
      <c r="F593">
        <v>8</v>
      </c>
      <c r="G593" s="2">
        <v>46194.75</v>
      </c>
      <c r="H593" s="2">
        <v>46194.583333333336</v>
      </c>
    </row>
    <row r="594" spans="1:8" x14ac:dyDescent="0.25">
      <c r="A594" s="8" t="s">
        <v>13999</v>
      </c>
      <c r="B594" s="8" t="s">
        <v>13998</v>
      </c>
      <c r="C594" s="2">
        <v>46194.416666666664</v>
      </c>
      <c r="D594" s="8" t="s">
        <v>13933</v>
      </c>
      <c r="E594" s="8" t="s">
        <v>20</v>
      </c>
      <c r="F594">
        <v>6</v>
      </c>
      <c r="G594" s="2">
        <v>46194.75</v>
      </c>
      <c r="H594" s="2"/>
    </row>
    <row r="595" spans="1:8" x14ac:dyDescent="0.25">
      <c r="A595" s="8" t="s">
        <v>2277</v>
      </c>
      <c r="B595" s="8" t="s">
        <v>13998</v>
      </c>
      <c r="C595" s="2">
        <v>46194.416666666664</v>
      </c>
      <c r="D595" s="8" t="s">
        <v>13933</v>
      </c>
      <c r="E595" s="8" t="s">
        <v>24</v>
      </c>
      <c r="F595">
        <v>8</v>
      </c>
      <c r="G595" s="2">
        <v>46194.75</v>
      </c>
      <c r="H595" s="2">
        <v>46194.583333333336</v>
      </c>
    </row>
    <row r="596" spans="1:8" x14ac:dyDescent="0.25">
      <c r="A596" s="8" t="s">
        <v>2280</v>
      </c>
      <c r="B596" s="8" t="s">
        <v>13998</v>
      </c>
      <c r="C596" s="2">
        <v>46194.416666666664</v>
      </c>
      <c r="D596" s="8" t="s">
        <v>13933</v>
      </c>
      <c r="E596" s="8" t="s">
        <v>26</v>
      </c>
      <c r="F596">
        <v>6</v>
      </c>
      <c r="G596" s="2">
        <v>46194.75</v>
      </c>
      <c r="H596" s="2">
        <v>46194.583333333336</v>
      </c>
    </row>
    <row r="597" spans="1:8" x14ac:dyDescent="0.25">
      <c r="A597" s="8" t="s">
        <v>2283</v>
      </c>
      <c r="B597" s="8" t="s">
        <v>13998</v>
      </c>
      <c r="C597" s="2">
        <v>46194.416666666664</v>
      </c>
      <c r="D597" s="8" t="s">
        <v>13933</v>
      </c>
      <c r="E597" s="8" t="s">
        <v>36</v>
      </c>
      <c r="F597">
        <v>8</v>
      </c>
      <c r="G597" s="2">
        <v>46194.75</v>
      </c>
      <c r="H597" s="2">
        <v>46194.583333333336</v>
      </c>
    </row>
    <row r="598" spans="1:8" x14ac:dyDescent="0.25">
      <c r="A598" s="8" t="s">
        <v>2286</v>
      </c>
      <c r="B598" s="8" t="s">
        <v>13998</v>
      </c>
      <c r="C598" s="2">
        <v>46194.416666666664</v>
      </c>
      <c r="D598" s="8" t="s">
        <v>13933</v>
      </c>
      <c r="E598" s="8" t="s">
        <v>43</v>
      </c>
      <c r="F598">
        <v>3</v>
      </c>
      <c r="G598" s="2">
        <v>46194.75</v>
      </c>
      <c r="H598" s="2">
        <v>46194.583333333336</v>
      </c>
    </row>
    <row r="599" spans="1:8" x14ac:dyDescent="0.25">
      <c r="A599" s="8" t="s">
        <v>2289</v>
      </c>
      <c r="B599" s="8" t="s">
        <v>13998</v>
      </c>
      <c r="C599" s="2">
        <v>46194.416666666664</v>
      </c>
      <c r="D599" s="8" t="s">
        <v>13933</v>
      </c>
      <c r="E599" s="8" t="s">
        <v>53</v>
      </c>
      <c r="F599">
        <v>6</v>
      </c>
      <c r="G599" s="2">
        <v>46194.75</v>
      </c>
      <c r="H599" s="2">
        <v>46194.583333333336</v>
      </c>
    </row>
    <row r="600" spans="1:8" x14ac:dyDescent="0.25">
      <c r="A600" s="8" t="s">
        <v>2292</v>
      </c>
      <c r="B600" s="8" t="s">
        <v>13998</v>
      </c>
      <c r="C600" s="2">
        <v>46194.416666666664</v>
      </c>
      <c r="D600" s="8" t="s">
        <v>13933</v>
      </c>
      <c r="E600" s="8" t="s">
        <v>55</v>
      </c>
      <c r="F600">
        <v>5</v>
      </c>
      <c r="G600" s="2">
        <v>46194.75</v>
      </c>
      <c r="H600" s="2">
        <v>46194.583333333336</v>
      </c>
    </row>
    <row r="601" spans="1:8" x14ac:dyDescent="0.25">
      <c r="A601" s="8" t="s">
        <v>2295</v>
      </c>
      <c r="B601" s="8" t="s">
        <v>13998</v>
      </c>
      <c r="C601" s="2">
        <v>46194.416666666664</v>
      </c>
      <c r="D601" s="8" t="s">
        <v>13933</v>
      </c>
      <c r="E601" s="8" t="s">
        <v>59</v>
      </c>
      <c r="F601">
        <v>6</v>
      </c>
      <c r="G601" s="2">
        <v>46194.75</v>
      </c>
      <c r="H601" s="2">
        <v>46194.583333333336</v>
      </c>
    </row>
    <row r="602" spans="1:8" x14ac:dyDescent="0.25">
      <c r="A602" s="8" t="s">
        <v>2298</v>
      </c>
      <c r="B602" s="8" t="s">
        <v>13998</v>
      </c>
      <c r="C602" s="2">
        <v>46194.416666666664</v>
      </c>
      <c r="D602" s="8" t="s">
        <v>13933</v>
      </c>
      <c r="E602" s="8" t="s">
        <v>65</v>
      </c>
      <c r="F602">
        <v>8</v>
      </c>
      <c r="G602" s="2">
        <v>46194.75</v>
      </c>
      <c r="H602" s="2">
        <v>46194.583333333336</v>
      </c>
    </row>
    <row r="603" spans="1:8" x14ac:dyDescent="0.25">
      <c r="A603" s="8" t="s">
        <v>2301</v>
      </c>
      <c r="B603" s="8" t="s">
        <v>13998</v>
      </c>
      <c r="C603" s="2">
        <v>46194.416666666664</v>
      </c>
      <c r="D603" s="8" t="s">
        <v>13933</v>
      </c>
      <c r="E603" s="8" t="s">
        <v>69</v>
      </c>
      <c r="F603">
        <v>6</v>
      </c>
      <c r="G603" s="2">
        <v>46194.75</v>
      </c>
      <c r="H603" s="2">
        <v>46194.583333333336</v>
      </c>
    </row>
    <row r="604" spans="1:8" x14ac:dyDescent="0.25">
      <c r="A604" s="8" t="s">
        <v>2304</v>
      </c>
      <c r="B604" s="8" t="s">
        <v>13998</v>
      </c>
      <c r="C604" s="2">
        <v>46194.416666666664</v>
      </c>
      <c r="D604" s="8" t="s">
        <v>13933</v>
      </c>
      <c r="E604" s="8" t="s">
        <v>71</v>
      </c>
      <c r="F604">
        <v>8</v>
      </c>
      <c r="G604" s="2">
        <v>46194.75</v>
      </c>
      <c r="H604" s="2">
        <v>46194.583333333336</v>
      </c>
    </row>
    <row r="605" spans="1:8" x14ac:dyDescent="0.25">
      <c r="A605" s="8" t="s">
        <v>2309</v>
      </c>
      <c r="B605" s="8" t="s">
        <v>13998</v>
      </c>
      <c r="C605" s="2">
        <v>46194.416666666664</v>
      </c>
      <c r="D605" s="8" t="s">
        <v>13933</v>
      </c>
      <c r="E605" s="8" t="s">
        <v>75</v>
      </c>
      <c r="F605">
        <v>3</v>
      </c>
      <c r="G605" s="2">
        <v>46194.75</v>
      </c>
      <c r="H605" s="2">
        <v>46194.583333333336</v>
      </c>
    </row>
    <row r="606" spans="1:8" x14ac:dyDescent="0.25">
      <c r="A606" s="8" t="s">
        <v>2312</v>
      </c>
      <c r="B606" s="8" t="s">
        <v>14000</v>
      </c>
      <c r="C606" s="2">
        <v>46194.416666666664</v>
      </c>
      <c r="D606" s="8" t="s">
        <v>13935</v>
      </c>
      <c r="E606" s="8" t="s">
        <v>11</v>
      </c>
      <c r="F606">
        <v>4</v>
      </c>
      <c r="G606" s="2">
        <v>46194.75</v>
      </c>
      <c r="H606" s="2">
        <v>46194.583333333336</v>
      </c>
    </row>
    <row r="607" spans="1:8" x14ac:dyDescent="0.25">
      <c r="A607" s="8" t="s">
        <v>14001</v>
      </c>
      <c r="B607" s="8" t="s">
        <v>14000</v>
      </c>
      <c r="C607" s="2">
        <v>46194.416666666664</v>
      </c>
      <c r="D607" s="8" t="s">
        <v>13935</v>
      </c>
      <c r="E607" s="8" t="s">
        <v>22</v>
      </c>
      <c r="F607">
        <v>5</v>
      </c>
      <c r="G607" s="2">
        <v>46194.75</v>
      </c>
      <c r="H607" s="2"/>
    </row>
    <row r="608" spans="1:8" x14ac:dyDescent="0.25">
      <c r="A608" s="8" t="s">
        <v>2315</v>
      </c>
      <c r="B608" s="8" t="s">
        <v>14000</v>
      </c>
      <c r="C608" s="2">
        <v>46194.416666666664</v>
      </c>
      <c r="D608" s="8" t="s">
        <v>13935</v>
      </c>
      <c r="E608" s="8" t="s">
        <v>24</v>
      </c>
      <c r="F608">
        <v>4</v>
      </c>
      <c r="G608" s="2">
        <v>46194.75</v>
      </c>
      <c r="H608" s="2">
        <v>46194.583333333336</v>
      </c>
    </row>
    <row r="609" spans="1:8" x14ac:dyDescent="0.25">
      <c r="A609" s="8" t="s">
        <v>2318</v>
      </c>
      <c r="B609" s="8" t="s">
        <v>14000</v>
      </c>
      <c r="C609" s="2">
        <v>46194.416666666664</v>
      </c>
      <c r="D609" s="8" t="s">
        <v>13935</v>
      </c>
      <c r="E609" s="8" t="s">
        <v>28</v>
      </c>
      <c r="F609">
        <v>4</v>
      </c>
      <c r="G609" s="2">
        <v>46194.75</v>
      </c>
      <c r="H609" s="2">
        <v>46194.583333333336</v>
      </c>
    </row>
    <row r="610" spans="1:8" x14ac:dyDescent="0.25">
      <c r="A610" s="8" t="s">
        <v>2321</v>
      </c>
      <c r="B610" s="8" t="s">
        <v>14000</v>
      </c>
      <c r="C610" s="2">
        <v>46194.416666666664</v>
      </c>
      <c r="D610" s="8" t="s">
        <v>13935</v>
      </c>
      <c r="E610" s="8" t="s">
        <v>49</v>
      </c>
      <c r="F610">
        <v>4</v>
      </c>
      <c r="G610" s="2">
        <v>46194.75</v>
      </c>
      <c r="H610" s="2">
        <v>46194.583333333336</v>
      </c>
    </row>
    <row r="611" spans="1:8" x14ac:dyDescent="0.25">
      <c r="A611" s="8" t="s">
        <v>2326</v>
      </c>
      <c r="B611" s="8" t="s">
        <v>14000</v>
      </c>
      <c r="C611" s="2">
        <v>46194.416666666664</v>
      </c>
      <c r="D611" s="8" t="s">
        <v>13935</v>
      </c>
      <c r="E611" s="8" t="s">
        <v>51</v>
      </c>
      <c r="F611">
        <v>2</v>
      </c>
      <c r="G611" s="2">
        <v>46194.75</v>
      </c>
      <c r="H611" s="2">
        <v>46194.583333333336</v>
      </c>
    </row>
    <row r="612" spans="1:8" x14ac:dyDescent="0.25">
      <c r="A612" s="8" t="s">
        <v>2329</v>
      </c>
      <c r="B612" s="8" t="s">
        <v>14000</v>
      </c>
      <c r="C612" s="2">
        <v>46194.416666666664</v>
      </c>
      <c r="D612" s="8" t="s">
        <v>13935</v>
      </c>
      <c r="E612" s="8" t="s">
        <v>69</v>
      </c>
      <c r="F612">
        <v>4</v>
      </c>
      <c r="G612" s="2">
        <v>46194.75</v>
      </c>
      <c r="H612" s="2">
        <v>46194.583333333336</v>
      </c>
    </row>
    <row r="613" spans="1:8" x14ac:dyDescent="0.25">
      <c r="A613" s="8" t="s">
        <v>2332</v>
      </c>
      <c r="B613" s="8" t="s">
        <v>14002</v>
      </c>
      <c r="C613" s="2">
        <v>46194.416666666664</v>
      </c>
      <c r="D613" s="8" t="s">
        <v>13937</v>
      </c>
      <c r="E613" s="8" t="s">
        <v>11</v>
      </c>
      <c r="F613">
        <v>1</v>
      </c>
      <c r="G613" s="2">
        <v>46194.75</v>
      </c>
      <c r="H613" s="2">
        <v>46194.583333333336</v>
      </c>
    </row>
    <row r="614" spans="1:8" x14ac:dyDescent="0.25">
      <c r="A614" s="8" t="s">
        <v>2335</v>
      </c>
      <c r="B614" s="8" t="s">
        <v>14002</v>
      </c>
      <c r="C614" s="2">
        <v>46194.416666666664</v>
      </c>
      <c r="D614" s="8" t="s">
        <v>13937</v>
      </c>
      <c r="E614" s="8" t="s">
        <v>18</v>
      </c>
      <c r="F614">
        <v>6</v>
      </c>
      <c r="G614" s="2">
        <v>46194.75</v>
      </c>
      <c r="H614" s="2">
        <v>46194.583333333336</v>
      </c>
    </row>
    <row r="615" spans="1:8" x14ac:dyDescent="0.25">
      <c r="A615" s="8" t="s">
        <v>14003</v>
      </c>
      <c r="B615" s="8" t="s">
        <v>14002</v>
      </c>
      <c r="C615" s="2">
        <v>46194.416666666664</v>
      </c>
      <c r="D615" s="8" t="s">
        <v>13937</v>
      </c>
      <c r="E615" s="8" t="s">
        <v>20</v>
      </c>
      <c r="F615">
        <v>5</v>
      </c>
      <c r="G615" s="2">
        <v>46194.75</v>
      </c>
      <c r="H615" s="2"/>
    </row>
    <row r="616" spans="1:8" x14ac:dyDescent="0.25">
      <c r="A616" s="8" t="s">
        <v>2338</v>
      </c>
      <c r="B616" s="8" t="s">
        <v>14002</v>
      </c>
      <c r="C616" s="2">
        <v>46194.416666666664</v>
      </c>
      <c r="D616" s="8" t="s">
        <v>13937</v>
      </c>
      <c r="E616" s="8" t="s">
        <v>30</v>
      </c>
      <c r="F616">
        <v>5</v>
      </c>
      <c r="G616" s="2">
        <v>46194.75</v>
      </c>
      <c r="H616" s="2">
        <v>46194.583333333336</v>
      </c>
    </row>
    <row r="617" spans="1:8" x14ac:dyDescent="0.25">
      <c r="A617" s="8" t="s">
        <v>2341</v>
      </c>
      <c r="B617" s="8" t="s">
        <v>14002</v>
      </c>
      <c r="C617" s="2">
        <v>46194.416666666664</v>
      </c>
      <c r="D617" s="8" t="s">
        <v>13937</v>
      </c>
      <c r="E617" s="8" t="s">
        <v>45</v>
      </c>
      <c r="F617">
        <v>5</v>
      </c>
      <c r="G617" s="2">
        <v>46194.75</v>
      </c>
      <c r="H617" s="2">
        <v>46194.583333333336</v>
      </c>
    </row>
    <row r="618" spans="1:8" x14ac:dyDescent="0.25">
      <c r="A618" s="8" t="s">
        <v>2344</v>
      </c>
      <c r="B618" s="8" t="s">
        <v>14002</v>
      </c>
      <c r="C618" s="2">
        <v>46194.416666666664</v>
      </c>
      <c r="D618" s="8" t="s">
        <v>13937</v>
      </c>
      <c r="E618" s="8" t="s">
        <v>51</v>
      </c>
      <c r="F618">
        <v>4</v>
      </c>
      <c r="G618" s="2">
        <v>46194.75</v>
      </c>
      <c r="H618" s="2">
        <v>46194.583333333336</v>
      </c>
    </row>
    <row r="619" spans="1:8" x14ac:dyDescent="0.25">
      <c r="A619" s="8" t="s">
        <v>2347</v>
      </c>
      <c r="B619" s="8" t="s">
        <v>14002</v>
      </c>
      <c r="C619" s="2">
        <v>46194.416666666664</v>
      </c>
      <c r="D619" s="8" t="s">
        <v>13937</v>
      </c>
      <c r="E619" s="8" t="s">
        <v>57</v>
      </c>
      <c r="F619">
        <v>1</v>
      </c>
      <c r="G619" s="2">
        <v>46194.75</v>
      </c>
      <c r="H619" s="2">
        <v>46194.583333333336</v>
      </c>
    </row>
    <row r="620" spans="1:8" x14ac:dyDescent="0.25">
      <c r="A620" s="8" t="s">
        <v>2350</v>
      </c>
      <c r="B620" s="8" t="s">
        <v>14002</v>
      </c>
      <c r="C620" s="2">
        <v>46194.416666666664</v>
      </c>
      <c r="D620" s="8" t="s">
        <v>13937</v>
      </c>
      <c r="E620" s="8" t="s">
        <v>65</v>
      </c>
      <c r="F620">
        <v>5</v>
      </c>
      <c r="G620" s="2">
        <v>46194.75</v>
      </c>
      <c r="H620" s="2">
        <v>46194.583333333336</v>
      </c>
    </row>
    <row r="621" spans="1:8" x14ac:dyDescent="0.25">
      <c r="A621" s="8" t="s">
        <v>2355</v>
      </c>
      <c r="B621" s="8" t="s">
        <v>14002</v>
      </c>
      <c r="C621" s="2">
        <v>46194.416666666664</v>
      </c>
      <c r="D621" s="8" t="s">
        <v>13937</v>
      </c>
      <c r="E621" s="8" t="s">
        <v>69</v>
      </c>
      <c r="F621">
        <v>5</v>
      </c>
      <c r="G621" s="2">
        <v>46194.75</v>
      </c>
      <c r="H621" s="2">
        <v>46194.583333333336</v>
      </c>
    </row>
    <row r="622" spans="1:8" x14ac:dyDescent="0.25">
      <c r="A622" s="8" t="s">
        <v>14004</v>
      </c>
      <c r="B622" s="8" t="s">
        <v>14005</v>
      </c>
      <c r="C622" s="2">
        <v>46195.416666666664</v>
      </c>
      <c r="D622" s="8" t="s">
        <v>13929</v>
      </c>
      <c r="E622" s="8" t="s">
        <v>20</v>
      </c>
      <c r="F622">
        <v>2</v>
      </c>
      <c r="G622" s="2">
        <v>46195.75</v>
      </c>
      <c r="H622" s="2"/>
    </row>
    <row r="623" spans="1:8" x14ac:dyDescent="0.25">
      <c r="A623" s="8" t="s">
        <v>14006</v>
      </c>
      <c r="B623" s="8" t="s">
        <v>14005</v>
      </c>
      <c r="C623" s="2">
        <v>46195.416666666664</v>
      </c>
      <c r="D623" s="8" t="s">
        <v>13929</v>
      </c>
      <c r="E623" s="8" t="s">
        <v>22</v>
      </c>
      <c r="F623">
        <v>2</v>
      </c>
      <c r="G623" s="2">
        <v>46195.75</v>
      </c>
      <c r="H623" s="2"/>
    </row>
    <row r="624" spans="1:8" x14ac:dyDescent="0.25">
      <c r="A624" s="8" t="s">
        <v>2358</v>
      </c>
      <c r="B624" s="8" t="s">
        <v>14005</v>
      </c>
      <c r="C624" s="2">
        <v>46195.416666666664</v>
      </c>
      <c r="D624" s="8" t="s">
        <v>13929</v>
      </c>
      <c r="E624" s="8" t="s">
        <v>26</v>
      </c>
      <c r="F624">
        <v>2</v>
      </c>
      <c r="G624" s="2">
        <v>46195.75</v>
      </c>
      <c r="H624" s="2">
        <v>46195.583333333336</v>
      </c>
    </row>
    <row r="625" spans="1:8" x14ac:dyDescent="0.25">
      <c r="A625" s="8" t="s">
        <v>2361</v>
      </c>
      <c r="B625" s="8" t="s">
        <v>14005</v>
      </c>
      <c r="C625" s="2">
        <v>46195.416666666664</v>
      </c>
      <c r="D625" s="8" t="s">
        <v>13929</v>
      </c>
      <c r="E625" s="8" t="s">
        <v>45</v>
      </c>
      <c r="F625">
        <v>1</v>
      </c>
      <c r="G625" s="2">
        <v>46195.75</v>
      </c>
      <c r="H625" s="2">
        <v>46195.583333333336</v>
      </c>
    </row>
    <row r="626" spans="1:8" x14ac:dyDescent="0.25">
      <c r="A626" s="8" t="s">
        <v>2364</v>
      </c>
      <c r="B626" s="8" t="s">
        <v>14005</v>
      </c>
      <c r="C626" s="2">
        <v>46195.416666666664</v>
      </c>
      <c r="D626" s="8" t="s">
        <v>13929</v>
      </c>
      <c r="E626" s="8" t="s">
        <v>49</v>
      </c>
      <c r="F626">
        <v>2</v>
      </c>
      <c r="G626" s="2">
        <v>46195.75</v>
      </c>
      <c r="H626" s="2">
        <v>46195.583333333336</v>
      </c>
    </row>
    <row r="627" spans="1:8" x14ac:dyDescent="0.25">
      <c r="A627" s="8" t="s">
        <v>2367</v>
      </c>
      <c r="B627" s="8" t="s">
        <v>14005</v>
      </c>
      <c r="C627" s="2">
        <v>46195.416666666664</v>
      </c>
      <c r="D627" s="8" t="s">
        <v>13929</v>
      </c>
      <c r="E627" s="8" t="s">
        <v>69</v>
      </c>
      <c r="F627">
        <v>2</v>
      </c>
      <c r="G627" s="2">
        <v>46195.75</v>
      </c>
      <c r="H627" s="2">
        <v>46195.583333333336</v>
      </c>
    </row>
    <row r="628" spans="1:8" x14ac:dyDescent="0.25">
      <c r="A628" s="8" t="s">
        <v>2370</v>
      </c>
      <c r="B628" s="8" t="s">
        <v>14005</v>
      </c>
      <c r="C628" s="2">
        <v>46195.416666666664</v>
      </c>
      <c r="D628" s="8" t="s">
        <v>13929</v>
      </c>
      <c r="E628" s="8" t="s">
        <v>71</v>
      </c>
      <c r="F628">
        <v>2</v>
      </c>
      <c r="G628" s="2">
        <v>46195.75</v>
      </c>
      <c r="H628" s="2">
        <v>46195.583333333336</v>
      </c>
    </row>
    <row r="629" spans="1:8" x14ac:dyDescent="0.25">
      <c r="A629" s="8" t="s">
        <v>2373</v>
      </c>
      <c r="B629" s="8" t="s">
        <v>14007</v>
      </c>
      <c r="C629" s="2">
        <v>46195.416666666664</v>
      </c>
      <c r="D629" s="8" t="s">
        <v>13931</v>
      </c>
      <c r="E629" s="8" t="s">
        <v>18</v>
      </c>
      <c r="F629">
        <v>1</v>
      </c>
      <c r="G629" s="2">
        <v>46195.75</v>
      </c>
      <c r="H629" s="2">
        <v>46195.583333333336</v>
      </c>
    </row>
    <row r="630" spans="1:8" x14ac:dyDescent="0.25">
      <c r="A630" s="8" t="s">
        <v>2376</v>
      </c>
      <c r="B630" s="8" t="s">
        <v>14007</v>
      </c>
      <c r="C630" s="2">
        <v>46195.416666666664</v>
      </c>
      <c r="D630" s="8" t="s">
        <v>13931</v>
      </c>
      <c r="E630" s="8" t="s">
        <v>26</v>
      </c>
      <c r="F630">
        <v>4</v>
      </c>
      <c r="G630" s="2">
        <v>46195.75</v>
      </c>
      <c r="H630" s="2">
        <v>46195.583333333336</v>
      </c>
    </row>
    <row r="631" spans="1:8" x14ac:dyDescent="0.25">
      <c r="A631" s="8" t="s">
        <v>2379</v>
      </c>
      <c r="B631" s="8" t="s">
        <v>14007</v>
      </c>
      <c r="C631" s="2">
        <v>46195.416666666664</v>
      </c>
      <c r="D631" s="8" t="s">
        <v>13931</v>
      </c>
      <c r="E631" s="8" t="s">
        <v>45</v>
      </c>
      <c r="F631">
        <v>4</v>
      </c>
      <c r="G631" s="2">
        <v>46195.75</v>
      </c>
      <c r="H631" s="2">
        <v>46195.583333333336</v>
      </c>
    </row>
    <row r="632" spans="1:8" x14ac:dyDescent="0.25">
      <c r="A632" s="8" t="s">
        <v>2382</v>
      </c>
      <c r="B632" s="8" t="s">
        <v>14007</v>
      </c>
      <c r="C632" s="2">
        <v>46195.416666666664</v>
      </c>
      <c r="D632" s="8" t="s">
        <v>13931</v>
      </c>
      <c r="E632" s="8" t="s">
        <v>57</v>
      </c>
      <c r="F632">
        <v>5</v>
      </c>
      <c r="G632" s="2">
        <v>46195.75</v>
      </c>
      <c r="H632" s="2">
        <v>46195.583333333336</v>
      </c>
    </row>
    <row r="633" spans="1:8" x14ac:dyDescent="0.25">
      <c r="A633" s="8" t="s">
        <v>2385</v>
      </c>
      <c r="B633" s="8" t="s">
        <v>14007</v>
      </c>
      <c r="C633" s="2">
        <v>46195.416666666664</v>
      </c>
      <c r="D633" s="8" t="s">
        <v>13931</v>
      </c>
      <c r="E633" s="8" t="s">
        <v>71</v>
      </c>
      <c r="F633">
        <v>2</v>
      </c>
      <c r="G633" s="2">
        <v>46195.75</v>
      </c>
      <c r="H633" s="2">
        <v>46195.583333333336</v>
      </c>
    </row>
    <row r="634" spans="1:8" x14ac:dyDescent="0.25">
      <c r="A634" s="8" t="s">
        <v>2388</v>
      </c>
      <c r="B634" s="8" t="s">
        <v>14007</v>
      </c>
      <c r="C634" s="2">
        <v>46195.416666666664</v>
      </c>
      <c r="D634" s="8" t="s">
        <v>13931</v>
      </c>
      <c r="E634" s="8" t="s">
        <v>73</v>
      </c>
      <c r="F634">
        <v>2</v>
      </c>
      <c r="G634" s="2">
        <v>46195.75</v>
      </c>
      <c r="H634" s="2">
        <v>46195.583333333336</v>
      </c>
    </row>
    <row r="635" spans="1:8" x14ac:dyDescent="0.25">
      <c r="A635" s="8" t="s">
        <v>2391</v>
      </c>
      <c r="B635" s="8" t="s">
        <v>14008</v>
      </c>
      <c r="C635" s="2">
        <v>46195.416666666664</v>
      </c>
      <c r="D635" s="8" t="s">
        <v>13933</v>
      </c>
      <c r="E635" s="8" t="s">
        <v>18</v>
      </c>
      <c r="F635">
        <v>2</v>
      </c>
      <c r="G635" s="2">
        <v>46195.75</v>
      </c>
      <c r="H635" s="2">
        <v>46195.583333333336</v>
      </c>
    </row>
    <row r="636" spans="1:8" x14ac:dyDescent="0.25">
      <c r="A636" s="8" t="s">
        <v>14009</v>
      </c>
      <c r="B636" s="8" t="s">
        <v>14008</v>
      </c>
      <c r="C636" s="2">
        <v>46195.416666666664</v>
      </c>
      <c r="D636" s="8" t="s">
        <v>13933</v>
      </c>
      <c r="E636" s="8" t="s">
        <v>22</v>
      </c>
      <c r="F636">
        <v>4</v>
      </c>
      <c r="G636" s="2">
        <v>46195.75</v>
      </c>
      <c r="H636" s="2"/>
    </row>
    <row r="637" spans="1:8" x14ac:dyDescent="0.25">
      <c r="A637" s="8" t="s">
        <v>2394</v>
      </c>
      <c r="B637" s="8" t="s">
        <v>14008</v>
      </c>
      <c r="C637" s="2">
        <v>46195.416666666664</v>
      </c>
      <c r="D637" s="8" t="s">
        <v>13933</v>
      </c>
      <c r="E637" s="8" t="s">
        <v>24</v>
      </c>
      <c r="F637">
        <v>6</v>
      </c>
      <c r="G637" s="2">
        <v>46195.75</v>
      </c>
      <c r="H637" s="2">
        <v>46195.583333333336</v>
      </c>
    </row>
    <row r="638" spans="1:8" x14ac:dyDescent="0.25">
      <c r="A638" s="8" t="s">
        <v>2397</v>
      </c>
      <c r="B638" s="8" t="s">
        <v>14008</v>
      </c>
      <c r="C638" s="2">
        <v>46195.416666666664</v>
      </c>
      <c r="D638" s="8" t="s">
        <v>13933</v>
      </c>
      <c r="E638" s="8" t="s">
        <v>26</v>
      </c>
      <c r="F638">
        <v>5</v>
      </c>
      <c r="G638" s="2">
        <v>46195.75</v>
      </c>
      <c r="H638" s="2">
        <v>46195.583333333336</v>
      </c>
    </row>
    <row r="639" spans="1:8" x14ac:dyDescent="0.25">
      <c r="A639" s="8" t="s">
        <v>2400</v>
      </c>
      <c r="B639" s="8" t="s">
        <v>14008</v>
      </c>
      <c r="C639" s="2">
        <v>46195.416666666664</v>
      </c>
      <c r="D639" s="8" t="s">
        <v>13933</v>
      </c>
      <c r="E639" s="8" t="s">
        <v>32</v>
      </c>
      <c r="F639">
        <v>4</v>
      </c>
      <c r="G639" s="2">
        <v>46195.75</v>
      </c>
      <c r="H639" s="2">
        <v>46195.583333333336</v>
      </c>
    </row>
    <row r="640" spans="1:8" x14ac:dyDescent="0.25">
      <c r="A640" s="8" t="s">
        <v>2403</v>
      </c>
      <c r="B640" s="8" t="s">
        <v>14008</v>
      </c>
      <c r="C640" s="2">
        <v>46195.416666666664</v>
      </c>
      <c r="D640" s="8" t="s">
        <v>13933</v>
      </c>
      <c r="E640" s="8" t="s">
        <v>41</v>
      </c>
      <c r="F640">
        <v>6</v>
      </c>
      <c r="G640" s="2">
        <v>46195.75</v>
      </c>
      <c r="H640" s="2">
        <v>46195.583333333336</v>
      </c>
    </row>
    <row r="641" spans="1:8" x14ac:dyDescent="0.25">
      <c r="A641" s="8" t="s">
        <v>2406</v>
      </c>
      <c r="B641" s="8" t="s">
        <v>14008</v>
      </c>
      <c r="C641" s="2">
        <v>46195.416666666664</v>
      </c>
      <c r="D641" s="8" t="s">
        <v>13933</v>
      </c>
      <c r="E641" s="8" t="s">
        <v>47</v>
      </c>
      <c r="F641">
        <v>2</v>
      </c>
      <c r="G641" s="2">
        <v>46195.75</v>
      </c>
      <c r="H641" s="2">
        <v>46195.583333333336</v>
      </c>
    </row>
    <row r="642" spans="1:8" x14ac:dyDescent="0.25">
      <c r="A642" s="8" t="s">
        <v>2409</v>
      </c>
      <c r="B642" s="8" t="s">
        <v>14008</v>
      </c>
      <c r="C642" s="2">
        <v>46195.416666666664</v>
      </c>
      <c r="D642" s="8" t="s">
        <v>13933</v>
      </c>
      <c r="E642" s="8" t="s">
        <v>65</v>
      </c>
      <c r="F642">
        <v>6</v>
      </c>
      <c r="G642" s="2">
        <v>46195.75</v>
      </c>
      <c r="H642" s="2">
        <v>46195.583333333336</v>
      </c>
    </row>
    <row r="643" spans="1:8" x14ac:dyDescent="0.25">
      <c r="A643" s="8" t="s">
        <v>2412</v>
      </c>
      <c r="B643" s="8" t="s">
        <v>14008</v>
      </c>
      <c r="C643" s="2">
        <v>46195.416666666664</v>
      </c>
      <c r="D643" s="8" t="s">
        <v>13933</v>
      </c>
      <c r="E643" s="8" t="s">
        <v>67</v>
      </c>
      <c r="F643">
        <v>6</v>
      </c>
      <c r="G643" s="2">
        <v>46195.75</v>
      </c>
      <c r="H643" s="2">
        <v>46195.583333333336</v>
      </c>
    </row>
    <row r="644" spans="1:8" x14ac:dyDescent="0.25">
      <c r="A644" s="8" t="s">
        <v>2415</v>
      </c>
      <c r="B644" s="8" t="s">
        <v>14008</v>
      </c>
      <c r="C644" s="2">
        <v>46195.416666666664</v>
      </c>
      <c r="D644" s="8" t="s">
        <v>13933</v>
      </c>
      <c r="E644" s="8" t="s">
        <v>71</v>
      </c>
      <c r="F644">
        <v>1</v>
      </c>
      <c r="G644" s="2">
        <v>46195.75</v>
      </c>
      <c r="H644" s="2">
        <v>46195.583333333336</v>
      </c>
    </row>
    <row r="645" spans="1:8" x14ac:dyDescent="0.25">
      <c r="A645" s="8" t="s">
        <v>2418</v>
      </c>
      <c r="B645" s="8" t="s">
        <v>14010</v>
      </c>
      <c r="C645" s="2">
        <v>46195.416666666664</v>
      </c>
      <c r="D645" s="8" t="s">
        <v>13935</v>
      </c>
      <c r="E645" s="8" t="s">
        <v>18</v>
      </c>
      <c r="F645">
        <v>7</v>
      </c>
      <c r="G645" s="2">
        <v>46195.75</v>
      </c>
      <c r="H645" s="2">
        <v>46195.583333333336</v>
      </c>
    </row>
    <row r="646" spans="1:8" x14ac:dyDescent="0.25">
      <c r="A646" s="8" t="s">
        <v>14011</v>
      </c>
      <c r="B646" s="8" t="s">
        <v>14010</v>
      </c>
      <c r="C646" s="2">
        <v>46195.416666666664</v>
      </c>
      <c r="D646" s="8" t="s">
        <v>13935</v>
      </c>
      <c r="E646" s="8" t="s">
        <v>22</v>
      </c>
      <c r="F646">
        <v>7</v>
      </c>
      <c r="G646" s="2">
        <v>46195.75</v>
      </c>
      <c r="H646" s="2"/>
    </row>
    <row r="647" spans="1:8" x14ac:dyDescent="0.25">
      <c r="A647" s="8" t="s">
        <v>2421</v>
      </c>
      <c r="B647" s="8" t="s">
        <v>14010</v>
      </c>
      <c r="C647" s="2">
        <v>46195.416666666664</v>
      </c>
      <c r="D647" s="8" t="s">
        <v>13935</v>
      </c>
      <c r="E647" s="8" t="s">
        <v>24</v>
      </c>
      <c r="F647">
        <v>3</v>
      </c>
      <c r="G647" s="2">
        <v>46195.75</v>
      </c>
      <c r="H647" s="2">
        <v>46195.583333333336</v>
      </c>
    </row>
    <row r="648" spans="1:8" x14ac:dyDescent="0.25">
      <c r="A648" s="8" t="s">
        <v>2424</v>
      </c>
      <c r="B648" s="8" t="s">
        <v>14010</v>
      </c>
      <c r="C648" s="2">
        <v>46195.416666666664</v>
      </c>
      <c r="D648" s="8" t="s">
        <v>13935</v>
      </c>
      <c r="E648" s="8" t="s">
        <v>26</v>
      </c>
      <c r="F648">
        <v>3</v>
      </c>
      <c r="G648" s="2">
        <v>46195.75</v>
      </c>
      <c r="H648" s="2">
        <v>46195.583333333336</v>
      </c>
    </row>
    <row r="649" spans="1:8" x14ac:dyDescent="0.25">
      <c r="A649" s="8" t="s">
        <v>2427</v>
      </c>
      <c r="B649" s="8" t="s">
        <v>14010</v>
      </c>
      <c r="C649" s="2">
        <v>46195.416666666664</v>
      </c>
      <c r="D649" s="8" t="s">
        <v>13935</v>
      </c>
      <c r="E649" s="8" t="s">
        <v>28</v>
      </c>
      <c r="F649">
        <v>4</v>
      </c>
      <c r="G649" s="2">
        <v>46195.75</v>
      </c>
      <c r="H649" s="2">
        <v>46195.583333333336</v>
      </c>
    </row>
    <row r="650" spans="1:8" x14ac:dyDescent="0.25">
      <c r="A650" s="8" t="s">
        <v>2430</v>
      </c>
      <c r="B650" s="8" t="s">
        <v>14010</v>
      </c>
      <c r="C650" s="2">
        <v>46195.416666666664</v>
      </c>
      <c r="D650" s="8" t="s">
        <v>13935</v>
      </c>
      <c r="E650" s="8" t="s">
        <v>41</v>
      </c>
      <c r="F650">
        <v>3</v>
      </c>
      <c r="G650" s="2">
        <v>46195.75</v>
      </c>
      <c r="H650" s="2">
        <v>46195.583333333336</v>
      </c>
    </row>
    <row r="651" spans="1:8" x14ac:dyDescent="0.25">
      <c r="A651" s="8" t="s">
        <v>2433</v>
      </c>
      <c r="B651" s="8" t="s">
        <v>14010</v>
      </c>
      <c r="C651" s="2">
        <v>46195.416666666664</v>
      </c>
      <c r="D651" s="8" t="s">
        <v>13935</v>
      </c>
      <c r="E651" s="8" t="s">
        <v>67</v>
      </c>
      <c r="F651">
        <v>6</v>
      </c>
      <c r="G651" s="2">
        <v>46195.75</v>
      </c>
      <c r="H651" s="2">
        <v>46195.583333333336</v>
      </c>
    </row>
    <row r="652" spans="1:8" x14ac:dyDescent="0.25">
      <c r="A652" s="8" t="s">
        <v>14012</v>
      </c>
      <c r="B652" s="8" t="s">
        <v>14013</v>
      </c>
      <c r="C652" s="2">
        <v>46195.416666666664</v>
      </c>
      <c r="D652" s="8" t="s">
        <v>13937</v>
      </c>
      <c r="E652" s="8" t="s">
        <v>20</v>
      </c>
      <c r="F652">
        <v>4</v>
      </c>
      <c r="G652" s="2">
        <v>46195.75</v>
      </c>
      <c r="H652" s="2"/>
    </row>
    <row r="653" spans="1:8" x14ac:dyDescent="0.25">
      <c r="A653" s="8" t="s">
        <v>14014</v>
      </c>
      <c r="B653" s="8" t="s">
        <v>14013</v>
      </c>
      <c r="C653" s="2">
        <v>46195.416666666664</v>
      </c>
      <c r="D653" s="8" t="s">
        <v>13937</v>
      </c>
      <c r="E653" s="8" t="s">
        <v>22</v>
      </c>
      <c r="F653">
        <v>4</v>
      </c>
      <c r="G653" s="2">
        <v>46195.75</v>
      </c>
      <c r="H653" s="2"/>
    </row>
    <row r="654" spans="1:8" x14ac:dyDescent="0.25">
      <c r="A654" s="8" t="s">
        <v>2436</v>
      </c>
      <c r="B654" s="8" t="s">
        <v>14013</v>
      </c>
      <c r="C654" s="2">
        <v>46195.416666666664</v>
      </c>
      <c r="D654" s="8" t="s">
        <v>13937</v>
      </c>
      <c r="E654" s="8" t="s">
        <v>24</v>
      </c>
      <c r="F654">
        <v>4</v>
      </c>
      <c r="G654" s="2">
        <v>46195.75</v>
      </c>
      <c r="H654" s="2">
        <v>46195.583333333336</v>
      </c>
    </row>
    <row r="655" spans="1:8" x14ac:dyDescent="0.25">
      <c r="A655" s="8" t="s">
        <v>2439</v>
      </c>
      <c r="B655" s="8" t="s">
        <v>14013</v>
      </c>
      <c r="C655" s="2">
        <v>46195.416666666664</v>
      </c>
      <c r="D655" s="8" t="s">
        <v>13937</v>
      </c>
      <c r="E655" s="8" t="s">
        <v>26</v>
      </c>
      <c r="F655">
        <v>1</v>
      </c>
      <c r="G655" s="2">
        <v>46195.75</v>
      </c>
      <c r="H655" s="2">
        <v>46195.583333333336</v>
      </c>
    </row>
    <row r="656" spans="1:8" x14ac:dyDescent="0.25">
      <c r="A656" s="8" t="s">
        <v>2442</v>
      </c>
      <c r="B656" s="8" t="s">
        <v>14013</v>
      </c>
      <c r="C656" s="2">
        <v>46195.416666666664</v>
      </c>
      <c r="D656" s="8" t="s">
        <v>13937</v>
      </c>
      <c r="E656" s="8" t="s">
        <v>30</v>
      </c>
      <c r="F656">
        <v>4</v>
      </c>
      <c r="G656" s="2">
        <v>46195.75</v>
      </c>
      <c r="H656" s="2">
        <v>46195.583333333336</v>
      </c>
    </row>
    <row r="657" spans="1:8" x14ac:dyDescent="0.25">
      <c r="A657" s="8" t="s">
        <v>2445</v>
      </c>
      <c r="B657" s="8" t="s">
        <v>14013</v>
      </c>
      <c r="C657" s="2">
        <v>46195.416666666664</v>
      </c>
      <c r="D657" s="8" t="s">
        <v>13937</v>
      </c>
      <c r="E657" s="8" t="s">
        <v>36</v>
      </c>
      <c r="F657">
        <v>3</v>
      </c>
      <c r="G657" s="2">
        <v>46195.75</v>
      </c>
      <c r="H657" s="2">
        <v>46195.583333333336</v>
      </c>
    </row>
    <row r="658" spans="1:8" x14ac:dyDescent="0.25">
      <c r="A658" s="8" t="s">
        <v>2448</v>
      </c>
      <c r="B658" s="8" t="s">
        <v>14013</v>
      </c>
      <c r="C658" s="2">
        <v>46195.416666666664</v>
      </c>
      <c r="D658" s="8" t="s">
        <v>13937</v>
      </c>
      <c r="E658" s="8" t="s">
        <v>41</v>
      </c>
      <c r="F658">
        <v>1</v>
      </c>
      <c r="G658" s="2">
        <v>46195.75</v>
      </c>
      <c r="H658" s="2">
        <v>46195.583333333336</v>
      </c>
    </row>
    <row r="659" spans="1:8" x14ac:dyDescent="0.25">
      <c r="A659" s="8" t="s">
        <v>2451</v>
      </c>
      <c r="B659" s="8" t="s">
        <v>14013</v>
      </c>
      <c r="C659" s="2">
        <v>46195.416666666664</v>
      </c>
      <c r="D659" s="8" t="s">
        <v>13937</v>
      </c>
      <c r="E659" s="8" t="s">
        <v>55</v>
      </c>
      <c r="F659">
        <v>3</v>
      </c>
      <c r="G659" s="2">
        <v>46195.75</v>
      </c>
      <c r="H659" s="2">
        <v>46195.583333333336</v>
      </c>
    </row>
    <row r="660" spans="1:8" x14ac:dyDescent="0.25">
      <c r="A660" s="8" t="s">
        <v>2454</v>
      </c>
      <c r="B660" s="8" t="s">
        <v>14013</v>
      </c>
      <c r="C660" s="2">
        <v>46195.416666666664</v>
      </c>
      <c r="D660" s="8" t="s">
        <v>13937</v>
      </c>
      <c r="E660" s="8" t="s">
        <v>59</v>
      </c>
      <c r="F660">
        <v>3</v>
      </c>
      <c r="G660" s="2">
        <v>46195.75</v>
      </c>
      <c r="H660" s="2">
        <v>46195.583333333336</v>
      </c>
    </row>
    <row r="661" spans="1:8" x14ac:dyDescent="0.25">
      <c r="A661" s="8" t="s">
        <v>2457</v>
      </c>
      <c r="B661" s="8" t="s">
        <v>14013</v>
      </c>
      <c r="C661" s="2">
        <v>46195.416666666664</v>
      </c>
      <c r="D661" s="8" t="s">
        <v>13937</v>
      </c>
      <c r="E661" s="8" t="s">
        <v>75</v>
      </c>
      <c r="F661">
        <v>1</v>
      </c>
      <c r="G661" s="2">
        <v>46195.75</v>
      </c>
      <c r="H661" s="2">
        <v>46195.583333333336</v>
      </c>
    </row>
    <row r="662" spans="1:8" x14ac:dyDescent="0.25">
      <c r="A662" s="8" t="s">
        <v>2460</v>
      </c>
      <c r="B662" s="8" t="s">
        <v>14013</v>
      </c>
      <c r="C662" s="2">
        <v>46195.416666666664</v>
      </c>
      <c r="D662" s="8" t="s">
        <v>13937</v>
      </c>
      <c r="E662" s="8" t="s">
        <v>77</v>
      </c>
      <c r="F662">
        <v>4</v>
      </c>
      <c r="G662" s="2">
        <v>46195.75</v>
      </c>
      <c r="H662" s="2">
        <v>46195.583333333336</v>
      </c>
    </row>
    <row r="663" spans="1:8" x14ac:dyDescent="0.25">
      <c r="A663" s="8" t="s">
        <v>2526</v>
      </c>
      <c r="B663" s="8" t="s">
        <v>14015</v>
      </c>
      <c r="C663" s="2">
        <v>46196.416666666664</v>
      </c>
      <c r="D663" s="8" t="s">
        <v>13929</v>
      </c>
      <c r="E663" s="8" t="s">
        <v>18</v>
      </c>
      <c r="F663">
        <v>3</v>
      </c>
      <c r="G663" s="2">
        <v>46196.75</v>
      </c>
      <c r="H663" s="2">
        <v>46196.583333333336</v>
      </c>
    </row>
    <row r="664" spans="1:8" x14ac:dyDescent="0.25">
      <c r="A664" s="8" t="s">
        <v>2529</v>
      </c>
      <c r="B664" s="8" t="s">
        <v>14015</v>
      </c>
      <c r="C664" s="2">
        <v>46196.416666666664</v>
      </c>
      <c r="D664" s="8" t="s">
        <v>13929</v>
      </c>
      <c r="E664" s="8" t="s">
        <v>22</v>
      </c>
      <c r="F664">
        <v>2</v>
      </c>
      <c r="G664" s="2">
        <v>46196.75</v>
      </c>
      <c r="H664" s="2">
        <v>46196.583333333336</v>
      </c>
    </row>
    <row r="665" spans="1:8" x14ac:dyDescent="0.25">
      <c r="A665" s="8" t="s">
        <v>2532</v>
      </c>
      <c r="B665" s="8" t="s">
        <v>14015</v>
      </c>
      <c r="C665" s="2">
        <v>46196.416666666664</v>
      </c>
      <c r="D665" s="8" t="s">
        <v>13929</v>
      </c>
      <c r="E665" s="8" t="s">
        <v>26</v>
      </c>
      <c r="F665">
        <v>3</v>
      </c>
      <c r="G665" s="2">
        <v>46196.75</v>
      </c>
      <c r="H665" s="2">
        <v>46196.583333333336</v>
      </c>
    </row>
    <row r="666" spans="1:8" x14ac:dyDescent="0.25">
      <c r="A666" s="8" t="s">
        <v>2535</v>
      </c>
      <c r="B666" s="8" t="s">
        <v>14015</v>
      </c>
      <c r="C666" s="2">
        <v>46196.416666666664</v>
      </c>
      <c r="D666" s="8" t="s">
        <v>13929</v>
      </c>
      <c r="E666" s="8" t="s">
        <v>28</v>
      </c>
      <c r="F666">
        <v>1</v>
      </c>
      <c r="G666" s="2">
        <v>46196.75</v>
      </c>
      <c r="H666" s="2">
        <v>46196.583333333336</v>
      </c>
    </row>
    <row r="667" spans="1:8" x14ac:dyDescent="0.25">
      <c r="A667" s="8" t="s">
        <v>2538</v>
      </c>
      <c r="B667" s="8" t="s">
        <v>14015</v>
      </c>
      <c r="C667" s="2">
        <v>46196.416666666664</v>
      </c>
      <c r="D667" s="8" t="s">
        <v>13929</v>
      </c>
      <c r="E667" s="8" t="s">
        <v>30</v>
      </c>
      <c r="F667">
        <v>2</v>
      </c>
      <c r="G667" s="2">
        <v>46196.75</v>
      </c>
      <c r="H667" s="2">
        <v>46196.583333333336</v>
      </c>
    </row>
    <row r="668" spans="1:8" x14ac:dyDescent="0.25">
      <c r="A668" s="8" t="s">
        <v>2541</v>
      </c>
      <c r="B668" s="8" t="s">
        <v>14015</v>
      </c>
      <c r="C668" s="2">
        <v>46196.416666666664</v>
      </c>
      <c r="D668" s="8" t="s">
        <v>13929</v>
      </c>
      <c r="E668" s="8" t="s">
        <v>36</v>
      </c>
      <c r="F668">
        <v>4</v>
      </c>
      <c r="G668" s="2">
        <v>46196.75</v>
      </c>
      <c r="H668" s="2">
        <v>46196.583333333336</v>
      </c>
    </row>
    <row r="669" spans="1:8" x14ac:dyDescent="0.25">
      <c r="A669" s="8" t="s">
        <v>2544</v>
      </c>
      <c r="B669" s="8" t="s">
        <v>14015</v>
      </c>
      <c r="C669" s="2">
        <v>46196.416666666664</v>
      </c>
      <c r="D669" s="8" t="s">
        <v>13929</v>
      </c>
      <c r="E669" s="8" t="s">
        <v>45</v>
      </c>
      <c r="F669">
        <v>4</v>
      </c>
      <c r="G669" s="2">
        <v>46196.75</v>
      </c>
      <c r="H669" s="2">
        <v>46196.583333333336</v>
      </c>
    </row>
    <row r="670" spans="1:8" x14ac:dyDescent="0.25">
      <c r="A670" s="8" t="s">
        <v>2547</v>
      </c>
      <c r="B670" s="8" t="s">
        <v>14015</v>
      </c>
      <c r="C670" s="2">
        <v>46196.416666666664</v>
      </c>
      <c r="D670" s="8" t="s">
        <v>13929</v>
      </c>
      <c r="E670" s="8" t="s">
        <v>49</v>
      </c>
      <c r="F670">
        <v>2</v>
      </c>
      <c r="G670" s="2">
        <v>46196.75</v>
      </c>
      <c r="H670" s="2">
        <v>46196.583333333336</v>
      </c>
    </row>
    <row r="671" spans="1:8" x14ac:dyDescent="0.25">
      <c r="A671" s="8" t="s">
        <v>2550</v>
      </c>
      <c r="B671" s="8" t="s">
        <v>14015</v>
      </c>
      <c r="C671" s="2">
        <v>46196.416666666664</v>
      </c>
      <c r="D671" s="8" t="s">
        <v>13929</v>
      </c>
      <c r="E671" s="8" t="s">
        <v>53</v>
      </c>
      <c r="F671">
        <v>4</v>
      </c>
      <c r="G671" s="2">
        <v>46196.75</v>
      </c>
      <c r="H671" s="2">
        <v>46196.583333333336</v>
      </c>
    </row>
    <row r="672" spans="1:8" x14ac:dyDescent="0.25">
      <c r="A672" s="8" t="s">
        <v>2553</v>
      </c>
      <c r="B672" s="8" t="s">
        <v>14015</v>
      </c>
      <c r="C672" s="2">
        <v>46196.416666666664</v>
      </c>
      <c r="D672" s="8" t="s">
        <v>13929</v>
      </c>
      <c r="E672" s="8" t="s">
        <v>67</v>
      </c>
      <c r="F672">
        <v>2</v>
      </c>
      <c r="G672" s="2">
        <v>46196.75</v>
      </c>
      <c r="H672" s="2">
        <v>46196.583333333336</v>
      </c>
    </row>
    <row r="673" spans="1:8" x14ac:dyDescent="0.25">
      <c r="A673" s="8" t="s">
        <v>2556</v>
      </c>
      <c r="B673" s="8" t="s">
        <v>14015</v>
      </c>
      <c r="C673" s="2">
        <v>46196.416666666664</v>
      </c>
      <c r="D673" s="8" t="s">
        <v>13929</v>
      </c>
      <c r="E673" s="8" t="s">
        <v>71</v>
      </c>
      <c r="F673">
        <v>2</v>
      </c>
      <c r="G673" s="2">
        <v>46196.75</v>
      </c>
      <c r="H673" s="2">
        <v>46196.583333333336</v>
      </c>
    </row>
    <row r="674" spans="1:8" x14ac:dyDescent="0.25">
      <c r="A674" s="8" t="s">
        <v>2559</v>
      </c>
      <c r="B674" s="8" t="s">
        <v>14016</v>
      </c>
      <c r="C674" s="2">
        <v>46196.416666666664</v>
      </c>
      <c r="D674" s="8" t="s">
        <v>13931</v>
      </c>
      <c r="E674" s="8" t="s">
        <v>11</v>
      </c>
      <c r="F674">
        <v>5</v>
      </c>
      <c r="G674" s="2">
        <v>46196.75</v>
      </c>
      <c r="H674" s="2">
        <v>46196.583333333336</v>
      </c>
    </row>
    <row r="675" spans="1:8" x14ac:dyDescent="0.25">
      <c r="A675" s="8" t="s">
        <v>2562</v>
      </c>
      <c r="B675" s="8" t="s">
        <v>14016</v>
      </c>
      <c r="C675" s="2">
        <v>46196.416666666664</v>
      </c>
      <c r="D675" s="8" t="s">
        <v>13931</v>
      </c>
      <c r="E675" s="8" t="s">
        <v>18</v>
      </c>
      <c r="F675">
        <v>2</v>
      </c>
      <c r="G675" s="2">
        <v>46196.75</v>
      </c>
      <c r="H675" s="2">
        <v>46196.583333333336</v>
      </c>
    </row>
    <row r="676" spans="1:8" x14ac:dyDescent="0.25">
      <c r="A676" s="8" t="s">
        <v>2565</v>
      </c>
      <c r="B676" s="8" t="s">
        <v>14016</v>
      </c>
      <c r="C676" s="2">
        <v>46196.416666666664</v>
      </c>
      <c r="D676" s="8" t="s">
        <v>13931</v>
      </c>
      <c r="E676" s="8" t="s">
        <v>20</v>
      </c>
      <c r="F676">
        <v>1</v>
      </c>
      <c r="G676" s="2">
        <v>46196.75</v>
      </c>
      <c r="H676" s="2">
        <v>46196.583333333336</v>
      </c>
    </row>
    <row r="677" spans="1:8" x14ac:dyDescent="0.25">
      <c r="A677" s="8" t="s">
        <v>2568</v>
      </c>
      <c r="B677" s="8" t="s">
        <v>14016</v>
      </c>
      <c r="C677" s="2">
        <v>46196.416666666664</v>
      </c>
      <c r="D677" s="8" t="s">
        <v>13931</v>
      </c>
      <c r="E677" s="8" t="s">
        <v>22</v>
      </c>
      <c r="F677">
        <v>1</v>
      </c>
      <c r="G677" s="2">
        <v>46196.75</v>
      </c>
      <c r="H677" s="2">
        <v>46196.583333333336</v>
      </c>
    </row>
    <row r="678" spans="1:8" x14ac:dyDescent="0.25">
      <c r="A678" s="8" t="s">
        <v>2571</v>
      </c>
      <c r="B678" s="8" t="s">
        <v>14016</v>
      </c>
      <c r="C678" s="2">
        <v>46196.416666666664</v>
      </c>
      <c r="D678" s="8" t="s">
        <v>13931</v>
      </c>
      <c r="E678" s="8" t="s">
        <v>24</v>
      </c>
      <c r="F678">
        <v>5</v>
      </c>
      <c r="G678" s="2">
        <v>46196.75</v>
      </c>
      <c r="H678" s="2">
        <v>46196.583333333336</v>
      </c>
    </row>
    <row r="679" spans="1:8" x14ac:dyDescent="0.25">
      <c r="A679" s="8" t="s">
        <v>2574</v>
      </c>
      <c r="B679" s="8" t="s">
        <v>14016</v>
      </c>
      <c r="C679" s="2">
        <v>46196.416666666664</v>
      </c>
      <c r="D679" s="8" t="s">
        <v>13931</v>
      </c>
      <c r="E679" s="8" t="s">
        <v>32</v>
      </c>
      <c r="F679">
        <v>4</v>
      </c>
      <c r="G679" s="2">
        <v>46196.75</v>
      </c>
      <c r="H679" s="2">
        <v>46196.583333333336</v>
      </c>
    </row>
    <row r="680" spans="1:8" x14ac:dyDescent="0.25">
      <c r="A680" s="8" t="s">
        <v>2577</v>
      </c>
      <c r="B680" s="8" t="s">
        <v>14016</v>
      </c>
      <c r="C680" s="2">
        <v>46196.416666666664</v>
      </c>
      <c r="D680" s="8" t="s">
        <v>13931</v>
      </c>
      <c r="E680" s="8" t="s">
        <v>36</v>
      </c>
      <c r="F680">
        <v>3</v>
      </c>
      <c r="G680" s="2">
        <v>46196.75</v>
      </c>
      <c r="H680" s="2">
        <v>46196.583333333336</v>
      </c>
    </row>
    <row r="681" spans="1:8" x14ac:dyDescent="0.25">
      <c r="A681" s="8" t="s">
        <v>2580</v>
      </c>
      <c r="B681" s="8" t="s">
        <v>14016</v>
      </c>
      <c r="C681" s="2">
        <v>46196.416666666664</v>
      </c>
      <c r="D681" s="8" t="s">
        <v>13931</v>
      </c>
      <c r="E681" s="8" t="s">
        <v>59</v>
      </c>
      <c r="F681">
        <v>5</v>
      </c>
      <c r="G681" s="2">
        <v>46196.75</v>
      </c>
      <c r="H681" s="2">
        <v>46196.583333333336</v>
      </c>
    </row>
    <row r="682" spans="1:8" x14ac:dyDescent="0.25">
      <c r="A682" s="8" t="s">
        <v>2583</v>
      </c>
      <c r="B682" s="8" t="s">
        <v>14016</v>
      </c>
      <c r="C682" s="2">
        <v>46196.416666666664</v>
      </c>
      <c r="D682" s="8" t="s">
        <v>13931</v>
      </c>
      <c r="E682" s="8" t="s">
        <v>69</v>
      </c>
      <c r="F682">
        <v>5</v>
      </c>
      <c r="G682" s="2">
        <v>46196.75</v>
      </c>
      <c r="H682" s="2">
        <v>46196.583333333336</v>
      </c>
    </row>
    <row r="683" spans="1:8" x14ac:dyDescent="0.25">
      <c r="A683" s="8" t="s">
        <v>2586</v>
      </c>
      <c r="B683" s="8" t="s">
        <v>14017</v>
      </c>
      <c r="C683" s="2">
        <v>46196.416666666664</v>
      </c>
      <c r="D683" s="8" t="s">
        <v>13933</v>
      </c>
      <c r="E683" s="8" t="s">
        <v>11</v>
      </c>
      <c r="F683">
        <v>6</v>
      </c>
      <c r="G683" s="2">
        <v>46196.75</v>
      </c>
      <c r="H683" s="2">
        <v>46196.583333333336</v>
      </c>
    </row>
    <row r="684" spans="1:8" x14ac:dyDescent="0.25">
      <c r="A684" s="8" t="s">
        <v>2591</v>
      </c>
      <c r="B684" s="8" t="s">
        <v>14017</v>
      </c>
      <c r="C684" s="2">
        <v>46196.416666666664</v>
      </c>
      <c r="D684" s="8" t="s">
        <v>13933</v>
      </c>
      <c r="E684" s="8" t="s">
        <v>18</v>
      </c>
      <c r="F684">
        <v>2</v>
      </c>
      <c r="G684" s="2">
        <v>46196.75</v>
      </c>
      <c r="H684" s="2">
        <v>46196.583333333336</v>
      </c>
    </row>
    <row r="685" spans="1:8" x14ac:dyDescent="0.25">
      <c r="A685" s="8" t="s">
        <v>2594</v>
      </c>
      <c r="B685" s="8" t="s">
        <v>14017</v>
      </c>
      <c r="C685" s="2">
        <v>46196.416666666664</v>
      </c>
      <c r="D685" s="8" t="s">
        <v>13933</v>
      </c>
      <c r="E685" s="8" t="s">
        <v>20</v>
      </c>
      <c r="F685">
        <v>5</v>
      </c>
      <c r="G685" s="2">
        <v>46196.75</v>
      </c>
      <c r="H685" s="2">
        <v>46196.583333333336</v>
      </c>
    </row>
    <row r="686" spans="1:8" x14ac:dyDescent="0.25">
      <c r="A686" s="8" t="s">
        <v>2597</v>
      </c>
      <c r="B686" s="8" t="s">
        <v>14017</v>
      </c>
      <c r="C686" s="2">
        <v>46196.416666666664</v>
      </c>
      <c r="D686" s="8" t="s">
        <v>13933</v>
      </c>
      <c r="E686" s="8" t="s">
        <v>24</v>
      </c>
      <c r="F686">
        <v>6</v>
      </c>
      <c r="G686" s="2">
        <v>46196.75</v>
      </c>
      <c r="H686" s="2">
        <v>46196.583333333336</v>
      </c>
    </row>
    <row r="687" spans="1:8" x14ac:dyDescent="0.25">
      <c r="A687" s="8" t="s">
        <v>2600</v>
      </c>
      <c r="B687" s="8" t="s">
        <v>14017</v>
      </c>
      <c r="C687" s="2">
        <v>46196.416666666664</v>
      </c>
      <c r="D687" s="8" t="s">
        <v>13933</v>
      </c>
      <c r="E687" s="8" t="s">
        <v>36</v>
      </c>
      <c r="F687">
        <v>5</v>
      </c>
      <c r="G687" s="2">
        <v>46196.75</v>
      </c>
      <c r="H687" s="2">
        <v>46196.583333333336</v>
      </c>
    </row>
    <row r="688" spans="1:8" x14ac:dyDescent="0.25">
      <c r="A688" s="8" t="s">
        <v>2603</v>
      </c>
      <c r="B688" s="8" t="s">
        <v>14017</v>
      </c>
      <c r="C688" s="2">
        <v>46196.416666666664</v>
      </c>
      <c r="D688" s="8" t="s">
        <v>13933</v>
      </c>
      <c r="E688" s="8" t="s">
        <v>47</v>
      </c>
      <c r="F688">
        <v>2</v>
      </c>
      <c r="G688" s="2">
        <v>46196.75</v>
      </c>
      <c r="H688" s="2">
        <v>46196.583333333336</v>
      </c>
    </row>
    <row r="689" spans="1:8" x14ac:dyDescent="0.25">
      <c r="A689" s="8" t="s">
        <v>2606</v>
      </c>
      <c r="B689" s="8" t="s">
        <v>14017</v>
      </c>
      <c r="C689" s="2">
        <v>46196.416666666664</v>
      </c>
      <c r="D689" s="8" t="s">
        <v>13933</v>
      </c>
      <c r="E689" s="8" t="s">
        <v>55</v>
      </c>
      <c r="F689">
        <v>4</v>
      </c>
      <c r="G689" s="2">
        <v>46196.75</v>
      </c>
      <c r="H689" s="2">
        <v>46196.583333333336</v>
      </c>
    </row>
    <row r="690" spans="1:8" x14ac:dyDescent="0.25">
      <c r="A690" s="8" t="s">
        <v>2611</v>
      </c>
      <c r="B690" s="8" t="s">
        <v>14017</v>
      </c>
      <c r="C690" s="2">
        <v>46196.416666666664</v>
      </c>
      <c r="D690" s="8" t="s">
        <v>13933</v>
      </c>
      <c r="E690" s="8" t="s">
        <v>71</v>
      </c>
      <c r="F690">
        <v>6</v>
      </c>
      <c r="G690" s="2">
        <v>46196.75</v>
      </c>
      <c r="H690" s="2">
        <v>46196.583333333336</v>
      </c>
    </row>
    <row r="691" spans="1:8" x14ac:dyDescent="0.25">
      <c r="A691" s="8" t="s">
        <v>2614</v>
      </c>
      <c r="B691" s="8" t="s">
        <v>14017</v>
      </c>
      <c r="C691" s="2">
        <v>46196.416666666664</v>
      </c>
      <c r="D691" s="8" t="s">
        <v>13933</v>
      </c>
      <c r="E691" s="8" t="s">
        <v>77</v>
      </c>
      <c r="F691">
        <v>6</v>
      </c>
      <c r="G691" s="2">
        <v>46196.75</v>
      </c>
      <c r="H691" s="2">
        <v>46196.583333333336</v>
      </c>
    </row>
    <row r="692" spans="1:8" x14ac:dyDescent="0.25">
      <c r="A692" s="8" t="s">
        <v>2617</v>
      </c>
      <c r="B692" s="8" t="s">
        <v>14018</v>
      </c>
      <c r="C692" s="2">
        <v>46196.416666666664</v>
      </c>
      <c r="D692" s="8" t="s">
        <v>13935</v>
      </c>
      <c r="E692" s="8" t="s">
        <v>18</v>
      </c>
      <c r="F692">
        <v>1</v>
      </c>
      <c r="G692" s="2">
        <v>46196.75</v>
      </c>
      <c r="H692" s="2">
        <v>46196.583333333336</v>
      </c>
    </row>
    <row r="693" spans="1:8" x14ac:dyDescent="0.25">
      <c r="A693" s="8" t="s">
        <v>2620</v>
      </c>
      <c r="B693" s="8" t="s">
        <v>14018</v>
      </c>
      <c r="C693" s="2">
        <v>46196.416666666664</v>
      </c>
      <c r="D693" s="8" t="s">
        <v>13935</v>
      </c>
      <c r="E693" s="8" t="s">
        <v>24</v>
      </c>
      <c r="F693">
        <v>3</v>
      </c>
      <c r="G693" s="2">
        <v>46196.75</v>
      </c>
      <c r="H693" s="2">
        <v>46196.583333333336</v>
      </c>
    </row>
    <row r="694" spans="1:8" x14ac:dyDescent="0.25">
      <c r="A694" s="8" t="s">
        <v>2623</v>
      </c>
      <c r="B694" s="8" t="s">
        <v>14018</v>
      </c>
      <c r="C694" s="2">
        <v>46196.416666666664</v>
      </c>
      <c r="D694" s="8" t="s">
        <v>13935</v>
      </c>
      <c r="E694" s="8" t="s">
        <v>26</v>
      </c>
      <c r="F694">
        <v>1</v>
      </c>
      <c r="G694" s="2">
        <v>46196.75</v>
      </c>
      <c r="H694" s="2">
        <v>46196.583333333336</v>
      </c>
    </row>
    <row r="695" spans="1:8" x14ac:dyDescent="0.25">
      <c r="A695" s="8" t="s">
        <v>2626</v>
      </c>
      <c r="B695" s="8" t="s">
        <v>14018</v>
      </c>
      <c r="C695" s="2">
        <v>46196.416666666664</v>
      </c>
      <c r="D695" s="8" t="s">
        <v>13935</v>
      </c>
      <c r="E695" s="8" t="s">
        <v>32</v>
      </c>
      <c r="F695">
        <v>7</v>
      </c>
      <c r="G695" s="2">
        <v>46196.75</v>
      </c>
      <c r="H695" s="2">
        <v>46196.583333333336</v>
      </c>
    </row>
    <row r="696" spans="1:8" x14ac:dyDescent="0.25">
      <c r="A696" s="8" t="s">
        <v>2629</v>
      </c>
      <c r="B696" s="8" t="s">
        <v>14018</v>
      </c>
      <c r="C696" s="2">
        <v>46196.416666666664</v>
      </c>
      <c r="D696" s="8" t="s">
        <v>13935</v>
      </c>
      <c r="E696" s="8" t="s">
        <v>36</v>
      </c>
      <c r="F696">
        <v>6</v>
      </c>
      <c r="G696" s="2">
        <v>46196.75</v>
      </c>
      <c r="H696" s="2">
        <v>46196.583333333336</v>
      </c>
    </row>
    <row r="697" spans="1:8" x14ac:dyDescent="0.25">
      <c r="A697" s="8" t="s">
        <v>2632</v>
      </c>
      <c r="B697" s="8" t="s">
        <v>14018</v>
      </c>
      <c r="C697" s="2">
        <v>46196.416666666664</v>
      </c>
      <c r="D697" s="8" t="s">
        <v>13935</v>
      </c>
      <c r="E697" s="8" t="s">
        <v>41</v>
      </c>
      <c r="F697">
        <v>4</v>
      </c>
      <c r="G697" s="2">
        <v>46196.75</v>
      </c>
      <c r="H697" s="2">
        <v>46196.583333333336</v>
      </c>
    </row>
    <row r="698" spans="1:8" x14ac:dyDescent="0.25">
      <c r="A698" s="8" t="s">
        <v>2635</v>
      </c>
      <c r="B698" s="8" t="s">
        <v>14018</v>
      </c>
      <c r="C698" s="2">
        <v>46196.416666666664</v>
      </c>
      <c r="D698" s="8" t="s">
        <v>13935</v>
      </c>
      <c r="E698" s="8" t="s">
        <v>65</v>
      </c>
      <c r="F698">
        <v>4</v>
      </c>
      <c r="G698" s="2">
        <v>46196.75</v>
      </c>
      <c r="H698" s="2">
        <v>46196.583333333336</v>
      </c>
    </row>
    <row r="699" spans="1:8" x14ac:dyDescent="0.25">
      <c r="A699" s="8" t="s">
        <v>2638</v>
      </c>
      <c r="B699" s="8" t="s">
        <v>14018</v>
      </c>
      <c r="C699" s="2">
        <v>46196.416666666664</v>
      </c>
      <c r="D699" s="8" t="s">
        <v>13935</v>
      </c>
      <c r="E699" s="8" t="s">
        <v>73</v>
      </c>
      <c r="F699">
        <v>4</v>
      </c>
      <c r="G699" s="2">
        <v>46196.75</v>
      </c>
      <c r="H699" s="2">
        <v>46196.583333333336</v>
      </c>
    </row>
    <row r="700" spans="1:8" x14ac:dyDescent="0.25">
      <c r="A700" s="8" t="s">
        <v>2641</v>
      </c>
      <c r="B700" s="8" t="s">
        <v>14018</v>
      </c>
      <c r="C700" s="2">
        <v>46196.416666666664</v>
      </c>
      <c r="D700" s="8" t="s">
        <v>13935</v>
      </c>
      <c r="E700" s="8" t="s">
        <v>77</v>
      </c>
      <c r="F700">
        <v>4</v>
      </c>
      <c r="G700" s="2">
        <v>46196.75</v>
      </c>
      <c r="H700" s="2">
        <v>46196.583333333336</v>
      </c>
    </row>
    <row r="701" spans="1:8" x14ac:dyDescent="0.25">
      <c r="A701" s="8" t="s">
        <v>2644</v>
      </c>
      <c r="B701" s="8" t="s">
        <v>14019</v>
      </c>
      <c r="C701" s="2">
        <v>46196.416666666664</v>
      </c>
      <c r="D701" s="8" t="s">
        <v>13937</v>
      </c>
      <c r="E701" s="8" t="s">
        <v>11</v>
      </c>
      <c r="F701">
        <v>2</v>
      </c>
      <c r="G701" s="2">
        <v>46196.75</v>
      </c>
      <c r="H701" s="2">
        <v>46196.583333333336</v>
      </c>
    </row>
    <row r="702" spans="1:8" x14ac:dyDescent="0.25">
      <c r="A702" s="8" t="s">
        <v>2647</v>
      </c>
      <c r="B702" s="8" t="s">
        <v>14019</v>
      </c>
      <c r="C702" s="2">
        <v>46196.416666666664</v>
      </c>
      <c r="D702" s="8" t="s">
        <v>13937</v>
      </c>
      <c r="E702" s="8" t="s">
        <v>18</v>
      </c>
      <c r="F702">
        <v>3</v>
      </c>
      <c r="G702" s="2">
        <v>46196.75</v>
      </c>
      <c r="H702" s="2">
        <v>46196.583333333336</v>
      </c>
    </row>
    <row r="703" spans="1:8" x14ac:dyDescent="0.25">
      <c r="A703" s="8" t="s">
        <v>2650</v>
      </c>
      <c r="B703" s="8" t="s">
        <v>14019</v>
      </c>
      <c r="C703" s="2">
        <v>46196.416666666664</v>
      </c>
      <c r="D703" s="8" t="s">
        <v>13937</v>
      </c>
      <c r="E703" s="8" t="s">
        <v>24</v>
      </c>
      <c r="F703">
        <v>1</v>
      </c>
      <c r="G703" s="2">
        <v>46196.75</v>
      </c>
      <c r="H703" s="2">
        <v>46196.583333333336</v>
      </c>
    </row>
    <row r="704" spans="1:8" x14ac:dyDescent="0.25">
      <c r="A704" s="8" t="s">
        <v>2653</v>
      </c>
      <c r="B704" s="8" t="s">
        <v>14019</v>
      </c>
      <c r="C704" s="2">
        <v>46196.416666666664</v>
      </c>
      <c r="D704" s="8" t="s">
        <v>13937</v>
      </c>
      <c r="E704" s="8" t="s">
        <v>30</v>
      </c>
      <c r="F704">
        <v>2</v>
      </c>
      <c r="G704" s="2">
        <v>46196.75</v>
      </c>
      <c r="H704" s="2">
        <v>46196.583333333336</v>
      </c>
    </row>
    <row r="705" spans="1:8" x14ac:dyDescent="0.25">
      <c r="A705" s="8" t="s">
        <v>2656</v>
      </c>
      <c r="B705" s="8" t="s">
        <v>14019</v>
      </c>
      <c r="C705" s="2">
        <v>46196.416666666664</v>
      </c>
      <c r="D705" s="8" t="s">
        <v>13937</v>
      </c>
      <c r="E705" s="8" t="s">
        <v>47</v>
      </c>
      <c r="F705">
        <v>2</v>
      </c>
      <c r="G705" s="2">
        <v>46196.75</v>
      </c>
      <c r="H705" s="2">
        <v>46196.583333333336</v>
      </c>
    </row>
    <row r="706" spans="1:8" x14ac:dyDescent="0.25">
      <c r="A706" s="8" t="s">
        <v>2659</v>
      </c>
      <c r="B706" s="8" t="s">
        <v>14019</v>
      </c>
      <c r="C706" s="2">
        <v>46196.416666666664</v>
      </c>
      <c r="D706" s="8" t="s">
        <v>13937</v>
      </c>
      <c r="E706" s="8" t="s">
        <v>57</v>
      </c>
      <c r="F706">
        <v>4</v>
      </c>
      <c r="G706" s="2">
        <v>46196.75</v>
      </c>
      <c r="H706" s="2">
        <v>46196.583333333336</v>
      </c>
    </row>
    <row r="707" spans="1:8" x14ac:dyDescent="0.25">
      <c r="A707" s="8" t="s">
        <v>2662</v>
      </c>
      <c r="B707" s="8" t="s">
        <v>14019</v>
      </c>
      <c r="C707" s="2">
        <v>46196.416666666664</v>
      </c>
      <c r="D707" s="8" t="s">
        <v>13937</v>
      </c>
      <c r="E707" s="8" t="s">
        <v>69</v>
      </c>
      <c r="F707">
        <v>1</v>
      </c>
      <c r="G707" s="2">
        <v>46196.75</v>
      </c>
      <c r="H707" s="2">
        <v>46196.583333333336</v>
      </c>
    </row>
    <row r="708" spans="1:8" x14ac:dyDescent="0.25">
      <c r="A708" s="8" t="s">
        <v>2665</v>
      </c>
      <c r="B708" s="8" t="s">
        <v>14019</v>
      </c>
      <c r="C708" s="2">
        <v>46196.416666666664</v>
      </c>
      <c r="D708" s="8" t="s">
        <v>13937</v>
      </c>
      <c r="E708" s="8" t="s">
        <v>77</v>
      </c>
      <c r="F708">
        <v>2</v>
      </c>
      <c r="G708" s="2">
        <v>46196.75</v>
      </c>
      <c r="H708" s="2">
        <v>46196.583333333336</v>
      </c>
    </row>
    <row r="709" spans="1:8" x14ac:dyDescent="0.25">
      <c r="A709" s="8" t="s">
        <v>2668</v>
      </c>
      <c r="B709" s="8" t="s">
        <v>14020</v>
      </c>
      <c r="C709" s="2">
        <v>46197.416666666664</v>
      </c>
      <c r="D709" s="8" t="s">
        <v>13929</v>
      </c>
      <c r="E709" s="8" t="s">
        <v>20</v>
      </c>
      <c r="F709">
        <v>2</v>
      </c>
      <c r="G709" s="2">
        <v>46197.75</v>
      </c>
      <c r="H709" s="2">
        <v>46197.583333333336</v>
      </c>
    </row>
    <row r="710" spans="1:8" x14ac:dyDescent="0.25">
      <c r="A710" s="8" t="s">
        <v>2671</v>
      </c>
      <c r="B710" s="8" t="s">
        <v>14020</v>
      </c>
      <c r="C710" s="2">
        <v>46197.416666666664</v>
      </c>
      <c r="D710" s="8" t="s">
        <v>13929</v>
      </c>
      <c r="E710" s="8" t="s">
        <v>22</v>
      </c>
      <c r="F710">
        <v>2</v>
      </c>
      <c r="G710" s="2">
        <v>46197.75</v>
      </c>
      <c r="H710" s="2">
        <v>46197.583333333336</v>
      </c>
    </row>
    <row r="711" spans="1:8" x14ac:dyDescent="0.25">
      <c r="A711" s="8" t="s">
        <v>2674</v>
      </c>
      <c r="B711" s="8" t="s">
        <v>14020</v>
      </c>
      <c r="C711" s="2">
        <v>46197.416666666664</v>
      </c>
      <c r="D711" s="8" t="s">
        <v>13929</v>
      </c>
      <c r="E711" s="8" t="s">
        <v>24</v>
      </c>
      <c r="F711">
        <v>2</v>
      </c>
      <c r="G711" s="2">
        <v>46197.75</v>
      </c>
      <c r="H711" s="2">
        <v>46197.583333333336</v>
      </c>
    </row>
    <row r="712" spans="1:8" x14ac:dyDescent="0.25">
      <c r="A712" s="8" t="s">
        <v>2677</v>
      </c>
      <c r="B712" s="8" t="s">
        <v>14020</v>
      </c>
      <c r="C712" s="2">
        <v>46197.416666666664</v>
      </c>
      <c r="D712" s="8" t="s">
        <v>13929</v>
      </c>
      <c r="E712" s="8" t="s">
        <v>26</v>
      </c>
      <c r="F712">
        <v>1</v>
      </c>
      <c r="G712" s="2">
        <v>46197.75</v>
      </c>
      <c r="H712" s="2">
        <v>46197.583333333336</v>
      </c>
    </row>
    <row r="713" spans="1:8" x14ac:dyDescent="0.25">
      <c r="A713" s="8" t="s">
        <v>2680</v>
      </c>
      <c r="B713" s="8" t="s">
        <v>14020</v>
      </c>
      <c r="C713" s="2">
        <v>46197.416666666664</v>
      </c>
      <c r="D713" s="8" t="s">
        <v>13929</v>
      </c>
      <c r="E713" s="8" t="s">
        <v>28</v>
      </c>
      <c r="F713">
        <v>2</v>
      </c>
      <c r="G713" s="2">
        <v>46197.75</v>
      </c>
      <c r="H713" s="2">
        <v>46197.583333333336</v>
      </c>
    </row>
    <row r="714" spans="1:8" x14ac:dyDescent="0.25">
      <c r="A714" s="8" t="s">
        <v>2683</v>
      </c>
      <c r="B714" s="8" t="s">
        <v>14020</v>
      </c>
      <c r="C714" s="2">
        <v>46197.416666666664</v>
      </c>
      <c r="D714" s="8" t="s">
        <v>13929</v>
      </c>
      <c r="E714" s="8" t="s">
        <v>41</v>
      </c>
      <c r="F714">
        <v>1</v>
      </c>
      <c r="G714" s="2">
        <v>46197.75</v>
      </c>
      <c r="H714" s="2">
        <v>46197.583333333336</v>
      </c>
    </row>
    <row r="715" spans="1:8" x14ac:dyDescent="0.25">
      <c r="A715" s="8" t="s">
        <v>2686</v>
      </c>
      <c r="B715" s="8" t="s">
        <v>14020</v>
      </c>
      <c r="C715" s="2">
        <v>46197.416666666664</v>
      </c>
      <c r="D715" s="8" t="s">
        <v>13929</v>
      </c>
      <c r="E715" s="8" t="s">
        <v>53</v>
      </c>
      <c r="F715">
        <v>2</v>
      </c>
      <c r="G715" s="2">
        <v>46197.75</v>
      </c>
      <c r="H715" s="2">
        <v>46197.583333333336</v>
      </c>
    </row>
    <row r="716" spans="1:8" x14ac:dyDescent="0.25">
      <c r="A716" s="8" t="s">
        <v>2689</v>
      </c>
      <c r="B716" s="8" t="s">
        <v>14020</v>
      </c>
      <c r="C716" s="2">
        <v>46197.416666666664</v>
      </c>
      <c r="D716" s="8" t="s">
        <v>13929</v>
      </c>
      <c r="E716" s="8" t="s">
        <v>59</v>
      </c>
      <c r="F716">
        <v>3</v>
      </c>
      <c r="G716" s="2">
        <v>46197.75</v>
      </c>
      <c r="H716" s="2">
        <v>46197.583333333336</v>
      </c>
    </row>
    <row r="717" spans="1:8" x14ac:dyDescent="0.25">
      <c r="A717" s="8" t="s">
        <v>2692</v>
      </c>
      <c r="B717" s="8" t="s">
        <v>14020</v>
      </c>
      <c r="C717" s="2">
        <v>46197.416666666664</v>
      </c>
      <c r="D717" s="8" t="s">
        <v>13929</v>
      </c>
      <c r="E717" s="8" t="s">
        <v>65</v>
      </c>
      <c r="F717">
        <v>3</v>
      </c>
      <c r="G717" s="2">
        <v>46197.75</v>
      </c>
      <c r="H717" s="2">
        <v>46197.583333333336</v>
      </c>
    </row>
    <row r="718" spans="1:8" x14ac:dyDescent="0.25">
      <c r="A718" s="8" t="s">
        <v>2695</v>
      </c>
      <c r="B718" s="8" t="s">
        <v>14020</v>
      </c>
      <c r="C718" s="2">
        <v>46197.416666666664</v>
      </c>
      <c r="D718" s="8" t="s">
        <v>13929</v>
      </c>
      <c r="E718" s="8" t="s">
        <v>71</v>
      </c>
      <c r="F718">
        <v>3</v>
      </c>
      <c r="G718" s="2">
        <v>46197.75</v>
      </c>
      <c r="H718" s="2">
        <v>46197.583333333336</v>
      </c>
    </row>
    <row r="719" spans="1:8" x14ac:dyDescent="0.25">
      <c r="A719" s="8" t="s">
        <v>2698</v>
      </c>
      <c r="B719" s="8" t="s">
        <v>14021</v>
      </c>
      <c r="C719" s="2">
        <v>46197.416666666664</v>
      </c>
      <c r="D719" s="8" t="s">
        <v>13931</v>
      </c>
      <c r="E719" s="8" t="s">
        <v>18</v>
      </c>
      <c r="F719">
        <v>4</v>
      </c>
      <c r="G719" s="2">
        <v>46197.75</v>
      </c>
      <c r="H719" s="2">
        <v>46197.583333333336</v>
      </c>
    </row>
    <row r="720" spans="1:8" x14ac:dyDescent="0.25">
      <c r="A720" s="8" t="s">
        <v>2701</v>
      </c>
      <c r="B720" s="8" t="s">
        <v>14021</v>
      </c>
      <c r="C720" s="2">
        <v>46197.416666666664</v>
      </c>
      <c r="D720" s="8" t="s">
        <v>13931</v>
      </c>
      <c r="E720" s="8" t="s">
        <v>22</v>
      </c>
      <c r="F720">
        <v>4</v>
      </c>
      <c r="G720" s="2">
        <v>46197.75</v>
      </c>
      <c r="H720" s="2">
        <v>46197.583333333336</v>
      </c>
    </row>
    <row r="721" spans="1:8" x14ac:dyDescent="0.25">
      <c r="A721" s="8" t="s">
        <v>2704</v>
      </c>
      <c r="B721" s="8" t="s">
        <v>14021</v>
      </c>
      <c r="C721" s="2">
        <v>46197.416666666664</v>
      </c>
      <c r="D721" s="8" t="s">
        <v>13931</v>
      </c>
      <c r="E721" s="8" t="s">
        <v>26</v>
      </c>
      <c r="F721">
        <v>3</v>
      </c>
      <c r="G721" s="2">
        <v>46197.75</v>
      </c>
      <c r="H721" s="2">
        <v>46197.583333333336</v>
      </c>
    </row>
    <row r="722" spans="1:8" x14ac:dyDescent="0.25">
      <c r="A722" s="8" t="s">
        <v>2707</v>
      </c>
      <c r="B722" s="8" t="s">
        <v>14021</v>
      </c>
      <c r="C722" s="2">
        <v>46197.416666666664</v>
      </c>
      <c r="D722" s="8" t="s">
        <v>13931</v>
      </c>
      <c r="E722" s="8" t="s">
        <v>49</v>
      </c>
      <c r="F722">
        <v>5</v>
      </c>
      <c r="G722" s="2">
        <v>46197.75</v>
      </c>
      <c r="H722" s="2">
        <v>46197.583333333336</v>
      </c>
    </row>
    <row r="723" spans="1:8" x14ac:dyDescent="0.25">
      <c r="A723" s="8" t="s">
        <v>2710</v>
      </c>
      <c r="B723" s="8" t="s">
        <v>14021</v>
      </c>
      <c r="C723" s="2">
        <v>46197.416666666664</v>
      </c>
      <c r="D723" s="8" t="s">
        <v>13931</v>
      </c>
      <c r="E723" s="8" t="s">
        <v>51</v>
      </c>
      <c r="F723">
        <v>5</v>
      </c>
      <c r="G723" s="2">
        <v>46197.75</v>
      </c>
      <c r="H723" s="2">
        <v>46197.583333333336</v>
      </c>
    </row>
    <row r="724" spans="1:8" x14ac:dyDescent="0.25">
      <c r="A724" s="8" t="s">
        <v>2713</v>
      </c>
      <c r="B724" s="8" t="s">
        <v>14021</v>
      </c>
      <c r="C724" s="2">
        <v>46197.416666666664</v>
      </c>
      <c r="D724" s="8" t="s">
        <v>13931</v>
      </c>
      <c r="E724" s="8" t="s">
        <v>53</v>
      </c>
      <c r="F724">
        <v>2</v>
      </c>
      <c r="G724" s="2">
        <v>46197.75</v>
      </c>
      <c r="H724" s="2">
        <v>46197.583333333336</v>
      </c>
    </row>
    <row r="725" spans="1:8" x14ac:dyDescent="0.25">
      <c r="A725" s="8" t="s">
        <v>2716</v>
      </c>
      <c r="B725" s="8" t="s">
        <v>14022</v>
      </c>
      <c r="C725" s="2">
        <v>46197.416666666664</v>
      </c>
      <c r="D725" s="8" t="s">
        <v>13933</v>
      </c>
      <c r="E725" s="8" t="s">
        <v>18</v>
      </c>
      <c r="F725">
        <v>6</v>
      </c>
      <c r="G725" s="2">
        <v>46197.75</v>
      </c>
      <c r="H725" s="2">
        <v>46197.583333333336</v>
      </c>
    </row>
    <row r="726" spans="1:8" x14ac:dyDescent="0.25">
      <c r="A726" s="8" t="s">
        <v>2719</v>
      </c>
      <c r="B726" s="8" t="s">
        <v>14022</v>
      </c>
      <c r="C726" s="2">
        <v>46197.416666666664</v>
      </c>
      <c r="D726" s="8" t="s">
        <v>13933</v>
      </c>
      <c r="E726" s="8" t="s">
        <v>20</v>
      </c>
      <c r="F726">
        <v>1</v>
      </c>
      <c r="G726" s="2">
        <v>46197.75</v>
      </c>
      <c r="H726" s="2">
        <v>46197.583333333336</v>
      </c>
    </row>
    <row r="727" spans="1:8" x14ac:dyDescent="0.25">
      <c r="A727" s="8" t="s">
        <v>2722</v>
      </c>
      <c r="B727" s="8" t="s">
        <v>14022</v>
      </c>
      <c r="C727" s="2">
        <v>46197.416666666664</v>
      </c>
      <c r="D727" s="8" t="s">
        <v>13933</v>
      </c>
      <c r="E727" s="8" t="s">
        <v>24</v>
      </c>
      <c r="F727">
        <v>1</v>
      </c>
      <c r="G727" s="2">
        <v>46197.75</v>
      </c>
      <c r="H727" s="2">
        <v>46197.583333333336</v>
      </c>
    </row>
    <row r="728" spans="1:8" x14ac:dyDescent="0.25">
      <c r="A728" s="8" t="s">
        <v>2725</v>
      </c>
      <c r="B728" s="8" t="s">
        <v>14022</v>
      </c>
      <c r="C728" s="2">
        <v>46197.416666666664</v>
      </c>
      <c r="D728" s="8" t="s">
        <v>13933</v>
      </c>
      <c r="E728" s="8" t="s">
        <v>26</v>
      </c>
      <c r="F728">
        <v>5</v>
      </c>
      <c r="G728" s="2">
        <v>46197.75</v>
      </c>
      <c r="H728" s="2">
        <v>46197.583333333336</v>
      </c>
    </row>
    <row r="729" spans="1:8" x14ac:dyDescent="0.25">
      <c r="A729" s="8" t="s">
        <v>2728</v>
      </c>
      <c r="B729" s="8" t="s">
        <v>14022</v>
      </c>
      <c r="C729" s="2">
        <v>46197.416666666664</v>
      </c>
      <c r="D729" s="8" t="s">
        <v>13933</v>
      </c>
      <c r="E729" s="8" t="s">
        <v>30</v>
      </c>
      <c r="F729">
        <v>1</v>
      </c>
      <c r="G729" s="2">
        <v>46197.75</v>
      </c>
      <c r="H729" s="2">
        <v>46197.583333333336</v>
      </c>
    </row>
    <row r="730" spans="1:8" x14ac:dyDescent="0.25">
      <c r="A730" s="8" t="s">
        <v>2731</v>
      </c>
      <c r="B730" s="8" t="s">
        <v>14022</v>
      </c>
      <c r="C730" s="2">
        <v>46197.416666666664</v>
      </c>
      <c r="D730" s="8" t="s">
        <v>13933</v>
      </c>
      <c r="E730" s="8" t="s">
        <v>36</v>
      </c>
      <c r="F730">
        <v>2</v>
      </c>
      <c r="G730" s="2">
        <v>46197.75</v>
      </c>
      <c r="H730" s="2">
        <v>46197.583333333336</v>
      </c>
    </row>
    <row r="731" spans="1:8" x14ac:dyDescent="0.25">
      <c r="A731" s="8" t="s">
        <v>2734</v>
      </c>
      <c r="B731" s="8" t="s">
        <v>14022</v>
      </c>
      <c r="C731" s="2">
        <v>46197.416666666664</v>
      </c>
      <c r="D731" s="8" t="s">
        <v>13933</v>
      </c>
      <c r="E731" s="8" t="s">
        <v>49</v>
      </c>
      <c r="F731">
        <v>1</v>
      </c>
      <c r="G731" s="2">
        <v>46197.75</v>
      </c>
      <c r="H731" s="2">
        <v>46197.583333333336</v>
      </c>
    </row>
    <row r="732" spans="1:8" x14ac:dyDescent="0.25">
      <c r="A732" s="8" t="s">
        <v>2737</v>
      </c>
      <c r="B732" s="8" t="s">
        <v>14022</v>
      </c>
      <c r="C732" s="2">
        <v>46197.416666666664</v>
      </c>
      <c r="D732" s="8" t="s">
        <v>13933</v>
      </c>
      <c r="E732" s="8" t="s">
        <v>55</v>
      </c>
      <c r="F732">
        <v>2</v>
      </c>
      <c r="G732" s="2">
        <v>46197.75</v>
      </c>
      <c r="H732" s="2">
        <v>46197.583333333336</v>
      </c>
    </row>
    <row r="733" spans="1:8" x14ac:dyDescent="0.25">
      <c r="A733" s="8" t="s">
        <v>2740</v>
      </c>
      <c r="B733" s="8" t="s">
        <v>14022</v>
      </c>
      <c r="C733" s="2">
        <v>46197.416666666664</v>
      </c>
      <c r="D733" s="8" t="s">
        <v>13933</v>
      </c>
      <c r="E733" s="8" t="s">
        <v>57</v>
      </c>
      <c r="F733">
        <v>4</v>
      </c>
      <c r="G733" s="2">
        <v>46197.75</v>
      </c>
      <c r="H733" s="2">
        <v>46197.583333333336</v>
      </c>
    </row>
    <row r="734" spans="1:8" x14ac:dyDescent="0.25">
      <c r="A734" s="8" t="s">
        <v>2743</v>
      </c>
      <c r="B734" s="8" t="s">
        <v>14022</v>
      </c>
      <c r="C734" s="2">
        <v>46197.416666666664</v>
      </c>
      <c r="D734" s="8" t="s">
        <v>13933</v>
      </c>
      <c r="E734" s="8" t="s">
        <v>69</v>
      </c>
      <c r="F734">
        <v>6</v>
      </c>
      <c r="G734" s="2">
        <v>46197.75</v>
      </c>
      <c r="H734" s="2">
        <v>46197.583333333336</v>
      </c>
    </row>
    <row r="735" spans="1:8" x14ac:dyDescent="0.25">
      <c r="A735" s="8" t="s">
        <v>2746</v>
      </c>
      <c r="B735" s="8" t="s">
        <v>14022</v>
      </c>
      <c r="C735" s="2">
        <v>46197.416666666664</v>
      </c>
      <c r="D735" s="8" t="s">
        <v>13933</v>
      </c>
      <c r="E735" s="8" t="s">
        <v>75</v>
      </c>
      <c r="F735">
        <v>1</v>
      </c>
      <c r="G735" s="2">
        <v>46197.75</v>
      </c>
      <c r="H735" s="2">
        <v>46197.583333333336</v>
      </c>
    </row>
    <row r="736" spans="1:8" x14ac:dyDescent="0.25">
      <c r="A736" s="8" t="s">
        <v>2749</v>
      </c>
      <c r="B736" s="8" t="s">
        <v>14023</v>
      </c>
      <c r="C736" s="2">
        <v>46197.416666666664</v>
      </c>
      <c r="D736" s="8" t="s">
        <v>13935</v>
      </c>
      <c r="E736" s="8" t="s">
        <v>11</v>
      </c>
      <c r="F736">
        <v>7</v>
      </c>
      <c r="G736" s="2">
        <v>46197.75</v>
      </c>
      <c r="H736" s="2">
        <v>46197.583333333336</v>
      </c>
    </row>
    <row r="737" spans="1:8" x14ac:dyDescent="0.25">
      <c r="A737" s="8" t="s">
        <v>2754</v>
      </c>
      <c r="B737" s="8" t="s">
        <v>14023</v>
      </c>
      <c r="C737" s="2">
        <v>46197.416666666664</v>
      </c>
      <c r="D737" s="8" t="s">
        <v>13935</v>
      </c>
      <c r="E737" s="8" t="s">
        <v>18</v>
      </c>
      <c r="F737">
        <v>7</v>
      </c>
      <c r="G737" s="2">
        <v>46197.75</v>
      </c>
      <c r="H737" s="2">
        <v>46197.583333333336</v>
      </c>
    </row>
    <row r="738" spans="1:8" x14ac:dyDescent="0.25">
      <c r="A738" s="8" t="s">
        <v>2757</v>
      </c>
      <c r="B738" s="8" t="s">
        <v>14023</v>
      </c>
      <c r="C738" s="2">
        <v>46197.416666666664</v>
      </c>
      <c r="D738" s="8" t="s">
        <v>13935</v>
      </c>
      <c r="E738" s="8" t="s">
        <v>20</v>
      </c>
      <c r="F738">
        <v>4</v>
      </c>
      <c r="G738" s="2">
        <v>46197.75</v>
      </c>
      <c r="H738" s="2">
        <v>46197.583333333336</v>
      </c>
    </row>
    <row r="739" spans="1:8" x14ac:dyDescent="0.25">
      <c r="A739" s="8" t="s">
        <v>2760</v>
      </c>
      <c r="B739" s="8" t="s">
        <v>14023</v>
      </c>
      <c r="C739" s="2">
        <v>46197.416666666664</v>
      </c>
      <c r="D739" s="8" t="s">
        <v>13935</v>
      </c>
      <c r="E739" s="8" t="s">
        <v>24</v>
      </c>
      <c r="F739">
        <v>7</v>
      </c>
      <c r="G739" s="2">
        <v>46197.75</v>
      </c>
      <c r="H739" s="2">
        <v>46197.583333333336</v>
      </c>
    </row>
    <row r="740" spans="1:8" x14ac:dyDescent="0.25">
      <c r="A740" s="8" t="s">
        <v>2763</v>
      </c>
      <c r="B740" s="8" t="s">
        <v>14023</v>
      </c>
      <c r="C740" s="2">
        <v>46197.416666666664</v>
      </c>
      <c r="D740" s="8" t="s">
        <v>13935</v>
      </c>
      <c r="E740" s="8" t="s">
        <v>26</v>
      </c>
      <c r="F740">
        <v>3</v>
      </c>
      <c r="G740" s="2">
        <v>46197.75</v>
      </c>
      <c r="H740" s="2">
        <v>46197.583333333336</v>
      </c>
    </row>
    <row r="741" spans="1:8" x14ac:dyDescent="0.25">
      <c r="A741" s="8" t="s">
        <v>2766</v>
      </c>
      <c r="B741" s="8" t="s">
        <v>14023</v>
      </c>
      <c r="C741" s="2">
        <v>46197.416666666664</v>
      </c>
      <c r="D741" s="8" t="s">
        <v>13935</v>
      </c>
      <c r="E741" s="8" t="s">
        <v>28</v>
      </c>
      <c r="F741">
        <v>4</v>
      </c>
      <c r="G741" s="2">
        <v>46197.75</v>
      </c>
      <c r="H741" s="2">
        <v>46197.583333333336</v>
      </c>
    </row>
    <row r="742" spans="1:8" x14ac:dyDescent="0.25">
      <c r="A742" s="8" t="s">
        <v>2769</v>
      </c>
      <c r="B742" s="8" t="s">
        <v>14023</v>
      </c>
      <c r="C742" s="2">
        <v>46197.416666666664</v>
      </c>
      <c r="D742" s="8" t="s">
        <v>13935</v>
      </c>
      <c r="E742" s="8" t="s">
        <v>32</v>
      </c>
      <c r="F742">
        <v>3</v>
      </c>
      <c r="G742" s="2">
        <v>46197.75</v>
      </c>
      <c r="H742" s="2">
        <v>46197.583333333336</v>
      </c>
    </row>
    <row r="743" spans="1:8" x14ac:dyDescent="0.25">
      <c r="A743" s="8" t="s">
        <v>2772</v>
      </c>
      <c r="B743" s="8" t="s">
        <v>14023</v>
      </c>
      <c r="C743" s="2">
        <v>46197.416666666664</v>
      </c>
      <c r="D743" s="8" t="s">
        <v>13935</v>
      </c>
      <c r="E743" s="8" t="s">
        <v>36</v>
      </c>
      <c r="F743">
        <v>3</v>
      </c>
      <c r="G743" s="2">
        <v>46197.75</v>
      </c>
      <c r="H743" s="2">
        <v>46197.583333333336</v>
      </c>
    </row>
    <row r="744" spans="1:8" x14ac:dyDescent="0.25">
      <c r="A744" s="8" t="s">
        <v>2775</v>
      </c>
      <c r="B744" s="8" t="s">
        <v>14023</v>
      </c>
      <c r="C744" s="2">
        <v>46197.416666666664</v>
      </c>
      <c r="D744" s="8" t="s">
        <v>13935</v>
      </c>
      <c r="E744" s="8" t="s">
        <v>43</v>
      </c>
      <c r="F744">
        <v>3</v>
      </c>
      <c r="G744" s="2">
        <v>46197.75</v>
      </c>
      <c r="H744" s="2">
        <v>46197.583333333336</v>
      </c>
    </row>
    <row r="745" spans="1:8" x14ac:dyDescent="0.25">
      <c r="A745" s="8" t="s">
        <v>2778</v>
      </c>
      <c r="B745" s="8" t="s">
        <v>14023</v>
      </c>
      <c r="C745" s="2">
        <v>46197.416666666664</v>
      </c>
      <c r="D745" s="8" t="s">
        <v>13935</v>
      </c>
      <c r="E745" s="8" t="s">
        <v>45</v>
      </c>
      <c r="F745">
        <v>1</v>
      </c>
      <c r="G745" s="2">
        <v>46197.75</v>
      </c>
      <c r="H745" s="2">
        <v>46197.583333333336</v>
      </c>
    </row>
    <row r="746" spans="1:8" x14ac:dyDescent="0.25">
      <c r="A746" s="8" t="s">
        <v>2781</v>
      </c>
      <c r="B746" s="8" t="s">
        <v>14023</v>
      </c>
      <c r="C746" s="2">
        <v>46197.416666666664</v>
      </c>
      <c r="D746" s="8" t="s">
        <v>13935</v>
      </c>
      <c r="E746" s="8" t="s">
        <v>59</v>
      </c>
      <c r="F746">
        <v>6</v>
      </c>
      <c r="G746" s="2">
        <v>46197.75</v>
      </c>
      <c r="H746" s="2">
        <v>46197.583333333336</v>
      </c>
    </row>
    <row r="747" spans="1:8" x14ac:dyDescent="0.25">
      <c r="A747" s="8" t="s">
        <v>2786</v>
      </c>
      <c r="B747" s="8" t="s">
        <v>14023</v>
      </c>
      <c r="C747" s="2">
        <v>46197.416666666664</v>
      </c>
      <c r="D747" s="8" t="s">
        <v>13935</v>
      </c>
      <c r="E747" s="8" t="s">
        <v>77</v>
      </c>
      <c r="F747">
        <v>4</v>
      </c>
      <c r="G747" s="2">
        <v>46197.75</v>
      </c>
      <c r="H747" s="2">
        <v>46197.583333333336</v>
      </c>
    </row>
    <row r="748" spans="1:8" x14ac:dyDescent="0.25">
      <c r="A748" s="8" t="s">
        <v>2789</v>
      </c>
      <c r="B748" s="8" t="s">
        <v>14024</v>
      </c>
      <c r="C748" s="2">
        <v>46197.416666666664</v>
      </c>
      <c r="D748" s="8" t="s">
        <v>13937</v>
      </c>
      <c r="E748" s="8" t="s">
        <v>11</v>
      </c>
      <c r="F748">
        <v>1</v>
      </c>
      <c r="G748" s="2">
        <v>46197.75</v>
      </c>
      <c r="H748" s="2">
        <v>46197.583333333336</v>
      </c>
    </row>
    <row r="749" spans="1:8" x14ac:dyDescent="0.25">
      <c r="A749" s="8" t="s">
        <v>2792</v>
      </c>
      <c r="B749" s="8" t="s">
        <v>14024</v>
      </c>
      <c r="C749" s="2">
        <v>46197.416666666664</v>
      </c>
      <c r="D749" s="8" t="s">
        <v>13937</v>
      </c>
      <c r="E749" s="8" t="s">
        <v>20</v>
      </c>
      <c r="F749">
        <v>4</v>
      </c>
      <c r="G749" s="2">
        <v>46197.75</v>
      </c>
      <c r="H749" s="2">
        <v>46197.583333333336</v>
      </c>
    </row>
    <row r="750" spans="1:8" x14ac:dyDescent="0.25">
      <c r="A750" s="8" t="s">
        <v>2795</v>
      </c>
      <c r="B750" s="8" t="s">
        <v>14024</v>
      </c>
      <c r="C750" s="2">
        <v>46197.416666666664</v>
      </c>
      <c r="D750" s="8" t="s">
        <v>13937</v>
      </c>
      <c r="E750" s="8" t="s">
        <v>22</v>
      </c>
      <c r="F750">
        <v>2</v>
      </c>
      <c r="G750" s="2">
        <v>46197.75</v>
      </c>
      <c r="H750" s="2">
        <v>46197.583333333336</v>
      </c>
    </row>
    <row r="751" spans="1:8" x14ac:dyDescent="0.25">
      <c r="A751" s="8" t="s">
        <v>2798</v>
      </c>
      <c r="B751" s="8" t="s">
        <v>14024</v>
      </c>
      <c r="C751" s="2">
        <v>46197.416666666664</v>
      </c>
      <c r="D751" s="8" t="s">
        <v>13937</v>
      </c>
      <c r="E751" s="8" t="s">
        <v>26</v>
      </c>
      <c r="F751">
        <v>4</v>
      </c>
      <c r="G751" s="2">
        <v>46197.75</v>
      </c>
      <c r="H751" s="2">
        <v>46197.583333333336</v>
      </c>
    </row>
    <row r="752" spans="1:8" x14ac:dyDescent="0.25">
      <c r="A752" s="8" t="s">
        <v>2801</v>
      </c>
      <c r="B752" s="8" t="s">
        <v>14024</v>
      </c>
      <c r="C752" s="2">
        <v>46197.416666666664</v>
      </c>
      <c r="D752" s="8" t="s">
        <v>13937</v>
      </c>
      <c r="E752" s="8" t="s">
        <v>47</v>
      </c>
      <c r="F752">
        <v>1</v>
      </c>
      <c r="G752" s="2">
        <v>46197.75</v>
      </c>
      <c r="H752" s="2">
        <v>46197.583333333336</v>
      </c>
    </row>
    <row r="753" spans="1:8" x14ac:dyDescent="0.25">
      <c r="A753" s="8" t="s">
        <v>2804</v>
      </c>
      <c r="B753" s="8" t="s">
        <v>14024</v>
      </c>
      <c r="C753" s="2">
        <v>46197.416666666664</v>
      </c>
      <c r="D753" s="8" t="s">
        <v>13937</v>
      </c>
      <c r="E753" s="8" t="s">
        <v>51</v>
      </c>
      <c r="F753">
        <v>3</v>
      </c>
      <c r="G753" s="2">
        <v>46197.75</v>
      </c>
      <c r="H753" s="2">
        <v>46197.583333333336</v>
      </c>
    </row>
    <row r="754" spans="1:8" x14ac:dyDescent="0.25">
      <c r="A754" s="8" t="s">
        <v>2807</v>
      </c>
      <c r="B754" s="8" t="s">
        <v>14024</v>
      </c>
      <c r="C754" s="2">
        <v>46197.416666666664</v>
      </c>
      <c r="D754" s="8" t="s">
        <v>13937</v>
      </c>
      <c r="E754" s="8" t="s">
        <v>53</v>
      </c>
      <c r="F754">
        <v>2</v>
      </c>
      <c r="G754" s="2">
        <v>46197.75</v>
      </c>
      <c r="H754" s="2">
        <v>46197.583333333336</v>
      </c>
    </row>
    <row r="755" spans="1:8" x14ac:dyDescent="0.25">
      <c r="A755" s="8" t="s">
        <v>2810</v>
      </c>
      <c r="B755" s="8" t="s">
        <v>14024</v>
      </c>
      <c r="C755" s="2">
        <v>46197.416666666664</v>
      </c>
      <c r="D755" s="8" t="s">
        <v>13937</v>
      </c>
      <c r="E755" s="8" t="s">
        <v>59</v>
      </c>
      <c r="F755">
        <v>4</v>
      </c>
      <c r="G755" s="2">
        <v>46197.75</v>
      </c>
      <c r="H755" s="2">
        <v>46197.583333333336</v>
      </c>
    </row>
    <row r="756" spans="1:8" x14ac:dyDescent="0.25">
      <c r="A756" s="8" t="s">
        <v>2813</v>
      </c>
      <c r="B756" s="8" t="s">
        <v>14024</v>
      </c>
      <c r="C756" s="2">
        <v>46197.416666666664</v>
      </c>
      <c r="D756" s="8" t="s">
        <v>13937</v>
      </c>
      <c r="E756" s="8" t="s">
        <v>65</v>
      </c>
      <c r="F756">
        <v>4</v>
      </c>
      <c r="G756" s="2">
        <v>46197.75</v>
      </c>
      <c r="H756" s="2">
        <v>46197.583333333336</v>
      </c>
    </row>
    <row r="757" spans="1:8" x14ac:dyDescent="0.25">
      <c r="A757" s="8" t="s">
        <v>2816</v>
      </c>
      <c r="B757" s="8" t="s">
        <v>14024</v>
      </c>
      <c r="C757" s="2">
        <v>46197.416666666664</v>
      </c>
      <c r="D757" s="8" t="s">
        <v>13937</v>
      </c>
      <c r="E757" s="8" t="s">
        <v>73</v>
      </c>
      <c r="F757">
        <v>4</v>
      </c>
      <c r="G757" s="2">
        <v>46197.75</v>
      </c>
      <c r="H757" s="2">
        <v>46197.583333333336</v>
      </c>
    </row>
    <row r="758" spans="1:8" x14ac:dyDescent="0.25">
      <c r="A758" s="8" t="s">
        <v>2819</v>
      </c>
      <c r="B758" s="8" t="s">
        <v>14025</v>
      </c>
      <c r="C758" s="2">
        <v>46198.416666666664</v>
      </c>
      <c r="D758" s="8" t="s">
        <v>13929</v>
      </c>
      <c r="E758" s="8" t="s">
        <v>18</v>
      </c>
      <c r="F758">
        <v>1</v>
      </c>
      <c r="G758" s="2">
        <v>46198.75</v>
      </c>
      <c r="H758" s="2">
        <v>46198.583333333336</v>
      </c>
    </row>
    <row r="759" spans="1:8" x14ac:dyDescent="0.25">
      <c r="A759" s="8" t="s">
        <v>2822</v>
      </c>
      <c r="B759" s="8" t="s">
        <v>14025</v>
      </c>
      <c r="C759" s="2">
        <v>46198.416666666664</v>
      </c>
      <c r="D759" s="8" t="s">
        <v>13929</v>
      </c>
      <c r="E759" s="8" t="s">
        <v>20</v>
      </c>
      <c r="F759">
        <v>1</v>
      </c>
      <c r="G759" s="2">
        <v>46198.75</v>
      </c>
      <c r="H759" s="2">
        <v>46198.583333333336</v>
      </c>
    </row>
    <row r="760" spans="1:8" x14ac:dyDescent="0.25">
      <c r="A760" s="8" t="s">
        <v>2825</v>
      </c>
      <c r="B760" s="8" t="s">
        <v>14025</v>
      </c>
      <c r="C760" s="2">
        <v>46198.416666666664</v>
      </c>
      <c r="D760" s="8" t="s">
        <v>13929</v>
      </c>
      <c r="E760" s="8" t="s">
        <v>22</v>
      </c>
      <c r="F760">
        <v>2</v>
      </c>
      <c r="G760" s="2">
        <v>46198.75</v>
      </c>
      <c r="H760" s="2">
        <v>46198.583333333336</v>
      </c>
    </row>
    <row r="761" spans="1:8" x14ac:dyDescent="0.25">
      <c r="A761" s="8" t="s">
        <v>2828</v>
      </c>
      <c r="B761" s="8" t="s">
        <v>14025</v>
      </c>
      <c r="C761" s="2">
        <v>46198.416666666664</v>
      </c>
      <c r="D761" s="8" t="s">
        <v>13929</v>
      </c>
      <c r="E761" s="8" t="s">
        <v>24</v>
      </c>
      <c r="F761">
        <v>2</v>
      </c>
      <c r="G761" s="2">
        <v>46198.75</v>
      </c>
      <c r="H761" s="2">
        <v>46198.583333333336</v>
      </c>
    </row>
    <row r="762" spans="1:8" x14ac:dyDescent="0.25">
      <c r="A762" s="8" t="s">
        <v>2831</v>
      </c>
      <c r="B762" s="8" t="s">
        <v>14025</v>
      </c>
      <c r="C762" s="2">
        <v>46198.416666666664</v>
      </c>
      <c r="D762" s="8" t="s">
        <v>13929</v>
      </c>
      <c r="E762" s="8" t="s">
        <v>26</v>
      </c>
      <c r="F762">
        <v>2</v>
      </c>
      <c r="G762" s="2">
        <v>46198.75</v>
      </c>
      <c r="H762" s="2">
        <v>46198.583333333336</v>
      </c>
    </row>
    <row r="763" spans="1:8" x14ac:dyDescent="0.25">
      <c r="A763" s="8" t="s">
        <v>2834</v>
      </c>
      <c r="B763" s="8" t="s">
        <v>14025</v>
      </c>
      <c r="C763" s="2">
        <v>46198.416666666664</v>
      </c>
      <c r="D763" s="8" t="s">
        <v>13929</v>
      </c>
      <c r="E763" s="8" t="s">
        <v>36</v>
      </c>
      <c r="F763">
        <v>4</v>
      </c>
      <c r="G763" s="2">
        <v>46198.75</v>
      </c>
      <c r="H763" s="2">
        <v>46198.583333333336</v>
      </c>
    </row>
    <row r="764" spans="1:8" x14ac:dyDescent="0.25">
      <c r="A764" s="8" t="s">
        <v>2837</v>
      </c>
      <c r="B764" s="8" t="s">
        <v>14025</v>
      </c>
      <c r="C764" s="2">
        <v>46198.416666666664</v>
      </c>
      <c r="D764" s="8" t="s">
        <v>13929</v>
      </c>
      <c r="E764" s="8" t="s">
        <v>45</v>
      </c>
      <c r="F764">
        <v>4</v>
      </c>
      <c r="G764" s="2">
        <v>46198.75</v>
      </c>
      <c r="H764" s="2">
        <v>46198.583333333336</v>
      </c>
    </row>
    <row r="765" spans="1:8" x14ac:dyDescent="0.25">
      <c r="A765" s="8" t="s">
        <v>2840</v>
      </c>
      <c r="B765" s="8" t="s">
        <v>14025</v>
      </c>
      <c r="C765" s="2">
        <v>46198.416666666664</v>
      </c>
      <c r="D765" s="8" t="s">
        <v>13929</v>
      </c>
      <c r="E765" s="8" t="s">
        <v>47</v>
      </c>
      <c r="F765">
        <v>2</v>
      </c>
      <c r="G765" s="2">
        <v>46198.75</v>
      </c>
      <c r="H765" s="2">
        <v>46198.583333333336</v>
      </c>
    </row>
    <row r="766" spans="1:8" x14ac:dyDescent="0.25">
      <c r="A766" s="8" t="s">
        <v>2843</v>
      </c>
      <c r="B766" s="8" t="s">
        <v>14025</v>
      </c>
      <c r="C766" s="2">
        <v>46198.416666666664</v>
      </c>
      <c r="D766" s="8" t="s">
        <v>13929</v>
      </c>
      <c r="E766" s="8" t="s">
        <v>49</v>
      </c>
      <c r="F766">
        <v>2</v>
      </c>
      <c r="G766" s="2">
        <v>46198.75</v>
      </c>
      <c r="H766" s="2">
        <v>46198.583333333336</v>
      </c>
    </row>
    <row r="767" spans="1:8" x14ac:dyDescent="0.25">
      <c r="A767" s="8" t="s">
        <v>2846</v>
      </c>
      <c r="B767" s="8" t="s">
        <v>14025</v>
      </c>
      <c r="C767" s="2">
        <v>46198.416666666664</v>
      </c>
      <c r="D767" s="8" t="s">
        <v>13929</v>
      </c>
      <c r="E767" s="8" t="s">
        <v>53</v>
      </c>
      <c r="F767">
        <v>1</v>
      </c>
      <c r="G767" s="2">
        <v>46198.75</v>
      </c>
      <c r="H767" s="2">
        <v>46198.583333333336</v>
      </c>
    </row>
    <row r="768" spans="1:8" x14ac:dyDescent="0.25">
      <c r="A768" s="8" t="s">
        <v>2849</v>
      </c>
      <c r="B768" s="8" t="s">
        <v>14025</v>
      </c>
      <c r="C768" s="2">
        <v>46198.416666666664</v>
      </c>
      <c r="D768" s="8" t="s">
        <v>13929</v>
      </c>
      <c r="E768" s="8" t="s">
        <v>57</v>
      </c>
      <c r="F768">
        <v>2</v>
      </c>
      <c r="G768" s="2">
        <v>46198.75</v>
      </c>
      <c r="H768" s="2">
        <v>46198.583333333336</v>
      </c>
    </row>
    <row r="769" spans="1:8" x14ac:dyDescent="0.25">
      <c r="A769" s="8" t="s">
        <v>2852</v>
      </c>
      <c r="B769" s="8" t="s">
        <v>14025</v>
      </c>
      <c r="C769" s="2">
        <v>46198.416666666664</v>
      </c>
      <c r="D769" s="8" t="s">
        <v>13929</v>
      </c>
      <c r="E769" s="8" t="s">
        <v>65</v>
      </c>
      <c r="F769">
        <v>3</v>
      </c>
      <c r="G769" s="2">
        <v>46198.75</v>
      </c>
      <c r="H769" s="2">
        <v>46198.583333333336</v>
      </c>
    </row>
    <row r="770" spans="1:8" x14ac:dyDescent="0.25">
      <c r="A770" s="8" t="s">
        <v>2855</v>
      </c>
      <c r="B770" s="8" t="s">
        <v>14025</v>
      </c>
      <c r="C770" s="2">
        <v>46198.416666666664</v>
      </c>
      <c r="D770" s="8" t="s">
        <v>13929</v>
      </c>
      <c r="E770" s="8" t="s">
        <v>69</v>
      </c>
      <c r="F770">
        <v>4</v>
      </c>
      <c r="G770" s="2">
        <v>46198.75</v>
      </c>
      <c r="H770" s="2">
        <v>46198.583333333336</v>
      </c>
    </row>
    <row r="771" spans="1:8" x14ac:dyDescent="0.25">
      <c r="A771" s="8" t="s">
        <v>2860</v>
      </c>
      <c r="B771" s="8" t="s">
        <v>14025</v>
      </c>
      <c r="C771" s="2">
        <v>46198.416666666664</v>
      </c>
      <c r="D771" s="8" t="s">
        <v>13929</v>
      </c>
      <c r="E771" s="8" t="s">
        <v>75</v>
      </c>
      <c r="F771">
        <v>2</v>
      </c>
      <c r="G771" s="2">
        <v>46198.75</v>
      </c>
      <c r="H771" s="2">
        <v>46198.583333333336</v>
      </c>
    </row>
    <row r="772" spans="1:8" x14ac:dyDescent="0.25">
      <c r="A772" s="8" t="s">
        <v>2863</v>
      </c>
      <c r="B772" s="8" t="s">
        <v>14026</v>
      </c>
      <c r="C772" s="2">
        <v>46198.416666666664</v>
      </c>
      <c r="D772" s="8" t="s">
        <v>13931</v>
      </c>
      <c r="E772" s="8" t="s">
        <v>11</v>
      </c>
      <c r="F772">
        <v>3</v>
      </c>
      <c r="G772" s="2">
        <v>46198.75</v>
      </c>
      <c r="H772" s="2">
        <v>46198.583333333336</v>
      </c>
    </row>
    <row r="773" spans="1:8" x14ac:dyDescent="0.25">
      <c r="A773" s="8" t="s">
        <v>2866</v>
      </c>
      <c r="B773" s="8" t="s">
        <v>14026</v>
      </c>
      <c r="C773" s="2">
        <v>46198.416666666664</v>
      </c>
      <c r="D773" s="8" t="s">
        <v>13931</v>
      </c>
      <c r="E773" s="8" t="s">
        <v>22</v>
      </c>
      <c r="F773">
        <v>5</v>
      </c>
      <c r="G773" s="2">
        <v>46198.75</v>
      </c>
      <c r="H773" s="2">
        <v>46198.583333333336</v>
      </c>
    </row>
    <row r="774" spans="1:8" x14ac:dyDescent="0.25">
      <c r="A774" s="8" t="s">
        <v>2869</v>
      </c>
      <c r="B774" s="8" t="s">
        <v>14026</v>
      </c>
      <c r="C774" s="2">
        <v>46198.416666666664</v>
      </c>
      <c r="D774" s="8" t="s">
        <v>13931</v>
      </c>
      <c r="E774" s="8" t="s">
        <v>43</v>
      </c>
      <c r="F774">
        <v>2</v>
      </c>
      <c r="G774" s="2">
        <v>46198.75</v>
      </c>
      <c r="H774" s="2">
        <v>46198.583333333336</v>
      </c>
    </row>
    <row r="775" spans="1:8" x14ac:dyDescent="0.25">
      <c r="A775" s="8" t="s">
        <v>2872</v>
      </c>
      <c r="B775" s="8" t="s">
        <v>14026</v>
      </c>
      <c r="C775" s="2">
        <v>46198.416666666664</v>
      </c>
      <c r="D775" s="8" t="s">
        <v>13931</v>
      </c>
      <c r="E775" s="8" t="s">
        <v>45</v>
      </c>
      <c r="F775">
        <v>3</v>
      </c>
      <c r="G775" s="2">
        <v>46198.75</v>
      </c>
      <c r="H775" s="2">
        <v>46198.583333333336</v>
      </c>
    </row>
    <row r="776" spans="1:8" x14ac:dyDescent="0.25">
      <c r="A776" s="8" t="s">
        <v>2875</v>
      </c>
      <c r="B776" s="8" t="s">
        <v>14026</v>
      </c>
      <c r="C776" s="2">
        <v>46198.416666666664</v>
      </c>
      <c r="D776" s="8" t="s">
        <v>13931</v>
      </c>
      <c r="E776" s="8" t="s">
        <v>47</v>
      </c>
      <c r="F776">
        <v>5</v>
      </c>
      <c r="G776" s="2">
        <v>46198.75</v>
      </c>
      <c r="H776" s="2">
        <v>46198.583333333336</v>
      </c>
    </row>
    <row r="777" spans="1:8" x14ac:dyDescent="0.25">
      <c r="A777" s="8" t="s">
        <v>2878</v>
      </c>
      <c r="B777" s="8" t="s">
        <v>14026</v>
      </c>
      <c r="C777" s="2">
        <v>46198.416666666664</v>
      </c>
      <c r="D777" s="8" t="s">
        <v>13931</v>
      </c>
      <c r="E777" s="8" t="s">
        <v>51</v>
      </c>
      <c r="F777">
        <v>3</v>
      </c>
      <c r="G777" s="2">
        <v>46198.75</v>
      </c>
      <c r="H777" s="2">
        <v>46198.583333333336</v>
      </c>
    </row>
    <row r="778" spans="1:8" x14ac:dyDescent="0.25">
      <c r="A778" s="8" t="s">
        <v>2881</v>
      </c>
      <c r="B778" s="8" t="s">
        <v>14026</v>
      </c>
      <c r="C778" s="2">
        <v>46198.416666666664</v>
      </c>
      <c r="D778" s="8" t="s">
        <v>13931</v>
      </c>
      <c r="E778" s="8" t="s">
        <v>57</v>
      </c>
      <c r="F778">
        <v>3</v>
      </c>
      <c r="G778" s="2">
        <v>46198.75</v>
      </c>
      <c r="H778" s="2">
        <v>46198.583333333336</v>
      </c>
    </row>
    <row r="779" spans="1:8" x14ac:dyDescent="0.25">
      <c r="A779" s="8" t="s">
        <v>2884</v>
      </c>
      <c r="B779" s="8" t="s">
        <v>14026</v>
      </c>
      <c r="C779" s="2">
        <v>46198.416666666664</v>
      </c>
      <c r="D779" s="8" t="s">
        <v>13931</v>
      </c>
      <c r="E779" s="8" t="s">
        <v>59</v>
      </c>
      <c r="F779">
        <v>3</v>
      </c>
      <c r="G779" s="2">
        <v>46198.75</v>
      </c>
      <c r="H779" s="2">
        <v>46198.583333333336</v>
      </c>
    </row>
    <row r="780" spans="1:8" x14ac:dyDescent="0.25">
      <c r="A780" s="8" t="s">
        <v>2887</v>
      </c>
      <c r="B780" s="8" t="s">
        <v>14027</v>
      </c>
      <c r="C780" s="2">
        <v>46198.416666666664</v>
      </c>
      <c r="D780" s="8" t="s">
        <v>13933</v>
      </c>
      <c r="E780" s="8" t="s">
        <v>11</v>
      </c>
      <c r="F780">
        <v>4</v>
      </c>
      <c r="G780" s="2">
        <v>46198.75</v>
      </c>
      <c r="H780" s="2">
        <v>46198.583333333336</v>
      </c>
    </row>
    <row r="781" spans="1:8" x14ac:dyDescent="0.25">
      <c r="A781" s="8" t="s">
        <v>2890</v>
      </c>
      <c r="B781" s="8" t="s">
        <v>14027</v>
      </c>
      <c r="C781" s="2">
        <v>46198.416666666664</v>
      </c>
      <c r="D781" s="8" t="s">
        <v>13933</v>
      </c>
      <c r="E781" s="8" t="s">
        <v>18</v>
      </c>
      <c r="F781">
        <v>6</v>
      </c>
      <c r="G781" s="2">
        <v>46198.75</v>
      </c>
      <c r="H781" s="2">
        <v>46198.583333333336</v>
      </c>
    </row>
    <row r="782" spans="1:8" x14ac:dyDescent="0.25">
      <c r="A782" s="8" t="s">
        <v>2893</v>
      </c>
      <c r="B782" s="8" t="s">
        <v>14027</v>
      </c>
      <c r="C782" s="2">
        <v>46198.416666666664</v>
      </c>
      <c r="D782" s="8" t="s">
        <v>13933</v>
      </c>
      <c r="E782" s="8" t="s">
        <v>45</v>
      </c>
      <c r="F782">
        <v>4</v>
      </c>
      <c r="G782" s="2">
        <v>46198.75</v>
      </c>
      <c r="H782" s="2">
        <v>46198.583333333336</v>
      </c>
    </row>
    <row r="783" spans="1:8" x14ac:dyDescent="0.25">
      <c r="A783" s="8" t="s">
        <v>2896</v>
      </c>
      <c r="B783" s="8" t="s">
        <v>14027</v>
      </c>
      <c r="C783" s="2">
        <v>46198.416666666664</v>
      </c>
      <c r="D783" s="8" t="s">
        <v>13933</v>
      </c>
      <c r="E783" s="8" t="s">
        <v>49</v>
      </c>
      <c r="F783">
        <v>6</v>
      </c>
      <c r="G783" s="2">
        <v>46198.75</v>
      </c>
      <c r="H783" s="2">
        <v>46198.583333333336</v>
      </c>
    </row>
    <row r="784" spans="1:8" x14ac:dyDescent="0.25">
      <c r="A784" s="8" t="s">
        <v>2899</v>
      </c>
      <c r="B784" s="8" t="s">
        <v>14027</v>
      </c>
      <c r="C784" s="2">
        <v>46198.416666666664</v>
      </c>
      <c r="D784" s="8" t="s">
        <v>13933</v>
      </c>
      <c r="E784" s="8" t="s">
        <v>55</v>
      </c>
      <c r="F784">
        <v>2</v>
      </c>
      <c r="G784" s="2">
        <v>46198.75</v>
      </c>
      <c r="H784" s="2">
        <v>46198.583333333336</v>
      </c>
    </row>
    <row r="785" spans="1:8" x14ac:dyDescent="0.25">
      <c r="A785" s="8" t="s">
        <v>2902</v>
      </c>
      <c r="B785" s="8" t="s">
        <v>14027</v>
      </c>
      <c r="C785" s="2">
        <v>46198.416666666664</v>
      </c>
      <c r="D785" s="8" t="s">
        <v>13933</v>
      </c>
      <c r="E785" s="8" t="s">
        <v>69</v>
      </c>
      <c r="F785">
        <v>5</v>
      </c>
      <c r="G785" s="2">
        <v>46198.75</v>
      </c>
      <c r="H785" s="2">
        <v>46198.583333333336</v>
      </c>
    </row>
    <row r="786" spans="1:8" x14ac:dyDescent="0.25">
      <c r="A786" s="8" t="s">
        <v>2905</v>
      </c>
      <c r="B786" s="8" t="s">
        <v>14027</v>
      </c>
      <c r="C786" s="2">
        <v>46198.416666666664</v>
      </c>
      <c r="D786" s="8" t="s">
        <v>13933</v>
      </c>
      <c r="E786" s="8" t="s">
        <v>71</v>
      </c>
      <c r="F786">
        <v>6</v>
      </c>
      <c r="G786" s="2">
        <v>46198.75</v>
      </c>
      <c r="H786" s="2">
        <v>46198.583333333336</v>
      </c>
    </row>
    <row r="787" spans="1:8" x14ac:dyDescent="0.25">
      <c r="A787" s="8" t="s">
        <v>2908</v>
      </c>
      <c r="B787" s="8" t="s">
        <v>14028</v>
      </c>
      <c r="C787" s="2">
        <v>46198.416666666664</v>
      </c>
      <c r="D787" s="8" t="s">
        <v>13935</v>
      </c>
      <c r="E787" s="8" t="s">
        <v>18</v>
      </c>
      <c r="F787">
        <v>7</v>
      </c>
      <c r="G787" s="2">
        <v>46198.75</v>
      </c>
      <c r="H787" s="2">
        <v>46198.583333333336</v>
      </c>
    </row>
    <row r="788" spans="1:8" x14ac:dyDescent="0.25">
      <c r="A788" s="8" t="s">
        <v>2913</v>
      </c>
      <c r="B788" s="8" t="s">
        <v>14028</v>
      </c>
      <c r="C788" s="2">
        <v>46198.416666666664</v>
      </c>
      <c r="D788" s="8" t="s">
        <v>13935</v>
      </c>
      <c r="E788" s="8" t="s">
        <v>24</v>
      </c>
      <c r="F788">
        <v>1</v>
      </c>
      <c r="G788" s="2">
        <v>46198.75</v>
      </c>
      <c r="H788" s="2">
        <v>46198.583333333336</v>
      </c>
    </row>
    <row r="789" spans="1:8" x14ac:dyDescent="0.25">
      <c r="A789" s="8" t="s">
        <v>2916</v>
      </c>
      <c r="B789" s="8" t="s">
        <v>14028</v>
      </c>
      <c r="C789" s="2">
        <v>46198.416666666664</v>
      </c>
      <c r="D789" s="8" t="s">
        <v>13935</v>
      </c>
      <c r="E789" s="8" t="s">
        <v>43</v>
      </c>
      <c r="F789">
        <v>4</v>
      </c>
      <c r="G789" s="2">
        <v>46198.75</v>
      </c>
      <c r="H789" s="2">
        <v>46198.583333333336</v>
      </c>
    </row>
    <row r="790" spans="1:8" x14ac:dyDescent="0.25">
      <c r="A790" s="8" t="s">
        <v>2919</v>
      </c>
      <c r="B790" s="8" t="s">
        <v>14028</v>
      </c>
      <c r="C790" s="2">
        <v>46198.416666666664</v>
      </c>
      <c r="D790" s="8" t="s">
        <v>13935</v>
      </c>
      <c r="E790" s="8" t="s">
        <v>51</v>
      </c>
      <c r="F790">
        <v>6</v>
      </c>
      <c r="G790" s="2">
        <v>46198.75</v>
      </c>
      <c r="H790" s="2">
        <v>46198.583333333336</v>
      </c>
    </row>
    <row r="791" spans="1:8" x14ac:dyDescent="0.25">
      <c r="A791" s="8" t="s">
        <v>2922</v>
      </c>
      <c r="B791" s="8" t="s">
        <v>14028</v>
      </c>
      <c r="C791" s="2">
        <v>46198.416666666664</v>
      </c>
      <c r="D791" s="8" t="s">
        <v>13935</v>
      </c>
      <c r="E791" s="8" t="s">
        <v>75</v>
      </c>
      <c r="F791">
        <v>6</v>
      </c>
      <c r="G791" s="2">
        <v>46198.75</v>
      </c>
      <c r="H791" s="2">
        <v>46198.583333333336</v>
      </c>
    </row>
    <row r="792" spans="1:8" x14ac:dyDescent="0.25">
      <c r="A792" s="8" t="s">
        <v>2925</v>
      </c>
      <c r="B792" s="8" t="s">
        <v>14029</v>
      </c>
      <c r="C792" s="2">
        <v>46198.416666666664</v>
      </c>
      <c r="D792" s="8" t="s">
        <v>13937</v>
      </c>
      <c r="E792" s="8" t="s">
        <v>18</v>
      </c>
      <c r="F792">
        <v>2</v>
      </c>
      <c r="G792" s="2">
        <v>46198.75</v>
      </c>
      <c r="H792" s="2">
        <v>46198.583333333336</v>
      </c>
    </row>
    <row r="793" spans="1:8" x14ac:dyDescent="0.25">
      <c r="A793" s="8" t="s">
        <v>2928</v>
      </c>
      <c r="B793" s="8" t="s">
        <v>14029</v>
      </c>
      <c r="C793" s="2">
        <v>46198.416666666664</v>
      </c>
      <c r="D793" s="8" t="s">
        <v>13937</v>
      </c>
      <c r="E793" s="8" t="s">
        <v>20</v>
      </c>
      <c r="F793">
        <v>4</v>
      </c>
      <c r="G793" s="2">
        <v>46198.75</v>
      </c>
      <c r="H793" s="2">
        <v>46198.583333333336</v>
      </c>
    </row>
    <row r="794" spans="1:8" x14ac:dyDescent="0.25">
      <c r="A794" s="8" t="s">
        <v>2931</v>
      </c>
      <c r="B794" s="8" t="s">
        <v>14029</v>
      </c>
      <c r="C794" s="2">
        <v>46198.416666666664</v>
      </c>
      <c r="D794" s="8" t="s">
        <v>13937</v>
      </c>
      <c r="E794" s="8" t="s">
        <v>22</v>
      </c>
      <c r="F794">
        <v>2</v>
      </c>
      <c r="G794" s="2">
        <v>46198.75</v>
      </c>
      <c r="H794" s="2">
        <v>46198.583333333336</v>
      </c>
    </row>
    <row r="795" spans="1:8" x14ac:dyDescent="0.25">
      <c r="A795" s="8" t="s">
        <v>2934</v>
      </c>
      <c r="B795" s="8" t="s">
        <v>14029</v>
      </c>
      <c r="C795" s="2">
        <v>46198.416666666664</v>
      </c>
      <c r="D795" s="8" t="s">
        <v>13937</v>
      </c>
      <c r="E795" s="8" t="s">
        <v>24</v>
      </c>
      <c r="F795">
        <v>3</v>
      </c>
      <c r="G795" s="2">
        <v>46198.75</v>
      </c>
      <c r="H795" s="2">
        <v>46198.583333333336</v>
      </c>
    </row>
    <row r="796" spans="1:8" x14ac:dyDescent="0.25">
      <c r="A796" s="8" t="s">
        <v>2937</v>
      </c>
      <c r="B796" s="8" t="s">
        <v>14029</v>
      </c>
      <c r="C796" s="2">
        <v>46198.416666666664</v>
      </c>
      <c r="D796" s="8" t="s">
        <v>13937</v>
      </c>
      <c r="E796" s="8" t="s">
        <v>30</v>
      </c>
      <c r="F796">
        <v>4</v>
      </c>
      <c r="G796" s="2">
        <v>46198.75</v>
      </c>
      <c r="H796" s="2">
        <v>46198.583333333336</v>
      </c>
    </row>
    <row r="797" spans="1:8" x14ac:dyDescent="0.25">
      <c r="A797" s="8" t="s">
        <v>2940</v>
      </c>
      <c r="B797" s="8" t="s">
        <v>14029</v>
      </c>
      <c r="C797" s="2">
        <v>46198.416666666664</v>
      </c>
      <c r="D797" s="8" t="s">
        <v>13937</v>
      </c>
      <c r="E797" s="8" t="s">
        <v>32</v>
      </c>
      <c r="F797">
        <v>2</v>
      </c>
      <c r="G797" s="2">
        <v>46198.75</v>
      </c>
      <c r="H797" s="2">
        <v>46198.583333333336</v>
      </c>
    </row>
    <row r="798" spans="1:8" x14ac:dyDescent="0.25">
      <c r="A798" s="8" t="s">
        <v>2943</v>
      </c>
      <c r="B798" s="8" t="s">
        <v>14029</v>
      </c>
      <c r="C798" s="2">
        <v>46198.416666666664</v>
      </c>
      <c r="D798" s="8" t="s">
        <v>13937</v>
      </c>
      <c r="E798" s="8" t="s">
        <v>36</v>
      </c>
      <c r="F798">
        <v>1</v>
      </c>
      <c r="G798" s="2">
        <v>46198.75</v>
      </c>
      <c r="H798" s="2">
        <v>46198.583333333336</v>
      </c>
    </row>
    <row r="799" spans="1:8" x14ac:dyDescent="0.25">
      <c r="A799" s="8" t="s">
        <v>2946</v>
      </c>
      <c r="B799" s="8" t="s">
        <v>14029</v>
      </c>
      <c r="C799" s="2">
        <v>46198.416666666664</v>
      </c>
      <c r="D799" s="8" t="s">
        <v>13937</v>
      </c>
      <c r="E799" s="8" t="s">
        <v>55</v>
      </c>
      <c r="F799">
        <v>3</v>
      </c>
      <c r="G799" s="2">
        <v>46198.75</v>
      </c>
      <c r="H799" s="2">
        <v>46198.583333333336</v>
      </c>
    </row>
    <row r="800" spans="1:8" x14ac:dyDescent="0.25">
      <c r="A800" s="8" t="s">
        <v>2949</v>
      </c>
      <c r="B800" s="8" t="s">
        <v>14029</v>
      </c>
      <c r="C800" s="2">
        <v>46198.416666666664</v>
      </c>
      <c r="D800" s="8" t="s">
        <v>13937</v>
      </c>
      <c r="E800" s="8" t="s">
        <v>57</v>
      </c>
      <c r="F800">
        <v>4</v>
      </c>
      <c r="G800" s="2">
        <v>46198.75</v>
      </c>
      <c r="H800" s="2">
        <v>46198.583333333336</v>
      </c>
    </row>
    <row r="801" spans="1:8" x14ac:dyDescent="0.25">
      <c r="A801" s="8" t="s">
        <v>2952</v>
      </c>
      <c r="B801" s="8" t="s">
        <v>14029</v>
      </c>
      <c r="C801" s="2">
        <v>46198.416666666664</v>
      </c>
      <c r="D801" s="8" t="s">
        <v>13937</v>
      </c>
      <c r="E801" s="8" t="s">
        <v>75</v>
      </c>
      <c r="F801">
        <v>4</v>
      </c>
      <c r="G801" s="2">
        <v>46198.75</v>
      </c>
      <c r="H801" s="2">
        <v>46198.583333333336</v>
      </c>
    </row>
    <row r="802" spans="1:8" x14ac:dyDescent="0.25">
      <c r="A802" s="8" t="s">
        <v>2955</v>
      </c>
      <c r="B802" s="8" t="s">
        <v>14029</v>
      </c>
      <c r="C802" s="2">
        <v>46198.416666666664</v>
      </c>
      <c r="D802" s="8" t="s">
        <v>13937</v>
      </c>
      <c r="E802" s="8" t="s">
        <v>77</v>
      </c>
      <c r="F802">
        <v>3</v>
      </c>
      <c r="G802" s="2">
        <v>46198.75</v>
      </c>
      <c r="H802" s="2">
        <v>46198.583333333336</v>
      </c>
    </row>
    <row r="803" spans="1:8" x14ac:dyDescent="0.25">
      <c r="A803" s="8" t="s">
        <v>2958</v>
      </c>
      <c r="B803" s="8" t="s">
        <v>14030</v>
      </c>
      <c r="C803" s="2">
        <v>46199.416666666664</v>
      </c>
      <c r="D803" s="8" t="s">
        <v>13929</v>
      </c>
      <c r="E803" s="8" t="s">
        <v>22</v>
      </c>
      <c r="F803">
        <v>2</v>
      </c>
      <c r="G803" s="2">
        <v>46199.75</v>
      </c>
      <c r="H803" s="2">
        <v>46199.583333333336</v>
      </c>
    </row>
    <row r="804" spans="1:8" x14ac:dyDescent="0.25">
      <c r="A804" s="8" t="s">
        <v>2961</v>
      </c>
      <c r="B804" s="8" t="s">
        <v>14030</v>
      </c>
      <c r="C804" s="2">
        <v>46199.416666666664</v>
      </c>
      <c r="D804" s="8" t="s">
        <v>13929</v>
      </c>
      <c r="E804" s="8" t="s">
        <v>24</v>
      </c>
      <c r="F804">
        <v>3</v>
      </c>
      <c r="G804" s="2">
        <v>46199.75</v>
      </c>
      <c r="H804" s="2">
        <v>46199.583333333336</v>
      </c>
    </row>
    <row r="805" spans="1:8" x14ac:dyDescent="0.25">
      <c r="A805" s="8" t="s">
        <v>2964</v>
      </c>
      <c r="B805" s="8" t="s">
        <v>14030</v>
      </c>
      <c r="C805" s="2">
        <v>46199.416666666664</v>
      </c>
      <c r="D805" s="8" t="s">
        <v>13929</v>
      </c>
      <c r="E805" s="8" t="s">
        <v>26</v>
      </c>
      <c r="F805">
        <v>2</v>
      </c>
      <c r="G805" s="2">
        <v>46199.75</v>
      </c>
      <c r="H805" s="2">
        <v>46199.583333333336</v>
      </c>
    </row>
    <row r="806" spans="1:8" x14ac:dyDescent="0.25">
      <c r="A806" s="8" t="s">
        <v>2967</v>
      </c>
      <c r="B806" s="8" t="s">
        <v>14030</v>
      </c>
      <c r="C806" s="2">
        <v>46199.416666666664</v>
      </c>
      <c r="D806" s="8" t="s">
        <v>13929</v>
      </c>
      <c r="E806" s="8" t="s">
        <v>41</v>
      </c>
      <c r="F806">
        <v>4</v>
      </c>
      <c r="G806" s="2">
        <v>46199.75</v>
      </c>
      <c r="H806" s="2">
        <v>46199.583333333336</v>
      </c>
    </row>
    <row r="807" spans="1:8" x14ac:dyDescent="0.25">
      <c r="A807" s="8" t="s">
        <v>2970</v>
      </c>
      <c r="B807" s="8" t="s">
        <v>14030</v>
      </c>
      <c r="C807" s="2">
        <v>46199.416666666664</v>
      </c>
      <c r="D807" s="8" t="s">
        <v>13929</v>
      </c>
      <c r="E807" s="8" t="s">
        <v>51</v>
      </c>
      <c r="F807">
        <v>2</v>
      </c>
      <c r="G807" s="2">
        <v>46199.75</v>
      </c>
      <c r="H807" s="2">
        <v>46199.583333333336</v>
      </c>
    </row>
    <row r="808" spans="1:8" x14ac:dyDescent="0.25">
      <c r="A808" s="8" t="s">
        <v>2973</v>
      </c>
      <c r="B808" s="8" t="s">
        <v>14030</v>
      </c>
      <c r="C808" s="2">
        <v>46199.416666666664</v>
      </c>
      <c r="D808" s="8" t="s">
        <v>13929</v>
      </c>
      <c r="E808" s="8" t="s">
        <v>55</v>
      </c>
      <c r="F808">
        <v>3</v>
      </c>
      <c r="G808" s="2">
        <v>46199.75</v>
      </c>
      <c r="H808" s="2">
        <v>46199.583333333336</v>
      </c>
    </row>
    <row r="809" spans="1:8" x14ac:dyDescent="0.25">
      <c r="A809" s="8" t="s">
        <v>2976</v>
      </c>
      <c r="B809" s="8" t="s">
        <v>14031</v>
      </c>
      <c r="C809" s="2">
        <v>46199.416666666664</v>
      </c>
      <c r="D809" s="8" t="s">
        <v>13931</v>
      </c>
      <c r="E809" s="8" t="s">
        <v>11</v>
      </c>
      <c r="F809">
        <v>5</v>
      </c>
      <c r="G809" s="2">
        <v>46199.75</v>
      </c>
      <c r="H809" s="2">
        <v>46199.583333333336</v>
      </c>
    </row>
    <row r="810" spans="1:8" x14ac:dyDescent="0.25">
      <c r="A810" s="8" t="s">
        <v>2979</v>
      </c>
      <c r="B810" s="8" t="s">
        <v>14031</v>
      </c>
      <c r="C810" s="2">
        <v>46199.416666666664</v>
      </c>
      <c r="D810" s="8" t="s">
        <v>13931</v>
      </c>
      <c r="E810" s="8" t="s">
        <v>18</v>
      </c>
      <c r="F810">
        <v>5</v>
      </c>
      <c r="G810" s="2">
        <v>46199.75</v>
      </c>
      <c r="H810" s="2">
        <v>46199.583333333336</v>
      </c>
    </row>
    <row r="811" spans="1:8" x14ac:dyDescent="0.25">
      <c r="A811" s="8" t="s">
        <v>2982</v>
      </c>
      <c r="B811" s="8" t="s">
        <v>14031</v>
      </c>
      <c r="C811" s="2">
        <v>46199.416666666664</v>
      </c>
      <c r="D811" s="8" t="s">
        <v>13931</v>
      </c>
      <c r="E811" s="8" t="s">
        <v>20</v>
      </c>
      <c r="F811">
        <v>1</v>
      </c>
      <c r="G811" s="2">
        <v>46199.75</v>
      </c>
      <c r="H811" s="2">
        <v>46199.583333333336</v>
      </c>
    </row>
    <row r="812" spans="1:8" x14ac:dyDescent="0.25">
      <c r="A812" s="8" t="s">
        <v>2985</v>
      </c>
      <c r="B812" s="8" t="s">
        <v>14031</v>
      </c>
      <c r="C812" s="2">
        <v>46199.416666666664</v>
      </c>
      <c r="D812" s="8" t="s">
        <v>13931</v>
      </c>
      <c r="E812" s="8" t="s">
        <v>36</v>
      </c>
      <c r="F812">
        <v>3</v>
      </c>
      <c r="G812" s="2">
        <v>46199.75</v>
      </c>
      <c r="H812" s="2">
        <v>46199.583333333336</v>
      </c>
    </row>
    <row r="813" spans="1:8" x14ac:dyDescent="0.25">
      <c r="A813" s="8" t="s">
        <v>2988</v>
      </c>
      <c r="B813" s="8" t="s">
        <v>14031</v>
      </c>
      <c r="C813" s="2">
        <v>46199.416666666664</v>
      </c>
      <c r="D813" s="8" t="s">
        <v>13931</v>
      </c>
      <c r="E813" s="8" t="s">
        <v>43</v>
      </c>
      <c r="F813">
        <v>2</v>
      </c>
      <c r="G813" s="2">
        <v>46199.75</v>
      </c>
      <c r="H813" s="2">
        <v>46199.583333333336</v>
      </c>
    </row>
    <row r="814" spans="1:8" x14ac:dyDescent="0.25">
      <c r="A814" s="8" t="s">
        <v>2991</v>
      </c>
      <c r="B814" s="8" t="s">
        <v>14031</v>
      </c>
      <c r="C814" s="2">
        <v>46199.416666666664</v>
      </c>
      <c r="D814" s="8" t="s">
        <v>13931</v>
      </c>
      <c r="E814" s="8" t="s">
        <v>45</v>
      </c>
      <c r="F814">
        <v>1</v>
      </c>
      <c r="G814" s="2">
        <v>46199.75</v>
      </c>
      <c r="H814" s="2">
        <v>46199.583333333336</v>
      </c>
    </row>
    <row r="815" spans="1:8" x14ac:dyDescent="0.25">
      <c r="A815" s="8" t="s">
        <v>2994</v>
      </c>
      <c r="B815" s="8" t="s">
        <v>14031</v>
      </c>
      <c r="C815" s="2">
        <v>46199.416666666664</v>
      </c>
      <c r="D815" s="8" t="s">
        <v>13931</v>
      </c>
      <c r="E815" s="8" t="s">
        <v>47</v>
      </c>
      <c r="F815">
        <v>3</v>
      </c>
      <c r="G815" s="2">
        <v>46199.75</v>
      </c>
      <c r="H815" s="2">
        <v>46199.583333333336</v>
      </c>
    </row>
    <row r="816" spans="1:8" x14ac:dyDescent="0.25">
      <c r="A816" s="8" t="s">
        <v>2997</v>
      </c>
      <c r="B816" s="8" t="s">
        <v>14031</v>
      </c>
      <c r="C816" s="2">
        <v>46199.416666666664</v>
      </c>
      <c r="D816" s="8" t="s">
        <v>13931</v>
      </c>
      <c r="E816" s="8" t="s">
        <v>49</v>
      </c>
      <c r="F816">
        <v>1</v>
      </c>
      <c r="G816" s="2">
        <v>46199.75</v>
      </c>
      <c r="H816" s="2">
        <v>46199.583333333336</v>
      </c>
    </row>
    <row r="817" spans="1:8" x14ac:dyDescent="0.25">
      <c r="A817" s="8" t="s">
        <v>3000</v>
      </c>
      <c r="B817" s="8" t="s">
        <v>14031</v>
      </c>
      <c r="C817" s="2">
        <v>46199.416666666664</v>
      </c>
      <c r="D817" s="8" t="s">
        <v>13931</v>
      </c>
      <c r="E817" s="8" t="s">
        <v>53</v>
      </c>
      <c r="F817">
        <v>5</v>
      </c>
      <c r="G817" s="2">
        <v>46199.75</v>
      </c>
      <c r="H817" s="2">
        <v>46199.583333333336</v>
      </c>
    </row>
    <row r="818" spans="1:8" x14ac:dyDescent="0.25">
      <c r="A818" s="8" t="s">
        <v>3003</v>
      </c>
      <c r="B818" s="8" t="s">
        <v>14031</v>
      </c>
      <c r="C818" s="2">
        <v>46199.416666666664</v>
      </c>
      <c r="D818" s="8" t="s">
        <v>13931</v>
      </c>
      <c r="E818" s="8" t="s">
        <v>69</v>
      </c>
      <c r="F818">
        <v>1</v>
      </c>
      <c r="G818" s="2">
        <v>46199.75</v>
      </c>
      <c r="H818" s="2">
        <v>46199.583333333336</v>
      </c>
    </row>
    <row r="819" spans="1:8" x14ac:dyDescent="0.25">
      <c r="A819" s="8" t="s">
        <v>3006</v>
      </c>
      <c r="B819" s="8" t="s">
        <v>14031</v>
      </c>
      <c r="C819" s="2">
        <v>46199.416666666664</v>
      </c>
      <c r="D819" s="8" t="s">
        <v>13931</v>
      </c>
      <c r="E819" s="8" t="s">
        <v>77</v>
      </c>
      <c r="F819">
        <v>1</v>
      </c>
      <c r="G819" s="2">
        <v>46199.75</v>
      </c>
      <c r="H819" s="2">
        <v>46199.583333333336</v>
      </c>
    </row>
    <row r="820" spans="1:8" x14ac:dyDescent="0.25">
      <c r="A820" s="8" t="s">
        <v>3009</v>
      </c>
      <c r="B820" s="8" t="s">
        <v>14032</v>
      </c>
      <c r="C820" s="2">
        <v>46199.416666666664</v>
      </c>
      <c r="D820" s="8" t="s">
        <v>13933</v>
      </c>
      <c r="E820" s="8" t="s">
        <v>11</v>
      </c>
      <c r="F820">
        <v>6</v>
      </c>
      <c r="G820" s="2">
        <v>46199.75</v>
      </c>
      <c r="H820" s="2">
        <v>46199.583333333336</v>
      </c>
    </row>
    <row r="821" spans="1:8" x14ac:dyDescent="0.25">
      <c r="A821" s="8" t="s">
        <v>3012</v>
      </c>
      <c r="B821" s="8" t="s">
        <v>14032</v>
      </c>
      <c r="C821" s="2">
        <v>46199.416666666664</v>
      </c>
      <c r="D821" s="8" t="s">
        <v>13933</v>
      </c>
      <c r="E821" s="8" t="s">
        <v>18</v>
      </c>
      <c r="F821">
        <v>2</v>
      </c>
      <c r="G821" s="2">
        <v>46199.75</v>
      </c>
      <c r="H821" s="2">
        <v>46199.583333333336</v>
      </c>
    </row>
    <row r="822" spans="1:8" x14ac:dyDescent="0.25">
      <c r="A822" s="8" t="s">
        <v>3015</v>
      </c>
      <c r="B822" s="8" t="s">
        <v>14032</v>
      </c>
      <c r="C822" s="2">
        <v>46199.416666666664</v>
      </c>
      <c r="D822" s="8" t="s">
        <v>13933</v>
      </c>
      <c r="E822" s="8" t="s">
        <v>20</v>
      </c>
      <c r="F822">
        <v>4</v>
      </c>
      <c r="G822" s="2">
        <v>46199.75</v>
      </c>
      <c r="H822" s="2">
        <v>46199.583333333336</v>
      </c>
    </row>
    <row r="823" spans="1:8" x14ac:dyDescent="0.25">
      <c r="A823" s="8" t="s">
        <v>3018</v>
      </c>
      <c r="B823" s="8" t="s">
        <v>14032</v>
      </c>
      <c r="C823" s="2">
        <v>46199.416666666664</v>
      </c>
      <c r="D823" s="8" t="s">
        <v>13933</v>
      </c>
      <c r="E823" s="8" t="s">
        <v>22</v>
      </c>
      <c r="F823">
        <v>4</v>
      </c>
      <c r="G823" s="2">
        <v>46199.75</v>
      </c>
      <c r="H823" s="2">
        <v>46199.583333333336</v>
      </c>
    </row>
    <row r="824" spans="1:8" x14ac:dyDescent="0.25">
      <c r="A824" s="8" t="s">
        <v>3021</v>
      </c>
      <c r="B824" s="8" t="s">
        <v>14032</v>
      </c>
      <c r="C824" s="2">
        <v>46199.416666666664</v>
      </c>
      <c r="D824" s="8" t="s">
        <v>13933</v>
      </c>
      <c r="E824" s="8" t="s">
        <v>24</v>
      </c>
      <c r="F824">
        <v>6</v>
      </c>
      <c r="G824" s="2">
        <v>46199.75</v>
      </c>
      <c r="H824" s="2">
        <v>46199.583333333336</v>
      </c>
    </row>
    <row r="825" spans="1:8" x14ac:dyDescent="0.25">
      <c r="A825" s="8" t="s">
        <v>3024</v>
      </c>
      <c r="B825" s="8" t="s">
        <v>14032</v>
      </c>
      <c r="C825" s="2">
        <v>46199.416666666664</v>
      </c>
      <c r="D825" s="8" t="s">
        <v>13933</v>
      </c>
      <c r="E825" s="8" t="s">
        <v>30</v>
      </c>
      <c r="F825">
        <v>1</v>
      </c>
      <c r="G825" s="2">
        <v>46199.75</v>
      </c>
      <c r="H825" s="2">
        <v>46199.583333333336</v>
      </c>
    </row>
    <row r="826" spans="1:8" x14ac:dyDescent="0.25">
      <c r="A826" s="8" t="s">
        <v>3027</v>
      </c>
      <c r="B826" s="8" t="s">
        <v>14032</v>
      </c>
      <c r="C826" s="2">
        <v>46199.416666666664</v>
      </c>
      <c r="D826" s="8" t="s">
        <v>13933</v>
      </c>
      <c r="E826" s="8" t="s">
        <v>41</v>
      </c>
      <c r="F826">
        <v>5</v>
      </c>
      <c r="G826" s="2">
        <v>46199.75</v>
      </c>
      <c r="H826" s="2">
        <v>46199.583333333336</v>
      </c>
    </row>
    <row r="827" spans="1:8" x14ac:dyDescent="0.25">
      <c r="A827" s="8" t="s">
        <v>3030</v>
      </c>
      <c r="B827" s="8" t="s">
        <v>14032</v>
      </c>
      <c r="C827" s="2">
        <v>46199.416666666664</v>
      </c>
      <c r="D827" s="8" t="s">
        <v>13933</v>
      </c>
      <c r="E827" s="8" t="s">
        <v>51</v>
      </c>
      <c r="F827">
        <v>5</v>
      </c>
      <c r="G827" s="2">
        <v>46199.75</v>
      </c>
      <c r="H827" s="2">
        <v>46199.583333333336</v>
      </c>
    </row>
    <row r="828" spans="1:8" x14ac:dyDescent="0.25">
      <c r="A828" s="8" t="s">
        <v>3033</v>
      </c>
      <c r="B828" s="8" t="s">
        <v>14032</v>
      </c>
      <c r="C828" s="2">
        <v>46199.416666666664</v>
      </c>
      <c r="D828" s="8" t="s">
        <v>13933</v>
      </c>
      <c r="E828" s="8" t="s">
        <v>57</v>
      </c>
      <c r="F828">
        <v>1</v>
      </c>
      <c r="G828" s="2">
        <v>46199.75</v>
      </c>
      <c r="H828" s="2">
        <v>46199.583333333336</v>
      </c>
    </row>
    <row r="829" spans="1:8" x14ac:dyDescent="0.25">
      <c r="A829" s="8" t="s">
        <v>3036</v>
      </c>
      <c r="B829" s="8" t="s">
        <v>14032</v>
      </c>
      <c r="C829" s="2">
        <v>46199.416666666664</v>
      </c>
      <c r="D829" s="8" t="s">
        <v>13933</v>
      </c>
      <c r="E829" s="8" t="s">
        <v>71</v>
      </c>
      <c r="F829">
        <v>4</v>
      </c>
      <c r="G829" s="2">
        <v>46199.75</v>
      </c>
      <c r="H829" s="2">
        <v>46199.583333333336</v>
      </c>
    </row>
    <row r="830" spans="1:8" x14ac:dyDescent="0.25">
      <c r="A830" s="8" t="s">
        <v>3039</v>
      </c>
      <c r="B830" s="8" t="s">
        <v>14032</v>
      </c>
      <c r="C830" s="2">
        <v>46199.416666666664</v>
      </c>
      <c r="D830" s="8" t="s">
        <v>13933</v>
      </c>
      <c r="E830" s="8" t="s">
        <v>75</v>
      </c>
      <c r="F830">
        <v>1</v>
      </c>
      <c r="G830" s="2">
        <v>46199.75</v>
      </c>
      <c r="H830" s="2">
        <v>46199.583333333336</v>
      </c>
    </row>
    <row r="831" spans="1:8" x14ac:dyDescent="0.25">
      <c r="A831" s="8" t="s">
        <v>3042</v>
      </c>
      <c r="B831" s="8" t="s">
        <v>14033</v>
      </c>
      <c r="C831" s="2">
        <v>46199.416666666664</v>
      </c>
      <c r="D831" s="8" t="s">
        <v>13935</v>
      </c>
      <c r="E831" s="8" t="s">
        <v>20</v>
      </c>
      <c r="F831">
        <v>7</v>
      </c>
      <c r="G831" s="2">
        <v>46199.75</v>
      </c>
      <c r="H831" s="2">
        <v>46199.583333333336</v>
      </c>
    </row>
    <row r="832" spans="1:8" x14ac:dyDescent="0.25">
      <c r="A832" s="8" t="s">
        <v>3045</v>
      </c>
      <c r="B832" s="8" t="s">
        <v>14033</v>
      </c>
      <c r="C832" s="2">
        <v>46199.416666666664</v>
      </c>
      <c r="D832" s="8" t="s">
        <v>13935</v>
      </c>
      <c r="E832" s="8" t="s">
        <v>22</v>
      </c>
      <c r="F832">
        <v>7</v>
      </c>
      <c r="G832" s="2">
        <v>46199.75</v>
      </c>
      <c r="H832" s="2">
        <v>46199.583333333336</v>
      </c>
    </row>
    <row r="833" spans="1:8" x14ac:dyDescent="0.25">
      <c r="A833" s="8" t="s">
        <v>3048</v>
      </c>
      <c r="B833" s="8" t="s">
        <v>14033</v>
      </c>
      <c r="C833" s="2">
        <v>46199.416666666664</v>
      </c>
      <c r="D833" s="8" t="s">
        <v>13935</v>
      </c>
      <c r="E833" s="8" t="s">
        <v>30</v>
      </c>
      <c r="F833">
        <v>7</v>
      </c>
      <c r="G833" s="2">
        <v>46199.75</v>
      </c>
      <c r="H833" s="2">
        <v>46199.583333333336</v>
      </c>
    </row>
    <row r="834" spans="1:8" x14ac:dyDescent="0.25">
      <c r="A834" s="8" t="s">
        <v>3051</v>
      </c>
      <c r="B834" s="8" t="s">
        <v>14033</v>
      </c>
      <c r="C834" s="2">
        <v>46199.416666666664</v>
      </c>
      <c r="D834" s="8" t="s">
        <v>13935</v>
      </c>
      <c r="E834" s="8" t="s">
        <v>43</v>
      </c>
      <c r="F834">
        <v>4</v>
      </c>
      <c r="G834" s="2">
        <v>46199.75</v>
      </c>
      <c r="H834" s="2">
        <v>46199.583333333336</v>
      </c>
    </row>
    <row r="835" spans="1:8" x14ac:dyDescent="0.25">
      <c r="A835" s="8" t="s">
        <v>3054</v>
      </c>
      <c r="B835" s="8" t="s">
        <v>14033</v>
      </c>
      <c r="C835" s="2">
        <v>46199.416666666664</v>
      </c>
      <c r="D835" s="8" t="s">
        <v>13935</v>
      </c>
      <c r="E835" s="8" t="s">
        <v>53</v>
      </c>
      <c r="F835">
        <v>1</v>
      </c>
      <c r="G835" s="2">
        <v>46199.75</v>
      </c>
      <c r="H835" s="2">
        <v>46199.583333333336</v>
      </c>
    </row>
    <row r="836" spans="1:8" x14ac:dyDescent="0.25">
      <c r="A836" s="8" t="s">
        <v>3057</v>
      </c>
      <c r="B836" s="8" t="s">
        <v>14033</v>
      </c>
      <c r="C836" s="2">
        <v>46199.416666666664</v>
      </c>
      <c r="D836" s="8" t="s">
        <v>13935</v>
      </c>
      <c r="E836" s="8" t="s">
        <v>75</v>
      </c>
      <c r="F836">
        <v>7</v>
      </c>
      <c r="G836" s="2">
        <v>46199.75</v>
      </c>
      <c r="H836" s="2">
        <v>46199.583333333336</v>
      </c>
    </row>
    <row r="837" spans="1:8" x14ac:dyDescent="0.25">
      <c r="A837" s="8" t="s">
        <v>3062</v>
      </c>
      <c r="B837" s="8" t="s">
        <v>14034</v>
      </c>
      <c r="C837" s="2">
        <v>46199.416666666664</v>
      </c>
      <c r="D837" s="8" t="s">
        <v>13937</v>
      </c>
      <c r="E837" s="8" t="s">
        <v>20</v>
      </c>
      <c r="F837">
        <v>1</v>
      </c>
      <c r="G837" s="2">
        <v>46199.75</v>
      </c>
      <c r="H837" s="2">
        <v>46199.583333333336</v>
      </c>
    </row>
    <row r="838" spans="1:8" x14ac:dyDescent="0.25">
      <c r="A838" s="8" t="s">
        <v>3065</v>
      </c>
      <c r="B838" s="8" t="s">
        <v>14034</v>
      </c>
      <c r="C838" s="2">
        <v>46199.416666666664</v>
      </c>
      <c r="D838" s="8" t="s">
        <v>13937</v>
      </c>
      <c r="E838" s="8" t="s">
        <v>22</v>
      </c>
      <c r="F838">
        <v>4</v>
      </c>
      <c r="G838" s="2">
        <v>46199.75</v>
      </c>
      <c r="H838" s="2">
        <v>46199.583333333336</v>
      </c>
    </row>
    <row r="839" spans="1:8" x14ac:dyDescent="0.25">
      <c r="A839" s="8" t="s">
        <v>3068</v>
      </c>
      <c r="B839" s="8" t="s">
        <v>14034</v>
      </c>
      <c r="C839" s="2">
        <v>46199.416666666664</v>
      </c>
      <c r="D839" s="8" t="s">
        <v>13937</v>
      </c>
      <c r="E839" s="8" t="s">
        <v>26</v>
      </c>
      <c r="F839">
        <v>3</v>
      </c>
      <c r="G839" s="2">
        <v>46199.75</v>
      </c>
      <c r="H839" s="2">
        <v>46199.583333333336</v>
      </c>
    </row>
    <row r="840" spans="1:8" x14ac:dyDescent="0.25">
      <c r="A840" s="8" t="s">
        <v>3071</v>
      </c>
      <c r="B840" s="8" t="s">
        <v>14034</v>
      </c>
      <c r="C840" s="2">
        <v>46199.416666666664</v>
      </c>
      <c r="D840" s="8" t="s">
        <v>13937</v>
      </c>
      <c r="E840" s="8" t="s">
        <v>45</v>
      </c>
      <c r="F840">
        <v>4</v>
      </c>
      <c r="G840" s="2">
        <v>46199.75</v>
      </c>
      <c r="H840" s="2">
        <v>46199.583333333336</v>
      </c>
    </row>
    <row r="841" spans="1:8" x14ac:dyDescent="0.25">
      <c r="A841" s="8" t="s">
        <v>3074</v>
      </c>
      <c r="B841" s="8" t="s">
        <v>14034</v>
      </c>
      <c r="C841" s="2">
        <v>46199.416666666664</v>
      </c>
      <c r="D841" s="8" t="s">
        <v>13937</v>
      </c>
      <c r="E841" s="8" t="s">
        <v>73</v>
      </c>
      <c r="F841">
        <v>3</v>
      </c>
      <c r="G841" s="2">
        <v>46199.75</v>
      </c>
      <c r="H841" s="2">
        <v>46199.583333333336</v>
      </c>
    </row>
    <row r="842" spans="1:8" x14ac:dyDescent="0.25">
      <c r="A842" s="8" t="s">
        <v>3077</v>
      </c>
      <c r="B842" s="8" t="s">
        <v>14034</v>
      </c>
      <c r="C842" s="2">
        <v>46199.416666666664</v>
      </c>
      <c r="D842" s="8" t="s">
        <v>13937</v>
      </c>
      <c r="E842" s="8" t="s">
        <v>77</v>
      </c>
      <c r="F842">
        <v>4</v>
      </c>
      <c r="G842" s="2">
        <v>46199.75</v>
      </c>
      <c r="H842" s="2">
        <v>46199.583333333336</v>
      </c>
    </row>
    <row r="843" spans="1:8" x14ac:dyDescent="0.25">
      <c r="A843" s="8" t="s">
        <v>3080</v>
      </c>
      <c r="B843" s="8" t="s">
        <v>14035</v>
      </c>
      <c r="C843" s="2">
        <v>46200.416666666664</v>
      </c>
      <c r="D843" s="8" t="s">
        <v>13929</v>
      </c>
      <c r="E843" s="8" t="s">
        <v>11</v>
      </c>
      <c r="F843">
        <v>5</v>
      </c>
      <c r="G843" s="2">
        <v>46200.75</v>
      </c>
      <c r="H843" s="2">
        <v>46200.583333333336</v>
      </c>
    </row>
    <row r="844" spans="1:8" x14ac:dyDescent="0.25">
      <c r="A844" s="8" t="s">
        <v>3083</v>
      </c>
      <c r="B844" s="8" t="s">
        <v>14035</v>
      </c>
      <c r="C844" s="2">
        <v>46200.416666666664</v>
      </c>
      <c r="D844" s="8" t="s">
        <v>13929</v>
      </c>
      <c r="E844" s="8" t="s">
        <v>18</v>
      </c>
      <c r="F844">
        <v>1</v>
      </c>
      <c r="G844" s="2">
        <v>46200.75</v>
      </c>
      <c r="H844" s="2">
        <v>46200.583333333336</v>
      </c>
    </row>
    <row r="845" spans="1:8" x14ac:dyDescent="0.25">
      <c r="A845" s="8" t="s">
        <v>3086</v>
      </c>
      <c r="B845" s="8" t="s">
        <v>14035</v>
      </c>
      <c r="C845" s="2">
        <v>46200.416666666664</v>
      </c>
      <c r="D845" s="8" t="s">
        <v>13929</v>
      </c>
      <c r="E845" s="8" t="s">
        <v>20</v>
      </c>
      <c r="F845">
        <v>4</v>
      </c>
      <c r="G845" s="2">
        <v>46200.75</v>
      </c>
      <c r="H845" s="2">
        <v>46200.583333333336</v>
      </c>
    </row>
    <row r="846" spans="1:8" x14ac:dyDescent="0.25">
      <c r="A846" s="8" t="s">
        <v>3089</v>
      </c>
      <c r="B846" s="8" t="s">
        <v>14035</v>
      </c>
      <c r="C846" s="2">
        <v>46200.416666666664</v>
      </c>
      <c r="D846" s="8" t="s">
        <v>13929</v>
      </c>
      <c r="E846" s="8" t="s">
        <v>24</v>
      </c>
      <c r="F846">
        <v>1</v>
      </c>
      <c r="G846" s="2">
        <v>46200.75</v>
      </c>
      <c r="H846" s="2">
        <v>46200.583333333336</v>
      </c>
    </row>
    <row r="847" spans="1:8" x14ac:dyDescent="0.25">
      <c r="A847" s="8" t="s">
        <v>3092</v>
      </c>
      <c r="B847" s="8" t="s">
        <v>14035</v>
      </c>
      <c r="C847" s="2">
        <v>46200.416666666664</v>
      </c>
      <c r="D847" s="8" t="s">
        <v>13929</v>
      </c>
      <c r="E847" s="8" t="s">
        <v>26</v>
      </c>
      <c r="F847">
        <v>1</v>
      </c>
      <c r="G847" s="2">
        <v>46200.75</v>
      </c>
      <c r="H847" s="2">
        <v>46200.583333333336</v>
      </c>
    </row>
    <row r="848" spans="1:8" x14ac:dyDescent="0.25">
      <c r="A848" s="8" t="s">
        <v>3095</v>
      </c>
      <c r="B848" s="8" t="s">
        <v>14035</v>
      </c>
      <c r="C848" s="2">
        <v>46200.416666666664</v>
      </c>
      <c r="D848" s="8" t="s">
        <v>13929</v>
      </c>
      <c r="E848" s="8" t="s">
        <v>30</v>
      </c>
      <c r="F848">
        <v>5</v>
      </c>
      <c r="G848" s="2">
        <v>46200.75</v>
      </c>
      <c r="H848" s="2">
        <v>46200.583333333336</v>
      </c>
    </row>
    <row r="849" spans="1:8" x14ac:dyDescent="0.25">
      <c r="A849" s="8" t="s">
        <v>3098</v>
      </c>
      <c r="B849" s="8" t="s">
        <v>14035</v>
      </c>
      <c r="C849" s="2">
        <v>46200.416666666664</v>
      </c>
      <c r="D849" s="8" t="s">
        <v>13929</v>
      </c>
      <c r="E849" s="8" t="s">
        <v>41</v>
      </c>
      <c r="F849">
        <v>2</v>
      </c>
      <c r="G849" s="2">
        <v>46200.75</v>
      </c>
      <c r="H849" s="2">
        <v>46200.583333333336</v>
      </c>
    </row>
    <row r="850" spans="1:8" x14ac:dyDescent="0.25">
      <c r="A850" s="8" t="s">
        <v>3101</v>
      </c>
      <c r="B850" s="8" t="s">
        <v>14035</v>
      </c>
      <c r="C850" s="2">
        <v>46200.416666666664</v>
      </c>
      <c r="D850" s="8" t="s">
        <v>13929</v>
      </c>
      <c r="E850" s="8" t="s">
        <v>45</v>
      </c>
      <c r="F850">
        <v>4</v>
      </c>
      <c r="G850" s="2">
        <v>46200.75</v>
      </c>
      <c r="H850" s="2">
        <v>46200.583333333336</v>
      </c>
    </row>
    <row r="851" spans="1:8" x14ac:dyDescent="0.25">
      <c r="A851" s="8" t="s">
        <v>3106</v>
      </c>
      <c r="B851" s="8" t="s">
        <v>14035</v>
      </c>
      <c r="C851" s="2">
        <v>46200.416666666664</v>
      </c>
      <c r="D851" s="8" t="s">
        <v>13929</v>
      </c>
      <c r="E851" s="8" t="s">
        <v>49</v>
      </c>
      <c r="F851">
        <v>2</v>
      </c>
      <c r="G851" s="2">
        <v>46200.75</v>
      </c>
      <c r="H851" s="2">
        <v>46200.583333333336</v>
      </c>
    </row>
    <row r="852" spans="1:8" x14ac:dyDescent="0.25">
      <c r="A852" s="8" t="s">
        <v>3109</v>
      </c>
      <c r="B852" s="8" t="s">
        <v>14035</v>
      </c>
      <c r="C852" s="2">
        <v>46200.416666666664</v>
      </c>
      <c r="D852" s="8" t="s">
        <v>13929</v>
      </c>
      <c r="E852" s="8" t="s">
        <v>53</v>
      </c>
      <c r="F852">
        <v>4</v>
      </c>
      <c r="G852" s="2">
        <v>46200.75</v>
      </c>
      <c r="H852" s="2">
        <v>46200.583333333336</v>
      </c>
    </row>
    <row r="853" spans="1:8" x14ac:dyDescent="0.25">
      <c r="A853" s="8" t="s">
        <v>3112</v>
      </c>
      <c r="B853" s="8" t="s">
        <v>14035</v>
      </c>
      <c r="C853" s="2">
        <v>46200.416666666664</v>
      </c>
      <c r="D853" s="8" t="s">
        <v>13929</v>
      </c>
      <c r="E853" s="8" t="s">
        <v>67</v>
      </c>
      <c r="F853">
        <v>1</v>
      </c>
      <c r="G853" s="2">
        <v>46200.75</v>
      </c>
      <c r="H853" s="2">
        <v>46200.583333333336</v>
      </c>
    </row>
    <row r="854" spans="1:8" x14ac:dyDescent="0.25">
      <c r="A854" s="8" t="s">
        <v>3115</v>
      </c>
      <c r="B854" s="8" t="s">
        <v>14035</v>
      </c>
      <c r="C854" s="2">
        <v>46200.416666666664</v>
      </c>
      <c r="D854" s="8" t="s">
        <v>13929</v>
      </c>
      <c r="E854" s="8" t="s">
        <v>69</v>
      </c>
      <c r="F854">
        <v>4</v>
      </c>
      <c r="G854" s="2">
        <v>46200.75</v>
      </c>
      <c r="H854" s="2">
        <v>46200.583333333336</v>
      </c>
    </row>
    <row r="855" spans="1:8" x14ac:dyDescent="0.25">
      <c r="A855" s="8" t="s">
        <v>3118</v>
      </c>
      <c r="B855" s="8" t="s">
        <v>14035</v>
      </c>
      <c r="C855" s="2">
        <v>46200.416666666664</v>
      </c>
      <c r="D855" s="8" t="s">
        <v>13929</v>
      </c>
      <c r="E855" s="8" t="s">
        <v>71</v>
      </c>
      <c r="F855">
        <v>4</v>
      </c>
      <c r="G855" s="2">
        <v>46200.75</v>
      </c>
      <c r="H855" s="2">
        <v>46200.583333333336</v>
      </c>
    </row>
    <row r="856" spans="1:8" x14ac:dyDescent="0.25">
      <c r="A856" s="8" t="s">
        <v>3121</v>
      </c>
      <c r="B856" s="8" t="s">
        <v>14035</v>
      </c>
      <c r="C856" s="2">
        <v>46200.416666666664</v>
      </c>
      <c r="D856" s="8" t="s">
        <v>13929</v>
      </c>
      <c r="E856" s="8" t="s">
        <v>75</v>
      </c>
      <c r="F856">
        <v>1</v>
      </c>
      <c r="G856" s="2">
        <v>46200.75</v>
      </c>
      <c r="H856" s="2">
        <v>46200.583333333336</v>
      </c>
    </row>
    <row r="857" spans="1:8" x14ac:dyDescent="0.25">
      <c r="A857" s="8" t="s">
        <v>3124</v>
      </c>
      <c r="B857" s="8" t="s">
        <v>14036</v>
      </c>
      <c r="C857" s="2">
        <v>46200.416666666664</v>
      </c>
      <c r="D857" s="8" t="s">
        <v>13931</v>
      </c>
      <c r="E857" s="8" t="s">
        <v>11</v>
      </c>
      <c r="F857">
        <v>5</v>
      </c>
      <c r="G857" s="2">
        <v>46200.75</v>
      </c>
      <c r="H857" s="2">
        <v>46200.583333333336</v>
      </c>
    </row>
    <row r="858" spans="1:8" x14ac:dyDescent="0.25">
      <c r="A858" s="8" t="s">
        <v>3127</v>
      </c>
      <c r="B858" s="8" t="s">
        <v>14036</v>
      </c>
      <c r="C858" s="2">
        <v>46200.416666666664</v>
      </c>
      <c r="D858" s="8" t="s">
        <v>13931</v>
      </c>
      <c r="E858" s="8" t="s">
        <v>18</v>
      </c>
      <c r="F858">
        <v>3</v>
      </c>
      <c r="G858" s="2">
        <v>46200.75</v>
      </c>
      <c r="H858" s="2">
        <v>46200.583333333336</v>
      </c>
    </row>
    <row r="859" spans="1:8" x14ac:dyDescent="0.25">
      <c r="A859" s="8" t="s">
        <v>3130</v>
      </c>
      <c r="B859" s="8" t="s">
        <v>14036</v>
      </c>
      <c r="C859" s="2">
        <v>46200.416666666664</v>
      </c>
      <c r="D859" s="8" t="s">
        <v>13931</v>
      </c>
      <c r="E859" s="8" t="s">
        <v>20</v>
      </c>
      <c r="F859">
        <v>3</v>
      </c>
      <c r="G859" s="2">
        <v>46200.75</v>
      </c>
      <c r="H859" s="2">
        <v>46200.583333333336</v>
      </c>
    </row>
    <row r="860" spans="1:8" x14ac:dyDescent="0.25">
      <c r="A860" s="8" t="s">
        <v>3133</v>
      </c>
      <c r="B860" s="8" t="s">
        <v>14036</v>
      </c>
      <c r="C860" s="2">
        <v>46200.416666666664</v>
      </c>
      <c r="D860" s="8" t="s">
        <v>13931</v>
      </c>
      <c r="E860" s="8" t="s">
        <v>22</v>
      </c>
      <c r="F860">
        <v>6</v>
      </c>
      <c r="G860" s="2">
        <v>46200.75</v>
      </c>
      <c r="H860" s="2">
        <v>46200.583333333336</v>
      </c>
    </row>
    <row r="861" spans="1:8" x14ac:dyDescent="0.25">
      <c r="A861" s="8" t="s">
        <v>3136</v>
      </c>
      <c r="B861" s="8" t="s">
        <v>14036</v>
      </c>
      <c r="C861" s="2">
        <v>46200.416666666664</v>
      </c>
      <c r="D861" s="8" t="s">
        <v>13931</v>
      </c>
      <c r="E861" s="8" t="s">
        <v>24</v>
      </c>
      <c r="F861">
        <v>5</v>
      </c>
      <c r="G861" s="2">
        <v>46200.75</v>
      </c>
      <c r="H861" s="2">
        <v>46200.583333333336</v>
      </c>
    </row>
    <row r="862" spans="1:8" x14ac:dyDescent="0.25">
      <c r="A862" s="8" t="s">
        <v>3139</v>
      </c>
      <c r="B862" s="8" t="s">
        <v>14036</v>
      </c>
      <c r="C862" s="2">
        <v>46200.416666666664</v>
      </c>
      <c r="D862" s="8" t="s">
        <v>13931</v>
      </c>
      <c r="E862" s="8" t="s">
        <v>26</v>
      </c>
      <c r="F862">
        <v>1</v>
      </c>
      <c r="G862" s="2">
        <v>46200.75</v>
      </c>
      <c r="H862" s="2">
        <v>46200.583333333336</v>
      </c>
    </row>
    <row r="863" spans="1:8" x14ac:dyDescent="0.25">
      <c r="A863" s="8" t="s">
        <v>3142</v>
      </c>
      <c r="B863" s="8" t="s">
        <v>14036</v>
      </c>
      <c r="C863" s="2">
        <v>46200.416666666664</v>
      </c>
      <c r="D863" s="8" t="s">
        <v>13931</v>
      </c>
      <c r="E863" s="8" t="s">
        <v>36</v>
      </c>
      <c r="F863">
        <v>4</v>
      </c>
      <c r="G863" s="2">
        <v>46200.75</v>
      </c>
      <c r="H863" s="2">
        <v>46200.583333333336</v>
      </c>
    </row>
    <row r="864" spans="1:8" x14ac:dyDescent="0.25">
      <c r="A864" s="8" t="s">
        <v>3145</v>
      </c>
      <c r="B864" s="8" t="s">
        <v>14036</v>
      </c>
      <c r="C864" s="2">
        <v>46200.416666666664</v>
      </c>
      <c r="D864" s="8" t="s">
        <v>13931</v>
      </c>
      <c r="E864" s="8" t="s">
        <v>49</v>
      </c>
      <c r="F864">
        <v>1</v>
      </c>
      <c r="G864" s="2">
        <v>46200.75</v>
      </c>
      <c r="H864" s="2">
        <v>46200.583333333336</v>
      </c>
    </row>
    <row r="865" spans="1:8" x14ac:dyDescent="0.25">
      <c r="A865" s="8" t="s">
        <v>3148</v>
      </c>
      <c r="B865" s="8" t="s">
        <v>14036</v>
      </c>
      <c r="C865" s="2">
        <v>46200.416666666664</v>
      </c>
      <c r="D865" s="8" t="s">
        <v>13931</v>
      </c>
      <c r="E865" s="8" t="s">
        <v>67</v>
      </c>
      <c r="F865">
        <v>3</v>
      </c>
      <c r="G865" s="2">
        <v>46200.75</v>
      </c>
      <c r="H865" s="2">
        <v>46200.583333333336</v>
      </c>
    </row>
    <row r="866" spans="1:8" x14ac:dyDescent="0.25">
      <c r="A866" s="8" t="s">
        <v>3151</v>
      </c>
      <c r="B866" s="8" t="s">
        <v>14036</v>
      </c>
      <c r="C866" s="2">
        <v>46200.416666666664</v>
      </c>
      <c r="D866" s="8" t="s">
        <v>13931</v>
      </c>
      <c r="E866" s="8" t="s">
        <v>71</v>
      </c>
      <c r="F866">
        <v>5</v>
      </c>
      <c r="G866" s="2">
        <v>46200.75</v>
      </c>
      <c r="H866" s="2">
        <v>46200.583333333336</v>
      </c>
    </row>
    <row r="867" spans="1:8" x14ac:dyDescent="0.25">
      <c r="A867" s="8" t="s">
        <v>3154</v>
      </c>
      <c r="B867" s="8" t="s">
        <v>14037</v>
      </c>
      <c r="C867" s="2">
        <v>46200.416666666664</v>
      </c>
      <c r="D867" s="8" t="s">
        <v>13933</v>
      </c>
      <c r="E867" s="8" t="s">
        <v>11</v>
      </c>
      <c r="F867">
        <v>3</v>
      </c>
      <c r="G867" s="2">
        <v>46200.75</v>
      </c>
      <c r="H867" s="2">
        <v>46200.583333333336</v>
      </c>
    </row>
    <row r="868" spans="1:8" x14ac:dyDescent="0.25">
      <c r="A868" s="8" t="s">
        <v>3157</v>
      </c>
      <c r="B868" s="8" t="s">
        <v>14037</v>
      </c>
      <c r="C868" s="2">
        <v>46200.416666666664</v>
      </c>
      <c r="D868" s="8" t="s">
        <v>13933</v>
      </c>
      <c r="E868" s="8" t="s">
        <v>18</v>
      </c>
      <c r="F868">
        <v>5</v>
      </c>
      <c r="G868" s="2">
        <v>46200.75</v>
      </c>
      <c r="H868" s="2">
        <v>46200.583333333336</v>
      </c>
    </row>
    <row r="869" spans="1:8" x14ac:dyDescent="0.25">
      <c r="A869" s="8" t="s">
        <v>3160</v>
      </c>
      <c r="B869" s="8" t="s">
        <v>14037</v>
      </c>
      <c r="C869" s="2">
        <v>46200.416666666664</v>
      </c>
      <c r="D869" s="8" t="s">
        <v>13933</v>
      </c>
      <c r="E869" s="8" t="s">
        <v>20</v>
      </c>
      <c r="F869">
        <v>8</v>
      </c>
      <c r="G869" s="2">
        <v>46200.75</v>
      </c>
      <c r="H869" s="2">
        <v>46200.583333333336</v>
      </c>
    </row>
    <row r="870" spans="1:8" x14ac:dyDescent="0.25">
      <c r="A870" s="8" t="s">
        <v>3163</v>
      </c>
      <c r="B870" s="8" t="s">
        <v>14037</v>
      </c>
      <c r="C870" s="2">
        <v>46200.416666666664</v>
      </c>
      <c r="D870" s="8" t="s">
        <v>13933</v>
      </c>
      <c r="E870" s="8" t="s">
        <v>26</v>
      </c>
      <c r="F870">
        <v>6</v>
      </c>
      <c r="G870" s="2">
        <v>46200.75</v>
      </c>
      <c r="H870" s="2">
        <v>46200.583333333336</v>
      </c>
    </row>
    <row r="871" spans="1:8" x14ac:dyDescent="0.25">
      <c r="A871" s="8" t="s">
        <v>3166</v>
      </c>
      <c r="B871" s="8" t="s">
        <v>14037</v>
      </c>
      <c r="C871" s="2">
        <v>46200.416666666664</v>
      </c>
      <c r="D871" s="8" t="s">
        <v>13933</v>
      </c>
      <c r="E871" s="8" t="s">
        <v>36</v>
      </c>
      <c r="F871">
        <v>2</v>
      </c>
      <c r="G871" s="2">
        <v>46200.75</v>
      </c>
      <c r="H871" s="2">
        <v>46200.583333333336</v>
      </c>
    </row>
    <row r="872" spans="1:8" x14ac:dyDescent="0.25">
      <c r="A872" s="8" t="s">
        <v>3169</v>
      </c>
      <c r="B872" s="8" t="s">
        <v>14037</v>
      </c>
      <c r="C872" s="2">
        <v>46200.416666666664</v>
      </c>
      <c r="D872" s="8" t="s">
        <v>13933</v>
      </c>
      <c r="E872" s="8" t="s">
        <v>43</v>
      </c>
      <c r="F872">
        <v>2</v>
      </c>
      <c r="G872" s="2">
        <v>46200.75</v>
      </c>
      <c r="H872" s="2">
        <v>46200.583333333336</v>
      </c>
    </row>
    <row r="873" spans="1:8" x14ac:dyDescent="0.25">
      <c r="A873" s="8" t="s">
        <v>3172</v>
      </c>
      <c r="B873" s="8" t="s">
        <v>14037</v>
      </c>
      <c r="C873" s="2">
        <v>46200.416666666664</v>
      </c>
      <c r="D873" s="8" t="s">
        <v>13933</v>
      </c>
      <c r="E873" s="8" t="s">
        <v>49</v>
      </c>
      <c r="F873">
        <v>5</v>
      </c>
      <c r="G873" s="2">
        <v>46200.75</v>
      </c>
      <c r="H873" s="2">
        <v>46200.583333333336</v>
      </c>
    </row>
    <row r="874" spans="1:8" x14ac:dyDescent="0.25">
      <c r="A874" s="8" t="s">
        <v>3175</v>
      </c>
      <c r="B874" s="8" t="s">
        <v>14037</v>
      </c>
      <c r="C874" s="2">
        <v>46200.416666666664</v>
      </c>
      <c r="D874" s="8" t="s">
        <v>13933</v>
      </c>
      <c r="E874" s="8" t="s">
        <v>51</v>
      </c>
      <c r="F874">
        <v>6</v>
      </c>
      <c r="G874" s="2">
        <v>46200.75</v>
      </c>
      <c r="H874" s="2">
        <v>46200.583333333336</v>
      </c>
    </row>
    <row r="875" spans="1:8" x14ac:dyDescent="0.25">
      <c r="A875" s="8" t="s">
        <v>3180</v>
      </c>
      <c r="B875" s="8" t="s">
        <v>14037</v>
      </c>
      <c r="C875" s="2">
        <v>46200.416666666664</v>
      </c>
      <c r="D875" s="8" t="s">
        <v>13933</v>
      </c>
      <c r="E875" s="8" t="s">
        <v>53</v>
      </c>
      <c r="F875">
        <v>3</v>
      </c>
      <c r="G875" s="2">
        <v>46200.75</v>
      </c>
      <c r="H875" s="2">
        <v>46200.583333333336</v>
      </c>
    </row>
    <row r="876" spans="1:8" x14ac:dyDescent="0.25">
      <c r="A876" s="8" t="s">
        <v>3183</v>
      </c>
      <c r="B876" s="8" t="s">
        <v>14037</v>
      </c>
      <c r="C876" s="2">
        <v>46200.416666666664</v>
      </c>
      <c r="D876" s="8" t="s">
        <v>13933</v>
      </c>
      <c r="E876" s="8" t="s">
        <v>55</v>
      </c>
      <c r="F876">
        <v>6</v>
      </c>
      <c r="G876" s="2">
        <v>46200.75</v>
      </c>
      <c r="H876" s="2">
        <v>46200.583333333336</v>
      </c>
    </row>
    <row r="877" spans="1:8" x14ac:dyDescent="0.25">
      <c r="A877" s="8" t="s">
        <v>3186</v>
      </c>
      <c r="B877" s="8" t="s">
        <v>14037</v>
      </c>
      <c r="C877" s="2">
        <v>46200.416666666664</v>
      </c>
      <c r="D877" s="8" t="s">
        <v>13933</v>
      </c>
      <c r="E877" s="8" t="s">
        <v>59</v>
      </c>
      <c r="F877">
        <v>5</v>
      </c>
      <c r="G877" s="2">
        <v>46200.75</v>
      </c>
      <c r="H877" s="2">
        <v>46200.583333333336</v>
      </c>
    </row>
    <row r="878" spans="1:8" x14ac:dyDescent="0.25">
      <c r="A878" s="8" t="s">
        <v>3189</v>
      </c>
      <c r="B878" s="8" t="s">
        <v>14037</v>
      </c>
      <c r="C878" s="2">
        <v>46200.416666666664</v>
      </c>
      <c r="D878" s="8" t="s">
        <v>13933</v>
      </c>
      <c r="E878" s="8" t="s">
        <v>69</v>
      </c>
      <c r="F878">
        <v>8</v>
      </c>
      <c r="G878" s="2">
        <v>46200.75</v>
      </c>
      <c r="H878" s="2">
        <v>46200.583333333336</v>
      </c>
    </row>
    <row r="879" spans="1:8" x14ac:dyDescent="0.25">
      <c r="A879" s="8" t="s">
        <v>3192</v>
      </c>
      <c r="B879" s="8" t="s">
        <v>14037</v>
      </c>
      <c r="C879" s="2">
        <v>46200.416666666664</v>
      </c>
      <c r="D879" s="8" t="s">
        <v>13933</v>
      </c>
      <c r="E879" s="8" t="s">
        <v>75</v>
      </c>
      <c r="F879">
        <v>6</v>
      </c>
      <c r="G879" s="2">
        <v>46200.75</v>
      </c>
      <c r="H879" s="2">
        <v>46200.583333333336</v>
      </c>
    </row>
    <row r="880" spans="1:8" x14ac:dyDescent="0.25">
      <c r="A880" s="8" t="s">
        <v>3195</v>
      </c>
      <c r="B880" s="8" t="s">
        <v>14038</v>
      </c>
      <c r="C880" s="2">
        <v>46200.416666666664</v>
      </c>
      <c r="D880" s="8" t="s">
        <v>13935</v>
      </c>
      <c r="E880" s="8" t="s">
        <v>11</v>
      </c>
      <c r="F880">
        <v>7</v>
      </c>
      <c r="G880" s="2">
        <v>46200.75</v>
      </c>
      <c r="H880" s="2">
        <v>46200.583333333336</v>
      </c>
    </row>
    <row r="881" spans="1:8" x14ac:dyDescent="0.25">
      <c r="A881" s="8" t="s">
        <v>3198</v>
      </c>
      <c r="B881" s="8" t="s">
        <v>14038</v>
      </c>
      <c r="C881" s="2">
        <v>46200.416666666664</v>
      </c>
      <c r="D881" s="8" t="s">
        <v>13935</v>
      </c>
      <c r="E881" s="8" t="s">
        <v>18</v>
      </c>
      <c r="F881">
        <v>5</v>
      </c>
      <c r="G881" s="2">
        <v>46200.75</v>
      </c>
      <c r="H881" s="2">
        <v>46200.583333333336</v>
      </c>
    </row>
    <row r="882" spans="1:8" x14ac:dyDescent="0.25">
      <c r="A882" s="8" t="s">
        <v>3201</v>
      </c>
      <c r="B882" s="8" t="s">
        <v>14038</v>
      </c>
      <c r="C882" s="2">
        <v>46200.416666666664</v>
      </c>
      <c r="D882" s="8" t="s">
        <v>13935</v>
      </c>
      <c r="E882" s="8" t="s">
        <v>20</v>
      </c>
      <c r="F882">
        <v>7</v>
      </c>
      <c r="G882" s="2">
        <v>46200.75</v>
      </c>
      <c r="H882" s="2">
        <v>46200.583333333336</v>
      </c>
    </row>
    <row r="883" spans="1:8" x14ac:dyDescent="0.25">
      <c r="A883" s="8" t="s">
        <v>3204</v>
      </c>
      <c r="B883" s="8" t="s">
        <v>14038</v>
      </c>
      <c r="C883" s="2">
        <v>46200.416666666664</v>
      </c>
      <c r="D883" s="8" t="s">
        <v>13935</v>
      </c>
      <c r="E883" s="8" t="s">
        <v>22</v>
      </c>
      <c r="F883">
        <v>9</v>
      </c>
      <c r="G883" s="2">
        <v>46200.75</v>
      </c>
      <c r="H883" s="2">
        <v>46200.583333333336</v>
      </c>
    </row>
    <row r="884" spans="1:8" x14ac:dyDescent="0.25">
      <c r="A884" s="8" t="s">
        <v>3207</v>
      </c>
      <c r="B884" s="8" t="s">
        <v>14038</v>
      </c>
      <c r="C884" s="2">
        <v>46200.416666666664</v>
      </c>
      <c r="D884" s="8" t="s">
        <v>13935</v>
      </c>
      <c r="E884" s="8" t="s">
        <v>26</v>
      </c>
      <c r="F884">
        <v>9</v>
      </c>
      <c r="G884" s="2">
        <v>46200.75</v>
      </c>
      <c r="H884" s="2">
        <v>46200.583333333336</v>
      </c>
    </row>
    <row r="885" spans="1:8" x14ac:dyDescent="0.25">
      <c r="A885" s="8" t="s">
        <v>3210</v>
      </c>
      <c r="B885" s="8" t="s">
        <v>14038</v>
      </c>
      <c r="C885" s="2">
        <v>46200.416666666664</v>
      </c>
      <c r="D885" s="8" t="s">
        <v>13935</v>
      </c>
      <c r="E885" s="8" t="s">
        <v>36</v>
      </c>
      <c r="F885">
        <v>4</v>
      </c>
      <c r="G885" s="2">
        <v>46200.75</v>
      </c>
      <c r="H885" s="2">
        <v>46200.583333333336</v>
      </c>
    </row>
    <row r="886" spans="1:8" x14ac:dyDescent="0.25">
      <c r="A886" s="8" t="s">
        <v>3213</v>
      </c>
      <c r="B886" s="8" t="s">
        <v>14038</v>
      </c>
      <c r="C886" s="2">
        <v>46200.416666666664</v>
      </c>
      <c r="D886" s="8" t="s">
        <v>13935</v>
      </c>
      <c r="E886" s="8" t="s">
        <v>43</v>
      </c>
      <c r="F886">
        <v>4</v>
      </c>
      <c r="G886" s="2">
        <v>46200.75</v>
      </c>
      <c r="H886" s="2">
        <v>46200.583333333336</v>
      </c>
    </row>
    <row r="887" spans="1:8" x14ac:dyDescent="0.25">
      <c r="A887" s="8" t="s">
        <v>3216</v>
      </c>
      <c r="B887" s="8" t="s">
        <v>14038</v>
      </c>
      <c r="C887" s="2">
        <v>46200.416666666664</v>
      </c>
      <c r="D887" s="8" t="s">
        <v>13935</v>
      </c>
      <c r="E887" s="8" t="s">
        <v>45</v>
      </c>
      <c r="F887">
        <v>2</v>
      </c>
      <c r="G887" s="2">
        <v>46200.75</v>
      </c>
      <c r="H887" s="2">
        <v>46200.583333333336</v>
      </c>
    </row>
    <row r="888" spans="1:8" x14ac:dyDescent="0.25">
      <c r="A888" s="8" t="s">
        <v>3219</v>
      </c>
      <c r="B888" s="8" t="s">
        <v>14038</v>
      </c>
      <c r="C888" s="2">
        <v>46200.416666666664</v>
      </c>
      <c r="D888" s="8" t="s">
        <v>13935</v>
      </c>
      <c r="E888" s="8" t="s">
        <v>47</v>
      </c>
      <c r="F888">
        <v>5</v>
      </c>
      <c r="G888" s="2">
        <v>46200.75</v>
      </c>
      <c r="H888" s="2">
        <v>46200.583333333336</v>
      </c>
    </row>
    <row r="889" spans="1:8" x14ac:dyDescent="0.25">
      <c r="A889" s="8" t="s">
        <v>3222</v>
      </c>
      <c r="B889" s="8" t="s">
        <v>14038</v>
      </c>
      <c r="C889" s="2">
        <v>46200.416666666664</v>
      </c>
      <c r="D889" s="8" t="s">
        <v>13935</v>
      </c>
      <c r="E889" s="8" t="s">
        <v>49</v>
      </c>
      <c r="F889">
        <v>7</v>
      </c>
      <c r="G889" s="2">
        <v>46200.75</v>
      </c>
      <c r="H889" s="2">
        <v>46200.583333333336</v>
      </c>
    </row>
    <row r="890" spans="1:8" x14ac:dyDescent="0.25">
      <c r="A890" s="8" t="s">
        <v>3225</v>
      </c>
      <c r="B890" s="8" t="s">
        <v>14038</v>
      </c>
      <c r="C890" s="2">
        <v>46200.416666666664</v>
      </c>
      <c r="D890" s="8" t="s">
        <v>13935</v>
      </c>
      <c r="E890" s="8" t="s">
        <v>51</v>
      </c>
      <c r="F890">
        <v>7</v>
      </c>
      <c r="G890" s="2">
        <v>46200.75</v>
      </c>
      <c r="H890" s="2">
        <v>46200.583333333336</v>
      </c>
    </row>
    <row r="891" spans="1:8" x14ac:dyDescent="0.25">
      <c r="A891" s="8" t="s">
        <v>3228</v>
      </c>
      <c r="B891" s="8" t="s">
        <v>14038</v>
      </c>
      <c r="C891" s="2">
        <v>46200.416666666664</v>
      </c>
      <c r="D891" s="8" t="s">
        <v>13935</v>
      </c>
      <c r="E891" s="8" t="s">
        <v>53</v>
      </c>
      <c r="F891">
        <v>2</v>
      </c>
      <c r="G891" s="2">
        <v>46200.75</v>
      </c>
      <c r="H891" s="2">
        <v>46200.583333333336</v>
      </c>
    </row>
    <row r="892" spans="1:8" x14ac:dyDescent="0.25">
      <c r="A892" s="8" t="s">
        <v>3231</v>
      </c>
      <c r="B892" s="8" t="s">
        <v>14038</v>
      </c>
      <c r="C892" s="2">
        <v>46200.416666666664</v>
      </c>
      <c r="D892" s="8" t="s">
        <v>13935</v>
      </c>
      <c r="E892" s="8" t="s">
        <v>57</v>
      </c>
      <c r="F892">
        <v>2</v>
      </c>
      <c r="G892" s="2">
        <v>46200.75</v>
      </c>
      <c r="H892" s="2">
        <v>46200.583333333336</v>
      </c>
    </row>
    <row r="893" spans="1:8" x14ac:dyDescent="0.25">
      <c r="A893" s="8" t="s">
        <v>3234</v>
      </c>
      <c r="B893" s="8" t="s">
        <v>14038</v>
      </c>
      <c r="C893" s="2">
        <v>46200.416666666664</v>
      </c>
      <c r="D893" s="8" t="s">
        <v>13935</v>
      </c>
      <c r="E893" s="8" t="s">
        <v>59</v>
      </c>
      <c r="F893">
        <v>2</v>
      </c>
      <c r="G893" s="2">
        <v>46200.75</v>
      </c>
      <c r="H893" s="2">
        <v>46200.583333333336</v>
      </c>
    </row>
    <row r="894" spans="1:8" x14ac:dyDescent="0.25">
      <c r="A894" s="8" t="s">
        <v>3237</v>
      </c>
      <c r="B894" s="8" t="s">
        <v>14038</v>
      </c>
      <c r="C894" s="2">
        <v>46200.416666666664</v>
      </c>
      <c r="D894" s="8" t="s">
        <v>13935</v>
      </c>
      <c r="E894" s="8" t="s">
        <v>65</v>
      </c>
      <c r="F894">
        <v>7</v>
      </c>
      <c r="G894" s="2">
        <v>46200.75</v>
      </c>
      <c r="H894" s="2">
        <v>46200.583333333336</v>
      </c>
    </row>
    <row r="895" spans="1:8" x14ac:dyDescent="0.25">
      <c r="A895" s="8" t="s">
        <v>3240</v>
      </c>
      <c r="B895" s="8" t="s">
        <v>14038</v>
      </c>
      <c r="C895" s="2">
        <v>46200.416666666664</v>
      </c>
      <c r="D895" s="8" t="s">
        <v>13935</v>
      </c>
      <c r="E895" s="8" t="s">
        <v>77</v>
      </c>
      <c r="F895">
        <v>4</v>
      </c>
      <c r="G895" s="2">
        <v>46200.75</v>
      </c>
      <c r="H895" s="2">
        <v>46200.583333333336</v>
      </c>
    </row>
    <row r="896" spans="1:8" x14ac:dyDescent="0.25">
      <c r="A896" s="8" t="s">
        <v>3243</v>
      </c>
      <c r="B896" s="8" t="s">
        <v>14039</v>
      </c>
      <c r="C896" s="2">
        <v>46200.416666666664</v>
      </c>
      <c r="D896" s="8" t="s">
        <v>13937</v>
      </c>
      <c r="E896" s="8" t="s">
        <v>22</v>
      </c>
      <c r="F896">
        <v>4</v>
      </c>
      <c r="G896" s="2">
        <v>46200.75</v>
      </c>
      <c r="H896" s="2">
        <v>46200.583333333336</v>
      </c>
    </row>
    <row r="897" spans="1:8" x14ac:dyDescent="0.25">
      <c r="A897" s="8" t="s">
        <v>3246</v>
      </c>
      <c r="B897" s="8" t="s">
        <v>14039</v>
      </c>
      <c r="C897" s="2">
        <v>46200.416666666664</v>
      </c>
      <c r="D897" s="8" t="s">
        <v>13937</v>
      </c>
      <c r="E897" s="8" t="s">
        <v>36</v>
      </c>
      <c r="F897">
        <v>4</v>
      </c>
      <c r="G897" s="2">
        <v>46200.75</v>
      </c>
      <c r="H897" s="2">
        <v>46200.583333333336</v>
      </c>
    </row>
    <row r="898" spans="1:8" x14ac:dyDescent="0.25">
      <c r="A898" s="8" t="s">
        <v>3249</v>
      </c>
      <c r="B898" s="8" t="s">
        <v>14039</v>
      </c>
      <c r="C898" s="2">
        <v>46200.416666666664</v>
      </c>
      <c r="D898" s="8" t="s">
        <v>13937</v>
      </c>
      <c r="E898" s="8" t="s">
        <v>41</v>
      </c>
      <c r="F898">
        <v>5</v>
      </c>
      <c r="G898" s="2">
        <v>46200.75</v>
      </c>
      <c r="H898" s="2">
        <v>46200.583333333336</v>
      </c>
    </row>
    <row r="899" spans="1:8" x14ac:dyDescent="0.25">
      <c r="A899" s="8" t="s">
        <v>3252</v>
      </c>
      <c r="B899" s="8" t="s">
        <v>14039</v>
      </c>
      <c r="C899" s="2">
        <v>46200.416666666664</v>
      </c>
      <c r="D899" s="8" t="s">
        <v>13937</v>
      </c>
      <c r="E899" s="8" t="s">
        <v>49</v>
      </c>
      <c r="F899">
        <v>1</v>
      </c>
      <c r="G899" s="2">
        <v>46200.75</v>
      </c>
      <c r="H899" s="2">
        <v>46200.583333333336</v>
      </c>
    </row>
    <row r="900" spans="1:8" x14ac:dyDescent="0.25">
      <c r="A900" s="8" t="s">
        <v>3255</v>
      </c>
      <c r="B900" s="8" t="s">
        <v>14039</v>
      </c>
      <c r="C900" s="2">
        <v>46200.416666666664</v>
      </c>
      <c r="D900" s="8" t="s">
        <v>13937</v>
      </c>
      <c r="E900" s="8" t="s">
        <v>53</v>
      </c>
      <c r="F900">
        <v>2</v>
      </c>
      <c r="G900" s="2">
        <v>46200.75</v>
      </c>
      <c r="H900" s="2">
        <v>46200.583333333336</v>
      </c>
    </row>
    <row r="901" spans="1:8" x14ac:dyDescent="0.25">
      <c r="A901" s="8" t="s">
        <v>3258</v>
      </c>
      <c r="B901" s="8" t="s">
        <v>14039</v>
      </c>
      <c r="C901" s="2">
        <v>46200.416666666664</v>
      </c>
      <c r="D901" s="8" t="s">
        <v>13937</v>
      </c>
      <c r="E901" s="8" t="s">
        <v>57</v>
      </c>
      <c r="F901">
        <v>6</v>
      </c>
      <c r="G901" s="2">
        <v>46200.75</v>
      </c>
      <c r="H901" s="2">
        <v>46200.583333333336</v>
      </c>
    </row>
    <row r="902" spans="1:8" x14ac:dyDescent="0.25">
      <c r="A902" s="8" t="s">
        <v>3261</v>
      </c>
      <c r="B902" s="8" t="s">
        <v>14039</v>
      </c>
      <c r="C902" s="2">
        <v>46200.416666666664</v>
      </c>
      <c r="D902" s="8" t="s">
        <v>13937</v>
      </c>
      <c r="E902" s="8" t="s">
        <v>69</v>
      </c>
      <c r="F902">
        <v>2</v>
      </c>
      <c r="G902" s="2">
        <v>46200.75</v>
      </c>
      <c r="H902" s="2">
        <v>46200.583333333336</v>
      </c>
    </row>
    <row r="903" spans="1:8" x14ac:dyDescent="0.25">
      <c r="A903" s="8" t="s">
        <v>3264</v>
      </c>
      <c r="B903" s="8" t="s">
        <v>14039</v>
      </c>
      <c r="C903" s="2">
        <v>46200.416666666664</v>
      </c>
      <c r="D903" s="8" t="s">
        <v>13937</v>
      </c>
      <c r="E903" s="8" t="s">
        <v>75</v>
      </c>
      <c r="F903">
        <v>2</v>
      </c>
      <c r="G903" s="2">
        <v>46200.75</v>
      </c>
      <c r="H903" s="2">
        <v>46200.583333333336</v>
      </c>
    </row>
    <row r="904" spans="1:8" x14ac:dyDescent="0.25">
      <c r="A904" s="8" t="s">
        <v>3267</v>
      </c>
      <c r="B904" s="8" t="s">
        <v>14040</v>
      </c>
      <c r="C904" s="2">
        <v>46201.416666666664</v>
      </c>
      <c r="D904" s="8" t="s">
        <v>13929</v>
      </c>
      <c r="E904" s="8" t="s">
        <v>18</v>
      </c>
      <c r="F904">
        <v>3</v>
      </c>
      <c r="G904" s="2">
        <v>46201.75</v>
      </c>
      <c r="H904" s="2">
        <v>46201.583333333336</v>
      </c>
    </row>
    <row r="905" spans="1:8" x14ac:dyDescent="0.25">
      <c r="A905" s="8" t="s">
        <v>3270</v>
      </c>
      <c r="B905" s="8" t="s">
        <v>14040</v>
      </c>
      <c r="C905" s="2">
        <v>46201.416666666664</v>
      </c>
      <c r="D905" s="8" t="s">
        <v>13929</v>
      </c>
      <c r="E905" s="8" t="s">
        <v>20</v>
      </c>
      <c r="F905">
        <v>2</v>
      </c>
      <c r="G905" s="2">
        <v>46201.75</v>
      </c>
      <c r="H905" s="2">
        <v>46201.583333333336</v>
      </c>
    </row>
    <row r="906" spans="1:8" x14ac:dyDescent="0.25">
      <c r="A906" s="8" t="s">
        <v>3273</v>
      </c>
      <c r="B906" s="8" t="s">
        <v>14040</v>
      </c>
      <c r="C906" s="2">
        <v>46201.416666666664</v>
      </c>
      <c r="D906" s="8" t="s">
        <v>13929</v>
      </c>
      <c r="E906" s="8" t="s">
        <v>22</v>
      </c>
      <c r="F906">
        <v>2</v>
      </c>
      <c r="G906" s="2">
        <v>46201.75</v>
      </c>
      <c r="H906" s="2">
        <v>46201.583333333336</v>
      </c>
    </row>
    <row r="907" spans="1:8" x14ac:dyDescent="0.25">
      <c r="A907" s="8" t="s">
        <v>3276</v>
      </c>
      <c r="B907" s="8" t="s">
        <v>14040</v>
      </c>
      <c r="C907" s="2">
        <v>46201.416666666664</v>
      </c>
      <c r="D907" s="8" t="s">
        <v>13929</v>
      </c>
      <c r="E907" s="8" t="s">
        <v>26</v>
      </c>
      <c r="F907">
        <v>5</v>
      </c>
      <c r="G907" s="2">
        <v>46201.75</v>
      </c>
      <c r="H907" s="2">
        <v>46201.583333333336</v>
      </c>
    </row>
    <row r="908" spans="1:8" x14ac:dyDescent="0.25">
      <c r="A908" s="8" t="s">
        <v>3279</v>
      </c>
      <c r="B908" s="8" t="s">
        <v>14040</v>
      </c>
      <c r="C908" s="2">
        <v>46201.416666666664</v>
      </c>
      <c r="D908" s="8" t="s">
        <v>13929</v>
      </c>
      <c r="E908" s="8" t="s">
        <v>28</v>
      </c>
      <c r="F908">
        <v>5</v>
      </c>
      <c r="G908" s="2">
        <v>46201.75</v>
      </c>
      <c r="H908" s="2">
        <v>46201.583333333336</v>
      </c>
    </row>
    <row r="909" spans="1:8" x14ac:dyDescent="0.25">
      <c r="A909" s="8" t="s">
        <v>3282</v>
      </c>
      <c r="B909" s="8" t="s">
        <v>14040</v>
      </c>
      <c r="C909" s="2">
        <v>46201.416666666664</v>
      </c>
      <c r="D909" s="8" t="s">
        <v>13929</v>
      </c>
      <c r="E909" s="8" t="s">
        <v>30</v>
      </c>
      <c r="F909">
        <v>2</v>
      </c>
      <c r="G909" s="2">
        <v>46201.75</v>
      </c>
      <c r="H909" s="2">
        <v>46201.583333333336</v>
      </c>
    </row>
    <row r="910" spans="1:8" x14ac:dyDescent="0.25">
      <c r="A910" s="8" t="s">
        <v>3285</v>
      </c>
      <c r="B910" s="8" t="s">
        <v>14040</v>
      </c>
      <c r="C910" s="2">
        <v>46201.416666666664</v>
      </c>
      <c r="D910" s="8" t="s">
        <v>13929</v>
      </c>
      <c r="E910" s="8" t="s">
        <v>51</v>
      </c>
      <c r="F910">
        <v>4</v>
      </c>
      <c r="G910" s="2">
        <v>46201.75</v>
      </c>
      <c r="H910" s="2">
        <v>46201.583333333336</v>
      </c>
    </row>
    <row r="911" spans="1:8" x14ac:dyDescent="0.25">
      <c r="A911" s="8" t="s">
        <v>3288</v>
      </c>
      <c r="B911" s="8" t="s">
        <v>14040</v>
      </c>
      <c r="C911" s="2">
        <v>46201.416666666664</v>
      </c>
      <c r="D911" s="8" t="s">
        <v>13929</v>
      </c>
      <c r="E911" s="8" t="s">
        <v>71</v>
      </c>
      <c r="F911">
        <v>4</v>
      </c>
      <c r="G911" s="2">
        <v>46201.75</v>
      </c>
      <c r="H911" s="2">
        <v>46201.583333333336</v>
      </c>
    </row>
    <row r="912" spans="1:8" x14ac:dyDescent="0.25">
      <c r="A912" s="8" t="s">
        <v>3291</v>
      </c>
      <c r="B912" s="8" t="s">
        <v>14041</v>
      </c>
      <c r="C912" s="2">
        <v>46201.416666666664</v>
      </c>
      <c r="D912" s="8" t="s">
        <v>13931</v>
      </c>
      <c r="E912" s="8" t="s">
        <v>18</v>
      </c>
      <c r="F912">
        <v>1</v>
      </c>
      <c r="G912" s="2">
        <v>46201.75</v>
      </c>
      <c r="H912" s="2">
        <v>46201.583333333336</v>
      </c>
    </row>
    <row r="913" spans="1:8" x14ac:dyDescent="0.25">
      <c r="A913" s="8" t="s">
        <v>3294</v>
      </c>
      <c r="B913" s="8" t="s">
        <v>14041</v>
      </c>
      <c r="C913" s="2">
        <v>46201.416666666664</v>
      </c>
      <c r="D913" s="8" t="s">
        <v>13931</v>
      </c>
      <c r="E913" s="8" t="s">
        <v>20</v>
      </c>
      <c r="F913">
        <v>1</v>
      </c>
      <c r="G913" s="2">
        <v>46201.75</v>
      </c>
      <c r="H913" s="2">
        <v>46201.583333333336</v>
      </c>
    </row>
    <row r="914" spans="1:8" x14ac:dyDescent="0.25">
      <c r="A914" s="8" t="s">
        <v>3297</v>
      </c>
      <c r="B914" s="8" t="s">
        <v>14041</v>
      </c>
      <c r="C914" s="2">
        <v>46201.416666666664</v>
      </c>
      <c r="D914" s="8" t="s">
        <v>13931</v>
      </c>
      <c r="E914" s="8" t="s">
        <v>22</v>
      </c>
      <c r="F914">
        <v>3</v>
      </c>
      <c r="G914" s="2">
        <v>46201.75</v>
      </c>
      <c r="H914" s="2">
        <v>46201.583333333336</v>
      </c>
    </row>
    <row r="915" spans="1:8" x14ac:dyDescent="0.25">
      <c r="A915" s="8" t="s">
        <v>3300</v>
      </c>
      <c r="B915" s="8" t="s">
        <v>14041</v>
      </c>
      <c r="C915" s="2">
        <v>46201.416666666664</v>
      </c>
      <c r="D915" s="8" t="s">
        <v>13931</v>
      </c>
      <c r="E915" s="8" t="s">
        <v>24</v>
      </c>
      <c r="F915">
        <v>3</v>
      </c>
      <c r="G915" s="2">
        <v>46201.75</v>
      </c>
      <c r="H915" s="2">
        <v>46201.583333333336</v>
      </c>
    </row>
    <row r="916" spans="1:8" x14ac:dyDescent="0.25">
      <c r="A916" s="8" t="s">
        <v>3303</v>
      </c>
      <c r="B916" s="8" t="s">
        <v>14041</v>
      </c>
      <c r="C916" s="2">
        <v>46201.416666666664</v>
      </c>
      <c r="D916" s="8" t="s">
        <v>13931</v>
      </c>
      <c r="E916" s="8" t="s">
        <v>26</v>
      </c>
      <c r="F916">
        <v>3</v>
      </c>
      <c r="G916" s="2">
        <v>46201.75</v>
      </c>
      <c r="H916" s="2">
        <v>46201.583333333336</v>
      </c>
    </row>
    <row r="917" spans="1:8" x14ac:dyDescent="0.25">
      <c r="A917" s="8" t="s">
        <v>3306</v>
      </c>
      <c r="B917" s="8" t="s">
        <v>14041</v>
      </c>
      <c r="C917" s="2">
        <v>46201.416666666664</v>
      </c>
      <c r="D917" s="8" t="s">
        <v>13931</v>
      </c>
      <c r="E917" s="8" t="s">
        <v>28</v>
      </c>
      <c r="F917">
        <v>1</v>
      </c>
      <c r="G917" s="2">
        <v>46201.75</v>
      </c>
      <c r="H917" s="2">
        <v>46201.583333333336</v>
      </c>
    </row>
    <row r="918" spans="1:8" x14ac:dyDescent="0.25">
      <c r="A918" s="8" t="s">
        <v>3309</v>
      </c>
      <c r="B918" s="8" t="s">
        <v>14041</v>
      </c>
      <c r="C918" s="2">
        <v>46201.416666666664</v>
      </c>
      <c r="D918" s="8" t="s">
        <v>13931</v>
      </c>
      <c r="E918" s="8" t="s">
        <v>36</v>
      </c>
      <c r="F918">
        <v>1</v>
      </c>
      <c r="G918" s="2">
        <v>46201.75</v>
      </c>
      <c r="H918" s="2">
        <v>46201.583333333336</v>
      </c>
    </row>
    <row r="919" spans="1:8" x14ac:dyDescent="0.25">
      <c r="A919" s="8" t="s">
        <v>3312</v>
      </c>
      <c r="B919" s="8" t="s">
        <v>14041</v>
      </c>
      <c r="C919" s="2">
        <v>46201.416666666664</v>
      </c>
      <c r="D919" s="8" t="s">
        <v>13931</v>
      </c>
      <c r="E919" s="8" t="s">
        <v>49</v>
      </c>
      <c r="F919">
        <v>6</v>
      </c>
      <c r="G919" s="2">
        <v>46201.75</v>
      </c>
      <c r="H919" s="2">
        <v>46201.583333333336</v>
      </c>
    </row>
    <row r="920" spans="1:8" x14ac:dyDescent="0.25">
      <c r="A920" s="8" t="s">
        <v>3315</v>
      </c>
      <c r="B920" s="8" t="s">
        <v>14041</v>
      </c>
      <c r="C920" s="2">
        <v>46201.416666666664</v>
      </c>
      <c r="D920" s="8" t="s">
        <v>13931</v>
      </c>
      <c r="E920" s="8" t="s">
        <v>53</v>
      </c>
      <c r="F920">
        <v>3</v>
      </c>
      <c r="G920" s="2">
        <v>46201.75</v>
      </c>
      <c r="H920" s="2">
        <v>46201.583333333336</v>
      </c>
    </row>
    <row r="921" spans="1:8" x14ac:dyDescent="0.25">
      <c r="A921" s="8" t="s">
        <v>3318</v>
      </c>
      <c r="B921" s="8" t="s">
        <v>14041</v>
      </c>
      <c r="C921" s="2">
        <v>46201.416666666664</v>
      </c>
      <c r="D921" s="8" t="s">
        <v>13931</v>
      </c>
      <c r="E921" s="8" t="s">
        <v>55</v>
      </c>
      <c r="F921">
        <v>3</v>
      </c>
      <c r="G921" s="2">
        <v>46201.75</v>
      </c>
      <c r="H921" s="2">
        <v>46201.583333333336</v>
      </c>
    </row>
    <row r="922" spans="1:8" x14ac:dyDescent="0.25">
      <c r="A922" s="8" t="s">
        <v>3321</v>
      </c>
      <c r="B922" s="8" t="s">
        <v>14041</v>
      </c>
      <c r="C922" s="2">
        <v>46201.416666666664</v>
      </c>
      <c r="D922" s="8" t="s">
        <v>13931</v>
      </c>
      <c r="E922" s="8" t="s">
        <v>65</v>
      </c>
      <c r="F922">
        <v>4</v>
      </c>
      <c r="G922" s="2">
        <v>46201.75</v>
      </c>
      <c r="H922" s="2">
        <v>46201.583333333336</v>
      </c>
    </row>
    <row r="923" spans="1:8" x14ac:dyDescent="0.25">
      <c r="A923" s="8" t="s">
        <v>3324</v>
      </c>
      <c r="B923" s="8" t="s">
        <v>14041</v>
      </c>
      <c r="C923" s="2">
        <v>46201.416666666664</v>
      </c>
      <c r="D923" s="8" t="s">
        <v>13931</v>
      </c>
      <c r="E923" s="8" t="s">
        <v>69</v>
      </c>
      <c r="F923">
        <v>1</v>
      </c>
      <c r="G923" s="2">
        <v>46201.75</v>
      </c>
      <c r="H923" s="2">
        <v>46201.583333333336</v>
      </c>
    </row>
    <row r="924" spans="1:8" x14ac:dyDescent="0.25">
      <c r="A924" s="8" t="s">
        <v>3327</v>
      </c>
      <c r="B924" s="8" t="s">
        <v>14041</v>
      </c>
      <c r="C924" s="2">
        <v>46201.416666666664</v>
      </c>
      <c r="D924" s="8" t="s">
        <v>13931</v>
      </c>
      <c r="E924" s="8" t="s">
        <v>73</v>
      </c>
      <c r="F924">
        <v>5</v>
      </c>
      <c r="G924" s="2">
        <v>46201.75</v>
      </c>
      <c r="H924" s="2">
        <v>46201.583333333336</v>
      </c>
    </row>
    <row r="925" spans="1:8" x14ac:dyDescent="0.25">
      <c r="A925" s="8" t="s">
        <v>3330</v>
      </c>
      <c r="B925" s="8" t="s">
        <v>14042</v>
      </c>
      <c r="C925" s="2">
        <v>46201.416666666664</v>
      </c>
      <c r="D925" s="8" t="s">
        <v>13933</v>
      </c>
      <c r="E925" s="8" t="s">
        <v>18</v>
      </c>
      <c r="F925">
        <v>5</v>
      </c>
      <c r="G925" s="2">
        <v>46201.75</v>
      </c>
      <c r="H925" s="2">
        <v>46201.583333333336</v>
      </c>
    </row>
    <row r="926" spans="1:8" x14ac:dyDescent="0.25">
      <c r="A926" s="8" t="s">
        <v>3333</v>
      </c>
      <c r="B926" s="8" t="s">
        <v>14042</v>
      </c>
      <c r="C926" s="2">
        <v>46201.416666666664</v>
      </c>
      <c r="D926" s="8" t="s">
        <v>13933</v>
      </c>
      <c r="E926" s="8" t="s">
        <v>22</v>
      </c>
      <c r="F926">
        <v>5</v>
      </c>
      <c r="G926" s="2">
        <v>46201.75</v>
      </c>
      <c r="H926" s="2">
        <v>46201.583333333336</v>
      </c>
    </row>
    <row r="927" spans="1:8" x14ac:dyDescent="0.25">
      <c r="A927" s="8" t="s">
        <v>3336</v>
      </c>
      <c r="B927" s="8" t="s">
        <v>14042</v>
      </c>
      <c r="C927" s="2">
        <v>46201.416666666664</v>
      </c>
      <c r="D927" s="8" t="s">
        <v>13933</v>
      </c>
      <c r="E927" s="8" t="s">
        <v>26</v>
      </c>
      <c r="F927">
        <v>6</v>
      </c>
      <c r="G927" s="2">
        <v>46201.75</v>
      </c>
      <c r="H927" s="2">
        <v>46201.583333333336</v>
      </c>
    </row>
    <row r="928" spans="1:8" x14ac:dyDescent="0.25">
      <c r="A928" s="8" t="s">
        <v>3339</v>
      </c>
      <c r="B928" s="8" t="s">
        <v>14042</v>
      </c>
      <c r="C928" s="2">
        <v>46201.416666666664</v>
      </c>
      <c r="D928" s="8" t="s">
        <v>13933</v>
      </c>
      <c r="E928" s="8" t="s">
        <v>36</v>
      </c>
      <c r="F928">
        <v>2</v>
      </c>
      <c r="G928" s="2">
        <v>46201.75</v>
      </c>
      <c r="H928" s="2">
        <v>46201.583333333336</v>
      </c>
    </row>
    <row r="929" spans="1:8" x14ac:dyDescent="0.25">
      <c r="A929" s="8" t="s">
        <v>3342</v>
      </c>
      <c r="B929" s="8" t="s">
        <v>14042</v>
      </c>
      <c r="C929" s="2">
        <v>46201.416666666664</v>
      </c>
      <c r="D929" s="8" t="s">
        <v>13933</v>
      </c>
      <c r="E929" s="8" t="s">
        <v>43</v>
      </c>
      <c r="F929">
        <v>3</v>
      </c>
      <c r="G929" s="2">
        <v>46201.75</v>
      </c>
      <c r="H929" s="2">
        <v>46201.583333333336</v>
      </c>
    </row>
    <row r="930" spans="1:8" x14ac:dyDescent="0.25">
      <c r="A930" s="8" t="s">
        <v>3345</v>
      </c>
      <c r="B930" s="8" t="s">
        <v>14042</v>
      </c>
      <c r="C930" s="2">
        <v>46201.416666666664</v>
      </c>
      <c r="D930" s="8" t="s">
        <v>13933</v>
      </c>
      <c r="E930" s="8" t="s">
        <v>49</v>
      </c>
      <c r="F930">
        <v>3</v>
      </c>
      <c r="G930" s="2">
        <v>46201.75</v>
      </c>
      <c r="H930" s="2">
        <v>46201.583333333336</v>
      </c>
    </row>
    <row r="931" spans="1:8" x14ac:dyDescent="0.25">
      <c r="A931" s="8" t="s">
        <v>3348</v>
      </c>
      <c r="B931" s="8" t="s">
        <v>14042</v>
      </c>
      <c r="C931" s="2">
        <v>46201.416666666664</v>
      </c>
      <c r="D931" s="8" t="s">
        <v>13933</v>
      </c>
      <c r="E931" s="8" t="s">
        <v>51</v>
      </c>
      <c r="F931">
        <v>6</v>
      </c>
      <c r="G931" s="2">
        <v>46201.75</v>
      </c>
      <c r="H931" s="2">
        <v>46201.583333333336</v>
      </c>
    </row>
    <row r="932" spans="1:8" x14ac:dyDescent="0.25">
      <c r="A932" s="8" t="s">
        <v>3351</v>
      </c>
      <c r="B932" s="8" t="s">
        <v>14042</v>
      </c>
      <c r="C932" s="2">
        <v>46201.416666666664</v>
      </c>
      <c r="D932" s="8" t="s">
        <v>13933</v>
      </c>
      <c r="E932" s="8" t="s">
        <v>59</v>
      </c>
      <c r="F932">
        <v>3</v>
      </c>
      <c r="G932" s="2">
        <v>46201.75</v>
      </c>
      <c r="H932" s="2">
        <v>46201.583333333336</v>
      </c>
    </row>
    <row r="933" spans="1:8" x14ac:dyDescent="0.25">
      <c r="A933" s="8" t="s">
        <v>3354</v>
      </c>
      <c r="B933" s="8" t="s">
        <v>14042</v>
      </c>
      <c r="C933" s="2">
        <v>46201.416666666664</v>
      </c>
      <c r="D933" s="8" t="s">
        <v>13933</v>
      </c>
      <c r="E933" s="8" t="s">
        <v>65</v>
      </c>
      <c r="F933">
        <v>2</v>
      </c>
      <c r="G933" s="2">
        <v>46201.75</v>
      </c>
      <c r="H933" s="2">
        <v>46201.583333333336</v>
      </c>
    </row>
    <row r="934" spans="1:8" x14ac:dyDescent="0.25">
      <c r="A934" s="8" t="s">
        <v>3357</v>
      </c>
      <c r="B934" s="8" t="s">
        <v>14042</v>
      </c>
      <c r="C934" s="2">
        <v>46201.416666666664</v>
      </c>
      <c r="D934" s="8" t="s">
        <v>13933</v>
      </c>
      <c r="E934" s="8" t="s">
        <v>67</v>
      </c>
      <c r="F934">
        <v>8</v>
      </c>
      <c r="G934" s="2">
        <v>46201.75</v>
      </c>
      <c r="H934" s="2">
        <v>46201.583333333336</v>
      </c>
    </row>
    <row r="935" spans="1:8" x14ac:dyDescent="0.25">
      <c r="A935" s="8" t="s">
        <v>3362</v>
      </c>
      <c r="B935" s="8" t="s">
        <v>14042</v>
      </c>
      <c r="C935" s="2">
        <v>46201.416666666664</v>
      </c>
      <c r="D935" s="8" t="s">
        <v>13933</v>
      </c>
      <c r="E935" s="8" t="s">
        <v>75</v>
      </c>
      <c r="F935">
        <v>5</v>
      </c>
      <c r="G935" s="2">
        <v>46201.75</v>
      </c>
      <c r="H935" s="2">
        <v>46201.583333333336</v>
      </c>
    </row>
    <row r="936" spans="1:8" x14ac:dyDescent="0.25">
      <c r="A936" s="8" t="s">
        <v>3365</v>
      </c>
      <c r="B936" s="8" t="s">
        <v>14042</v>
      </c>
      <c r="C936" s="2">
        <v>46201.416666666664</v>
      </c>
      <c r="D936" s="8" t="s">
        <v>13933</v>
      </c>
      <c r="E936" s="8" t="s">
        <v>77</v>
      </c>
      <c r="F936">
        <v>6</v>
      </c>
      <c r="G936" s="2">
        <v>46201.75</v>
      </c>
      <c r="H936" s="2">
        <v>46201.583333333336</v>
      </c>
    </row>
    <row r="937" spans="1:8" x14ac:dyDescent="0.25">
      <c r="A937" s="8" t="s">
        <v>3368</v>
      </c>
      <c r="B937" s="8" t="s">
        <v>14043</v>
      </c>
      <c r="C937" s="2">
        <v>46201.416666666664</v>
      </c>
      <c r="D937" s="8" t="s">
        <v>13935</v>
      </c>
      <c r="E937" s="8" t="s">
        <v>11</v>
      </c>
      <c r="F937">
        <v>5</v>
      </c>
      <c r="G937" s="2">
        <v>46201.75</v>
      </c>
      <c r="H937" s="2">
        <v>46201.583333333336</v>
      </c>
    </row>
    <row r="938" spans="1:8" x14ac:dyDescent="0.25">
      <c r="A938" s="8" t="s">
        <v>3371</v>
      </c>
      <c r="B938" s="8" t="s">
        <v>14043</v>
      </c>
      <c r="C938" s="2">
        <v>46201.416666666664</v>
      </c>
      <c r="D938" s="8" t="s">
        <v>13935</v>
      </c>
      <c r="E938" s="8" t="s">
        <v>22</v>
      </c>
      <c r="F938">
        <v>2</v>
      </c>
      <c r="G938" s="2">
        <v>46201.75</v>
      </c>
      <c r="H938" s="2">
        <v>46201.583333333336</v>
      </c>
    </row>
    <row r="939" spans="1:8" x14ac:dyDescent="0.25">
      <c r="A939" s="8" t="s">
        <v>3374</v>
      </c>
      <c r="B939" s="8" t="s">
        <v>14043</v>
      </c>
      <c r="C939" s="2">
        <v>46201.416666666664</v>
      </c>
      <c r="D939" s="8" t="s">
        <v>13935</v>
      </c>
      <c r="E939" s="8" t="s">
        <v>24</v>
      </c>
      <c r="F939">
        <v>4</v>
      </c>
      <c r="G939" s="2">
        <v>46201.75</v>
      </c>
      <c r="H939" s="2">
        <v>46201.583333333336</v>
      </c>
    </row>
    <row r="940" spans="1:8" x14ac:dyDescent="0.25">
      <c r="A940" s="8" t="s">
        <v>3377</v>
      </c>
      <c r="B940" s="8" t="s">
        <v>14043</v>
      </c>
      <c r="C940" s="2">
        <v>46201.416666666664</v>
      </c>
      <c r="D940" s="8" t="s">
        <v>13935</v>
      </c>
      <c r="E940" s="8" t="s">
        <v>28</v>
      </c>
      <c r="F940">
        <v>7</v>
      </c>
      <c r="G940" s="2">
        <v>46201.75</v>
      </c>
      <c r="H940" s="2">
        <v>46201.583333333336</v>
      </c>
    </row>
    <row r="941" spans="1:8" x14ac:dyDescent="0.25">
      <c r="A941" s="8" t="s">
        <v>3380</v>
      </c>
      <c r="B941" s="8" t="s">
        <v>14043</v>
      </c>
      <c r="C941" s="2">
        <v>46201.416666666664</v>
      </c>
      <c r="D941" s="8" t="s">
        <v>13935</v>
      </c>
      <c r="E941" s="8" t="s">
        <v>32</v>
      </c>
      <c r="F941">
        <v>9</v>
      </c>
      <c r="G941" s="2">
        <v>46201.75</v>
      </c>
      <c r="H941" s="2">
        <v>46201.583333333336</v>
      </c>
    </row>
    <row r="942" spans="1:8" x14ac:dyDescent="0.25">
      <c r="A942" s="8" t="s">
        <v>3383</v>
      </c>
      <c r="B942" s="8" t="s">
        <v>14043</v>
      </c>
      <c r="C942" s="2">
        <v>46201.416666666664</v>
      </c>
      <c r="D942" s="8" t="s">
        <v>13935</v>
      </c>
      <c r="E942" s="8" t="s">
        <v>45</v>
      </c>
      <c r="F942">
        <v>4</v>
      </c>
      <c r="G942" s="2">
        <v>46201.75</v>
      </c>
      <c r="H942" s="2">
        <v>46201.583333333336</v>
      </c>
    </row>
    <row r="943" spans="1:8" x14ac:dyDescent="0.25">
      <c r="A943" s="8" t="s">
        <v>3386</v>
      </c>
      <c r="B943" s="8" t="s">
        <v>14043</v>
      </c>
      <c r="C943" s="2">
        <v>46201.416666666664</v>
      </c>
      <c r="D943" s="8" t="s">
        <v>13935</v>
      </c>
      <c r="E943" s="8" t="s">
        <v>71</v>
      </c>
      <c r="F943">
        <v>7</v>
      </c>
      <c r="G943" s="2">
        <v>46201.75</v>
      </c>
      <c r="H943" s="2">
        <v>46201.583333333336</v>
      </c>
    </row>
    <row r="944" spans="1:8" x14ac:dyDescent="0.25">
      <c r="A944" s="8" t="s">
        <v>3389</v>
      </c>
      <c r="B944" s="8" t="s">
        <v>14044</v>
      </c>
      <c r="C944" s="2">
        <v>46201.416666666664</v>
      </c>
      <c r="D944" s="8" t="s">
        <v>13937</v>
      </c>
      <c r="E944" s="8" t="s">
        <v>20</v>
      </c>
      <c r="F944">
        <v>1</v>
      </c>
      <c r="G944" s="2">
        <v>46201.75</v>
      </c>
      <c r="H944" s="2">
        <v>46201.583333333336</v>
      </c>
    </row>
    <row r="945" spans="1:8" x14ac:dyDescent="0.25">
      <c r="A945" s="8" t="s">
        <v>3392</v>
      </c>
      <c r="B945" s="8" t="s">
        <v>14044</v>
      </c>
      <c r="C945" s="2">
        <v>46201.416666666664</v>
      </c>
      <c r="D945" s="8" t="s">
        <v>13937</v>
      </c>
      <c r="E945" s="8" t="s">
        <v>22</v>
      </c>
      <c r="F945">
        <v>5</v>
      </c>
      <c r="G945" s="2">
        <v>46201.75</v>
      </c>
      <c r="H945" s="2">
        <v>46201.583333333336</v>
      </c>
    </row>
    <row r="946" spans="1:8" x14ac:dyDescent="0.25">
      <c r="A946" s="8" t="s">
        <v>3395</v>
      </c>
      <c r="B946" s="8" t="s">
        <v>14044</v>
      </c>
      <c r="C946" s="2">
        <v>46201.416666666664</v>
      </c>
      <c r="D946" s="8" t="s">
        <v>13937</v>
      </c>
      <c r="E946" s="8" t="s">
        <v>26</v>
      </c>
      <c r="F946">
        <v>4</v>
      </c>
      <c r="G946" s="2">
        <v>46201.75</v>
      </c>
      <c r="H946" s="2">
        <v>46201.583333333336</v>
      </c>
    </row>
    <row r="947" spans="1:8" x14ac:dyDescent="0.25">
      <c r="A947" s="8" t="s">
        <v>3398</v>
      </c>
      <c r="B947" s="8" t="s">
        <v>14044</v>
      </c>
      <c r="C947" s="2">
        <v>46201.416666666664</v>
      </c>
      <c r="D947" s="8" t="s">
        <v>13937</v>
      </c>
      <c r="E947" s="8" t="s">
        <v>36</v>
      </c>
      <c r="F947">
        <v>4</v>
      </c>
      <c r="G947" s="2">
        <v>46201.75</v>
      </c>
      <c r="H947" s="2">
        <v>46201.583333333336</v>
      </c>
    </row>
    <row r="948" spans="1:8" x14ac:dyDescent="0.25">
      <c r="A948" s="8" t="s">
        <v>3401</v>
      </c>
      <c r="B948" s="8" t="s">
        <v>14044</v>
      </c>
      <c r="C948" s="2">
        <v>46201.416666666664</v>
      </c>
      <c r="D948" s="8" t="s">
        <v>13937</v>
      </c>
      <c r="E948" s="8" t="s">
        <v>41</v>
      </c>
      <c r="F948">
        <v>1</v>
      </c>
      <c r="G948" s="2">
        <v>46201.75</v>
      </c>
      <c r="H948" s="2">
        <v>46201.583333333336</v>
      </c>
    </row>
    <row r="949" spans="1:8" x14ac:dyDescent="0.25">
      <c r="A949" s="8" t="s">
        <v>3404</v>
      </c>
      <c r="B949" s="8" t="s">
        <v>14044</v>
      </c>
      <c r="C949" s="2">
        <v>46201.416666666664</v>
      </c>
      <c r="D949" s="8" t="s">
        <v>13937</v>
      </c>
      <c r="E949" s="8" t="s">
        <v>49</v>
      </c>
      <c r="F949">
        <v>1</v>
      </c>
      <c r="G949" s="2">
        <v>46201.75</v>
      </c>
      <c r="H949" s="2">
        <v>46201.583333333336</v>
      </c>
    </row>
    <row r="950" spans="1:8" x14ac:dyDescent="0.25">
      <c r="A950" s="8" t="s">
        <v>3407</v>
      </c>
      <c r="B950" s="8" t="s">
        <v>14044</v>
      </c>
      <c r="C950" s="2">
        <v>46201.416666666664</v>
      </c>
      <c r="D950" s="8" t="s">
        <v>13937</v>
      </c>
      <c r="E950" s="8" t="s">
        <v>77</v>
      </c>
      <c r="F950">
        <v>4</v>
      </c>
      <c r="G950" s="2">
        <v>46201.75</v>
      </c>
      <c r="H950" s="2">
        <v>46201.583333333336</v>
      </c>
    </row>
    <row r="951" spans="1:8" x14ac:dyDescent="0.25">
      <c r="A951" s="8" t="s">
        <v>3410</v>
      </c>
      <c r="B951" s="8" t="s">
        <v>14045</v>
      </c>
      <c r="C951" s="2">
        <v>46202.416666666664</v>
      </c>
      <c r="D951" s="8" t="s">
        <v>13929</v>
      </c>
      <c r="E951" s="8" t="s">
        <v>11</v>
      </c>
      <c r="F951">
        <v>2</v>
      </c>
      <c r="G951" s="2">
        <v>46202.75</v>
      </c>
      <c r="H951" s="2">
        <v>46202.583333333336</v>
      </c>
    </row>
    <row r="952" spans="1:8" x14ac:dyDescent="0.25">
      <c r="A952" s="8" t="s">
        <v>3413</v>
      </c>
      <c r="B952" s="8" t="s">
        <v>14045</v>
      </c>
      <c r="C952" s="2">
        <v>46202.416666666664</v>
      </c>
      <c r="D952" s="8" t="s">
        <v>13929</v>
      </c>
      <c r="E952" s="8" t="s">
        <v>18</v>
      </c>
      <c r="F952">
        <v>2</v>
      </c>
      <c r="G952" s="2">
        <v>46202.75</v>
      </c>
      <c r="H952" s="2">
        <v>46202.583333333336</v>
      </c>
    </row>
    <row r="953" spans="1:8" x14ac:dyDescent="0.25">
      <c r="A953" s="8" t="s">
        <v>3416</v>
      </c>
      <c r="B953" s="8" t="s">
        <v>14045</v>
      </c>
      <c r="C953" s="2">
        <v>46202.416666666664</v>
      </c>
      <c r="D953" s="8" t="s">
        <v>13929</v>
      </c>
      <c r="E953" s="8" t="s">
        <v>20</v>
      </c>
      <c r="F953">
        <v>3</v>
      </c>
      <c r="G953" s="2">
        <v>46202.75</v>
      </c>
      <c r="H953" s="2">
        <v>46202.583333333336</v>
      </c>
    </row>
    <row r="954" spans="1:8" x14ac:dyDescent="0.25">
      <c r="A954" s="8" t="s">
        <v>3419</v>
      </c>
      <c r="B954" s="8" t="s">
        <v>14045</v>
      </c>
      <c r="C954" s="2">
        <v>46202.416666666664</v>
      </c>
      <c r="D954" s="8" t="s">
        <v>13929</v>
      </c>
      <c r="E954" s="8" t="s">
        <v>22</v>
      </c>
      <c r="F954">
        <v>1</v>
      </c>
      <c r="G954" s="2">
        <v>46202.75</v>
      </c>
      <c r="H954" s="2">
        <v>46202.583333333336</v>
      </c>
    </row>
    <row r="955" spans="1:8" x14ac:dyDescent="0.25">
      <c r="A955" s="8" t="s">
        <v>3422</v>
      </c>
      <c r="B955" s="8" t="s">
        <v>14045</v>
      </c>
      <c r="C955" s="2">
        <v>46202.416666666664</v>
      </c>
      <c r="D955" s="8" t="s">
        <v>13929</v>
      </c>
      <c r="E955" s="8" t="s">
        <v>26</v>
      </c>
      <c r="F955">
        <v>4</v>
      </c>
      <c r="G955" s="2">
        <v>46202.75</v>
      </c>
      <c r="H955" s="2">
        <v>46202.583333333336</v>
      </c>
    </row>
    <row r="956" spans="1:8" x14ac:dyDescent="0.25">
      <c r="A956" s="8" t="s">
        <v>3425</v>
      </c>
      <c r="B956" s="8" t="s">
        <v>14045</v>
      </c>
      <c r="C956" s="2">
        <v>46202.416666666664</v>
      </c>
      <c r="D956" s="8" t="s">
        <v>13929</v>
      </c>
      <c r="E956" s="8" t="s">
        <v>32</v>
      </c>
      <c r="F956">
        <v>4</v>
      </c>
      <c r="G956" s="2">
        <v>46202.75</v>
      </c>
      <c r="H956" s="2">
        <v>46202.583333333336</v>
      </c>
    </row>
    <row r="957" spans="1:8" x14ac:dyDescent="0.25">
      <c r="A957" s="8" t="s">
        <v>3428</v>
      </c>
      <c r="B957" s="8" t="s">
        <v>14045</v>
      </c>
      <c r="C957" s="2">
        <v>46202.416666666664</v>
      </c>
      <c r="D957" s="8" t="s">
        <v>13929</v>
      </c>
      <c r="E957" s="8" t="s">
        <v>36</v>
      </c>
      <c r="F957">
        <v>1</v>
      </c>
      <c r="G957" s="2">
        <v>46202.75</v>
      </c>
      <c r="H957" s="2">
        <v>46202.583333333336</v>
      </c>
    </row>
    <row r="958" spans="1:8" x14ac:dyDescent="0.25">
      <c r="A958" s="8" t="s">
        <v>3431</v>
      </c>
      <c r="B958" s="8" t="s">
        <v>14045</v>
      </c>
      <c r="C958" s="2">
        <v>46202.416666666664</v>
      </c>
      <c r="D958" s="8" t="s">
        <v>13929</v>
      </c>
      <c r="E958" s="8" t="s">
        <v>45</v>
      </c>
      <c r="F958">
        <v>2</v>
      </c>
      <c r="G958" s="2">
        <v>46202.75</v>
      </c>
      <c r="H958" s="2">
        <v>46202.583333333336</v>
      </c>
    </row>
    <row r="959" spans="1:8" x14ac:dyDescent="0.25">
      <c r="A959" s="8" t="s">
        <v>3434</v>
      </c>
      <c r="B959" s="8" t="s">
        <v>14045</v>
      </c>
      <c r="C959" s="2">
        <v>46202.416666666664</v>
      </c>
      <c r="D959" s="8" t="s">
        <v>13929</v>
      </c>
      <c r="E959" s="8" t="s">
        <v>51</v>
      </c>
      <c r="F959">
        <v>2</v>
      </c>
      <c r="G959" s="2">
        <v>46202.75</v>
      </c>
      <c r="H959" s="2">
        <v>46202.583333333336</v>
      </c>
    </row>
    <row r="960" spans="1:8" x14ac:dyDescent="0.25">
      <c r="A960" s="8" t="s">
        <v>3437</v>
      </c>
      <c r="B960" s="8" t="s">
        <v>14045</v>
      </c>
      <c r="C960" s="2">
        <v>46202.416666666664</v>
      </c>
      <c r="D960" s="8" t="s">
        <v>13929</v>
      </c>
      <c r="E960" s="8" t="s">
        <v>59</v>
      </c>
      <c r="F960">
        <v>4</v>
      </c>
      <c r="G960" s="2">
        <v>46202.75</v>
      </c>
      <c r="H960" s="2">
        <v>46202.583333333336</v>
      </c>
    </row>
    <row r="961" spans="1:8" x14ac:dyDescent="0.25">
      <c r="A961" s="8" t="s">
        <v>3440</v>
      </c>
      <c r="B961" s="8" t="s">
        <v>14045</v>
      </c>
      <c r="C961" s="2">
        <v>46202.416666666664</v>
      </c>
      <c r="D961" s="8" t="s">
        <v>13929</v>
      </c>
      <c r="E961" s="8" t="s">
        <v>67</v>
      </c>
      <c r="F961">
        <v>1</v>
      </c>
      <c r="G961" s="2">
        <v>46202.75</v>
      </c>
      <c r="H961" s="2">
        <v>46202.583333333336</v>
      </c>
    </row>
    <row r="962" spans="1:8" x14ac:dyDescent="0.25">
      <c r="A962" s="8" t="s">
        <v>3443</v>
      </c>
      <c r="B962" s="8" t="s">
        <v>14046</v>
      </c>
      <c r="C962" s="2">
        <v>46202.416666666664</v>
      </c>
      <c r="D962" s="8" t="s">
        <v>13931</v>
      </c>
      <c r="E962" s="8" t="s">
        <v>11</v>
      </c>
      <c r="F962">
        <v>4</v>
      </c>
      <c r="G962" s="2">
        <v>46202.75</v>
      </c>
      <c r="H962" s="2">
        <v>46202.583333333336</v>
      </c>
    </row>
    <row r="963" spans="1:8" x14ac:dyDescent="0.25">
      <c r="A963" s="8" t="s">
        <v>3446</v>
      </c>
      <c r="B963" s="8" t="s">
        <v>14046</v>
      </c>
      <c r="C963" s="2">
        <v>46202.416666666664</v>
      </c>
      <c r="D963" s="8" t="s">
        <v>13931</v>
      </c>
      <c r="E963" s="8" t="s">
        <v>18</v>
      </c>
      <c r="F963">
        <v>1</v>
      </c>
      <c r="G963" s="2">
        <v>46202.75</v>
      </c>
      <c r="H963" s="2">
        <v>46202.583333333336</v>
      </c>
    </row>
    <row r="964" spans="1:8" x14ac:dyDescent="0.25">
      <c r="A964" s="8" t="s">
        <v>3449</v>
      </c>
      <c r="B964" s="8" t="s">
        <v>14046</v>
      </c>
      <c r="C964" s="2">
        <v>46202.416666666664</v>
      </c>
      <c r="D964" s="8" t="s">
        <v>13931</v>
      </c>
      <c r="E964" s="8" t="s">
        <v>20</v>
      </c>
      <c r="F964">
        <v>5</v>
      </c>
      <c r="G964" s="2">
        <v>46202.75</v>
      </c>
      <c r="H964" s="2">
        <v>46202.583333333336</v>
      </c>
    </row>
    <row r="965" spans="1:8" x14ac:dyDescent="0.25">
      <c r="A965" s="8" t="s">
        <v>3452</v>
      </c>
      <c r="B965" s="8" t="s">
        <v>14046</v>
      </c>
      <c r="C965" s="2">
        <v>46202.416666666664</v>
      </c>
      <c r="D965" s="8" t="s">
        <v>13931</v>
      </c>
      <c r="E965" s="8" t="s">
        <v>24</v>
      </c>
      <c r="F965">
        <v>1</v>
      </c>
      <c r="G965" s="2">
        <v>46202.75</v>
      </c>
      <c r="H965" s="2">
        <v>46202.583333333336</v>
      </c>
    </row>
    <row r="966" spans="1:8" x14ac:dyDescent="0.25">
      <c r="A966" s="8" t="s">
        <v>3455</v>
      </c>
      <c r="B966" s="8" t="s">
        <v>14046</v>
      </c>
      <c r="C966" s="2">
        <v>46202.416666666664</v>
      </c>
      <c r="D966" s="8" t="s">
        <v>13931</v>
      </c>
      <c r="E966" s="8" t="s">
        <v>26</v>
      </c>
      <c r="F966">
        <v>2</v>
      </c>
      <c r="G966" s="2">
        <v>46202.75</v>
      </c>
      <c r="H966" s="2">
        <v>46202.583333333336</v>
      </c>
    </row>
    <row r="967" spans="1:8" x14ac:dyDescent="0.25">
      <c r="A967" s="8" t="s">
        <v>3458</v>
      </c>
      <c r="B967" s="8" t="s">
        <v>14046</v>
      </c>
      <c r="C967" s="2">
        <v>46202.416666666664</v>
      </c>
      <c r="D967" s="8" t="s">
        <v>13931</v>
      </c>
      <c r="E967" s="8" t="s">
        <v>30</v>
      </c>
      <c r="F967">
        <v>2</v>
      </c>
      <c r="G967" s="2">
        <v>46202.75</v>
      </c>
      <c r="H967" s="2">
        <v>46202.583333333336</v>
      </c>
    </row>
    <row r="968" spans="1:8" x14ac:dyDescent="0.25">
      <c r="A968" s="8" t="s">
        <v>3461</v>
      </c>
      <c r="B968" s="8" t="s">
        <v>14046</v>
      </c>
      <c r="C968" s="2">
        <v>46202.416666666664</v>
      </c>
      <c r="D968" s="8" t="s">
        <v>13931</v>
      </c>
      <c r="E968" s="8" t="s">
        <v>41</v>
      </c>
      <c r="F968">
        <v>1</v>
      </c>
      <c r="G968" s="2">
        <v>46202.75</v>
      </c>
      <c r="H968" s="2">
        <v>46202.583333333336</v>
      </c>
    </row>
    <row r="969" spans="1:8" x14ac:dyDescent="0.25">
      <c r="A969" s="8" t="s">
        <v>3464</v>
      </c>
      <c r="B969" s="8" t="s">
        <v>14046</v>
      </c>
      <c r="C969" s="2">
        <v>46202.416666666664</v>
      </c>
      <c r="D969" s="8" t="s">
        <v>13931</v>
      </c>
      <c r="E969" s="8" t="s">
        <v>51</v>
      </c>
      <c r="F969">
        <v>1</v>
      </c>
      <c r="G969" s="2">
        <v>46202.75</v>
      </c>
      <c r="H969" s="2">
        <v>46202.583333333336</v>
      </c>
    </row>
    <row r="970" spans="1:8" x14ac:dyDescent="0.25">
      <c r="A970" s="8" t="s">
        <v>3467</v>
      </c>
      <c r="B970" s="8" t="s">
        <v>14046</v>
      </c>
      <c r="C970" s="2">
        <v>46202.416666666664</v>
      </c>
      <c r="D970" s="8" t="s">
        <v>13931</v>
      </c>
      <c r="E970" s="8" t="s">
        <v>57</v>
      </c>
      <c r="F970">
        <v>5</v>
      </c>
      <c r="G970" s="2">
        <v>46202.75</v>
      </c>
      <c r="H970" s="2">
        <v>46202.583333333336</v>
      </c>
    </row>
    <row r="971" spans="1:8" x14ac:dyDescent="0.25">
      <c r="A971" s="8" t="s">
        <v>3470</v>
      </c>
      <c r="B971" s="8" t="s">
        <v>14046</v>
      </c>
      <c r="C971" s="2">
        <v>46202.416666666664</v>
      </c>
      <c r="D971" s="8" t="s">
        <v>13931</v>
      </c>
      <c r="E971" s="8" t="s">
        <v>59</v>
      </c>
      <c r="F971">
        <v>2</v>
      </c>
      <c r="G971" s="2">
        <v>46202.75</v>
      </c>
      <c r="H971" s="2">
        <v>46202.583333333336</v>
      </c>
    </row>
    <row r="972" spans="1:8" x14ac:dyDescent="0.25">
      <c r="A972" s="8" t="s">
        <v>3473</v>
      </c>
      <c r="B972" s="8" t="s">
        <v>14046</v>
      </c>
      <c r="C972" s="2">
        <v>46202.416666666664</v>
      </c>
      <c r="D972" s="8" t="s">
        <v>13931</v>
      </c>
      <c r="E972" s="8" t="s">
        <v>75</v>
      </c>
      <c r="F972">
        <v>3</v>
      </c>
      <c r="G972" s="2">
        <v>46202.75</v>
      </c>
      <c r="H972" s="2">
        <v>46202.583333333336</v>
      </c>
    </row>
    <row r="973" spans="1:8" x14ac:dyDescent="0.25">
      <c r="A973" s="8" t="s">
        <v>3476</v>
      </c>
      <c r="B973" s="8" t="s">
        <v>14047</v>
      </c>
      <c r="C973" s="2">
        <v>46202.416666666664</v>
      </c>
      <c r="D973" s="8" t="s">
        <v>13933</v>
      </c>
      <c r="E973" s="8" t="s">
        <v>55</v>
      </c>
      <c r="F973">
        <v>4</v>
      </c>
      <c r="G973" s="2">
        <v>46202.75</v>
      </c>
      <c r="H973" s="2">
        <v>46202.583333333336</v>
      </c>
    </row>
    <row r="974" spans="1:8" x14ac:dyDescent="0.25">
      <c r="A974" s="8" t="s">
        <v>3479</v>
      </c>
      <c r="B974" s="8" t="s">
        <v>14047</v>
      </c>
      <c r="C974" s="2">
        <v>46202.416666666664</v>
      </c>
      <c r="D974" s="8" t="s">
        <v>13933</v>
      </c>
      <c r="E974" s="8" t="s">
        <v>65</v>
      </c>
      <c r="F974">
        <v>1</v>
      </c>
      <c r="G974" s="2">
        <v>46202.75</v>
      </c>
      <c r="H974" s="2">
        <v>46202.583333333336</v>
      </c>
    </row>
    <row r="975" spans="1:8" x14ac:dyDescent="0.25">
      <c r="A975" s="8" t="s">
        <v>3482</v>
      </c>
      <c r="B975" s="8" t="s">
        <v>14047</v>
      </c>
      <c r="C975" s="2">
        <v>46202.416666666664</v>
      </c>
      <c r="D975" s="8" t="s">
        <v>13933</v>
      </c>
      <c r="E975" s="8" t="s">
        <v>77</v>
      </c>
      <c r="F975">
        <v>4</v>
      </c>
      <c r="G975" s="2">
        <v>46202.75</v>
      </c>
      <c r="H975" s="2">
        <v>46202.583333333336</v>
      </c>
    </row>
    <row r="976" spans="1:8" x14ac:dyDescent="0.25">
      <c r="A976" s="8" t="s">
        <v>3485</v>
      </c>
      <c r="B976" s="8" t="s">
        <v>14048</v>
      </c>
      <c r="C976" s="2">
        <v>46202.416666666664</v>
      </c>
      <c r="D976" s="8" t="s">
        <v>13935</v>
      </c>
      <c r="E976" s="8" t="s">
        <v>11</v>
      </c>
      <c r="F976">
        <v>1</v>
      </c>
      <c r="G976" s="2">
        <v>46202.75</v>
      </c>
      <c r="H976" s="2">
        <v>46202.583333333336</v>
      </c>
    </row>
    <row r="977" spans="1:8" x14ac:dyDescent="0.25">
      <c r="A977" s="8" t="s">
        <v>3488</v>
      </c>
      <c r="B977" s="8" t="s">
        <v>14048</v>
      </c>
      <c r="C977" s="2">
        <v>46202.416666666664</v>
      </c>
      <c r="D977" s="8" t="s">
        <v>13935</v>
      </c>
      <c r="E977" s="8" t="s">
        <v>18</v>
      </c>
      <c r="F977">
        <v>7</v>
      </c>
      <c r="G977" s="2">
        <v>46202.75</v>
      </c>
      <c r="H977" s="2">
        <v>46202.583333333336</v>
      </c>
    </row>
    <row r="978" spans="1:8" x14ac:dyDescent="0.25">
      <c r="A978" s="8" t="s">
        <v>3491</v>
      </c>
      <c r="B978" s="8" t="s">
        <v>14048</v>
      </c>
      <c r="C978" s="2">
        <v>46202.416666666664</v>
      </c>
      <c r="D978" s="8" t="s">
        <v>13935</v>
      </c>
      <c r="E978" s="8" t="s">
        <v>20</v>
      </c>
      <c r="F978">
        <v>6</v>
      </c>
      <c r="G978" s="2">
        <v>46202.75</v>
      </c>
      <c r="H978" s="2">
        <v>46202.583333333336</v>
      </c>
    </row>
    <row r="979" spans="1:8" x14ac:dyDescent="0.25">
      <c r="A979" s="8" t="s">
        <v>3494</v>
      </c>
      <c r="B979" s="8" t="s">
        <v>14048</v>
      </c>
      <c r="C979" s="2">
        <v>46202.416666666664</v>
      </c>
      <c r="D979" s="8" t="s">
        <v>13935</v>
      </c>
      <c r="E979" s="8" t="s">
        <v>36</v>
      </c>
      <c r="F979">
        <v>6</v>
      </c>
      <c r="G979" s="2">
        <v>46202.75</v>
      </c>
      <c r="H979" s="2">
        <v>46202.583333333336</v>
      </c>
    </row>
    <row r="980" spans="1:8" x14ac:dyDescent="0.25">
      <c r="A980" s="8" t="s">
        <v>3497</v>
      </c>
      <c r="B980" s="8" t="s">
        <v>14048</v>
      </c>
      <c r="C980" s="2">
        <v>46202.416666666664</v>
      </c>
      <c r="D980" s="8" t="s">
        <v>13935</v>
      </c>
      <c r="E980" s="8" t="s">
        <v>41</v>
      </c>
      <c r="F980">
        <v>1</v>
      </c>
      <c r="G980" s="2">
        <v>46202.75</v>
      </c>
      <c r="H980" s="2">
        <v>46202.583333333336</v>
      </c>
    </row>
    <row r="981" spans="1:8" x14ac:dyDescent="0.25">
      <c r="A981" s="8" t="s">
        <v>3500</v>
      </c>
      <c r="B981" s="8" t="s">
        <v>14048</v>
      </c>
      <c r="C981" s="2">
        <v>46202.416666666664</v>
      </c>
      <c r="D981" s="8" t="s">
        <v>13935</v>
      </c>
      <c r="E981" s="8" t="s">
        <v>43</v>
      </c>
      <c r="F981">
        <v>6</v>
      </c>
      <c r="G981" s="2">
        <v>46202.75</v>
      </c>
      <c r="H981" s="2">
        <v>46202.583333333336</v>
      </c>
    </row>
    <row r="982" spans="1:8" x14ac:dyDescent="0.25">
      <c r="A982" s="8" t="s">
        <v>3503</v>
      </c>
      <c r="B982" s="8" t="s">
        <v>14048</v>
      </c>
      <c r="C982" s="2">
        <v>46202.416666666664</v>
      </c>
      <c r="D982" s="8" t="s">
        <v>13935</v>
      </c>
      <c r="E982" s="8" t="s">
        <v>47</v>
      </c>
      <c r="F982">
        <v>6</v>
      </c>
      <c r="G982" s="2">
        <v>46202.75</v>
      </c>
      <c r="H982" s="2">
        <v>46202.583333333336</v>
      </c>
    </row>
    <row r="983" spans="1:8" x14ac:dyDescent="0.25">
      <c r="A983" s="8" t="s">
        <v>3506</v>
      </c>
      <c r="B983" s="8" t="s">
        <v>14048</v>
      </c>
      <c r="C983" s="2">
        <v>46202.416666666664</v>
      </c>
      <c r="D983" s="8" t="s">
        <v>13935</v>
      </c>
      <c r="E983" s="8" t="s">
        <v>49</v>
      </c>
      <c r="F983">
        <v>1</v>
      </c>
      <c r="G983" s="2">
        <v>46202.75</v>
      </c>
      <c r="H983" s="2">
        <v>46202.583333333336</v>
      </c>
    </row>
    <row r="984" spans="1:8" x14ac:dyDescent="0.25">
      <c r="A984" s="8" t="s">
        <v>3509</v>
      </c>
      <c r="B984" s="8" t="s">
        <v>14048</v>
      </c>
      <c r="C984" s="2">
        <v>46202.416666666664</v>
      </c>
      <c r="D984" s="8" t="s">
        <v>13935</v>
      </c>
      <c r="E984" s="8" t="s">
        <v>51</v>
      </c>
      <c r="F984">
        <v>1</v>
      </c>
      <c r="G984" s="2">
        <v>46202.75</v>
      </c>
      <c r="H984" s="2">
        <v>46202.583333333336</v>
      </c>
    </row>
    <row r="985" spans="1:8" x14ac:dyDescent="0.25">
      <c r="A985" s="8" t="s">
        <v>3512</v>
      </c>
      <c r="B985" s="8" t="s">
        <v>14049</v>
      </c>
      <c r="C985" s="2">
        <v>46202.416666666664</v>
      </c>
      <c r="D985" s="8" t="s">
        <v>13937</v>
      </c>
      <c r="E985" s="8" t="s">
        <v>11</v>
      </c>
      <c r="F985">
        <v>1</v>
      </c>
      <c r="G985" s="2">
        <v>46202.75</v>
      </c>
      <c r="H985" s="2">
        <v>46202.583333333336</v>
      </c>
    </row>
    <row r="986" spans="1:8" x14ac:dyDescent="0.25">
      <c r="A986" s="8" t="s">
        <v>3515</v>
      </c>
      <c r="B986" s="8" t="s">
        <v>14049</v>
      </c>
      <c r="C986" s="2">
        <v>46202.416666666664</v>
      </c>
      <c r="D986" s="8" t="s">
        <v>13937</v>
      </c>
      <c r="E986" s="8" t="s">
        <v>24</v>
      </c>
      <c r="F986">
        <v>2</v>
      </c>
      <c r="G986" s="2">
        <v>46202.75</v>
      </c>
      <c r="H986" s="2">
        <v>46202.583333333336</v>
      </c>
    </row>
    <row r="987" spans="1:8" x14ac:dyDescent="0.25">
      <c r="A987" s="8" t="s">
        <v>3518</v>
      </c>
      <c r="B987" s="8" t="s">
        <v>14049</v>
      </c>
      <c r="C987" s="2">
        <v>46202.416666666664</v>
      </c>
      <c r="D987" s="8" t="s">
        <v>13937</v>
      </c>
      <c r="E987" s="8" t="s">
        <v>26</v>
      </c>
      <c r="F987">
        <v>2</v>
      </c>
      <c r="G987" s="2">
        <v>46202.75</v>
      </c>
      <c r="H987" s="2">
        <v>46202.583333333336</v>
      </c>
    </row>
    <row r="988" spans="1:8" x14ac:dyDescent="0.25">
      <c r="A988" s="8" t="s">
        <v>3521</v>
      </c>
      <c r="B988" s="8" t="s">
        <v>14049</v>
      </c>
      <c r="C988" s="2">
        <v>46202.416666666664</v>
      </c>
      <c r="D988" s="8" t="s">
        <v>13937</v>
      </c>
      <c r="E988" s="8" t="s">
        <v>28</v>
      </c>
      <c r="F988">
        <v>4</v>
      </c>
      <c r="G988" s="2">
        <v>46202.75</v>
      </c>
      <c r="H988" s="2">
        <v>46202.583333333336</v>
      </c>
    </row>
    <row r="989" spans="1:8" x14ac:dyDescent="0.25">
      <c r="A989" s="8" t="s">
        <v>3524</v>
      </c>
      <c r="B989" s="8" t="s">
        <v>14049</v>
      </c>
      <c r="C989" s="2">
        <v>46202.416666666664</v>
      </c>
      <c r="D989" s="8" t="s">
        <v>13937</v>
      </c>
      <c r="E989" s="8" t="s">
        <v>30</v>
      </c>
      <c r="F989">
        <v>4</v>
      </c>
      <c r="G989" s="2">
        <v>46202.75</v>
      </c>
      <c r="H989" s="2">
        <v>46202.583333333336</v>
      </c>
    </row>
    <row r="990" spans="1:8" x14ac:dyDescent="0.25">
      <c r="A990" s="8" t="s">
        <v>3527</v>
      </c>
      <c r="B990" s="8" t="s">
        <v>14049</v>
      </c>
      <c r="C990" s="2">
        <v>46202.416666666664</v>
      </c>
      <c r="D990" s="8" t="s">
        <v>13937</v>
      </c>
      <c r="E990" s="8" t="s">
        <v>45</v>
      </c>
      <c r="F990">
        <v>2</v>
      </c>
      <c r="G990" s="2">
        <v>46202.75</v>
      </c>
      <c r="H990" s="2">
        <v>46202.583333333336</v>
      </c>
    </row>
    <row r="991" spans="1:8" x14ac:dyDescent="0.25">
      <c r="A991" s="8" t="s">
        <v>3530</v>
      </c>
      <c r="B991" s="8" t="s">
        <v>14049</v>
      </c>
      <c r="C991" s="2">
        <v>46202.416666666664</v>
      </c>
      <c r="D991" s="8" t="s">
        <v>13937</v>
      </c>
      <c r="E991" s="8" t="s">
        <v>47</v>
      </c>
      <c r="F991">
        <v>3</v>
      </c>
      <c r="G991" s="2">
        <v>46202.75</v>
      </c>
      <c r="H991" s="2">
        <v>46202.583333333336</v>
      </c>
    </row>
    <row r="992" spans="1:8" x14ac:dyDescent="0.25">
      <c r="A992" s="8" t="s">
        <v>3533</v>
      </c>
      <c r="B992" s="8" t="s">
        <v>14049</v>
      </c>
      <c r="C992" s="2">
        <v>46202.416666666664</v>
      </c>
      <c r="D992" s="8" t="s">
        <v>13937</v>
      </c>
      <c r="E992" s="8" t="s">
        <v>53</v>
      </c>
      <c r="F992">
        <v>3</v>
      </c>
      <c r="G992" s="2">
        <v>46202.75</v>
      </c>
      <c r="H992" s="2">
        <v>46202.583333333336</v>
      </c>
    </row>
    <row r="993" spans="1:8" x14ac:dyDescent="0.25">
      <c r="A993" s="8" t="s">
        <v>3575</v>
      </c>
      <c r="B993" s="8" t="s">
        <v>14050</v>
      </c>
      <c r="C993" s="2">
        <v>46203.416666666664</v>
      </c>
      <c r="D993" s="8" t="s">
        <v>13929</v>
      </c>
      <c r="E993" s="8" t="s">
        <v>11</v>
      </c>
      <c r="F993">
        <v>4</v>
      </c>
      <c r="G993" s="2">
        <v>46203.75</v>
      </c>
      <c r="H993" s="2">
        <v>46203.583333333336</v>
      </c>
    </row>
    <row r="994" spans="1:8" x14ac:dyDescent="0.25">
      <c r="A994" s="8" t="s">
        <v>3578</v>
      </c>
      <c r="B994" s="8" t="s">
        <v>14050</v>
      </c>
      <c r="C994" s="2">
        <v>46203.416666666664</v>
      </c>
      <c r="D994" s="8" t="s">
        <v>13929</v>
      </c>
      <c r="E994" s="8" t="s">
        <v>18</v>
      </c>
      <c r="F994">
        <v>4</v>
      </c>
      <c r="G994" s="2">
        <v>46203.75</v>
      </c>
      <c r="H994" s="2">
        <v>46203.583333333336</v>
      </c>
    </row>
    <row r="995" spans="1:8" x14ac:dyDescent="0.25">
      <c r="A995" s="8" t="s">
        <v>3581</v>
      </c>
      <c r="B995" s="8" t="s">
        <v>14050</v>
      </c>
      <c r="C995" s="2">
        <v>46203.416666666664</v>
      </c>
      <c r="D995" s="8" t="s">
        <v>13929</v>
      </c>
      <c r="E995" s="8" t="s">
        <v>20</v>
      </c>
      <c r="F995">
        <v>3</v>
      </c>
      <c r="G995" s="2">
        <v>46203.75</v>
      </c>
      <c r="H995" s="2">
        <v>46203.583333333336</v>
      </c>
    </row>
    <row r="996" spans="1:8" x14ac:dyDescent="0.25">
      <c r="A996" s="8" t="s">
        <v>3584</v>
      </c>
      <c r="B996" s="8" t="s">
        <v>14050</v>
      </c>
      <c r="C996" s="2">
        <v>46203.416666666664</v>
      </c>
      <c r="D996" s="8" t="s">
        <v>13929</v>
      </c>
      <c r="E996" s="8" t="s">
        <v>22</v>
      </c>
      <c r="F996">
        <v>3</v>
      </c>
      <c r="G996" s="2">
        <v>46203.75</v>
      </c>
      <c r="H996" s="2">
        <v>46203.583333333336</v>
      </c>
    </row>
    <row r="997" spans="1:8" x14ac:dyDescent="0.25">
      <c r="A997" s="8" t="s">
        <v>3587</v>
      </c>
      <c r="B997" s="8" t="s">
        <v>14050</v>
      </c>
      <c r="C997" s="2">
        <v>46203.416666666664</v>
      </c>
      <c r="D997" s="8" t="s">
        <v>13929</v>
      </c>
      <c r="E997" s="8" t="s">
        <v>24</v>
      </c>
      <c r="F997">
        <v>3</v>
      </c>
      <c r="G997" s="2">
        <v>46203.75</v>
      </c>
      <c r="H997" s="2">
        <v>46203.583333333336</v>
      </c>
    </row>
    <row r="998" spans="1:8" x14ac:dyDescent="0.25">
      <c r="A998" s="8" t="s">
        <v>3590</v>
      </c>
      <c r="B998" s="8" t="s">
        <v>14050</v>
      </c>
      <c r="C998" s="2">
        <v>46203.416666666664</v>
      </c>
      <c r="D998" s="8" t="s">
        <v>13929</v>
      </c>
      <c r="E998" s="8" t="s">
        <v>26</v>
      </c>
      <c r="F998">
        <v>4</v>
      </c>
      <c r="G998" s="2">
        <v>46203.75</v>
      </c>
      <c r="H998" s="2">
        <v>46203.583333333336</v>
      </c>
    </row>
    <row r="999" spans="1:8" x14ac:dyDescent="0.25">
      <c r="A999" s="8" t="s">
        <v>3595</v>
      </c>
      <c r="B999" s="8" t="s">
        <v>14050</v>
      </c>
      <c r="C999" s="2">
        <v>46203.416666666664</v>
      </c>
      <c r="D999" s="8" t="s">
        <v>13929</v>
      </c>
      <c r="E999" s="8" t="s">
        <v>41</v>
      </c>
      <c r="F999">
        <v>3</v>
      </c>
      <c r="G999" s="2">
        <v>46203.75</v>
      </c>
      <c r="H999" s="2">
        <v>46203.583333333336</v>
      </c>
    </row>
    <row r="1000" spans="1:8" x14ac:dyDescent="0.25">
      <c r="A1000" s="8" t="s">
        <v>3598</v>
      </c>
      <c r="B1000" s="8" t="s">
        <v>14050</v>
      </c>
      <c r="C1000" s="2">
        <v>46203.416666666664</v>
      </c>
      <c r="D1000" s="8" t="s">
        <v>13929</v>
      </c>
      <c r="E1000" s="8" t="s">
        <v>45</v>
      </c>
      <c r="F1000">
        <v>2</v>
      </c>
      <c r="G1000" s="2">
        <v>46203.75</v>
      </c>
      <c r="H1000" s="2">
        <v>46203.583333333336</v>
      </c>
    </row>
    <row r="1001" spans="1:8" x14ac:dyDescent="0.25">
      <c r="A1001" s="8" t="s">
        <v>3601</v>
      </c>
      <c r="B1001" s="8" t="s">
        <v>14050</v>
      </c>
      <c r="C1001" s="2">
        <v>46203.416666666664</v>
      </c>
      <c r="D1001" s="8" t="s">
        <v>13929</v>
      </c>
      <c r="E1001" s="8" t="s">
        <v>75</v>
      </c>
      <c r="F1001">
        <v>4</v>
      </c>
      <c r="G1001" s="2">
        <v>46203.75</v>
      </c>
      <c r="H1001" s="2">
        <v>46203.583333333336</v>
      </c>
    </row>
    <row r="1002" spans="1:8" x14ac:dyDescent="0.25">
      <c r="A1002" s="8" t="s">
        <v>3604</v>
      </c>
      <c r="B1002" s="8" t="s">
        <v>14051</v>
      </c>
      <c r="C1002" s="2">
        <v>46203.416666666664</v>
      </c>
      <c r="D1002" s="8" t="s">
        <v>13931</v>
      </c>
      <c r="E1002" s="8" t="s">
        <v>11</v>
      </c>
      <c r="F1002">
        <v>1</v>
      </c>
      <c r="G1002" s="2">
        <v>46203.75</v>
      </c>
      <c r="H1002" s="2">
        <v>46203.583333333336</v>
      </c>
    </row>
    <row r="1003" spans="1:8" x14ac:dyDescent="0.25">
      <c r="A1003" s="8" t="s">
        <v>3607</v>
      </c>
      <c r="B1003" s="8" t="s">
        <v>14051</v>
      </c>
      <c r="C1003" s="2">
        <v>46203.416666666664</v>
      </c>
      <c r="D1003" s="8" t="s">
        <v>13931</v>
      </c>
      <c r="E1003" s="8" t="s">
        <v>18</v>
      </c>
      <c r="F1003">
        <v>4</v>
      </c>
      <c r="G1003" s="2">
        <v>46203.75</v>
      </c>
      <c r="H1003" s="2">
        <v>46203.583333333336</v>
      </c>
    </row>
    <row r="1004" spans="1:8" x14ac:dyDescent="0.25">
      <c r="A1004" s="8" t="s">
        <v>3610</v>
      </c>
      <c r="B1004" s="8" t="s">
        <v>14051</v>
      </c>
      <c r="C1004" s="2">
        <v>46203.416666666664</v>
      </c>
      <c r="D1004" s="8" t="s">
        <v>13931</v>
      </c>
      <c r="E1004" s="8" t="s">
        <v>20</v>
      </c>
      <c r="F1004">
        <v>4</v>
      </c>
      <c r="G1004" s="2">
        <v>46203.75</v>
      </c>
      <c r="H1004" s="2">
        <v>46203.583333333336</v>
      </c>
    </row>
    <row r="1005" spans="1:8" x14ac:dyDescent="0.25">
      <c r="A1005" s="8" t="s">
        <v>3613</v>
      </c>
      <c r="B1005" s="8" t="s">
        <v>14051</v>
      </c>
      <c r="C1005" s="2">
        <v>46203.416666666664</v>
      </c>
      <c r="D1005" s="8" t="s">
        <v>13931</v>
      </c>
      <c r="E1005" s="8" t="s">
        <v>24</v>
      </c>
      <c r="F1005">
        <v>3</v>
      </c>
      <c r="G1005" s="2">
        <v>46203.75</v>
      </c>
      <c r="H1005" s="2">
        <v>46203.583333333336</v>
      </c>
    </row>
    <row r="1006" spans="1:8" x14ac:dyDescent="0.25">
      <c r="A1006" s="8" t="s">
        <v>3616</v>
      </c>
      <c r="B1006" s="8" t="s">
        <v>14051</v>
      </c>
      <c r="C1006" s="2">
        <v>46203.416666666664</v>
      </c>
      <c r="D1006" s="8" t="s">
        <v>13931</v>
      </c>
      <c r="E1006" s="8" t="s">
        <v>26</v>
      </c>
      <c r="F1006">
        <v>2</v>
      </c>
      <c r="G1006" s="2">
        <v>46203.75</v>
      </c>
      <c r="H1006" s="2">
        <v>46203.583333333336</v>
      </c>
    </row>
    <row r="1007" spans="1:8" x14ac:dyDescent="0.25">
      <c r="A1007" s="8" t="s">
        <v>3619</v>
      </c>
      <c r="B1007" s="8" t="s">
        <v>14051</v>
      </c>
      <c r="C1007" s="2">
        <v>46203.416666666664</v>
      </c>
      <c r="D1007" s="8" t="s">
        <v>13931</v>
      </c>
      <c r="E1007" s="8" t="s">
        <v>32</v>
      </c>
      <c r="F1007">
        <v>4</v>
      </c>
      <c r="G1007" s="2">
        <v>46203.75</v>
      </c>
      <c r="H1007" s="2">
        <v>46203.583333333336</v>
      </c>
    </row>
    <row r="1008" spans="1:8" x14ac:dyDescent="0.25">
      <c r="A1008" s="8" t="s">
        <v>3622</v>
      </c>
      <c r="B1008" s="8" t="s">
        <v>14051</v>
      </c>
      <c r="C1008" s="2">
        <v>46203.416666666664</v>
      </c>
      <c r="D1008" s="8" t="s">
        <v>13931</v>
      </c>
      <c r="E1008" s="8" t="s">
        <v>45</v>
      </c>
      <c r="F1008">
        <v>1</v>
      </c>
      <c r="G1008" s="2">
        <v>46203.75</v>
      </c>
      <c r="H1008" s="2">
        <v>46203.583333333336</v>
      </c>
    </row>
    <row r="1009" spans="1:8" x14ac:dyDescent="0.25">
      <c r="A1009" s="8" t="s">
        <v>3625</v>
      </c>
      <c r="B1009" s="8" t="s">
        <v>14051</v>
      </c>
      <c r="C1009" s="2">
        <v>46203.416666666664</v>
      </c>
      <c r="D1009" s="8" t="s">
        <v>13931</v>
      </c>
      <c r="E1009" s="8" t="s">
        <v>55</v>
      </c>
      <c r="F1009">
        <v>1</v>
      </c>
      <c r="G1009" s="2">
        <v>46203.75</v>
      </c>
      <c r="H1009" s="2">
        <v>46203.583333333336</v>
      </c>
    </row>
    <row r="1010" spans="1:8" x14ac:dyDescent="0.25">
      <c r="A1010" s="8" t="s">
        <v>3628</v>
      </c>
      <c r="B1010" s="8" t="s">
        <v>14051</v>
      </c>
      <c r="C1010" s="2">
        <v>46203.416666666664</v>
      </c>
      <c r="D1010" s="8" t="s">
        <v>13931</v>
      </c>
      <c r="E1010" s="8" t="s">
        <v>57</v>
      </c>
      <c r="F1010">
        <v>2</v>
      </c>
      <c r="G1010" s="2">
        <v>46203.75</v>
      </c>
      <c r="H1010" s="2">
        <v>46203.583333333336</v>
      </c>
    </row>
    <row r="1011" spans="1:8" x14ac:dyDescent="0.25">
      <c r="A1011" s="8" t="s">
        <v>3631</v>
      </c>
      <c r="B1011" s="8" t="s">
        <v>14051</v>
      </c>
      <c r="C1011" s="2">
        <v>46203.416666666664</v>
      </c>
      <c r="D1011" s="8" t="s">
        <v>13931</v>
      </c>
      <c r="E1011" s="8" t="s">
        <v>71</v>
      </c>
      <c r="F1011">
        <v>5</v>
      </c>
      <c r="G1011" s="2">
        <v>46203.75</v>
      </c>
      <c r="H1011" s="2">
        <v>46203.583333333336</v>
      </c>
    </row>
    <row r="1012" spans="1:8" x14ac:dyDescent="0.25">
      <c r="A1012" s="8" t="s">
        <v>3634</v>
      </c>
      <c r="B1012" s="8" t="s">
        <v>14051</v>
      </c>
      <c r="C1012" s="2">
        <v>46203.416666666664</v>
      </c>
      <c r="D1012" s="8" t="s">
        <v>13931</v>
      </c>
      <c r="E1012" s="8" t="s">
        <v>73</v>
      </c>
      <c r="F1012">
        <v>2</v>
      </c>
      <c r="G1012" s="2">
        <v>46203.75</v>
      </c>
      <c r="H1012" s="2">
        <v>46203.583333333336</v>
      </c>
    </row>
    <row r="1013" spans="1:8" x14ac:dyDescent="0.25">
      <c r="A1013" s="8" t="s">
        <v>3637</v>
      </c>
      <c r="B1013" s="8" t="s">
        <v>14052</v>
      </c>
      <c r="C1013" s="2">
        <v>46203.416666666664</v>
      </c>
      <c r="D1013" s="8" t="s">
        <v>13933</v>
      </c>
      <c r="E1013" s="8" t="s">
        <v>11</v>
      </c>
      <c r="F1013">
        <v>1</v>
      </c>
      <c r="G1013" s="2">
        <v>46203.75</v>
      </c>
      <c r="H1013" s="2">
        <v>46203.583333333336</v>
      </c>
    </row>
    <row r="1014" spans="1:8" x14ac:dyDescent="0.25">
      <c r="A1014" s="8" t="s">
        <v>3640</v>
      </c>
      <c r="B1014" s="8" t="s">
        <v>14052</v>
      </c>
      <c r="C1014" s="2">
        <v>46203.416666666664</v>
      </c>
      <c r="D1014" s="8" t="s">
        <v>13933</v>
      </c>
      <c r="E1014" s="8" t="s">
        <v>18</v>
      </c>
      <c r="F1014">
        <v>1</v>
      </c>
      <c r="G1014" s="2">
        <v>46203.75</v>
      </c>
      <c r="H1014" s="2">
        <v>46203.583333333336</v>
      </c>
    </row>
    <row r="1015" spans="1:8" x14ac:dyDescent="0.25">
      <c r="A1015" s="8" t="s">
        <v>3643</v>
      </c>
      <c r="B1015" s="8" t="s">
        <v>14052</v>
      </c>
      <c r="C1015" s="2">
        <v>46203.416666666664</v>
      </c>
      <c r="D1015" s="8" t="s">
        <v>13933</v>
      </c>
      <c r="E1015" s="8" t="s">
        <v>22</v>
      </c>
      <c r="F1015">
        <v>6</v>
      </c>
      <c r="G1015" s="2">
        <v>46203.75</v>
      </c>
      <c r="H1015" s="2">
        <v>46203.583333333336</v>
      </c>
    </row>
    <row r="1016" spans="1:8" x14ac:dyDescent="0.25">
      <c r="A1016" s="8" t="s">
        <v>3646</v>
      </c>
      <c r="B1016" s="8" t="s">
        <v>14052</v>
      </c>
      <c r="C1016" s="2">
        <v>46203.416666666664</v>
      </c>
      <c r="D1016" s="8" t="s">
        <v>13933</v>
      </c>
      <c r="E1016" s="8" t="s">
        <v>26</v>
      </c>
      <c r="F1016">
        <v>5</v>
      </c>
      <c r="G1016" s="2">
        <v>46203.75</v>
      </c>
      <c r="H1016" s="2">
        <v>46203.583333333336</v>
      </c>
    </row>
    <row r="1017" spans="1:8" x14ac:dyDescent="0.25">
      <c r="A1017" s="8" t="s">
        <v>3649</v>
      </c>
      <c r="B1017" s="8" t="s">
        <v>14052</v>
      </c>
      <c r="C1017" s="2">
        <v>46203.416666666664</v>
      </c>
      <c r="D1017" s="8" t="s">
        <v>13933</v>
      </c>
      <c r="E1017" s="8" t="s">
        <v>41</v>
      </c>
      <c r="F1017">
        <v>2</v>
      </c>
      <c r="G1017" s="2">
        <v>46203.75</v>
      </c>
      <c r="H1017" s="2">
        <v>46203.583333333336</v>
      </c>
    </row>
    <row r="1018" spans="1:8" x14ac:dyDescent="0.25">
      <c r="A1018" s="8" t="s">
        <v>3652</v>
      </c>
      <c r="B1018" s="8" t="s">
        <v>14052</v>
      </c>
      <c r="C1018" s="2">
        <v>46203.416666666664</v>
      </c>
      <c r="D1018" s="8" t="s">
        <v>13933</v>
      </c>
      <c r="E1018" s="8" t="s">
        <v>43</v>
      </c>
      <c r="F1018">
        <v>2</v>
      </c>
      <c r="G1018" s="2">
        <v>46203.75</v>
      </c>
      <c r="H1018" s="2">
        <v>46203.583333333336</v>
      </c>
    </row>
    <row r="1019" spans="1:8" x14ac:dyDescent="0.25">
      <c r="A1019" s="8" t="s">
        <v>3655</v>
      </c>
      <c r="B1019" s="8" t="s">
        <v>14052</v>
      </c>
      <c r="C1019" s="2">
        <v>46203.416666666664</v>
      </c>
      <c r="D1019" s="8" t="s">
        <v>13933</v>
      </c>
      <c r="E1019" s="8" t="s">
        <v>65</v>
      </c>
      <c r="F1019">
        <v>5</v>
      </c>
      <c r="G1019" s="2">
        <v>46203.75</v>
      </c>
      <c r="H1019" s="2">
        <v>46203.583333333336</v>
      </c>
    </row>
    <row r="1020" spans="1:8" x14ac:dyDescent="0.25">
      <c r="A1020" s="8" t="s">
        <v>3658</v>
      </c>
      <c r="B1020" s="8" t="s">
        <v>14052</v>
      </c>
      <c r="C1020" s="2">
        <v>46203.416666666664</v>
      </c>
      <c r="D1020" s="8" t="s">
        <v>13933</v>
      </c>
      <c r="E1020" s="8" t="s">
        <v>75</v>
      </c>
      <c r="F1020">
        <v>5</v>
      </c>
      <c r="G1020" s="2">
        <v>46203.75</v>
      </c>
      <c r="H1020" s="2">
        <v>46203.583333333336</v>
      </c>
    </row>
    <row r="1021" spans="1:8" x14ac:dyDescent="0.25">
      <c r="A1021" s="8" t="s">
        <v>3661</v>
      </c>
      <c r="B1021" s="8" t="s">
        <v>14053</v>
      </c>
      <c r="C1021" s="2">
        <v>46203.416666666664</v>
      </c>
      <c r="D1021" s="8" t="s">
        <v>13935</v>
      </c>
      <c r="E1021" s="8" t="s">
        <v>11</v>
      </c>
      <c r="F1021">
        <v>6</v>
      </c>
      <c r="G1021" s="2">
        <v>46203.75</v>
      </c>
      <c r="H1021" s="2">
        <v>46203.583333333336</v>
      </c>
    </row>
    <row r="1022" spans="1:8" x14ac:dyDescent="0.25">
      <c r="A1022" s="8" t="s">
        <v>3664</v>
      </c>
      <c r="B1022" s="8" t="s">
        <v>14053</v>
      </c>
      <c r="C1022" s="2">
        <v>46203.416666666664</v>
      </c>
      <c r="D1022" s="8" t="s">
        <v>13935</v>
      </c>
      <c r="E1022" s="8" t="s">
        <v>18</v>
      </c>
      <c r="F1022">
        <v>4</v>
      </c>
      <c r="G1022" s="2">
        <v>46203.75</v>
      </c>
      <c r="H1022" s="2">
        <v>46203.583333333336</v>
      </c>
    </row>
    <row r="1023" spans="1:8" x14ac:dyDescent="0.25">
      <c r="A1023" s="8" t="s">
        <v>3667</v>
      </c>
      <c r="B1023" s="8" t="s">
        <v>14053</v>
      </c>
      <c r="C1023" s="2">
        <v>46203.416666666664</v>
      </c>
      <c r="D1023" s="8" t="s">
        <v>13935</v>
      </c>
      <c r="E1023" s="8" t="s">
        <v>20</v>
      </c>
      <c r="F1023">
        <v>6</v>
      </c>
      <c r="G1023" s="2">
        <v>46203.75</v>
      </c>
      <c r="H1023" s="2">
        <v>46203.583333333336</v>
      </c>
    </row>
    <row r="1024" spans="1:8" x14ac:dyDescent="0.25">
      <c r="A1024" s="8" t="s">
        <v>3672</v>
      </c>
      <c r="B1024" s="8" t="s">
        <v>14053</v>
      </c>
      <c r="C1024" s="2">
        <v>46203.416666666664</v>
      </c>
      <c r="D1024" s="8" t="s">
        <v>13935</v>
      </c>
      <c r="E1024" s="8" t="s">
        <v>24</v>
      </c>
      <c r="F1024">
        <v>4</v>
      </c>
      <c r="G1024" s="2">
        <v>46203.75</v>
      </c>
      <c r="H1024" s="2">
        <v>46203.583333333336</v>
      </c>
    </row>
    <row r="1025" spans="1:8" x14ac:dyDescent="0.25">
      <c r="A1025" s="8" t="s">
        <v>3675</v>
      </c>
      <c r="B1025" s="8" t="s">
        <v>14053</v>
      </c>
      <c r="C1025" s="2">
        <v>46203.416666666664</v>
      </c>
      <c r="D1025" s="8" t="s">
        <v>13935</v>
      </c>
      <c r="E1025" s="8" t="s">
        <v>26</v>
      </c>
      <c r="F1025">
        <v>4</v>
      </c>
      <c r="G1025" s="2">
        <v>46203.75</v>
      </c>
      <c r="H1025" s="2">
        <v>46203.583333333336</v>
      </c>
    </row>
    <row r="1026" spans="1:8" x14ac:dyDescent="0.25">
      <c r="A1026" s="8" t="s">
        <v>3678</v>
      </c>
      <c r="B1026" s="8" t="s">
        <v>14053</v>
      </c>
      <c r="C1026" s="2">
        <v>46203.416666666664</v>
      </c>
      <c r="D1026" s="8" t="s">
        <v>13935</v>
      </c>
      <c r="E1026" s="8" t="s">
        <v>28</v>
      </c>
      <c r="F1026">
        <v>7</v>
      </c>
      <c r="G1026" s="2">
        <v>46203.75</v>
      </c>
      <c r="H1026" s="2">
        <v>46203.583333333336</v>
      </c>
    </row>
    <row r="1027" spans="1:8" x14ac:dyDescent="0.25">
      <c r="A1027" s="8" t="s">
        <v>3681</v>
      </c>
      <c r="B1027" s="8" t="s">
        <v>14053</v>
      </c>
      <c r="C1027" s="2">
        <v>46203.416666666664</v>
      </c>
      <c r="D1027" s="8" t="s">
        <v>13935</v>
      </c>
      <c r="E1027" s="8" t="s">
        <v>45</v>
      </c>
      <c r="F1027">
        <v>7</v>
      </c>
      <c r="G1027" s="2">
        <v>46203.75</v>
      </c>
      <c r="H1027" s="2">
        <v>46203.583333333336</v>
      </c>
    </row>
    <row r="1028" spans="1:8" x14ac:dyDescent="0.25">
      <c r="A1028" s="8" t="s">
        <v>3684</v>
      </c>
      <c r="B1028" s="8" t="s">
        <v>14053</v>
      </c>
      <c r="C1028" s="2">
        <v>46203.416666666664</v>
      </c>
      <c r="D1028" s="8" t="s">
        <v>13935</v>
      </c>
      <c r="E1028" s="8" t="s">
        <v>57</v>
      </c>
      <c r="F1028">
        <v>7</v>
      </c>
      <c r="G1028" s="2">
        <v>46203.75</v>
      </c>
      <c r="H1028" s="2">
        <v>46203.583333333336</v>
      </c>
    </row>
    <row r="1029" spans="1:8" x14ac:dyDescent="0.25">
      <c r="A1029" s="8" t="s">
        <v>3687</v>
      </c>
      <c r="B1029" s="8" t="s">
        <v>14053</v>
      </c>
      <c r="C1029" s="2">
        <v>46203.416666666664</v>
      </c>
      <c r="D1029" s="8" t="s">
        <v>13935</v>
      </c>
      <c r="E1029" s="8" t="s">
        <v>73</v>
      </c>
      <c r="F1029">
        <v>3</v>
      </c>
      <c r="G1029" s="2">
        <v>46203.75</v>
      </c>
      <c r="H1029" s="2">
        <v>46203.583333333336</v>
      </c>
    </row>
    <row r="1030" spans="1:8" x14ac:dyDescent="0.25">
      <c r="A1030" s="8" t="s">
        <v>3690</v>
      </c>
      <c r="B1030" s="8" t="s">
        <v>14054</v>
      </c>
      <c r="C1030" s="2">
        <v>46203.416666666664</v>
      </c>
      <c r="D1030" s="8" t="s">
        <v>13937</v>
      </c>
      <c r="E1030" s="8" t="s">
        <v>11</v>
      </c>
      <c r="F1030">
        <v>1</v>
      </c>
      <c r="G1030" s="2">
        <v>46203.75</v>
      </c>
      <c r="H1030" s="2">
        <v>46203.583333333336</v>
      </c>
    </row>
    <row r="1031" spans="1:8" x14ac:dyDescent="0.25">
      <c r="A1031" s="8" t="s">
        <v>3693</v>
      </c>
      <c r="B1031" s="8" t="s">
        <v>14054</v>
      </c>
      <c r="C1031" s="2">
        <v>46203.416666666664</v>
      </c>
      <c r="D1031" s="8" t="s">
        <v>13937</v>
      </c>
      <c r="E1031" s="8" t="s">
        <v>30</v>
      </c>
      <c r="F1031">
        <v>2</v>
      </c>
      <c r="G1031" s="2">
        <v>46203.75</v>
      </c>
      <c r="H1031" s="2">
        <v>46203.583333333336</v>
      </c>
    </row>
    <row r="1032" spans="1:8" x14ac:dyDescent="0.25">
      <c r="A1032" s="8" t="s">
        <v>3696</v>
      </c>
      <c r="B1032" s="8" t="s">
        <v>14054</v>
      </c>
      <c r="C1032" s="2">
        <v>46203.416666666664</v>
      </c>
      <c r="D1032" s="8" t="s">
        <v>13937</v>
      </c>
      <c r="E1032" s="8" t="s">
        <v>32</v>
      </c>
      <c r="F1032">
        <v>4</v>
      </c>
      <c r="G1032" s="2">
        <v>46203.75</v>
      </c>
      <c r="H1032" s="2">
        <v>46203.583333333336</v>
      </c>
    </row>
    <row r="1033" spans="1:8" x14ac:dyDescent="0.25">
      <c r="A1033" s="8" t="s">
        <v>3699</v>
      </c>
      <c r="B1033" s="8" t="s">
        <v>14054</v>
      </c>
      <c r="C1033" s="2">
        <v>46203.416666666664</v>
      </c>
      <c r="D1033" s="8" t="s">
        <v>13937</v>
      </c>
      <c r="E1033" s="8" t="s">
        <v>36</v>
      </c>
      <c r="F1033">
        <v>4</v>
      </c>
      <c r="G1033" s="2">
        <v>46203.75</v>
      </c>
      <c r="H1033" s="2">
        <v>46203.583333333336</v>
      </c>
    </row>
    <row r="1034" spans="1:8" x14ac:dyDescent="0.25">
      <c r="A1034" s="8" t="s">
        <v>3702</v>
      </c>
      <c r="B1034" s="8" t="s">
        <v>14054</v>
      </c>
      <c r="C1034" s="2">
        <v>46203.416666666664</v>
      </c>
      <c r="D1034" s="8" t="s">
        <v>13937</v>
      </c>
      <c r="E1034" s="8" t="s">
        <v>45</v>
      </c>
      <c r="F1034">
        <v>1</v>
      </c>
      <c r="G1034" s="2">
        <v>46203.75</v>
      </c>
      <c r="H1034" s="2">
        <v>46203.583333333336</v>
      </c>
    </row>
    <row r="1035" spans="1:8" x14ac:dyDescent="0.25">
      <c r="A1035" s="8" t="s">
        <v>3705</v>
      </c>
      <c r="B1035" s="8" t="s">
        <v>14055</v>
      </c>
      <c r="C1035" s="2">
        <v>46204.416666666664</v>
      </c>
      <c r="D1035" s="8" t="s">
        <v>13929</v>
      </c>
      <c r="E1035" s="8" t="s">
        <v>11</v>
      </c>
      <c r="F1035">
        <v>4</v>
      </c>
      <c r="G1035" s="2">
        <v>46204.75</v>
      </c>
      <c r="H1035" s="2">
        <v>46204.583333333336</v>
      </c>
    </row>
    <row r="1036" spans="1:8" x14ac:dyDescent="0.25">
      <c r="A1036" s="8" t="s">
        <v>3708</v>
      </c>
      <c r="B1036" s="8" t="s">
        <v>14055</v>
      </c>
      <c r="C1036" s="2">
        <v>46204.416666666664</v>
      </c>
      <c r="D1036" s="8" t="s">
        <v>13929</v>
      </c>
      <c r="E1036" s="8" t="s">
        <v>18</v>
      </c>
      <c r="F1036">
        <v>1</v>
      </c>
      <c r="G1036" s="2">
        <v>46204.75</v>
      </c>
      <c r="H1036" s="2">
        <v>46204.583333333336</v>
      </c>
    </row>
    <row r="1037" spans="1:8" x14ac:dyDescent="0.25">
      <c r="A1037" s="8" t="s">
        <v>3711</v>
      </c>
      <c r="B1037" s="8" t="s">
        <v>14055</v>
      </c>
      <c r="C1037" s="2">
        <v>46204.416666666664</v>
      </c>
      <c r="D1037" s="8" t="s">
        <v>13929</v>
      </c>
      <c r="E1037" s="8" t="s">
        <v>26</v>
      </c>
      <c r="F1037">
        <v>2</v>
      </c>
      <c r="G1037" s="2">
        <v>46204.75</v>
      </c>
      <c r="H1037" s="2">
        <v>46204.583333333336</v>
      </c>
    </row>
    <row r="1038" spans="1:8" x14ac:dyDescent="0.25">
      <c r="A1038" s="8" t="s">
        <v>3714</v>
      </c>
      <c r="B1038" s="8" t="s">
        <v>14055</v>
      </c>
      <c r="C1038" s="2">
        <v>46204.416666666664</v>
      </c>
      <c r="D1038" s="8" t="s">
        <v>13929</v>
      </c>
      <c r="E1038" s="8" t="s">
        <v>28</v>
      </c>
      <c r="F1038">
        <v>2</v>
      </c>
      <c r="G1038" s="2">
        <v>46204.75</v>
      </c>
      <c r="H1038" s="2">
        <v>46204.583333333336</v>
      </c>
    </row>
    <row r="1039" spans="1:8" x14ac:dyDescent="0.25">
      <c r="A1039" s="8" t="s">
        <v>3717</v>
      </c>
      <c r="B1039" s="8" t="s">
        <v>14055</v>
      </c>
      <c r="C1039" s="2">
        <v>46204.416666666664</v>
      </c>
      <c r="D1039" s="8" t="s">
        <v>13929</v>
      </c>
      <c r="E1039" s="8" t="s">
        <v>30</v>
      </c>
      <c r="F1039">
        <v>2</v>
      </c>
      <c r="G1039" s="2">
        <v>46204.75</v>
      </c>
      <c r="H1039" s="2">
        <v>46204.583333333336</v>
      </c>
    </row>
    <row r="1040" spans="1:8" x14ac:dyDescent="0.25">
      <c r="A1040" s="8" t="s">
        <v>3720</v>
      </c>
      <c r="B1040" s="8" t="s">
        <v>14055</v>
      </c>
      <c r="C1040" s="2">
        <v>46204.416666666664</v>
      </c>
      <c r="D1040" s="8" t="s">
        <v>13929</v>
      </c>
      <c r="E1040" s="8" t="s">
        <v>43</v>
      </c>
      <c r="F1040">
        <v>2</v>
      </c>
      <c r="G1040" s="2">
        <v>46204.75</v>
      </c>
      <c r="H1040" s="2">
        <v>46204.583333333336</v>
      </c>
    </row>
    <row r="1041" spans="1:8" x14ac:dyDescent="0.25">
      <c r="A1041" s="8" t="s">
        <v>3723</v>
      </c>
      <c r="B1041" s="8" t="s">
        <v>14055</v>
      </c>
      <c r="C1041" s="2">
        <v>46204.416666666664</v>
      </c>
      <c r="D1041" s="8" t="s">
        <v>13929</v>
      </c>
      <c r="E1041" s="8" t="s">
        <v>59</v>
      </c>
      <c r="F1041">
        <v>3</v>
      </c>
      <c r="G1041" s="2">
        <v>46204.75</v>
      </c>
      <c r="H1041" s="2">
        <v>46204.583333333336</v>
      </c>
    </row>
    <row r="1042" spans="1:8" x14ac:dyDescent="0.25">
      <c r="A1042" s="8" t="s">
        <v>3726</v>
      </c>
      <c r="B1042" s="8" t="s">
        <v>14055</v>
      </c>
      <c r="C1042" s="2">
        <v>46204.416666666664</v>
      </c>
      <c r="D1042" s="8" t="s">
        <v>13929</v>
      </c>
      <c r="E1042" s="8" t="s">
        <v>75</v>
      </c>
      <c r="F1042">
        <v>2</v>
      </c>
      <c r="G1042" s="2">
        <v>46204.75</v>
      </c>
      <c r="H1042" s="2">
        <v>46204.583333333336</v>
      </c>
    </row>
    <row r="1043" spans="1:8" x14ac:dyDescent="0.25">
      <c r="A1043" s="8" t="s">
        <v>3729</v>
      </c>
      <c r="B1043" s="8" t="s">
        <v>14056</v>
      </c>
      <c r="C1043" s="2">
        <v>46204.416666666664</v>
      </c>
      <c r="D1043" s="8" t="s">
        <v>13931</v>
      </c>
      <c r="E1043" s="8" t="s">
        <v>11</v>
      </c>
      <c r="F1043">
        <v>5</v>
      </c>
      <c r="G1043" s="2">
        <v>46204.75</v>
      </c>
      <c r="H1043" s="2">
        <v>46204.583333333336</v>
      </c>
    </row>
    <row r="1044" spans="1:8" x14ac:dyDescent="0.25">
      <c r="A1044" s="8" t="s">
        <v>3732</v>
      </c>
      <c r="B1044" s="8" t="s">
        <v>14056</v>
      </c>
      <c r="C1044" s="2">
        <v>46204.416666666664</v>
      </c>
      <c r="D1044" s="8" t="s">
        <v>13931</v>
      </c>
      <c r="E1044" s="8" t="s">
        <v>18</v>
      </c>
      <c r="F1044">
        <v>5</v>
      </c>
      <c r="G1044" s="2">
        <v>46204.75</v>
      </c>
      <c r="H1044" s="2">
        <v>46204.583333333336</v>
      </c>
    </row>
    <row r="1045" spans="1:8" x14ac:dyDescent="0.25">
      <c r="A1045" s="8" t="s">
        <v>3735</v>
      </c>
      <c r="B1045" s="8" t="s">
        <v>14056</v>
      </c>
      <c r="C1045" s="2">
        <v>46204.416666666664</v>
      </c>
      <c r="D1045" s="8" t="s">
        <v>13931</v>
      </c>
      <c r="E1045" s="8" t="s">
        <v>20</v>
      </c>
      <c r="F1045">
        <v>4</v>
      </c>
      <c r="G1045" s="2">
        <v>46204.75</v>
      </c>
      <c r="H1045" s="2">
        <v>46204.583333333336</v>
      </c>
    </row>
    <row r="1046" spans="1:8" x14ac:dyDescent="0.25">
      <c r="A1046" s="8" t="s">
        <v>3738</v>
      </c>
      <c r="B1046" s="8" t="s">
        <v>14056</v>
      </c>
      <c r="C1046" s="2">
        <v>46204.416666666664</v>
      </c>
      <c r="D1046" s="8" t="s">
        <v>13931</v>
      </c>
      <c r="E1046" s="8" t="s">
        <v>22</v>
      </c>
      <c r="F1046">
        <v>4</v>
      </c>
      <c r="G1046" s="2">
        <v>46204.75</v>
      </c>
      <c r="H1046" s="2">
        <v>46204.583333333336</v>
      </c>
    </row>
    <row r="1047" spans="1:8" x14ac:dyDescent="0.25">
      <c r="A1047" s="8" t="s">
        <v>3741</v>
      </c>
      <c r="B1047" s="8" t="s">
        <v>14056</v>
      </c>
      <c r="C1047" s="2">
        <v>46204.416666666664</v>
      </c>
      <c r="D1047" s="8" t="s">
        <v>13931</v>
      </c>
      <c r="E1047" s="8" t="s">
        <v>26</v>
      </c>
      <c r="F1047">
        <v>4</v>
      </c>
      <c r="G1047" s="2">
        <v>46204.75</v>
      </c>
      <c r="H1047" s="2">
        <v>46204.583333333336</v>
      </c>
    </row>
    <row r="1048" spans="1:8" x14ac:dyDescent="0.25">
      <c r="A1048" s="8" t="s">
        <v>3744</v>
      </c>
      <c r="B1048" s="8" t="s">
        <v>14056</v>
      </c>
      <c r="C1048" s="2">
        <v>46204.416666666664</v>
      </c>
      <c r="D1048" s="8" t="s">
        <v>13931</v>
      </c>
      <c r="E1048" s="8" t="s">
        <v>28</v>
      </c>
      <c r="F1048">
        <v>1</v>
      </c>
      <c r="G1048" s="2">
        <v>46204.75</v>
      </c>
      <c r="H1048" s="2">
        <v>46204.583333333336</v>
      </c>
    </row>
    <row r="1049" spans="1:8" x14ac:dyDescent="0.25">
      <c r="A1049" s="8" t="s">
        <v>3747</v>
      </c>
      <c r="B1049" s="8" t="s">
        <v>14056</v>
      </c>
      <c r="C1049" s="2">
        <v>46204.416666666664</v>
      </c>
      <c r="D1049" s="8" t="s">
        <v>13931</v>
      </c>
      <c r="E1049" s="8" t="s">
        <v>32</v>
      </c>
      <c r="F1049">
        <v>3</v>
      </c>
      <c r="G1049" s="2">
        <v>46204.75</v>
      </c>
      <c r="H1049" s="2">
        <v>46204.583333333336</v>
      </c>
    </row>
    <row r="1050" spans="1:8" x14ac:dyDescent="0.25">
      <c r="A1050" s="8" t="s">
        <v>3750</v>
      </c>
      <c r="B1050" s="8" t="s">
        <v>14056</v>
      </c>
      <c r="C1050" s="2">
        <v>46204.416666666664</v>
      </c>
      <c r="D1050" s="8" t="s">
        <v>13931</v>
      </c>
      <c r="E1050" s="8" t="s">
        <v>36</v>
      </c>
      <c r="F1050">
        <v>2</v>
      </c>
      <c r="G1050" s="2">
        <v>46204.75</v>
      </c>
      <c r="H1050" s="2">
        <v>46204.583333333336</v>
      </c>
    </row>
    <row r="1051" spans="1:8" x14ac:dyDescent="0.25">
      <c r="A1051" s="8" t="s">
        <v>3753</v>
      </c>
      <c r="B1051" s="8" t="s">
        <v>14056</v>
      </c>
      <c r="C1051" s="2">
        <v>46204.416666666664</v>
      </c>
      <c r="D1051" s="8" t="s">
        <v>13931</v>
      </c>
      <c r="E1051" s="8" t="s">
        <v>51</v>
      </c>
      <c r="F1051">
        <v>5</v>
      </c>
      <c r="G1051" s="2">
        <v>46204.75</v>
      </c>
      <c r="H1051" s="2">
        <v>46204.583333333336</v>
      </c>
    </row>
    <row r="1052" spans="1:8" x14ac:dyDescent="0.25">
      <c r="A1052" s="8" t="s">
        <v>3756</v>
      </c>
      <c r="B1052" s="8" t="s">
        <v>14056</v>
      </c>
      <c r="C1052" s="2">
        <v>46204.416666666664</v>
      </c>
      <c r="D1052" s="8" t="s">
        <v>13931</v>
      </c>
      <c r="E1052" s="8" t="s">
        <v>53</v>
      </c>
      <c r="F1052">
        <v>3</v>
      </c>
      <c r="G1052" s="2">
        <v>46204.75</v>
      </c>
      <c r="H1052" s="2">
        <v>46204.583333333336</v>
      </c>
    </row>
    <row r="1053" spans="1:8" x14ac:dyDescent="0.25">
      <c r="A1053" s="8" t="s">
        <v>3759</v>
      </c>
      <c r="B1053" s="8" t="s">
        <v>14056</v>
      </c>
      <c r="C1053" s="2">
        <v>46204.416666666664</v>
      </c>
      <c r="D1053" s="8" t="s">
        <v>13931</v>
      </c>
      <c r="E1053" s="8" t="s">
        <v>59</v>
      </c>
      <c r="F1053">
        <v>3</v>
      </c>
      <c r="G1053" s="2">
        <v>46204.75</v>
      </c>
      <c r="H1053" s="2">
        <v>46204.583333333336</v>
      </c>
    </row>
    <row r="1054" spans="1:8" x14ac:dyDescent="0.25">
      <c r="A1054" s="8" t="s">
        <v>3762</v>
      </c>
      <c r="B1054" s="8" t="s">
        <v>14057</v>
      </c>
      <c r="C1054" s="2">
        <v>46204.416666666664</v>
      </c>
      <c r="D1054" s="8" t="s">
        <v>13933</v>
      </c>
      <c r="E1054" s="8" t="s">
        <v>11</v>
      </c>
      <c r="F1054">
        <v>1</v>
      </c>
      <c r="G1054" s="2">
        <v>46204.75</v>
      </c>
      <c r="H1054" s="2">
        <v>46204.583333333336</v>
      </c>
    </row>
    <row r="1055" spans="1:8" x14ac:dyDescent="0.25">
      <c r="A1055" s="8" t="s">
        <v>3765</v>
      </c>
      <c r="B1055" s="8" t="s">
        <v>14057</v>
      </c>
      <c r="C1055" s="2">
        <v>46204.416666666664</v>
      </c>
      <c r="D1055" s="8" t="s">
        <v>13933</v>
      </c>
      <c r="E1055" s="8" t="s">
        <v>18</v>
      </c>
      <c r="F1055">
        <v>6</v>
      </c>
      <c r="G1055" s="2">
        <v>46204.75</v>
      </c>
      <c r="H1055" s="2">
        <v>46204.583333333336</v>
      </c>
    </row>
    <row r="1056" spans="1:8" x14ac:dyDescent="0.25">
      <c r="A1056" s="8" t="s">
        <v>3768</v>
      </c>
      <c r="B1056" s="8" t="s">
        <v>14057</v>
      </c>
      <c r="C1056" s="2">
        <v>46204.416666666664</v>
      </c>
      <c r="D1056" s="8" t="s">
        <v>13933</v>
      </c>
      <c r="E1056" s="8" t="s">
        <v>20</v>
      </c>
      <c r="F1056">
        <v>5</v>
      </c>
      <c r="G1056" s="2">
        <v>46204.75</v>
      </c>
      <c r="H1056" s="2">
        <v>46204.583333333336</v>
      </c>
    </row>
    <row r="1057" spans="1:8" x14ac:dyDescent="0.25">
      <c r="A1057" s="8" t="s">
        <v>3771</v>
      </c>
      <c r="B1057" s="8" t="s">
        <v>14057</v>
      </c>
      <c r="C1057" s="2">
        <v>46204.416666666664</v>
      </c>
      <c r="D1057" s="8" t="s">
        <v>13933</v>
      </c>
      <c r="E1057" s="8" t="s">
        <v>26</v>
      </c>
      <c r="F1057">
        <v>5</v>
      </c>
      <c r="G1057" s="2">
        <v>46204.75</v>
      </c>
      <c r="H1057" s="2">
        <v>46204.583333333336</v>
      </c>
    </row>
    <row r="1058" spans="1:8" x14ac:dyDescent="0.25">
      <c r="A1058" s="8" t="s">
        <v>3776</v>
      </c>
      <c r="B1058" s="8" t="s">
        <v>14057</v>
      </c>
      <c r="C1058" s="2">
        <v>46204.416666666664</v>
      </c>
      <c r="D1058" s="8" t="s">
        <v>13933</v>
      </c>
      <c r="E1058" s="8" t="s">
        <v>28</v>
      </c>
      <c r="F1058">
        <v>4</v>
      </c>
      <c r="G1058" s="2">
        <v>46204.75</v>
      </c>
      <c r="H1058" s="2">
        <v>46204.583333333336</v>
      </c>
    </row>
    <row r="1059" spans="1:8" x14ac:dyDescent="0.25">
      <c r="A1059" s="8" t="s">
        <v>3779</v>
      </c>
      <c r="B1059" s="8" t="s">
        <v>14057</v>
      </c>
      <c r="C1059" s="2">
        <v>46204.416666666664</v>
      </c>
      <c r="D1059" s="8" t="s">
        <v>13933</v>
      </c>
      <c r="E1059" s="8" t="s">
        <v>30</v>
      </c>
      <c r="F1059">
        <v>5</v>
      </c>
      <c r="G1059" s="2">
        <v>46204.75</v>
      </c>
      <c r="H1059" s="2">
        <v>46204.583333333336</v>
      </c>
    </row>
    <row r="1060" spans="1:8" x14ac:dyDescent="0.25">
      <c r="A1060" s="8" t="s">
        <v>3782</v>
      </c>
      <c r="B1060" s="8" t="s">
        <v>14057</v>
      </c>
      <c r="C1060" s="2">
        <v>46204.416666666664</v>
      </c>
      <c r="D1060" s="8" t="s">
        <v>13933</v>
      </c>
      <c r="E1060" s="8" t="s">
        <v>49</v>
      </c>
      <c r="F1060">
        <v>4</v>
      </c>
      <c r="G1060" s="2">
        <v>46204.75</v>
      </c>
      <c r="H1060" s="2">
        <v>46204.583333333336</v>
      </c>
    </row>
    <row r="1061" spans="1:8" x14ac:dyDescent="0.25">
      <c r="A1061" s="8" t="s">
        <v>3785</v>
      </c>
      <c r="B1061" s="8" t="s">
        <v>14057</v>
      </c>
      <c r="C1061" s="2">
        <v>46204.416666666664</v>
      </c>
      <c r="D1061" s="8" t="s">
        <v>13933</v>
      </c>
      <c r="E1061" s="8" t="s">
        <v>51</v>
      </c>
      <c r="F1061">
        <v>1</v>
      </c>
      <c r="G1061" s="2">
        <v>46204.75</v>
      </c>
      <c r="H1061" s="2">
        <v>46204.583333333336</v>
      </c>
    </row>
    <row r="1062" spans="1:8" x14ac:dyDescent="0.25">
      <c r="A1062" s="8" t="s">
        <v>3788</v>
      </c>
      <c r="B1062" s="8" t="s">
        <v>14057</v>
      </c>
      <c r="C1062" s="2">
        <v>46204.416666666664</v>
      </c>
      <c r="D1062" s="8" t="s">
        <v>13933</v>
      </c>
      <c r="E1062" s="8" t="s">
        <v>53</v>
      </c>
      <c r="F1062">
        <v>1</v>
      </c>
      <c r="G1062" s="2">
        <v>46204.75</v>
      </c>
      <c r="H1062" s="2">
        <v>46204.583333333336</v>
      </c>
    </row>
    <row r="1063" spans="1:8" x14ac:dyDescent="0.25">
      <c r="A1063" s="8" t="s">
        <v>3791</v>
      </c>
      <c r="B1063" s="8" t="s">
        <v>14057</v>
      </c>
      <c r="C1063" s="2">
        <v>46204.416666666664</v>
      </c>
      <c r="D1063" s="8" t="s">
        <v>13933</v>
      </c>
      <c r="E1063" s="8" t="s">
        <v>55</v>
      </c>
      <c r="F1063">
        <v>2</v>
      </c>
      <c r="G1063" s="2">
        <v>46204.75</v>
      </c>
      <c r="H1063" s="2">
        <v>46204.583333333336</v>
      </c>
    </row>
    <row r="1064" spans="1:8" x14ac:dyDescent="0.25">
      <c r="A1064" s="8" t="s">
        <v>3794</v>
      </c>
      <c r="B1064" s="8" t="s">
        <v>14057</v>
      </c>
      <c r="C1064" s="2">
        <v>46204.416666666664</v>
      </c>
      <c r="D1064" s="8" t="s">
        <v>13933</v>
      </c>
      <c r="E1064" s="8" t="s">
        <v>67</v>
      </c>
      <c r="F1064">
        <v>6</v>
      </c>
      <c r="G1064" s="2">
        <v>46204.75</v>
      </c>
      <c r="H1064" s="2">
        <v>46204.583333333336</v>
      </c>
    </row>
    <row r="1065" spans="1:8" x14ac:dyDescent="0.25">
      <c r="A1065" s="8" t="s">
        <v>3797</v>
      </c>
      <c r="B1065" s="8" t="s">
        <v>14057</v>
      </c>
      <c r="C1065" s="2">
        <v>46204.416666666664</v>
      </c>
      <c r="D1065" s="8" t="s">
        <v>13933</v>
      </c>
      <c r="E1065" s="8" t="s">
        <v>69</v>
      </c>
      <c r="F1065">
        <v>2</v>
      </c>
      <c r="G1065" s="2">
        <v>46204.75</v>
      </c>
      <c r="H1065" s="2">
        <v>46204.583333333336</v>
      </c>
    </row>
    <row r="1066" spans="1:8" x14ac:dyDescent="0.25">
      <c r="A1066" s="8" t="s">
        <v>3800</v>
      </c>
      <c r="B1066" s="8" t="s">
        <v>14057</v>
      </c>
      <c r="C1066" s="2">
        <v>46204.416666666664</v>
      </c>
      <c r="D1066" s="8" t="s">
        <v>13933</v>
      </c>
      <c r="E1066" s="8" t="s">
        <v>75</v>
      </c>
      <c r="F1066">
        <v>4</v>
      </c>
      <c r="G1066" s="2">
        <v>46204.75</v>
      </c>
      <c r="H1066" s="2">
        <v>46204.583333333336</v>
      </c>
    </row>
    <row r="1067" spans="1:8" x14ac:dyDescent="0.25">
      <c r="A1067" s="8" t="s">
        <v>3803</v>
      </c>
      <c r="B1067" s="8" t="s">
        <v>14058</v>
      </c>
      <c r="C1067" s="2">
        <v>46204.416666666664</v>
      </c>
      <c r="D1067" s="8" t="s">
        <v>13935</v>
      </c>
      <c r="E1067" s="8" t="s">
        <v>18</v>
      </c>
      <c r="F1067">
        <v>1</v>
      </c>
      <c r="G1067" s="2">
        <v>46204.75</v>
      </c>
      <c r="H1067" s="2">
        <v>46204.583333333336</v>
      </c>
    </row>
    <row r="1068" spans="1:8" x14ac:dyDescent="0.25">
      <c r="A1068" s="8" t="s">
        <v>3806</v>
      </c>
      <c r="B1068" s="8" t="s">
        <v>14058</v>
      </c>
      <c r="C1068" s="2">
        <v>46204.416666666664</v>
      </c>
      <c r="D1068" s="8" t="s">
        <v>13935</v>
      </c>
      <c r="E1068" s="8" t="s">
        <v>20</v>
      </c>
      <c r="F1068">
        <v>6</v>
      </c>
      <c r="G1068" s="2">
        <v>46204.75</v>
      </c>
      <c r="H1068" s="2">
        <v>46204.583333333336</v>
      </c>
    </row>
    <row r="1069" spans="1:8" x14ac:dyDescent="0.25">
      <c r="A1069" s="8" t="s">
        <v>3809</v>
      </c>
      <c r="B1069" s="8" t="s">
        <v>14058</v>
      </c>
      <c r="C1069" s="2">
        <v>46204.416666666664</v>
      </c>
      <c r="D1069" s="8" t="s">
        <v>13935</v>
      </c>
      <c r="E1069" s="8" t="s">
        <v>22</v>
      </c>
      <c r="F1069">
        <v>1</v>
      </c>
      <c r="G1069" s="2">
        <v>46204.75</v>
      </c>
      <c r="H1069" s="2">
        <v>46204.583333333336</v>
      </c>
    </row>
    <row r="1070" spans="1:8" x14ac:dyDescent="0.25">
      <c r="A1070" s="8" t="s">
        <v>3812</v>
      </c>
      <c r="B1070" s="8" t="s">
        <v>14058</v>
      </c>
      <c r="C1070" s="2">
        <v>46204.416666666664</v>
      </c>
      <c r="D1070" s="8" t="s">
        <v>13935</v>
      </c>
      <c r="E1070" s="8" t="s">
        <v>26</v>
      </c>
      <c r="F1070">
        <v>6</v>
      </c>
      <c r="G1070" s="2">
        <v>46204.75</v>
      </c>
      <c r="H1070" s="2">
        <v>46204.583333333336</v>
      </c>
    </row>
    <row r="1071" spans="1:8" x14ac:dyDescent="0.25">
      <c r="A1071" s="8" t="s">
        <v>3815</v>
      </c>
      <c r="B1071" s="8" t="s">
        <v>14058</v>
      </c>
      <c r="C1071" s="2">
        <v>46204.416666666664</v>
      </c>
      <c r="D1071" s="8" t="s">
        <v>13935</v>
      </c>
      <c r="E1071" s="8" t="s">
        <v>43</v>
      </c>
      <c r="F1071">
        <v>1</v>
      </c>
      <c r="G1071" s="2">
        <v>46204.75</v>
      </c>
      <c r="H1071" s="2">
        <v>46204.583333333336</v>
      </c>
    </row>
    <row r="1072" spans="1:8" x14ac:dyDescent="0.25">
      <c r="A1072" s="8" t="s">
        <v>3818</v>
      </c>
      <c r="B1072" s="8" t="s">
        <v>14058</v>
      </c>
      <c r="C1072" s="2">
        <v>46204.416666666664</v>
      </c>
      <c r="D1072" s="8" t="s">
        <v>13935</v>
      </c>
      <c r="E1072" s="8" t="s">
        <v>51</v>
      </c>
      <c r="F1072">
        <v>3</v>
      </c>
      <c r="G1072" s="2">
        <v>46204.75</v>
      </c>
      <c r="H1072" s="2">
        <v>46204.583333333336</v>
      </c>
    </row>
    <row r="1073" spans="1:8" x14ac:dyDescent="0.25">
      <c r="A1073" s="8" t="s">
        <v>3821</v>
      </c>
      <c r="B1073" s="8" t="s">
        <v>14058</v>
      </c>
      <c r="C1073" s="2">
        <v>46204.416666666664</v>
      </c>
      <c r="D1073" s="8" t="s">
        <v>13935</v>
      </c>
      <c r="E1073" s="8" t="s">
        <v>55</v>
      </c>
      <c r="F1073">
        <v>1</v>
      </c>
      <c r="G1073" s="2">
        <v>46204.75</v>
      </c>
      <c r="H1073" s="2">
        <v>46204.583333333336</v>
      </c>
    </row>
    <row r="1074" spans="1:8" x14ac:dyDescent="0.25">
      <c r="A1074" s="8" t="s">
        <v>3824</v>
      </c>
      <c r="B1074" s="8" t="s">
        <v>14058</v>
      </c>
      <c r="C1074" s="2">
        <v>46204.416666666664</v>
      </c>
      <c r="D1074" s="8" t="s">
        <v>13935</v>
      </c>
      <c r="E1074" s="8" t="s">
        <v>57</v>
      </c>
      <c r="F1074">
        <v>6</v>
      </c>
      <c r="G1074" s="2">
        <v>46204.75</v>
      </c>
      <c r="H1074" s="2">
        <v>46204.583333333336</v>
      </c>
    </row>
    <row r="1075" spans="1:8" x14ac:dyDescent="0.25">
      <c r="A1075" s="8" t="s">
        <v>3827</v>
      </c>
      <c r="B1075" s="8" t="s">
        <v>14058</v>
      </c>
      <c r="C1075" s="2">
        <v>46204.416666666664</v>
      </c>
      <c r="D1075" s="8" t="s">
        <v>13935</v>
      </c>
      <c r="E1075" s="8" t="s">
        <v>59</v>
      </c>
      <c r="F1075">
        <v>7</v>
      </c>
      <c r="G1075" s="2">
        <v>46204.75</v>
      </c>
      <c r="H1075" s="2">
        <v>46204.583333333336</v>
      </c>
    </row>
    <row r="1076" spans="1:8" x14ac:dyDescent="0.25">
      <c r="A1076" s="8" t="s">
        <v>3830</v>
      </c>
      <c r="B1076" s="8" t="s">
        <v>14058</v>
      </c>
      <c r="C1076" s="2">
        <v>46204.416666666664</v>
      </c>
      <c r="D1076" s="8" t="s">
        <v>13935</v>
      </c>
      <c r="E1076" s="8" t="s">
        <v>65</v>
      </c>
      <c r="F1076">
        <v>7</v>
      </c>
      <c r="G1076" s="2">
        <v>46204.75</v>
      </c>
      <c r="H1076" s="2">
        <v>46204.583333333336</v>
      </c>
    </row>
    <row r="1077" spans="1:8" x14ac:dyDescent="0.25">
      <c r="A1077" s="8" t="s">
        <v>3833</v>
      </c>
      <c r="B1077" s="8" t="s">
        <v>14059</v>
      </c>
      <c r="C1077" s="2">
        <v>46204.416666666664</v>
      </c>
      <c r="D1077" s="8" t="s">
        <v>13937</v>
      </c>
      <c r="E1077" s="8" t="s">
        <v>11</v>
      </c>
      <c r="F1077">
        <v>4</v>
      </c>
      <c r="G1077" s="2">
        <v>46204.75</v>
      </c>
      <c r="H1077" s="2">
        <v>46204.583333333336</v>
      </c>
    </row>
    <row r="1078" spans="1:8" x14ac:dyDescent="0.25">
      <c r="A1078" s="8" t="s">
        <v>3836</v>
      </c>
      <c r="B1078" s="8" t="s">
        <v>14059</v>
      </c>
      <c r="C1078" s="2">
        <v>46204.416666666664</v>
      </c>
      <c r="D1078" s="8" t="s">
        <v>13937</v>
      </c>
      <c r="E1078" s="8" t="s">
        <v>20</v>
      </c>
      <c r="F1078">
        <v>3</v>
      </c>
      <c r="G1078" s="2">
        <v>46204.75</v>
      </c>
      <c r="H1078" s="2">
        <v>46204.583333333336</v>
      </c>
    </row>
    <row r="1079" spans="1:8" x14ac:dyDescent="0.25">
      <c r="A1079" s="8" t="s">
        <v>3839</v>
      </c>
      <c r="B1079" s="8" t="s">
        <v>14059</v>
      </c>
      <c r="C1079" s="2">
        <v>46204.416666666664</v>
      </c>
      <c r="D1079" s="8" t="s">
        <v>13937</v>
      </c>
      <c r="E1079" s="8" t="s">
        <v>22</v>
      </c>
      <c r="F1079">
        <v>1</v>
      </c>
      <c r="G1079" s="2">
        <v>46204.75</v>
      </c>
      <c r="H1079" s="2">
        <v>46204.583333333336</v>
      </c>
    </row>
    <row r="1080" spans="1:8" x14ac:dyDescent="0.25">
      <c r="A1080" s="8" t="s">
        <v>3842</v>
      </c>
      <c r="B1080" s="8" t="s">
        <v>14059</v>
      </c>
      <c r="C1080" s="2">
        <v>46204.416666666664</v>
      </c>
      <c r="D1080" s="8" t="s">
        <v>13937</v>
      </c>
      <c r="E1080" s="8" t="s">
        <v>24</v>
      </c>
      <c r="F1080">
        <v>3</v>
      </c>
      <c r="G1080" s="2">
        <v>46204.75</v>
      </c>
      <c r="H1080" s="2">
        <v>46204.583333333336</v>
      </c>
    </row>
    <row r="1081" spans="1:8" x14ac:dyDescent="0.25">
      <c r="A1081" s="8" t="s">
        <v>3845</v>
      </c>
      <c r="B1081" s="8" t="s">
        <v>14059</v>
      </c>
      <c r="C1081" s="2">
        <v>46204.416666666664</v>
      </c>
      <c r="D1081" s="8" t="s">
        <v>13937</v>
      </c>
      <c r="E1081" s="8" t="s">
        <v>26</v>
      </c>
      <c r="F1081">
        <v>1</v>
      </c>
      <c r="G1081" s="2">
        <v>46204.75</v>
      </c>
      <c r="H1081" s="2">
        <v>46204.583333333336</v>
      </c>
    </row>
    <row r="1082" spans="1:8" x14ac:dyDescent="0.25">
      <c r="A1082" s="8" t="s">
        <v>3848</v>
      </c>
      <c r="B1082" s="8" t="s">
        <v>14059</v>
      </c>
      <c r="C1082" s="2">
        <v>46204.416666666664</v>
      </c>
      <c r="D1082" s="8" t="s">
        <v>13937</v>
      </c>
      <c r="E1082" s="8" t="s">
        <v>32</v>
      </c>
      <c r="F1082">
        <v>3</v>
      </c>
      <c r="G1082" s="2">
        <v>46204.75</v>
      </c>
      <c r="H1082" s="2">
        <v>46204.583333333336</v>
      </c>
    </row>
    <row r="1083" spans="1:8" x14ac:dyDescent="0.25">
      <c r="A1083" s="8" t="s">
        <v>3851</v>
      </c>
      <c r="B1083" s="8" t="s">
        <v>14059</v>
      </c>
      <c r="C1083" s="2">
        <v>46204.416666666664</v>
      </c>
      <c r="D1083" s="8" t="s">
        <v>13937</v>
      </c>
      <c r="E1083" s="8" t="s">
        <v>36</v>
      </c>
      <c r="F1083">
        <v>4</v>
      </c>
      <c r="G1083" s="2">
        <v>46204.75</v>
      </c>
      <c r="H1083" s="2">
        <v>46204.583333333336</v>
      </c>
    </row>
    <row r="1084" spans="1:8" x14ac:dyDescent="0.25">
      <c r="A1084" s="8" t="s">
        <v>3854</v>
      </c>
      <c r="B1084" s="8" t="s">
        <v>14059</v>
      </c>
      <c r="C1084" s="2">
        <v>46204.416666666664</v>
      </c>
      <c r="D1084" s="8" t="s">
        <v>13937</v>
      </c>
      <c r="E1084" s="8" t="s">
        <v>43</v>
      </c>
      <c r="F1084">
        <v>4</v>
      </c>
      <c r="G1084" s="2">
        <v>46204.75</v>
      </c>
      <c r="H1084" s="2">
        <v>46204.583333333336</v>
      </c>
    </row>
    <row r="1085" spans="1:8" x14ac:dyDescent="0.25">
      <c r="A1085" s="8" t="s">
        <v>3857</v>
      </c>
      <c r="B1085" s="8" t="s">
        <v>14059</v>
      </c>
      <c r="C1085" s="2">
        <v>46204.416666666664</v>
      </c>
      <c r="D1085" s="8" t="s">
        <v>13937</v>
      </c>
      <c r="E1085" s="8" t="s">
        <v>51</v>
      </c>
      <c r="F1085">
        <v>4</v>
      </c>
      <c r="G1085" s="2">
        <v>46204.75</v>
      </c>
      <c r="H1085" s="2">
        <v>46204.583333333336</v>
      </c>
    </row>
    <row r="1086" spans="1:8" x14ac:dyDescent="0.25">
      <c r="A1086" s="8" t="s">
        <v>3860</v>
      </c>
      <c r="B1086" s="8" t="s">
        <v>14059</v>
      </c>
      <c r="C1086" s="2">
        <v>46204.416666666664</v>
      </c>
      <c r="D1086" s="8" t="s">
        <v>13937</v>
      </c>
      <c r="E1086" s="8" t="s">
        <v>59</v>
      </c>
      <c r="F1086">
        <v>4</v>
      </c>
      <c r="G1086" s="2">
        <v>46204.75</v>
      </c>
      <c r="H1086" s="2">
        <v>46204.583333333336</v>
      </c>
    </row>
    <row r="1087" spans="1:8" x14ac:dyDescent="0.25">
      <c r="A1087" s="8" t="s">
        <v>3863</v>
      </c>
      <c r="B1087" s="8" t="s">
        <v>14059</v>
      </c>
      <c r="C1087" s="2">
        <v>46204.416666666664</v>
      </c>
      <c r="D1087" s="8" t="s">
        <v>13937</v>
      </c>
      <c r="E1087" s="8" t="s">
        <v>71</v>
      </c>
      <c r="F1087">
        <v>1</v>
      </c>
      <c r="G1087" s="2">
        <v>46204.75</v>
      </c>
      <c r="H1087" s="2">
        <v>46204.583333333336</v>
      </c>
    </row>
    <row r="1088" spans="1:8" x14ac:dyDescent="0.25">
      <c r="A1088" s="8" t="s">
        <v>3866</v>
      </c>
      <c r="B1088" s="8" t="s">
        <v>14060</v>
      </c>
      <c r="C1088" s="2">
        <v>46205.416666666664</v>
      </c>
      <c r="D1088" s="8" t="s">
        <v>13929</v>
      </c>
      <c r="E1088" s="8" t="s">
        <v>11</v>
      </c>
      <c r="F1088">
        <v>2</v>
      </c>
      <c r="G1088" s="2">
        <v>46205.75</v>
      </c>
      <c r="H1088" s="2">
        <v>46205.583333333336</v>
      </c>
    </row>
    <row r="1089" spans="1:8" x14ac:dyDescent="0.25">
      <c r="A1089" s="8" t="s">
        <v>3869</v>
      </c>
      <c r="B1089" s="8" t="s">
        <v>14060</v>
      </c>
      <c r="C1089" s="2">
        <v>46205.416666666664</v>
      </c>
      <c r="D1089" s="8" t="s">
        <v>13929</v>
      </c>
      <c r="E1089" s="8" t="s">
        <v>18</v>
      </c>
      <c r="F1089">
        <v>4</v>
      </c>
      <c r="G1089" s="2">
        <v>46205.75</v>
      </c>
      <c r="H1089" s="2">
        <v>46205.583333333336</v>
      </c>
    </row>
    <row r="1090" spans="1:8" x14ac:dyDescent="0.25">
      <c r="A1090" s="8" t="s">
        <v>3872</v>
      </c>
      <c r="B1090" s="8" t="s">
        <v>14060</v>
      </c>
      <c r="C1090" s="2">
        <v>46205.416666666664</v>
      </c>
      <c r="D1090" s="8" t="s">
        <v>13929</v>
      </c>
      <c r="E1090" s="8" t="s">
        <v>20</v>
      </c>
      <c r="F1090">
        <v>2</v>
      </c>
      <c r="G1090" s="2">
        <v>46205.75</v>
      </c>
      <c r="H1090" s="2">
        <v>46205.583333333336</v>
      </c>
    </row>
    <row r="1091" spans="1:8" x14ac:dyDescent="0.25">
      <c r="A1091" s="8" t="s">
        <v>3875</v>
      </c>
      <c r="B1091" s="8" t="s">
        <v>14060</v>
      </c>
      <c r="C1091" s="2">
        <v>46205.416666666664</v>
      </c>
      <c r="D1091" s="8" t="s">
        <v>13929</v>
      </c>
      <c r="E1091" s="8" t="s">
        <v>22</v>
      </c>
      <c r="F1091">
        <v>1</v>
      </c>
      <c r="G1091" s="2">
        <v>46205.75</v>
      </c>
      <c r="H1091" s="2">
        <v>46205.583333333336</v>
      </c>
    </row>
    <row r="1092" spans="1:8" x14ac:dyDescent="0.25">
      <c r="A1092" s="8" t="s">
        <v>3878</v>
      </c>
      <c r="B1092" s="8" t="s">
        <v>14060</v>
      </c>
      <c r="C1092" s="2">
        <v>46205.416666666664</v>
      </c>
      <c r="D1092" s="8" t="s">
        <v>13929</v>
      </c>
      <c r="E1092" s="8" t="s">
        <v>24</v>
      </c>
      <c r="F1092">
        <v>3</v>
      </c>
      <c r="G1092" s="2">
        <v>46205.75</v>
      </c>
      <c r="H1092" s="2">
        <v>46205.583333333336</v>
      </c>
    </row>
    <row r="1093" spans="1:8" x14ac:dyDescent="0.25">
      <c r="A1093" s="8" t="s">
        <v>3883</v>
      </c>
      <c r="B1093" s="8" t="s">
        <v>14060</v>
      </c>
      <c r="C1093" s="2">
        <v>46205.416666666664</v>
      </c>
      <c r="D1093" s="8" t="s">
        <v>13929</v>
      </c>
      <c r="E1093" s="8" t="s">
        <v>26</v>
      </c>
      <c r="F1093">
        <v>2</v>
      </c>
      <c r="G1093" s="2">
        <v>46205.75</v>
      </c>
      <c r="H1093" s="2">
        <v>46205.583333333336</v>
      </c>
    </row>
    <row r="1094" spans="1:8" x14ac:dyDescent="0.25">
      <c r="A1094" s="8" t="s">
        <v>3886</v>
      </c>
      <c r="B1094" s="8" t="s">
        <v>14060</v>
      </c>
      <c r="C1094" s="2">
        <v>46205.416666666664</v>
      </c>
      <c r="D1094" s="8" t="s">
        <v>13929</v>
      </c>
      <c r="E1094" s="8" t="s">
        <v>28</v>
      </c>
      <c r="F1094">
        <v>3</v>
      </c>
      <c r="G1094" s="2">
        <v>46205.75</v>
      </c>
      <c r="H1094" s="2">
        <v>46205.583333333336</v>
      </c>
    </row>
    <row r="1095" spans="1:8" x14ac:dyDescent="0.25">
      <c r="A1095" s="8" t="s">
        <v>3889</v>
      </c>
      <c r="B1095" s="8" t="s">
        <v>14060</v>
      </c>
      <c r="C1095" s="2">
        <v>46205.416666666664</v>
      </c>
      <c r="D1095" s="8" t="s">
        <v>13929</v>
      </c>
      <c r="E1095" s="8" t="s">
        <v>32</v>
      </c>
      <c r="F1095">
        <v>2</v>
      </c>
      <c r="G1095" s="2">
        <v>46205.75</v>
      </c>
      <c r="H1095" s="2">
        <v>46205.583333333336</v>
      </c>
    </row>
    <row r="1096" spans="1:8" x14ac:dyDescent="0.25">
      <c r="A1096" s="8" t="s">
        <v>3892</v>
      </c>
      <c r="B1096" s="8" t="s">
        <v>14060</v>
      </c>
      <c r="C1096" s="2">
        <v>46205.416666666664</v>
      </c>
      <c r="D1096" s="8" t="s">
        <v>13929</v>
      </c>
      <c r="E1096" s="8" t="s">
        <v>36</v>
      </c>
      <c r="F1096">
        <v>2</v>
      </c>
      <c r="G1096" s="2">
        <v>46205.75</v>
      </c>
      <c r="H1096" s="2">
        <v>46205.583333333336</v>
      </c>
    </row>
    <row r="1097" spans="1:8" x14ac:dyDescent="0.25">
      <c r="A1097" s="8" t="s">
        <v>3895</v>
      </c>
      <c r="B1097" s="8" t="s">
        <v>14060</v>
      </c>
      <c r="C1097" s="2">
        <v>46205.416666666664</v>
      </c>
      <c r="D1097" s="8" t="s">
        <v>13929</v>
      </c>
      <c r="E1097" s="8" t="s">
        <v>43</v>
      </c>
      <c r="F1097">
        <v>2</v>
      </c>
      <c r="G1097" s="2">
        <v>46205.75</v>
      </c>
      <c r="H1097" s="2">
        <v>46205.583333333336</v>
      </c>
    </row>
    <row r="1098" spans="1:8" x14ac:dyDescent="0.25">
      <c r="A1098" s="8" t="s">
        <v>3898</v>
      </c>
      <c r="B1098" s="8" t="s">
        <v>14060</v>
      </c>
      <c r="C1098" s="2">
        <v>46205.416666666664</v>
      </c>
      <c r="D1098" s="8" t="s">
        <v>13929</v>
      </c>
      <c r="E1098" s="8" t="s">
        <v>49</v>
      </c>
      <c r="F1098">
        <v>2</v>
      </c>
      <c r="G1098" s="2">
        <v>46205.75</v>
      </c>
      <c r="H1098" s="2">
        <v>46205.583333333336</v>
      </c>
    </row>
    <row r="1099" spans="1:8" x14ac:dyDescent="0.25">
      <c r="A1099" s="8" t="s">
        <v>3901</v>
      </c>
      <c r="B1099" s="8" t="s">
        <v>14060</v>
      </c>
      <c r="C1099" s="2">
        <v>46205.416666666664</v>
      </c>
      <c r="D1099" s="8" t="s">
        <v>13929</v>
      </c>
      <c r="E1099" s="8" t="s">
        <v>51</v>
      </c>
      <c r="F1099">
        <v>1</v>
      </c>
      <c r="G1099" s="2">
        <v>46205.75</v>
      </c>
      <c r="H1099" s="2">
        <v>46205.583333333336</v>
      </c>
    </row>
    <row r="1100" spans="1:8" x14ac:dyDescent="0.25">
      <c r="A1100" s="8" t="s">
        <v>3904</v>
      </c>
      <c r="B1100" s="8" t="s">
        <v>14060</v>
      </c>
      <c r="C1100" s="2">
        <v>46205.416666666664</v>
      </c>
      <c r="D1100" s="8" t="s">
        <v>13929</v>
      </c>
      <c r="E1100" s="8" t="s">
        <v>69</v>
      </c>
      <c r="F1100">
        <v>1</v>
      </c>
      <c r="G1100" s="2">
        <v>46205.75</v>
      </c>
      <c r="H1100" s="2">
        <v>46205.583333333336</v>
      </c>
    </row>
    <row r="1101" spans="1:8" x14ac:dyDescent="0.25">
      <c r="A1101" s="8" t="s">
        <v>3907</v>
      </c>
      <c r="B1101" s="8" t="s">
        <v>14060</v>
      </c>
      <c r="C1101" s="2">
        <v>46205.416666666664</v>
      </c>
      <c r="D1101" s="8" t="s">
        <v>13929</v>
      </c>
      <c r="E1101" s="8" t="s">
        <v>73</v>
      </c>
      <c r="F1101">
        <v>4</v>
      </c>
      <c r="G1101" s="2">
        <v>46205.75</v>
      </c>
      <c r="H1101" s="2">
        <v>46205.583333333336</v>
      </c>
    </row>
    <row r="1102" spans="1:8" x14ac:dyDescent="0.25">
      <c r="A1102" s="8" t="s">
        <v>3910</v>
      </c>
      <c r="B1102" s="8" t="s">
        <v>14061</v>
      </c>
      <c r="C1102" s="2">
        <v>46205.416666666664</v>
      </c>
      <c r="D1102" s="8" t="s">
        <v>13931</v>
      </c>
      <c r="E1102" s="8" t="s">
        <v>20</v>
      </c>
      <c r="F1102">
        <v>4</v>
      </c>
      <c r="G1102" s="2">
        <v>46205.75</v>
      </c>
      <c r="H1102" s="2">
        <v>46205.583333333336</v>
      </c>
    </row>
    <row r="1103" spans="1:8" x14ac:dyDescent="0.25">
      <c r="A1103" s="8" t="s">
        <v>3913</v>
      </c>
      <c r="B1103" s="8" t="s">
        <v>14061</v>
      </c>
      <c r="C1103" s="2">
        <v>46205.416666666664</v>
      </c>
      <c r="D1103" s="8" t="s">
        <v>13931</v>
      </c>
      <c r="E1103" s="8" t="s">
        <v>24</v>
      </c>
      <c r="F1103">
        <v>1</v>
      </c>
      <c r="G1103" s="2">
        <v>46205.75</v>
      </c>
      <c r="H1103" s="2">
        <v>46205.583333333336</v>
      </c>
    </row>
    <row r="1104" spans="1:8" x14ac:dyDescent="0.25">
      <c r="A1104" s="8" t="s">
        <v>3916</v>
      </c>
      <c r="B1104" s="8" t="s">
        <v>14061</v>
      </c>
      <c r="C1104" s="2">
        <v>46205.416666666664</v>
      </c>
      <c r="D1104" s="8" t="s">
        <v>13931</v>
      </c>
      <c r="E1104" s="8" t="s">
        <v>26</v>
      </c>
      <c r="F1104">
        <v>5</v>
      </c>
      <c r="G1104" s="2">
        <v>46205.75</v>
      </c>
      <c r="H1104" s="2">
        <v>46205.583333333336</v>
      </c>
    </row>
    <row r="1105" spans="1:8" x14ac:dyDescent="0.25">
      <c r="A1105" s="8" t="s">
        <v>3919</v>
      </c>
      <c r="B1105" s="8" t="s">
        <v>14061</v>
      </c>
      <c r="C1105" s="2">
        <v>46205.416666666664</v>
      </c>
      <c r="D1105" s="8" t="s">
        <v>13931</v>
      </c>
      <c r="E1105" s="8" t="s">
        <v>32</v>
      </c>
      <c r="F1105">
        <v>2</v>
      </c>
      <c r="G1105" s="2">
        <v>46205.75</v>
      </c>
      <c r="H1105" s="2">
        <v>46205.583333333336</v>
      </c>
    </row>
    <row r="1106" spans="1:8" x14ac:dyDescent="0.25">
      <c r="A1106" s="8" t="s">
        <v>3922</v>
      </c>
      <c r="B1106" s="8" t="s">
        <v>14061</v>
      </c>
      <c r="C1106" s="2">
        <v>46205.416666666664</v>
      </c>
      <c r="D1106" s="8" t="s">
        <v>13931</v>
      </c>
      <c r="E1106" s="8" t="s">
        <v>41</v>
      </c>
      <c r="F1106">
        <v>5</v>
      </c>
      <c r="G1106" s="2">
        <v>46205.75</v>
      </c>
      <c r="H1106" s="2">
        <v>46205.583333333336</v>
      </c>
    </row>
    <row r="1107" spans="1:8" x14ac:dyDescent="0.25">
      <c r="A1107" s="8" t="s">
        <v>3925</v>
      </c>
      <c r="B1107" s="8" t="s">
        <v>14061</v>
      </c>
      <c r="C1107" s="2">
        <v>46205.416666666664</v>
      </c>
      <c r="D1107" s="8" t="s">
        <v>13931</v>
      </c>
      <c r="E1107" s="8" t="s">
        <v>45</v>
      </c>
      <c r="F1107">
        <v>3</v>
      </c>
      <c r="G1107" s="2">
        <v>46205.75</v>
      </c>
      <c r="H1107" s="2">
        <v>46205.583333333336</v>
      </c>
    </row>
    <row r="1108" spans="1:8" x14ac:dyDescent="0.25">
      <c r="A1108" s="8" t="s">
        <v>3928</v>
      </c>
      <c r="B1108" s="8" t="s">
        <v>14061</v>
      </c>
      <c r="C1108" s="2">
        <v>46205.416666666664</v>
      </c>
      <c r="D1108" s="8" t="s">
        <v>13931</v>
      </c>
      <c r="E1108" s="8" t="s">
        <v>47</v>
      </c>
      <c r="F1108">
        <v>5</v>
      </c>
      <c r="G1108" s="2">
        <v>46205.75</v>
      </c>
      <c r="H1108" s="2">
        <v>46205.583333333336</v>
      </c>
    </row>
    <row r="1109" spans="1:8" x14ac:dyDescent="0.25">
      <c r="A1109" s="8" t="s">
        <v>3931</v>
      </c>
      <c r="B1109" s="8" t="s">
        <v>14061</v>
      </c>
      <c r="C1109" s="2">
        <v>46205.416666666664</v>
      </c>
      <c r="D1109" s="8" t="s">
        <v>13931</v>
      </c>
      <c r="E1109" s="8" t="s">
        <v>73</v>
      </c>
      <c r="F1109">
        <v>1</v>
      </c>
      <c r="G1109" s="2">
        <v>46205.75</v>
      </c>
      <c r="H1109" s="2">
        <v>46205.583333333336</v>
      </c>
    </row>
    <row r="1110" spans="1:8" x14ac:dyDescent="0.25">
      <c r="A1110" s="8" t="s">
        <v>3934</v>
      </c>
      <c r="B1110" s="8" t="s">
        <v>14062</v>
      </c>
      <c r="C1110" s="2">
        <v>46205.416666666664</v>
      </c>
      <c r="D1110" s="8" t="s">
        <v>13933</v>
      </c>
      <c r="E1110" s="8" t="s">
        <v>18</v>
      </c>
      <c r="F1110">
        <v>2</v>
      </c>
      <c r="G1110" s="2">
        <v>46205.75</v>
      </c>
      <c r="H1110" s="2">
        <v>46205.583333333336</v>
      </c>
    </row>
    <row r="1111" spans="1:8" x14ac:dyDescent="0.25">
      <c r="A1111" s="8" t="s">
        <v>3937</v>
      </c>
      <c r="B1111" s="8" t="s">
        <v>14062</v>
      </c>
      <c r="C1111" s="2">
        <v>46205.416666666664</v>
      </c>
      <c r="D1111" s="8" t="s">
        <v>13933</v>
      </c>
      <c r="E1111" s="8" t="s">
        <v>20</v>
      </c>
      <c r="F1111">
        <v>2</v>
      </c>
      <c r="G1111" s="2">
        <v>46205.75</v>
      </c>
      <c r="H1111" s="2">
        <v>46205.583333333336</v>
      </c>
    </row>
    <row r="1112" spans="1:8" x14ac:dyDescent="0.25">
      <c r="A1112" s="8" t="s">
        <v>3940</v>
      </c>
      <c r="B1112" s="8" t="s">
        <v>14062</v>
      </c>
      <c r="C1112" s="2">
        <v>46205.416666666664</v>
      </c>
      <c r="D1112" s="8" t="s">
        <v>13933</v>
      </c>
      <c r="E1112" s="8" t="s">
        <v>22</v>
      </c>
      <c r="F1112">
        <v>6</v>
      </c>
      <c r="G1112" s="2">
        <v>46205.75</v>
      </c>
      <c r="H1112" s="2">
        <v>46205.583333333336</v>
      </c>
    </row>
    <row r="1113" spans="1:8" x14ac:dyDescent="0.25">
      <c r="A1113" s="8" t="s">
        <v>3943</v>
      </c>
      <c r="B1113" s="8" t="s">
        <v>14062</v>
      </c>
      <c r="C1113" s="2">
        <v>46205.416666666664</v>
      </c>
      <c r="D1113" s="8" t="s">
        <v>13933</v>
      </c>
      <c r="E1113" s="8" t="s">
        <v>24</v>
      </c>
      <c r="F1113">
        <v>4</v>
      </c>
      <c r="G1113" s="2">
        <v>46205.75</v>
      </c>
      <c r="H1113" s="2">
        <v>46205.583333333336</v>
      </c>
    </row>
    <row r="1114" spans="1:8" x14ac:dyDescent="0.25">
      <c r="A1114" s="8" t="s">
        <v>3946</v>
      </c>
      <c r="B1114" s="8" t="s">
        <v>14062</v>
      </c>
      <c r="C1114" s="2">
        <v>46205.416666666664</v>
      </c>
      <c r="D1114" s="8" t="s">
        <v>13933</v>
      </c>
      <c r="E1114" s="8" t="s">
        <v>26</v>
      </c>
      <c r="F1114">
        <v>5</v>
      </c>
      <c r="G1114" s="2">
        <v>46205.75</v>
      </c>
      <c r="H1114" s="2">
        <v>46205.583333333336</v>
      </c>
    </row>
    <row r="1115" spans="1:8" x14ac:dyDescent="0.25">
      <c r="A1115" s="8" t="s">
        <v>3949</v>
      </c>
      <c r="B1115" s="8" t="s">
        <v>14062</v>
      </c>
      <c r="C1115" s="2">
        <v>46205.416666666664</v>
      </c>
      <c r="D1115" s="8" t="s">
        <v>13933</v>
      </c>
      <c r="E1115" s="8" t="s">
        <v>28</v>
      </c>
      <c r="F1115">
        <v>4</v>
      </c>
      <c r="G1115" s="2">
        <v>46205.75</v>
      </c>
      <c r="H1115" s="2">
        <v>46205.583333333336</v>
      </c>
    </row>
    <row r="1116" spans="1:8" x14ac:dyDescent="0.25">
      <c r="A1116" s="8" t="s">
        <v>3952</v>
      </c>
      <c r="B1116" s="8" t="s">
        <v>14062</v>
      </c>
      <c r="C1116" s="2">
        <v>46205.416666666664</v>
      </c>
      <c r="D1116" s="8" t="s">
        <v>13933</v>
      </c>
      <c r="E1116" s="8" t="s">
        <v>43</v>
      </c>
      <c r="F1116">
        <v>5</v>
      </c>
      <c r="G1116" s="2">
        <v>46205.75</v>
      </c>
      <c r="H1116" s="2">
        <v>46205.583333333336</v>
      </c>
    </row>
    <row r="1117" spans="1:8" x14ac:dyDescent="0.25">
      <c r="A1117" s="8" t="s">
        <v>3955</v>
      </c>
      <c r="B1117" s="8" t="s">
        <v>14062</v>
      </c>
      <c r="C1117" s="2">
        <v>46205.416666666664</v>
      </c>
      <c r="D1117" s="8" t="s">
        <v>13933</v>
      </c>
      <c r="E1117" s="8" t="s">
        <v>53</v>
      </c>
      <c r="F1117">
        <v>1</v>
      </c>
      <c r="G1117" s="2">
        <v>46205.75</v>
      </c>
      <c r="H1117" s="2">
        <v>46205.583333333336</v>
      </c>
    </row>
    <row r="1118" spans="1:8" x14ac:dyDescent="0.25">
      <c r="A1118" s="8" t="s">
        <v>3958</v>
      </c>
      <c r="B1118" s="8" t="s">
        <v>14062</v>
      </c>
      <c r="C1118" s="2">
        <v>46205.416666666664</v>
      </c>
      <c r="D1118" s="8" t="s">
        <v>13933</v>
      </c>
      <c r="E1118" s="8" t="s">
        <v>55</v>
      </c>
      <c r="F1118">
        <v>2</v>
      </c>
      <c r="G1118" s="2">
        <v>46205.75</v>
      </c>
      <c r="H1118" s="2">
        <v>46205.583333333336</v>
      </c>
    </row>
    <row r="1119" spans="1:8" x14ac:dyDescent="0.25">
      <c r="A1119" s="8" t="s">
        <v>3961</v>
      </c>
      <c r="B1119" s="8" t="s">
        <v>14062</v>
      </c>
      <c r="C1119" s="2">
        <v>46205.416666666664</v>
      </c>
      <c r="D1119" s="8" t="s">
        <v>13933</v>
      </c>
      <c r="E1119" s="8" t="s">
        <v>77</v>
      </c>
      <c r="F1119">
        <v>4</v>
      </c>
      <c r="G1119" s="2">
        <v>46205.75</v>
      </c>
      <c r="H1119" s="2">
        <v>46205.583333333336</v>
      </c>
    </row>
    <row r="1120" spans="1:8" x14ac:dyDescent="0.25">
      <c r="A1120" s="8" t="s">
        <v>3964</v>
      </c>
      <c r="B1120" s="8" t="s">
        <v>14063</v>
      </c>
      <c r="C1120" s="2">
        <v>46205.416666666664</v>
      </c>
      <c r="D1120" s="8" t="s">
        <v>13935</v>
      </c>
      <c r="E1120" s="8" t="s">
        <v>11</v>
      </c>
      <c r="F1120">
        <v>3</v>
      </c>
      <c r="G1120" s="2">
        <v>46205.75</v>
      </c>
      <c r="H1120" s="2">
        <v>46205.583333333336</v>
      </c>
    </row>
    <row r="1121" spans="1:8" x14ac:dyDescent="0.25">
      <c r="A1121" s="8" t="s">
        <v>3967</v>
      </c>
      <c r="B1121" s="8" t="s">
        <v>14063</v>
      </c>
      <c r="C1121" s="2">
        <v>46205.416666666664</v>
      </c>
      <c r="D1121" s="8" t="s">
        <v>13935</v>
      </c>
      <c r="E1121" s="8" t="s">
        <v>18</v>
      </c>
      <c r="F1121">
        <v>1</v>
      </c>
      <c r="G1121" s="2">
        <v>46205.75</v>
      </c>
      <c r="H1121" s="2">
        <v>46205.583333333336</v>
      </c>
    </row>
    <row r="1122" spans="1:8" x14ac:dyDescent="0.25">
      <c r="A1122" s="8" t="s">
        <v>3970</v>
      </c>
      <c r="B1122" s="8" t="s">
        <v>14063</v>
      </c>
      <c r="C1122" s="2">
        <v>46205.416666666664</v>
      </c>
      <c r="D1122" s="8" t="s">
        <v>13935</v>
      </c>
      <c r="E1122" s="8" t="s">
        <v>20</v>
      </c>
      <c r="F1122">
        <v>6</v>
      </c>
      <c r="G1122" s="2">
        <v>46205.75</v>
      </c>
      <c r="H1122" s="2">
        <v>46205.583333333336</v>
      </c>
    </row>
    <row r="1123" spans="1:8" x14ac:dyDescent="0.25">
      <c r="A1123" s="8" t="s">
        <v>3973</v>
      </c>
      <c r="B1123" s="8" t="s">
        <v>14063</v>
      </c>
      <c r="C1123" s="2">
        <v>46205.416666666664</v>
      </c>
      <c r="D1123" s="8" t="s">
        <v>13935</v>
      </c>
      <c r="E1123" s="8" t="s">
        <v>24</v>
      </c>
      <c r="F1123">
        <v>3</v>
      </c>
      <c r="G1123" s="2">
        <v>46205.75</v>
      </c>
      <c r="H1123" s="2">
        <v>46205.583333333336</v>
      </c>
    </row>
    <row r="1124" spans="1:8" x14ac:dyDescent="0.25">
      <c r="A1124" s="8" t="s">
        <v>3976</v>
      </c>
      <c r="B1124" s="8" t="s">
        <v>14063</v>
      </c>
      <c r="C1124" s="2">
        <v>46205.416666666664</v>
      </c>
      <c r="D1124" s="8" t="s">
        <v>13935</v>
      </c>
      <c r="E1124" s="8" t="s">
        <v>51</v>
      </c>
      <c r="F1124">
        <v>1</v>
      </c>
      <c r="G1124" s="2">
        <v>46205.75</v>
      </c>
      <c r="H1124" s="2">
        <v>46205.583333333336</v>
      </c>
    </row>
    <row r="1125" spans="1:8" x14ac:dyDescent="0.25">
      <c r="A1125" s="8" t="s">
        <v>3979</v>
      </c>
      <c r="B1125" s="8" t="s">
        <v>14063</v>
      </c>
      <c r="C1125" s="2">
        <v>46205.416666666664</v>
      </c>
      <c r="D1125" s="8" t="s">
        <v>13935</v>
      </c>
      <c r="E1125" s="8" t="s">
        <v>57</v>
      </c>
      <c r="F1125">
        <v>6</v>
      </c>
      <c r="G1125" s="2">
        <v>46205.75</v>
      </c>
      <c r="H1125" s="2">
        <v>46205.583333333336</v>
      </c>
    </row>
    <row r="1126" spans="1:8" x14ac:dyDescent="0.25">
      <c r="A1126" s="8" t="s">
        <v>3982</v>
      </c>
      <c r="B1126" s="8" t="s">
        <v>14063</v>
      </c>
      <c r="C1126" s="2">
        <v>46205.416666666664</v>
      </c>
      <c r="D1126" s="8" t="s">
        <v>13935</v>
      </c>
      <c r="E1126" s="8" t="s">
        <v>59</v>
      </c>
      <c r="F1126">
        <v>1</v>
      </c>
      <c r="G1126" s="2">
        <v>46205.75</v>
      </c>
      <c r="H1126" s="2">
        <v>46205.583333333336</v>
      </c>
    </row>
    <row r="1127" spans="1:8" x14ac:dyDescent="0.25">
      <c r="A1127" s="8" t="s">
        <v>3985</v>
      </c>
      <c r="B1127" s="8" t="s">
        <v>14063</v>
      </c>
      <c r="C1127" s="2">
        <v>46205.416666666664</v>
      </c>
      <c r="D1127" s="8" t="s">
        <v>13935</v>
      </c>
      <c r="E1127" s="8" t="s">
        <v>77</v>
      </c>
      <c r="F1127">
        <v>1</v>
      </c>
      <c r="G1127" s="2">
        <v>46205.75</v>
      </c>
      <c r="H1127" s="2">
        <v>46205.583333333336</v>
      </c>
    </row>
    <row r="1128" spans="1:8" x14ac:dyDescent="0.25">
      <c r="A1128" s="8" t="s">
        <v>3988</v>
      </c>
      <c r="B1128" s="8" t="s">
        <v>14064</v>
      </c>
      <c r="C1128" s="2">
        <v>46205.416666666664</v>
      </c>
      <c r="D1128" s="8" t="s">
        <v>13937</v>
      </c>
      <c r="E1128" s="8" t="s">
        <v>11</v>
      </c>
      <c r="F1128">
        <v>4</v>
      </c>
      <c r="G1128" s="2">
        <v>46205.75</v>
      </c>
      <c r="H1128" s="2">
        <v>46205.583333333336</v>
      </c>
    </row>
    <row r="1129" spans="1:8" x14ac:dyDescent="0.25">
      <c r="A1129" s="8" t="s">
        <v>3991</v>
      </c>
      <c r="B1129" s="8" t="s">
        <v>14064</v>
      </c>
      <c r="C1129" s="2">
        <v>46205.416666666664</v>
      </c>
      <c r="D1129" s="8" t="s">
        <v>13937</v>
      </c>
      <c r="E1129" s="8" t="s">
        <v>18</v>
      </c>
      <c r="F1129">
        <v>4</v>
      </c>
      <c r="G1129" s="2">
        <v>46205.75</v>
      </c>
      <c r="H1129" s="2">
        <v>46205.583333333336</v>
      </c>
    </row>
    <row r="1130" spans="1:8" x14ac:dyDescent="0.25">
      <c r="A1130" s="8" t="s">
        <v>3994</v>
      </c>
      <c r="B1130" s="8" t="s">
        <v>14064</v>
      </c>
      <c r="C1130" s="2">
        <v>46205.416666666664</v>
      </c>
      <c r="D1130" s="8" t="s">
        <v>13937</v>
      </c>
      <c r="E1130" s="8" t="s">
        <v>22</v>
      </c>
      <c r="F1130">
        <v>4</v>
      </c>
      <c r="G1130" s="2">
        <v>46205.75</v>
      </c>
      <c r="H1130" s="2">
        <v>46205.583333333336</v>
      </c>
    </row>
    <row r="1131" spans="1:8" x14ac:dyDescent="0.25">
      <c r="A1131" s="8" t="s">
        <v>3997</v>
      </c>
      <c r="B1131" s="8" t="s">
        <v>14064</v>
      </c>
      <c r="C1131" s="2">
        <v>46205.416666666664</v>
      </c>
      <c r="D1131" s="8" t="s">
        <v>13937</v>
      </c>
      <c r="E1131" s="8" t="s">
        <v>26</v>
      </c>
      <c r="F1131">
        <v>4</v>
      </c>
      <c r="G1131" s="2">
        <v>46205.75</v>
      </c>
      <c r="H1131" s="2">
        <v>46205.583333333336</v>
      </c>
    </row>
    <row r="1132" spans="1:8" x14ac:dyDescent="0.25">
      <c r="A1132" s="8" t="s">
        <v>4000</v>
      </c>
      <c r="B1132" s="8" t="s">
        <v>14064</v>
      </c>
      <c r="C1132" s="2">
        <v>46205.416666666664</v>
      </c>
      <c r="D1132" s="8" t="s">
        <v>13937</v>
      </c>
      <c r="E1132" s="8" t="s">
        <v>28</v>
      </c>
      <c r="F1132">
        <v>2</v>
      </c>
      <c r="G1132" s="2">
        <v>46205.75</v>
      </c>
      <c r="H1132" s="2">
        <v>46205.583333333336</v>
      </c>
    </row>
    <row r="1133" spans="1:8" x14ac:dyDescent="0.25">
      <c r="A1133" s="8" t="s">
        <v>4003</v>
      </c>
      <c r="B1133" s="8" t="s">
        <v>14064</v>
      </c>
      <c r="C1133" s="2">
        <v>46205.416666666664</v>
      </c>
      <c r="D1133" s="8" t="s">
        <v>13937</v>
      </c>
      <c r="E1133" s="8" t="s">
        <v>30</v>
      </c>
      <c r="F1133">
        <v>3</v>
      </c>
      <c r="G1133" s="2">
        <v>46205.75</v>
      </c>
      <c r="H1133" s="2">
        <v>46205.583333333336</v>
      </c>
    </row>
    <row r="1134" spans="1:8" x14ac:dyDescent="0.25">
      <c r="A1134" s="8" t="s">
        <v>4006</v>
      </c>
      <c r="B1134" s="8" t="s">
        <v>14064</v>
      </c>
      <c r="C1134" s="2">
        <v>46205.416666666664</v>
      </c>
      <c r="D1134" s="8" t="s">
        <v>13937</v>
      </c>
      <c r="E1134" s="8" t="s">
        <v>36</v>
      </c>
      <c r="F1134">
        <v>4</v>
      </c>
      <c r="G1134" s="2">
        <v>46205.75</v>
      </c>
      <c r="H1134" s="2">
        <v>46205.583333333336</v>
      </c>
    </row>
    <row r="1135" spans="1:8" x14ac:dyDescent="0.25">
      <c r="A1135" s="8" t="s">
        <v>4009</v>
      </c>
      <c r="B1135" s="8" t="s">
        <v>14064</v>
      </c>
      <c r="C1135" s="2">
        <v>46205.416666666664</v>
      </c>
      <c r="D1135" s="8" t="s">
        <v>13937</v>
      </c>
      <c r="E1135" s="8" t="s">
        <v>45</v>
      </c>
      <c r="F1135">
        <v>4</v>
      </c>
      <c r="G1135" s="2">
        <v>46205.75</v>
      </c>
      <c r="H1135" s="2">
        <v>46205.583333333336</v>
      </c>
    </row>
    <row r="1136" spans="1:8" x14ac:dyDescent="0.25">
      <c r="A1136" s="8" t="s">
        <v>4012</v>
      </c>
      <c r="B1136" s="8" t="s">
        <v>14064</v>
      </c>
      <c r="C1136" s="2">
        <v>46205.416666666664</v>
      </c>
      <c r="D1136" s="8" t="s">
        <v>13937</v>
      </c>
      <c r="E1136" s="8" t="s">
        <v>55</v>
      </c>
      <c r="F1136">
        <v>4</v>
      </c>
      <c r="G1136" s="2">
        <v>46205.75</v>
      </c>
      <c r="H1136" s="2">
        <v>46205.583333333336</v>
      </c>
    </row>
    <row r="1137" spans="1:8" x14ac:dyDescent="0.25">
      <c r="A1137" s="8" t="s">
        <v>4015</v>
      </c>
      <c r="B1137" s="8" t="s">
        <v>14064</v>
      </c>
      <c r="C1137" s="2">
        <v>46205.416666666664</v>
      </c>
      <c r="D1137" s="8" t="s">
        <v>13937</v>
      </c>
      <c r="E1137" s="8" t="s">
        <v>67</v>
      </c>
      <c r="F1137">
        <v>3</v>
      </c>
      <c r="G1137" s="2">
        <v>46205.75</v>
      </c>
      <c r="H1137" s="2">
        <v>46205.583333333336</v>
      </c>
    </row>
    <row r="1138" spans="1:8" x14ac:dyDescent="0.25">
      <c r="A1138" s="8" t="s">
        <v>4018</v>
      </c>
      <c r="B1138" s="8" t="s">
        <v>14064</v>
      </c>
      <c r="C1138" s="2">
        <v>46205.416666666664</v>
      </c>
      <c r="D1138" s="8" t="s">
        <v>13937</v>
      </c>
      <c r="E1138" s="8" t="s">
        <v>69</v>
      </c>
      <c r="F1138">
        <v>2</v>
      </c>
      <c r="G1138" s="2">
        <v>46205.75</v>
      </c>
      <c r="H1138" s="2">
        <v>46205.583333333336</v>
      </c>
    </row>
    <row r="1139" spans="1:8" x14ac:dyDescent="0.25">
      <c r="A1139" s="8" t="s">
        <v>4021</v>
      </c>
      <c r="B1139" s="8" t="s">
        <v>14064</v>
      </c>
      <c r="C1139" s="2">
        <v>46205.416666666664</v>
      </c>
      <c r="D1139" s="8" t="s">
        <v>13937</v>
      </c>
      <c r="E1139" s="8" t="s">
        <v>75</v>
      </c>
      <c r="F1139">
        <v>1</v>
      </c>
      <c r="G1139" s="2">
        <v>46205.75</v>
      </c>
      <c r="H1139" s="2">
        <v>46205.583333333336</v>
      </c>
    </row>
    <row r="1140" spans="1:8" x14ac:dyDescent="0.25">
      <c r="A1140" s="8" t="s">
        <v>4024</v>
      </c>
      <c r="B1140" s="8" t="s">
        <v>14064</v>
      </c>
      <c r="C1140" s="2">
        <v>46205.416666666664</v>
      </c>
      <c r="D1140" s="8" t="s">
        <v>13937</v>
      </c>
      <c r="E1140" s="8" t="s">
        <v>77</v>
      </c>
      <c r="F1140">
        <v>3</v>
      </c>
      <c r="G1140" s="2">
        <v>46205.75</v>
      </c>
      <c r="H1140" s="2">
        <v>46205.583333333336</v>
      </c>
    </row>
    <row r="1141" spans="1:8" x14ac:dyDescent="0.25">
      <c r="A1141" s="8" t="s">
        <v>4027</v>
      </c>
      <c r="B1141" s="8" t="s">
        <v>14065</v>
      </c>
      <c r="C1141" s="2">
        <v>46206.416666666664</v>
      </c>
      <c r="D1141" s="8" t="s">
        <v>13929</v>
      </c>
      <c r="E1141" s="8" t="s">
        <v>18</v>
      </c>
      <c r="F1141">
        <v>2</v>
      </c>
      <c r="G1141" s="2">
        <v>46206.75</v>
      </c>
      <c r="H1141" s="2">
        <v>46206.583333333336</v>
      </c>
    </row>
    <row r="1142" spans="1:8" x14ac:dyDescent="0.25">
      <c r="A1142" s="8" t="s">
        <v>4030</v>
      </c>
      <c r="B1142" s="8" t="s">
        <v>14065</v>
      </c>
      <c r="C1142" s="2">
        <v>46206.416666666664</v>
      </c>
      <c r="D1142" s="8" t="s">
        <v>13929</v>
      </c>
      <c r="E1142" s="8" t="s">
        <v>20</v>
      </c>
      <c r="F1142">
        <v>2</v>
      </c>
      <c r="G1142" s="2">
        <v>46206.75</v>
      </c>
      <c r="H1142" s="2">
        <v>46206.583333333336</v>
      </c>
    </row>
    <row r="1143" spans="1:8" x14ac:dyDescent="0.25">
      <c r="A1143" s="8" t="s">
        <v>4033</v>
      </c>
      <c r="B1143" s="8" t="s">
        <v>14065</v>
      </c>
      <c r="C1143" s="2">
        <v>46206.416666666664</v>
      </c>
      <c r="D1143" s="8" t="s">
        <v>13929</v>
      </c>
      <c r="E1143" s="8" t="s">
        <v>22</v>
      </c>
      <c r="F1143">
        <v>2</v>
      </c>
      <c r="G1143" s="2">
        <v>46206.75</v>
      </c>
      <c r="H1143" s="2">
        <v>46206.583333333336</v>
      </c>
    </row>
    <row r="1144" spans="1:8" x14ac:dyDescent="0.25">
      <c r="A1144" s="8" t="s">
        <v>4036</v>
      </c>
      <c r="B1144" s="8" t="s">
        <v>14065</v>
      </c>
      <c r="C1144" s="2">
        <v>46206.416666666664</v>
      </c>
      <c r="D1144" s="8" t="s">
        <v>13929</v>
      </c>
      <c r="E1144" s="8" t="s">
        <v>26</v>
      </c>
      <c r="F1144">
        <v>3</v>
      </c>
      <c r="G1144" s="2">
        <v>46206.75</v>
      </c>
      <c r="H1144" s="2">
        <v>46206.583333333336</v>
      </c>
    </row>
    <row r="1145" spans="1:8" x14ac:dyDescent="0.25">
      <c r="A1145" s="8" t="s">
        <v>4039</v>
      </c>
      <c r="B1145" s="8" t="s">
        <v>14065</v>
      </c>
      <c r="C1145" s="2">
        <v>46206.416666666664</v>
      </c>
      <c r="D1145" s="8" t="s">
        <v>13929</v>
      </c>
      <c r="E1145" s="8" t="s">
        <v>41</v>
      </c>
      <c r="F1145">
        <v>2</v>
      </c>
      <c r="G1145" s="2">
        <v>46206.75</v>
      </c>
      <c r="H1145" s="2">
        <v>46206.583333333336</v>
      </c>
    </row>
    <row r="1146" spans="1:8" x14ac:dyDescent="0.25">
      <c r="A1146" s="8" t="s">
        <v>4042</v>
      </c>
      <c r="B1146" s="8" t="s">
        <v>14065</v>
      </c>
      <c r="C1146" s="2">
        <v>46206.416666666664</v>
      </c>
      <c r="D1146" s="8" t="s">
        <v>13929</v>
      </c>
      <c r="E1146" s="8" t="s">
        <v>45</v>
      </c>
      <c r="F1146">
        <v>1</v>
      </c>
      <c r="G1146" s="2">
        <v>46206.75</v>
      </c>
      <c r="H1146" s="2">
        <v>46206.583333333336</v>
      </c>
    </row>
    <row r="1147" spans="1:8" x14ac:dyDescent="0.25">
      <c r="A1147" s="8" t="s">
        <v>4045</v>
      </c>
      <c r="B1147" s="8" t="s">
        <v>14066</v>
      </c>
      <c r="C1147" s="2">
        <v>46206.416666666664</v>
      </c>
      <c r="D1147" s="8" t="s">
        <v>13931</v>
      </c>
      <c r="E1147" s="8" t="s">
        <v>11</v>
      </c>
      <c r="F1147">
        <v>1</v>
      </c>
      <c r="G1147" s="2">
        <v>46206.75</v>
      </c>
      <c r="H1147" s="2">
        <v>46206.583333333336</v>
      </c>
    </row>
    <row r="1148" spans="1:8" x14ac:dyDescent="0.25">
      <c r="A1148" s="8" t="s">
        <v>4048</v>
      </c>
      <c r="B1148" s="8" t="s">
        <v>14066</v>
      </c>
      <c r="C1148" s="2">
        <v>46206.416666666664</v>
      </c>
      <c r="D1148" s="8" t="s">
        <v>13931</v>
      </c>
      <c r="E1148" s="8" t="s">
        <v>18</v>
      </c>
      <c r="F1148">
        <v>3</v>
      </c>
      <c r="G1148" s="2">
        <v>46206.75</v>
      </c>
      <c r="H1148" s="2">
        <v>46206.583333333336</v>
      </c>
    </row>
    <row r="1149" spans="1:8" x14ac:dyDescent="0.25">
      <c r="A1149" s="8" t="s">
        <v>4051</v>
      </c>
      <c r="B1149" s="8" t="s">
        <v>14066</v>
      </c>
      <c r="C1149" s="2">
        <v>46206.416666666664</v>
      </c>
      <c r="D1149" s="8" t="s">
        <v>13931</v>
      </c>
      <c r="E1149" s="8" t="s">
        <v>24</v>
      </c>
      <c r="F1149">
        <v>1</v>
      </c>
      <c r="G1149" s="2">
        <v>46206.75</v>
      </c>
      <c r="H1149" s="2">
        <v>46206.583333333336</v>
      </c>
    </row>
    <row r="1150" spans="1:8" x14ac:dyDescent="0.25">
      <c r="A1150" s="8" t="s">
        <v>4054</v>
      </c>
      <c r="B1150" s="8" t="s">
        <v>14066</v>
      </c>
      <c r="C1150" s="2">
        <v>46206.416666666664</v>
      </c>
      <c r="D1150" s="8" t="s">
        <v>13931</v>
      </c>
      <c r="E1150" s="8" t="s">
        <v>26</v>
      </c>
      <c r="F1150">
        <v>5</v>
      </c>
      <c r="G1150" s="2">
        <v>46206.75</v>
      </c>
      <c r="H1150" s="2">
        <v>46206.583333333336</v>
      </c>
    </row>
    <row r="1151" spans="1:8" x14ac:dyDescent="0.25">
      <c r="A1151" s="8" t="s">
        <v>4057</v>
      </c>
      <c r="B1151" s="8" t="s">
        <v>14066</v>
      </c>
      <c r="C1151" s="2">
        <v>46206.416666666664</v>
      </c>
      <c r="D1151" s="8" t="s">
        <v>13931</v>
      </c>
      <c r="E1151" s="8" t="s">
        <v>36</v>
      </c>
      <c r="F1151">
        <v>2</v>
      </c>
      <c r="G1151" s="2">
        <v>46206.75</v>
      </c>
      <c r="H1151" s="2">
        <v>46206.583333333336</v>
      </c>
    </row>
    <row r="1152" spans="1:8" x14ac:dyDescent="0.25">
      <c r="A1152" s="8" t="s">
        <v>4060</v>
      </c>
      <c r="B1152" s="8" t="s">
        <v>14066</v>
      </c>
      <c r="C1152" s="2">
        <v>46206.416666666664</v>
      </c>
      <c r="D1152" s="8" t="s">
        <v>13931</v>
      </c>
      <c r="E1152" s="8" t="s">
        <v>45</v>
      </c>
      <c r="F1152">
        <v>3</v>
      </c>
      <c r="G1152" s="2">
        <v>46206.75</v>
      </c>
      <c r="H1152" s="2">
        <v>46206.583333333336</v>
      </c>
    </row>
    <row r="1153" spans="1:8" x14ac:dyDescent="0.25">
      <c r="A1153" s="8" t="s">
        <v>4063</v>
      </c>
      <c r="B1153" s="8" t="s">
        <v>14066</v>
      </c>
      <c r="C1153" s="2">
        <v>46206.416666666664</v>
      </c>
      <c r="D1153" s="8" t="s">
        <v>13931</v>
      </c>
      <c r="E1153" s="8" t="s">
        <v>47</v>
      </c>
      <c r="F1153">
        <v>4</v>
      </c>
      <c r="G1153" s="2">
        <v>46206.75</v>
      </c>
      <c r="H1153" s="2">
        <v>46206.583333333336</v>
      </c>
    </row>
    <row r="1154" spans="1:8" x14ac:dyDescent="0.25">
      <c r="A1154" s="8" t="s">
        <v>4066</v>
      </c>
      <c r="B1154" s="8" t="s">
        <v>14066</v>
      </c>
      <c r="C1154" s="2">
        <v>46206.416666666664</v>
      </c>
      <c r="D1154" s="8" t="s">
        <v>13931</v>
      </c>
      <c r="E1154" s="8" t="s">
        <v>69</v>
      </c>
      <c r="F1154">
        <v>1</v>
      </c>
      <c r="G1154" s="2">
        <v>46206.75</v>
      </c>
      <c r="H1154" s="2">
        <v>46206.583333333336</v>
      </c>
    </row>
    <row r="1155" spans="1:8" x14ac:dyDescent="0.25">
      <c r="A1155" s="8" t="s">
        <v>4069</v>
      </c>
      <c r="B1155" s="8" t="s">
        <v>14067</v>
      </c>
      <c r="C1155" s="2">
        <v>46206.416666666664</v>
      </c>
      <c r="D1155" s="8" t="s">
        <v>13933</v>
      </c>
      <c r="E1155" s="8" t="s">
        <v>11</v>
      </c>
      <c r="F1155">
        <v>5</v>
      </c>
      <c r="G1155" s="2">
        <v>46206.75</v>
      </c>
      <c r="H1155" s="2">
        <v>46206.583333333336</v>
      </c>
    </row>
    <row r="1156" spans="1:8" x14ac:dyDescent="0.25">
      <c r="A1156" s="8" t="s">
        <v>4074</v>
      </c>
      <c r="B1156" s="8" t="s">
        <v>14067</v>
      </c>
      <c r="C1156" s="2">
        <v>46206.416666666664</v>
      </c>
      <c r="D1156" s="8" t="s">
        <v>13933</v>
      </c>
      <c r="E1156" s="8" t="s">
        <v>18</v>
      </c>
      <c r="F1156">
        <v>4</v>
      </c>
      <c r="G1156" s="2">
        <v>46206.75</v>
      </c>
      <c r="H1156" s="2">
        <v>46206.583333333336</v>
      </c>
    </row>
    <row r="1157" spans="1:8" x14ac:dyDescent="0.25">
      <c r="A1157" s="8" t="s">
        <v>4077</v>
      </c>
      <c r="B1157" s="8" t="s">
        <v>14067</v>
      </c>
      <c r="C1157" s="2">
        <v>46206.416666666664</v>
      </c>
      <c r="D1157" s="8" t="s">
        <v>13933</v>
      </c>
      <c r="E1157" s="8" t="s">
        <v>20</v>
      </c>
      <c r="F1157">
        <v>2</v>
      </c>
      <c r="G1157" s="2">
        <v>46206.75</v>
      </c>
      <c r="H1157" s="2">
        <v>46206.583333333336</v>
      </c>
    </row>
    <row r="1158" spans="1:8" x14ac:dyDescent="0.25">
      <c r="A1158" s="8" t="s">
        <v>4080</v>
      </c>
      <c r="B1158" s="8" t="s">
        <v>14067</v>
      </c>
      <c r="C1158" s="2">
        <v>46206.416666666664</v>
      </c>
      <c r="D1158" s="8" t="s">
        <v>13933</v>
      </c>
      <c r="E1158" s="8" t="s">
        <v>22</v>
      </c>
      <c r="F1158">
        <v>6</v>
      </c>
      <c r="G1158" s="2">
        <v>46206.75</v>
      </c>
      <c r="H1158" s="2">
        <v>46206.583333333336</v>
      </c>
    </row>
    <row r="1159" spans="1:8" x14ac:dyDescent="0.25">
      <c r="A1159" s="8" t="s">
        <v>4083</v>
      </c>
      <c r="B1159" s="8" t="s">
        <v>14067</v>
      </c>
      <c r="C1159" s="2">
        <v>46206.416666666664</v>
      </c>
      <c r="D1159" s="8" t="s">
        <v>13933</v>
      </c>
      <c r="E1159" s="8" t="s">
        <v>30</v>
      </c>
      <c r="F1159">
        <v>1</v>
      </c>
      <c r="G1159" s="2">
        <v>46206.75</v>
      </c>
      <c r="H1159" s="2">
        <v>46206.583333333336</v>
      </c>
    </row>
    <row r="1160" spans="1:8" x14ac:dyDescent="0.25">
      <c r="A1160" s="8" t="s">
        <v>4086</v>
      </c>
      <c r="B1160" s="8" t="s">
        <v>14067</v>
      </c>
      <c r="C1160" s="2">
        <v>46206.416666666664</v>
      </c>
      <c r="D1160" s="8" t="s">
        <v>13933</v>
      </c>
      <c r="E1160" s="8" t="s">
        <v>36</v>
      </c>
      <c r="F1160">
        <v>2</v>
      </c>
      <c r="G1160" s="2">
        <v>46206.75</v>
      </c>
      <c r="H1160" s="2">
        <v>46206.583333333336</v>
      </c>
    </row>
    <row r="1161" spans="1:8" x14ac:dyDescent="0.25">
      <c r="A1161" s="8" t="s">
        <v>4091</v>
      </c>
      <c r="B1161" s="8" t="s">
        <v>14067</v>
      </c>
      <c r="C1161" s="2">
        <v>46206.416666666664</v>
      </c>
      <c r="D1161" s="8" t="s">
        <v>13933</v>
      </c>
      <c r="E1161" s="8" t="s">
        <v>43</v>
      </c>
      <c r="F1161">
        <v>4</v>
      </c>
      <c r="G1161" s="2">
        <v>46206.75</v>
      </c>
      <c r="H1161" s="2">
        <v>46206.583333333336</v>
      </c>
    </row>
    <row r="1162" spans="1:8" x14ac:dyDescent="0.25">
      <c r="A1162" s="8" t="s">
        <v>4094</v>
      </c>
      <c r="B1162" s="8" t="s">
        <v>14067</v>
      </c>
      <c r="C1162" s="2">
        <v>46206.416666666664</v>
      </c>
      <c r="D1162" s="8" t="s">
        <v>13933</v>
      </c>
      <c r="E1162" s="8" t="s">
        <v>47</v>
      </c>
      <c r="F1162">
        <v>1</v>
      </c>
      <c r="G1162" s="2">
        <v>46206.75</v>
      </c>
      <c r="H1162" s="2">
        <v>46206.583333333336</v>
      </c>
    </row>
    <row r="1163" spans="1:8" x14ac:dyDescent="0.25">
      <c r="A1163" s="8" t="s">
        <v>4097</v>
      </c>
      <c r="B1163" s="8" t="s">
        <v>14067</v>
      </c>
      <c r="C1163" s="2">
        <v>46206.416666666664</v>
      </c>
      <c r="D1163" s="8" t="s">
        <v>13933</v>
      </c>
      <c r="E1163" s="8" t="s">
        <v>55</v>
      </c>
      <c r="F1163">
        <v>5</v>
      </c>
      <c r="G1163" s="2">
        <v>46206.75</v>
      </c>
      <c r="H1163" s="2">
        <v>46206.583333333336</v>
      </c>
    </row>
    <row r="1164" spans="1:8" x14ac:dyDescent="0.25">
      <c r="A1164" s="8" t="s">
        <v>4100</v>
      </c>
      <c r="B1164" s="8" t="s">
        <v>14067</v>
      </c>
      <c r="C1164" s="2">
        <v>46206.416666666664</v>
      </c>
      <c r="D1164" s="8" t="s">
        <v>13933</v>
      </c>
      <c r="E1164" s="8" t="s">
        <v>59</v>
      </c>
      <c r="F1164">
        <v>6</v>
      </c>
      <c r="G1164" s="2">
        <v>46206.75</v>
      </c>
      <c r="H1164" s="2">
        <v>46206.583333333336</v>
      </c>
    </row>
    <row r="1165" spans="1:8" x14ac:dyDescent="0.25">
      <c r="A1165" s="8" t="s">
        <v>4103</v>
      </c>
      <c r="B1165" s="8" t="s">
        <v>14067</v>
      </c>
      <c r="C1165" s="2">
        <v>46206.416666666664</v>
      </c>
      <c r="D1165" s="8" t="s">
        <v>13933</v>
      </c>
      <c r="E1165" s="8" t="s">
        <v>75</v>
      </c>
      <c r="F1165">
        <v>5</v>
      </c>
      <c r="G1165" s="2">
        <v>46206.75</v>
      </c>
      <c r="H1165" s="2">
        <v>46206.583333333336</v>
      </c>
    </row>
    <row r="1166" spans="1:8" x14ac:dyDescent="0.25">
      <c r="A1166" s="8" t="s">
        <v>4106</v>
      </c>
      <c r="B1166" s="8" t="s">
        <v>14067</v>
      </c>
      <c r="C1166" s="2">
        <v>46206.416666666664</v>
      </c>
      <c r="D1166" s="8" t="s">
        <v>13933</v>
      </c>
      <c r="E1166" s="8" t="s">
        <v>77</v>
      </c>
      <c r="F1166">
        <v>5</v>
      </c>
      <c r="G1166" s="2">
        <v>46206.75</v>
      </c>
      <c r="H1166" s="2">
        <v>46206.583333333336</v>
      </c>
    </row>
    <row r="1167" spans="1:8" x14ac:dyDescent="0.25">
      <c r="A1167" s="8" t="s">
        <v>4109</v>
      </c>
      <c r="B1167" s="8" t="s">
        <v>14068</v>
      </c>
      <c r="C1167" s="2">
        <v>46206.416666666664</v>
      </c>
      <c r="D1167" s="8" t="s">
        <v>13935</v>
      </c>
      <c r="E1167" s="8" t="s">
        <v>18</v>
      </c>
      <c r="F1167">
        <v>6</v>
      </c>
      <c r="G1167" s="2">
        <v>46206.75</v>
      </c>
      <c r="H1167" s="2">
        <v>46206.583333333336</v>
      </c>
    </row>
    <row r="1168" spans="1:8" x14ac:dyDescent="0.25">
      <c r="A1168" s="8" t="s">
        <v>4112</v>
      </c>
      <c r="B1168" s="8" t="s">
        <v>14068</v>
      </c>
      <c r="C1168" s="2">
        <v>46206.416666666664</v>
      </c>
      <c r="D1168" s="8" t="s">
        <v>13935</v>
      </c>
      <c r="E1168" s="8" t="s">
        <v>22</v>
      </c>
      <c r="F1168">
        <v>6</v>
      </c>
      <c r="G1168" s="2">
        <v>46206.75</v>
      </c>
      <c r="H1168" s="2">
        <v>46206.583333333336</v>
      </c>
    </row>
    <row r="1169" spans="1:8" x14ac:dyDescent="0.25">
      <c r="A1169" s="8" t="s">
        <v>4115</v>
      </c>
      <c r="B1169" s="8" t="s">
        <v>14068</v>
      </c>
      <c r="C1169" s="2">
        <v>46206.416666666664</v>
      </c>
      <c r="D1169" s="8" t="s">
        <v>13935</v>
      </c>
      <c r="E1169" s="8" t="s">
        <v>24</v>
      </c>
      <c r="F1169">
        <v>1</v>
      </c>
      <c r="G1169" s="2">
        <v>46206.75</v>
      </c>
      <c r="H1169" s="2">
        <v>46206.583333333336</v>
      </c>
    </row>
    <row r="1170" spans="1:8" x14ac:dyDescent="0.25">
      <c r="A1170" s="8" t="s">
        <v>4118</v>
      </c>
      <c r="B1170" s="8" t="s">
        <v>14068</v>
      </c>
      <c r="C1170" s="2">
        <v>46206.416666666664</v>
      </c>
      <c r="D1170" s="8" t="s">
        <v>13935</v>
      </c>
      <c r="E1170" s="8" t="s">
        <v>26</v>
      </c>
      <c r="F1170">
        <v>1</v>
      </c>
      <c r="G1170" s="2">
        <v>46206.75</v>
      </c>
      <c r="H1170" s="2">
        <v>46206.583333333336</v>
      </c>
    </row>
    <row r="1171" spans="1:8" x14ac:dyDescent="0.25">
      <c r="A1171" s="8" t="s">
        <v>4121</v>
      </c>
      <c r="B1171" s="8" t="s">
        <v>14068</v>
      </c>
      <c r="C1171" s="2">
        <v>46206.416666666664</v>
      </c>
      <c r="D1171" s="8" t="s">
        <v>13935</v>
      </c>
      <c r="E1171" s="8" t="s">
        <v>28</v>
      </c>
      <c r="F1171">
        <v>4</v>
      </c>
      <c r="G1171" s="2">
        <v>46206.75</v>
      </c>
      <c r="H1171" s="2">
        <v>46206.583333333336</v>
      </c>
    </row>
    <row r="1172" spans="1:8" x14ac:dyDescent="0.25">
      <c r="A1172" s="8" t="s">
        <v>4124</v>
      </c>
      <c r="B1172" s="8" t="s">
        <v>14068</v>
      </c>
      <c r="C1172" s="2">
        <v>46206.416666666664</v>
      </c>
      <c r="D1172" s="8" t="s">
        <v>13935</v>
      </c>
      <c r="E1172" s="8" t="s">
        <v>36</v>
      </c>
      <c r="F1172">
        <v>1</v>
      </c>
      <c r="G1172" s="2">
        <v>46206.75</v>
      </c>
      <c r="H1172" s="2">
        <v>46206.583333333336</v>
      </c>
    </row>
    <row r="1173" spans="1:8" x14ac:dyDescent="0.25">
      <c r="A1173" s="8" t="s">
        <v>4127</v>
      </c>
      <c r="B1173" s="8" t="s">
        <v>14068</v>
      </c>
      <c r="C1173" s="2">
        <v>46206.416666666664</v>
      </c>
      <c r="D1173" s="8" t="s">
        <v>13935</v>
      </c>
      <c r="E1173" s="8" t="s">
        <v>43</v>
      </c>
      <c r="F1173">
        <v>4</v>
      </c>
      <c r="G1173" s="2">
        <v>46206.75</v>
      </c>
      <c r="H1173" s="2">
        <v>46206.583333333336</v>
      </c>
    </row>
    <row r="1174" spans="1:8" x14ac:dyDescent="0.25">
      <c r="A1174" s="8" t="s">
        <v>4132</v>
      </c>
      <c r="B1174" s="8" t="s">
        <v>14068</v>
      </c>
      <c r="C1174" s="2">
        <v>46206.416666666664</v>
      </c>
      <c r="D1174" s="8" t="s">
        <v>13935</v>
      </c>
      <c r="E1174" s="8" t="s">
        <v>49</v>
      </c>
      <c r="F1174">
        <v>1</v>
      </c>
      <c r="G1174" s="2">
        <v>46206.75</v>
      </c>
      <c r="H1174" s="2">
        <v>46206.583333333336</v>
      </c>
    </row>
    <row r="1175" spans="1:8" x14ac:dyDescent="0.25">
      <c r="A1175" s="8" t="s">
        <v>4135</v>
      </c>
      <c r="B1175" s="8" t="s">
        <v>14068</v>
      </c>
      <c r="C1175" s="2">
        <v>46206.416666666664</v>
      </c>
      <c r="D1175" s="8" t="s">
        <v>13935</v>
      </c>
      <c r="E1175" s="8" t="s">
        <v>59</v>
      </c>
      <c r="F1175">
        <v>4</v>
      </c>
      <c r="G1175" s="2">
        <v>46206.75</v>
      </c>
      <c r="H1175" s="2">
        <v>46206.583333333336</v>
      </c>
    </row>
    <row r="1176" spans="1:8" x14ac:dyDescent="0.25">
      <c r="A1176" s="8" t="s">
        <v>4138</v>
      </c>
      <c r="B1176" s="8" t="s">
        <v>14068</v>
      </c>
      <c r="C1176" s="2">
        <v>46206.416666666664</v>
      </c>
      <c r="D1176" s="8" t="s">
        <v>13935</v>
      </c>
      <c r="E1176" s="8" t="s">
        <v>71</v>
      </c>
      <c r="F1176">
        <v>6</v>
      </c>
      <c r="G1176" s="2">
        <v>46206.75</v>
      </c>
      <c r="H1176" s="2">
        <v>46206.583333333336</v>
      </c>
    </row>
    <row r="1177" spans="1:8" x14ac:dyDescent="0.25">
      <c r="A1177" s="8" t="s">
        <v>4141</v>
      </c>
      <c r="B1177" s="8" t="s">
        <v>14068</v>
      </c>
      <c r="C1177" s="2">
        <v>46206.416666666664</v>
      </c>
      <c r="D1177" s="8" t="s">
        <v>13935</v>
      </c>
      <c r="E1177" s="8" t="s">
        <v>73</v>
      </c>
      <c r="F1177">
        <v>7</v>
      </c>
      <c r="G1177" s="2">
        <v>46206.75</v>
      </c>
      <c r="H1177" s="2">
        <v>46206.583333333336</v>
      </c>
    </row>
    <row r="1178" spans="1:8" x14ac:dyDescent="0.25">
      <c r="A1178" s="8" t="s">
        <v>4144</v>
      </c>
      <c r="B1178" s="8" t="s">
        <v>14068</v>
      </c>
      <c r="C1178" s="2">
        <v>46206.416666666664</v>
      </c>
      <c r="D1178" s="8" t="s">
        <v>13935</v>
      </c>
      <c r="E1178" s="8" t="s">
        <v>77</v>
      </c>
      <c r="F1178">
        <v>7</v>
      </c>
      <c r="G1178" s="2">
        <v>46206.75</v>
      </c>
      <c r="H1178" s="2">
        <v>46206.583333333336</v>
      </c>
    </row>
    <row r="1179" spans="1:8" x14ac:dyDescent="0.25">
      <c r="A1179" s="8" t="s">
        <v>4147</v>
      </c>
      <c r="B1179" s="8" t="s">
        <v>14069</v>
      </c>
      <c r="C1179" s="2">
        <v>46206.416666666664</v>
      </c>
      <c r="D1179" s="8" t="s">
        <v>13937</v>
      </c>
      <c r="E1179" s="8" t="s">
        <v>18</v>
      </c>
      <c r="F1179">
        <v>2</v>
      </c>
      <c r="G1179" s="2">
        <v>46206.75</v>
      </c>
      <c r="H1179" s="2">
        <v>46206.583333333336</v>
      </c>
    </row>
    <row r="1180" spans="1:8" x14ac:dyDescent="0.25">
      <c r="A1180" s="8" t="s">
        <v>4150</v>
      </c>
      <c r="B1180" s="8" t="s">
        <v>14069</v>
      </c>
      <c r="C1180" s="2">
        <v>46206.416666666664</v>
      </c>
      <c r="D1180" s="8" t="s">
        <v>13937</v>
      </c>
      <c r="E1180" s="8" t="s">
        <v>20</v>
      </c>
      <c r="F1180">
        <v>3</v>
      </c>
      <c r="G1180" s="2">
        <v>46206.75</v>
      </c>
      <c r="H1180" s="2">
        <v>46206.583333333336</v>
      </c>
    </row>
    <row r="1181" spans="1:8" x14ac:dyDescent="0.25">
      <c r="A1181" s="8" t="s">
        <v>4153</v>
      </c>
      <c r="B1181" s="8" t="s">
        <v>14069</v>
      </c>
      <c r="C1181" s="2">
        <v>46206.416666666664</v>
      </c>
      <c r="D1181" s="8" t="s">
        <v>13937</v>
      </c>
      <c r="E1181" s="8" t="s">
        <v>26</v>
      </c>
      <c r="F1181">
        <v>2</v>
      </c>
      <c r="G1181" s="2">
        <v>46206.75</v>
      </c>
      <c r="H1181" s="2">
        <v>46206.583333333336</v>
      </c>
    </row>
    <row r="1182" spans="1:8" x14ac:dyDescent="0.25">
      <c r="A1182" s="8" t="s">
        <v>4156</v>
      </c>
      <c r="B1182" s="8" t="s">
        <v>14069</v>
      </c>
      <c r="C1182" s="2">
        <v>46206.416666666664</v>
      </c>
      <c r="D1182" s="8" t="s">
        <v>13937</v>
      </c>
      <c r="E1182" s="8" t="s">
        <v>28</v>
      </c>
      <c r="F1182">
        <v>4</v>
      </c>
      <c r="G1182" s="2">
        <v>46206.75</v>
      </c>
      <c r="H1182" s="2">
        <v>46206.583333333336</v>
      </c>
    </row>
    <row r="1183" spans="1:8" x14ac:dyDescent="0.25">
      <c r="A1183" s="8" t="s">
        <v>4159</v>
      </c>
      <c r="B1183" s="8" t="s">
        <v>14069</v>
      </c>
      <c r="C1183" s="2">
        <v>46206.416666666664</v>
      </c>
      <c r="D1183" s="8" t="s">
        <v>13937</v>
      </c>
      <c r="E1183" s="8" t="s">
        <v>57</v>
      </c>
      <c r="F1183">
        <v>1</v>
      </c>
      <c r="G1183" s="2">
        <v>46206.75</v>
      </c>
      <c r="H1183" s="2">
        <v>46206.583333333336</v>
      </c>
    </row>
    <row r="1184" spans="1:8" x14ac:dyDescent="0.25">
      <c r="A1184" s="8" t="s">
        <v>4162</v>
      </c>
      <c r="B1184" s="8" t="s">
        <v>14069</v>
      </c>
      <c r="C1184" s="2">
        <v>46206.416666666664</v>
      </c>
      <c r="D1184" s="8" t="s">
        <v>13937</v>
      </c>
      <c r="E1184" s="8" t="s">
        <v>59</v>
      </c>
      <c r="F1184">
        <v>2</v>
      </c>
      <c r="G1184" s="2">
        <v>46206.75</v>
      </c>
      <c r="H1184" s="2">
        <v>46206.583333333336</v>
      </c>
    </row>
    <row r="1185" spans="1:8" x14ac:dyDescent="0.25">
      <c r="A1185" s="8" t="s">
        <v>4165</v>
      </c>
      <c r="B1185" s="8" t="s">
        <v>14069</v>
      </c>
      <c r="C1185" s="2">
        <v>46206.416666666664</v>
      </c>
      <c r="D1185" s="8" t="s">
        <v>13937</v>
      </c>
      <c r="E1185" s="8" t="s">
        <v>73</v>
      </c>
      <c r="F1185">
        <v>4</v>
      </c>
      <c r="G1185" s="2">
        <v>46206.75</v>
      </c>
      <c r="H1185" s="2">
        <v>46206.583333333336</v>
      </c>
    </row>
    <row r="1186" spans="1:8" x14ac:dyDescent="0.25">
      <c r="A1186" s="8" t="s">
        <v>4168</v>
      </c>
      <c r="B1186" s="8" t="s">
        <v>14069</v>
      </c>
      <c r="C1186" s="2">
        <v>46206.416666666664</v>
      </c>
      <c r="D1186" s="8" t="s">
        <v>13937</v>
      </c>
      <c r="E1186" s="8" t="s">
        <v>77</v>
      </c>
      <c r="F1186">
        <v>2</v>
      </c>
      <c r="G1186" s="2">
        <v>46206.75</v>
      </c>
      <c r="H1186" s="2">
        <v>46206.583333333336</v>
      </c>
    </row>
    <row r="1187" spans="1:8" x14ac:dyDescent="0.25">
      <c r="A1187" s="8" t="s">
        <v>4171</v>
      </c>
      <c r="B1187" s="8" t="s">
        <v>14070</v>
      </c>
      <c r="C1187" s="2">
        <v>46207.416666666664</v>
      </c>
      <c r="D1187" s="8" t="s">
        <v>13929</v>
      </c>
      <c r="E1187" s="8" t="s">
        <v>22</v>
      </c>
      <c r="F1187">
        <v>4</v>
      </c>
      <c r="G1187" s="2">
        <v>46207.75</v>
      </c>
      <c r="H1187" s="2">
        <v>46207.583333333336</v>
      </c>
    </row>
    <row r="1188" spans="1:8" x14ac:dyDescent="0.25">
      <c r="A1188" s="8" t="s">
        <v>4174</v>
      </c>
      <c r="B1188" s="8" t="s">
        <v>14070</v>
      </c>
      <c r="C1188" s="2">
        <v>46207.416666666664</v>
      </c>
      <c r="D1188" s="8" t="s">
        <v>13929</v>
      </c>
      <c r="E1188" s="8" t="s">
        <v>26</v>
      </c>
      <c r="F1188">
        <v>1</v>
      </c>
      <c r="G1188" s="2">
        <v>46207.75</v>
      </c>
      <c r="H1188" s="2">
        <v>46207.583333333336</v>
      </c>
    </row>
    <row r="1189" spans="1:8" x14ac:dyDescent="0.25">
      <c r="A1189" s="8" t="s">
        <v>4177</v>
      </c>
      <c r="B1189" s="8" t="s">
        <v>14070</v>
      </c>
      <c r="C1189" s="2">
        <v>46207.416666666664</v>
      </c>
      <c r="D1189" s="8" t="s">
        <v>13929</v>
      </c>
      <c r="E1189" s="8" t="s">
        <v>32</v>
      </c>
      <c r="F1189">
        <v>2</v>
      </c>
      <c r="G1189" s="2">
        <v>46207.75</v>
      </c>
      <c r="H1189" s="2">
        <v>46207.583333333336</v>
      </c>
    </row>
    <row r="1190" spans="1:8" x14ac:dyDescent="0.25">
      <c r="A1190" s="8" t="s">
        <v>4180</v>
      </c>
      <c r="B1190" s="8" t="s">
        <v>14070</v>
      </c>
      <c r="C1190" s="2">
        <v>46207.416666666664</v>
      </c>
      <c r="D1190" s="8" t="s">
        <v>13929</v>
      </c>
      <c r="E1190" s="8" t="s">
        <v>47</v>
      </c>
      <c r="F1190">
        <v>3</v>
      </c>
      <c r="G1190" s="2">
        <v>46207.75</v>
      </c>
      <c r="H1190" s="2">
        <v>46207.583333333336</v>
      </c>
    </row>
    <row r="1191" spans="1:8" x14ac:dyDescent="0.25">
      <c r="A1191" s="8" t="s">
        <v>4183</v>
      </c>
      <c r="B1191" s="8" t="s">
        <v>14070</v>
      </c>
      <c r="C1191" s="2">
        <v>46207.416666666664</v>
      </c>
      <c r="D1191" s="8" t="s">
        <v>13929</v>
      </c>
      <c r="E1191" s="8" t="s">
        <v>53</v>
      </c>
      <c r="F1191">
        <v>3</v>
      </c>
      <c r="G1191" s="2">
        <v>46207.75</v>
      </c>
      <c r="H1191" s="2">
        <v>46207.583333333336</v>
      </c>
    </row>
    <row r="1192" spans="1:8" x14ac:dyDescent="0.25">
      <c r="A1192" s="8" t="s">
        <v>4186</v>
      </c>
      <c r="B1192" s="8" t="s">
        <v>14070</v>
      </c>
      <c r="C1192" s="2">
        <v>46207.416666666664</v>
      </c>
      <c r="D1192" s="8" t="s">
        <v>13929</v>
      </c>
      <c r="E1192" s="8" t="s">
        <v>65</v>
      </c>
      <c r="F1192">
        <v>5</v>
      </c>
      <c r="G1192" s="2">
        <v>46207.75</v>
      </c>
      <c r="H1192" s="2">
        <v>46207.583333333336</v>
      </c>
    </row>
    <row r="1193" spans="1:8" x14ac:dyDescent="0.25">
      <c r="A1193" s="8" t="s">
        <v>4189</v>
      </c>
      <c r="B1193" s="8" t="s">
        <v>14070</v>
      </c>
      <c r="C1193" s="2">
        <v>46207.416666666664</v>
      </c>
      <c r="D1193" s="8" t="s">
        <v>13929</v>
      </c>
      <c r="E1193" s="8" t="s">
        <v>67</v>
      </c>
      <c r="F1193">
        <v>5</v>
      </c>
      <c r="G1193" s="2">
        <v>46207.75</v>
      </c>
      <c r="H1193" s="2">
        <v>46207.583333333336</v>
      </c>
    </row>
    <row r="1194" spans="1:8" x14ac:dyDescent="0.25">
      <c r="A1194" s="8" t="s">
        <v>4192</v>
      </c>
      <c r="B1194" s="8" t="s">
        <v>14070</v>
      </c>
      <c r="C1194" s="2">
        <v>46207.416666666664</v>
      </c>
      <c r="D1194" s="8" t="s">
        <v>13929</v>
      </c>
      <c r="E1194" s="8" t="s">
        <v>71</v>
      </c>
      <c r="F1194">
        <v>3</v>
      </c>
      <c r="G1194" s="2">
        <v>46207.75</v>
      </c>
      <c r="H1194" s="2">
        <v>46207.583333333336</v>
      </c>
    </row>
    <row r="1195" spans="1:8" x14ac:dyDescent="0.25">
      <c r="A1195" s="8" t="s">
        <v>4195</v>
      </c>
      <c r="B1195" s="8" t="s">
        <v>14071</v>
      </c>
      <c r="C1195" s="2">
        <v>46207.416666666664</v>
      </c>
      <c r="D1195" s="8" t="s">
        <v>13931</v>
      </c>
      <c r="E1195" s="8" t="s">
        <v>11</v>
      </c>
      <c r="F1195">
        <v>6</v>
      </c>
      <c r="G1195" s="2">
        <v>46207.75</v>
      </c>
      <c r="H1195" s="2">
        <v>46207.583333333336</v>
      </c>
    </row>
    <row r="1196" spans="1:8" x14ac:dyDescent="0.25">
      <c r="A1196" s="8" t="s">
        <v>4198</v>
      </c>
      <c r="B1196" s="8" t="s">
        <v>14071</v>
      </c>
      <c r="C1196" s="2">
        <v>46207.416666666664</v>
      </c>
      <c r="D1196" s="8" t="s">
        <v>13931</v>
      </c>
      <c r="E1196" s="8" t="s">
        <v>20</v>
      </c>
      <c r="F1196">
        <v>1</v>
      </c>
      <c r="G1196" s="2">
        <v>46207.75</v>
      </c>
      <c r="H1196" s="2">
        <v>46207.583333333336</v>
      </c>
    </row>
    <row r="1197" spans="1:8" x14ac:dyDescent="0.25">
      <c r="A1197" s="8" t="s">
        <v>4201</v>
      </c>
      <c r="B1197" s="8" t="s">
        <v>14071</v>
      </c>
      <c r="C1197" s="2">
        <v>46207.416666666664</v>
      </c>
      <c r="D1197" s="8" t="s">
        <v>13931</v>
      </c>
      <c r="E1197" s="8" t="s">
        <v>47</v>
      </c>
      <c r="F1197">
        <v>3</v>
      </c>
      <c r="G1197" s="2">
        <v>46207.75</v>
      </c>
      <c r="H1197" s="2">
        <v>46207.583333333336</v>
      </c>
    </row>
    <row r="1198" spans="1:8" x14ac:dyDescent="0.25">
      <c r="A1198" s="8" t="s">
        <v>4204</v>
      </c>
      <c r="B1198" s="8" t="s">
        <v>14071</v>
      </c>
      <c r="C1198" s="2">
        <v>46207.416666666664</v>
      </c>
      <c r="D1198" s="8" t="s">
        <v>13931</v>
      </c>
      <c r="E1198" s="8" t="s">
        <v>55</v>
      </c>
      <c r="F1198">
        <v>1</v>
      </c>
      <c r="G1198" s="2">
        <v>46207.75</v>
      </c>
      <c r="H1198" s="2">
        <v>46207.583333333336</v>
      </c>
    </row>
    <row r="1199" spans="1:8" x14ac:dyDescent="0.25">
      <c r="A1199" s="8" t="s">
        <v>4207</v>
      </c>
      <c r="B1199" s="8" t="s">
        <v>14072</v>
      </c>
      <c r="C1199" s="2">
        <v>46207.416666666664</v>
      </c>
      <c r="D1199" s="8" t="s">
        <v>13933</v>
      </c>
      <c r="E1199" s="8" t="s">
        <v>11</v>
      </c>
      <c r="F1199">
        <v>8</v>
      </c>
      <c r="G1199" s="2">
        <v>46207.75</v>
      </c>
      <c r="H1199" s="2">
        <v>46207.583333333336</v>
      </c>
    </row>
    <row r="1200" spans="1:8" x14ac:dyDescent="0.25">
      <c r="A1200" s="8" t="s">
        <v>4210</v>
      </c>
      <c r="B1200" s="8" t="s">
        <v>14072</v>
      </c>
      <c r="C1200" s="2">
        <v>46207.416666666664</v>
      </c>
      <c r="D1200" s="8" t="s">
        <v>13933</v>
      </c>
      <c r="E1200" s="8" t="s">
        <v>18</v>
      </c>
      <c r="F1200">
        <v>8</v>
      </c>
      <c r="G1200" s="2">
        <v>46207.75</v>
      </c>
      <c r="H1200" s="2">
        <v>46207.583333333336</v>
      </c>
    </row>
    <row r="1201" spans="1:8" x14ac:dyDescent="0.25">
      <c r="A1201" s="8" t="s">
        <v>4213</v>
      </c>
      <c r="B1201" s="8" t="s">
        <v>14072</v>
      </c>
      <c r="C1201" s="2">
        <v>46207.416666666664</v>
      </c>
      <c r="D1201" s="8" t="s">
        <v>13933</v>
      </c>
      <c r="E1201" s="8" t="s">
        <v>20</v>
      </c>
      <c r="F1201">
        <v>6</v>
      </c>
      <c r="G1201" s="2">
        <v>46207.75</v>
      </c>
      <c r="H1201" s="2">
        <v>46207.583333333336</v>
      </c>
    </row>
    <row r="1202" spans="1:8" x14ac:dyDescent="0.25">
      <c r="A1202" s="8" t="s">
        <v>4216</v>
      </c>
      <c r="B1202" s="8" t="s">
        <v>14072</v>
      </c>
      <c r="C1202" s="2">
        <v>46207.416666666664</v>
      </c>
      <c r="D1202" s="8" t="s">
        <v>13933</v>
      </c>
      <c r="E1202" s="8" t="s">
        <v>22</v>
      </c>
      <c r="F1202">
        <v>3</v>
      </c>
      <c r="G1202" s="2">
        <v>46207.75</v>
      </c>
      <c r="H1202" s="2">
        <v>46207.583333333336</v>
      </c>
    </row>
    <row r="1203" spans="1:8" x14ac:dyDescent="0.25">
      <c r="A1203" s="8" t="s">
        <v>4219</v>
      </c>
      <c r="B1203" s="8" t="s">
        <v>14072</v>
      </c>
      <c r="C1203" s="2">
        <v>46207.416666666664</v>
      </c>
      <c r="D1203" s="8" t="s">
        <v>13933</v>
      </c>
      <c r="E1203" s="8" t="s">
        <v>26</v>
      </c>
      <c r="F1203">
        <v>6</v>
      </c>
      <c r="G1203" s="2">
        <v>46207.75</v>
      </c>
      <c r="H1203" s="2">
        <v>46207.583333333336</v>
      </c>
    </row>
    <row r="1204" spans="1:8" x14ac:dyDescent="0.25">
      <c r="A1204" s="8" t="s">
        <v>4222</v>
      </c>
      <c r="B1204" s="8" t="s">
        <v>14072</v>
      </c>
      <c r="C1204" s="2">
        <v>46207.416666666664</v>
      </c>
      <c r="D1204" s="8" t="s">
        <v>13933</v>
      </c>
      <c r="E1204" s="8" t="s">
        <v>41</v>
      </c>
      <c r="F1204">
        <v>3</v>
      </c>
      <c r="G1204" s="2">
        <v>46207.75</v>
      </c>
      <c r="H1204" s="2">
        <v>46207.583333333336</v>
      </c>
    </row>
    <row r="1205" spans="1:8" x14ac:dyDescent="0.25">
      <c r="A1205" s="8" t="s">
        <v>4225</v>
      </c>
      <c r="B1205" s="8" t="s">
        <v>14072</v>
      </c>
      <c r="C1205" s="2">
        <v>46207.416666666664</v>
      </c>
      <c r="D1205" s="8" t="s">
        <v>13933</v>
      </c>
      <c r="E1205" s="8" t="s">
        <v>55</v>
      </c>
      <c r="F1205">
        <v>2</v>
      </c>
      <c r="G1205" s="2">
        <v>46207.75</v>
      </c>
      <c r="H1205" s="2">
        <v>46207.583333333336</v>
      </c>
    </row>
    <row r="1206" spans="1:8" x14ac:dyDescent="0.25">
      <c r="A1206" s="8" t="s">
        <v>4228</v>
      </c>
      <c r="B1206" s="8" t="s">
        <v>14072</v>
      </c>
      <c r="C1206" s="2">
        <v>46207.416666666664</v>
      </c>
      <c r="D1206" s="8" t="s">
        <v>13933</v>
      </c>
      <c r="E1206" s="8" t="s">
        <v>65</v>
      </c>
      <c r="F1206">
        <v>6</v>
      </c>
      <c r="G1206" s="2">
        <v>46207.75</v>
      </c>
      <c r="H1206" s="2">
        <v>46207.583333333336</v>
      </c>
    </row>
    <row r="1207" spans="1:8" x14ac:dyDescent="0.25">
      <c r="A1207" s="8" t="s">
        <v>4231</v>
      </c>
      <c r="B1207" s="8" t="s">
        <v>14072</v>
      </c>
      <c r="C1207" s="2">
        <v>46207.416666666664</v>
      </c>
      <c r="D1207" s="8" t="s">
        <v>13933</v>
      </c>
      <c r="E1207" s="8" t="s">
        <v>69</v>
      </c>
      <c r="F1207">
        <v>3</v>
      </c>
      <c r="G1207" s="2">
        <v>46207.75</v>
      </c>
      <c r="H1207" s="2">
        <v>46207.583333333336</v>
      </c>
    </row>
    <row r="1208" spans="1:8" x14ac:dyDescent="0.25">
      <c r="A1208" s="8" t="s">
        <v>4234</v>
      </c>
      <c r="B1208" s="8" t="s">
        <v>14072</v>
      </c>
      <c r="C1208" s="2">
        <v>46207.416666666664</v>
      </c>
      <c r="D1208" s="8" t="s">
        <v>13933</v>
      </c>
      <c r="E1208" s="8" t="s">
        <v>77</v>
      </c>
      <c r="F1208">
        <v>5</v>
      </c>
      <c r="G1208" s="2">
        <v>46207.75</v>
      </c>
      <c r="H1208" s="2">
        <v>46207.583333333336</v>
      </c>
    </row>
    <row r="1209" spans="1:8" x14ac:dyDescent="0.25">
      <c r="A1209" s="8" t="s">
        <v>4237</v>
      </c>
      <c r="B1209" s="8" t="s">
        <v>14073</v>
      </c>
      <c r="C1209" s="2">
        <v>46207.416666666664</v>
      </c>
      <c r="D1209" s="8" t="s">
        <v>13935</v>
      </c>
      <c r="E1209" s="8" t="s">
        <v>11</v>
      </c>
      <c r="F1209">
        <v>5</v>
      </c>
      <c r="G1209" s="2">
        <v>46207.75</v>
      </c>
      <c r="H1209" s="2">
        <v>46207.583333333336</v>
      </c>
    </row>
    <row r="1210" spans="1:8" x14ac:dyDescent="0.25">
      <c r="A1210" s="8" t="s">
        <v>4240</v>
      </c>
      <c r="B1210" s="8" t="s">
        <v>14073</v>
      </c>
      <c r="C1210" s="2">
        <v>46207.416666666664</v>
      </c>
      <c r="D1210" s="8" t="s">
        <v>13935</v>
      </c>
      <c r="E1210" s="8" t="s">
        <v>20</v>
      </c>
      <c r="F1210">
        <v>9</v>
      </c>
      <c r="G1210" s="2">
        <v>46207.75</v>
      </c>
      <c r="H1210" s="2">
        <v>46207.583333333336</v>
      </c>
    </row>
    <row r="1211" spans="1:8" x14ac:dyDescent="0.25">
      <c r="A1211" s="8" t="s">
        <v>4243</v>
      </c>
      <c r="B1211" s="8" t="s">
        <v>14073</v>
      </c>
      <c r="C1211" s="2">
        <v>46207.416666666664</v>
      </c>
      <c r="D1211" s="8" t="s">
        <v>13935</v>
      </c>
      <c r="E1211" s="8" t="s">
        <v>26</v>
      </c>
      <c r="F1211">
        <v>2</v>
      </c>
      <c r="G1211" s="2">
        <v>46207.75</v>
      </c>
      <c r="H1211" s="2">
        <v>46207.583333333336</v>
      </c>
    </row>
    <row r="1212" spans="1:8" x14ac:dyDescent="0.25">
      <c r="A1212" s="8" t="s">
        <v>4246</v>
      </c>
      <c r="B1212" s="8" t="s">
        <v>14073</v>
      </c>
      <c r="C1212" s="2">
        <v>46207.416666666664</v>
      </c>
      <c r="D1212" s="8" t="s">
        <v>13935</v>
      </c>
      <c r="E1212" s="8" t="s">
        <v>32</v>
      </c>
      <c r="F1212">
        <v>5</v>
      </c>
      <c r="G1212" s="2">
        <v>46207.75</v>
      </c>
      <c r="H1212" s="2">
        <v>46207.583333333336</v>
      </c>
    </row>
    <row r="1213" spans="1:8" x14ac:dyDescent="0.25">
      <c r="A1213" s="8" t="s">
        <v>4249</v>
      </c>
      <c r="B1213" s="8" t="s">
        <v>14073</v>
      </c>
      <c r="C1213" s="2">
        <v>46207.416666666664</v>
      </c>
      <c r="D1213" s="8" t="s">
        <v>13935</v>
      </c>
      <c r="E1213" s="8" t="s">
        <v>53</v>
      </c>
      <c r="F1213">
        <v>2</v>
      </c>
      <c r="G1213" s="2">
        <v>46207.75</v>
      </c>
      <c r="H1213" s="2">
        <v>46207.583333333336</v>
      </c>
    </row>
    <row r="1214" spans="1:8" x14ac:dyDescent="0.25">
      <c r="A1214" s="8" t="s">
        <v>4252</v>
      </c>
      <c r="B1214" s="8" t="s">
        <v>14074</v>
      </c>
      <c r="C1214" s="2">
        <v>46207.416666666664</v>
      </c>
      <c r="D1214" s="8" t="s">
        <v>13937</v>
      </c>
      <c r="E1214" s="8" t="s">
        <v>11</v>
      </c>
      <c r="F1214">
        <v>5</v>
      </c>
      <c r="G1214" s="2">
        <v>46207.75</v>
      </c>
      <c r="H1214" s="2">
        <v>46207.583333333336</v>
      </c>
    </row>
    <row r="1215" spans="1:8" x14ac:dyDescent="0.25">
      <c r="A1215" s="8" t="s">
        <v>4255</v>
      </c>
      <c r="B1215" s="8" t="s">
        <v>14074</v>
      </c>
      <c r="C1215" s="2">
        <v>46207.416666666664</v>
      </c>
      <c r="D1215" s="8" t="s">
        <v>13937</v>
      </c>
      <c r="E1215" s="8" t="s">
        <v>43</v>
      </c>
      <c r="F1215">
        <v>1</v>
      </c>
      <c r="G1215" s="2">
        <v>46207.75</v>
      </c>
      <c r="H1215" s="2">
        <v>46207.583333333336</v>
      </c>
    </row>
    <row r="1216" spans="1:8" x14ac:dyDescent="0.25">
      <c r="A1216" s="8" t="s">
        <v>4258</v>
      </c>
      <c r="B1216" s="8" t="s">
        <v>14074</v>
      </c>
      <c r="C1216" s="2">
        <v>46207.416666666664</v>
      </c>
      <c r="D1216" s="8" t="s">
        <v>13937</v>
      </c>
      <c r="E1216" s="8" t="s">
        <v>47</v>
      </c>
      <c r="F1216">
        <v>4</v>
      </c>
      <c r="G1216" s="2">
        <v>46207.75</v>
      </c>
      <c r="H1216" s="2">
        <v>46207.583333333336</v>
      </c>
    </row>
    <row r="1217" spans="1:8" x14ac:dyDescent="0.25">
      <c r="A1217" s="8" t="s">
        <v>4261</v>
      </c>
      <c r="B1217" s="8" t="s">
        <v>14074</v>
      </c>
      <c r="C1217" s="2">
        <v>46207.416666666664</v>
      </c>
      <c r="D1217" s="8" t="s">
        <v>13937</v>
      </c>
      <c r="E1217" s="8" t="s">
        <v>71</v>
      </c>
      <c r="F1217">
        <v>1</v>
      </c>
      <c r="G1217" s="2">
        <v>46207.75</v>
      </c>
      <c r="H1217" s="2">
        <v>46207.583333333336</v>
      </c>
    </row>
    <row r="1218" spans="1:8" x14ac:dyDescent="0.25">
      <c r="A1218" s="8" t="s">
        <v>4264</v>
      </c>
      <c r="B1218" s="8" t="s">
        <v>14074</v>
      </c>
      <c r="C1218" s="2">
        <v>46207.416666666664</v>
      </c>
      <c r="D1218" s="8" t="s">
        <v>13937</v>
      </c>
      <c r="E1218" s="8" t="s">
        <v>75</v>
      </c>
      <c r="F1218">
        <v>5</v>
      </c>
      <c r="G1218" s="2">
        <v>46207.75</v>
      </c>
      <c r="H1218" s="2">
        <v>46207.583333333336</v>
      </c>
    </row>
    <row r="1219" spans="1:8" x14ac:dyDescent="0.25">
      <c r="A1219" s="8" t="s">
        <v>4267</v>
      </c>
      <c r="B1219" s="8" t="s">
        <v>14074</v>
      </c>
      <c r="C1219" s="2">
        <v>46207.416666666664</v>
      </c>
      <c r="D1219" s="8" t="s">
        <v>13937</v>
      </c>
      <c r="E1219" s="8" t="s">
        <v>77</v>
      </c>
      <c r="F1219">
        <v>1</v>
      </c>
      <c r="G1219" s="2">
        <v>46207.75</v>
      </c>
      <c r="H1219" s="2">
        <v>46207.583333333336</v>
      </c>
    </row>
    <row r="1220" spans="1:8" x14ac:dyDescent="0.25">
      <c r="A1220" s="8" t="s">
        <v>4270</v>
      </c>
      <c r="B1220" s="8" t="s">
        <v>14075</v>
      </c>
      <c r="C1220" s="2">
        <v>46208.416666666664</v>
      </c>
      <c r="D1220" s="8" t="s">
        <v>13929</v>
      </c>
      <c r="E1220" s="8" t="s">
        <v>20</v>
      </c>
      <c r="F1220">
        <v>2</v>
      </c>
      <c r="G1220" s="2">
        <v>46208.75</v>
      </c>
      <c r="H1220" s="2">
        <v>46208.583333333336</v>
      </c>
    </row>
    <row r="1221" spans="1:8" x14ac:dyDescent="0.25">
      <c r="A1221" s="8" t="s">
        <v>4273</v>
      </c>
      <c r="B1221" s="8" t="s">
        <v>14075</v>
      </c>
      <c r="C1221" s="2">
        <v>46208.416666666664</v>
      </c>
      <c r="D1221" s="8" t="s">
        <v>13929</v>
      </c>
      <c r="E1221" s="8" t="s">
        <v>24</v>
      </c>
      <c r="F1221">
        <v>2</v>
      </c>
      <c r="G1221" s="2">
        <v>46208.75</v>
      </c>
      <c r="H1221" s="2">
        <v>46208.583333333336</v>
      </c>
    </row>
    <row r="1222" spans="1:8" x14ac:dyDescent="0.25">
      <c r="A1222" s="8" t="s">
        <v>4276</v>
      </c>
      <c r="B1222" s="8" t="s">
        <v>14075</v>
      </c>
      <c r="C1222" s="2">
        <v>46208.416666666664</v>
      </c>
      <c r="D1222" s="8" t="s">
        <v>13929</v>
      </c>
      <c r="E1222" s="8" t="s">
        <v>26</v>
      </c>
      <c r="F1222">
        <v>5</v>
      </c>
      <c r="G1222" s="2">
        <v>46208.75</v>
      </c>
      <c r="H1222" s="2">
        <v>46208.583333333336</v>
      </c>
    </row>
    <row r="1223" spans="1:8" x14ac:dyDescent="0.25">
      <c r="A1223" s="8" t="s">
        <v>4279</v>
      </c>
      <c r="B1223" s="8" t="s">
        <v>14075</v>
      </c>
      <c r="C1223" s="2">
        <v>46208.416666666664</v>
      </c>
      <c r="D1223" s="8" t="s">
        <v>13929</v>
      </c>
      <c r="E1223" s="8" t="s">
        <v>28</v>
      </c>
      <c r="F1223">
        <v>5</v>
      </c>
      <c r="G1223" s="2">
        <v>46208.75</v>
      </c>
      <c r="H1223" s="2">
        <v>46208.583333333336</v>
      </c>
    </row>
    <row r="1224" spans="1:8" x14ac:dyDescent="0.25">
      <c r="A1224" s="8" t="s">
        <v>4282</v>
      </c>
      <c r="B1224" s="8" t="s">
        <v>14075</v>
      </c>
      <c r="C1224" s="2">
        <v>46208.416666666664</v>
      </c>
      <c r="D1224" s="8" t="s">
        <v>13929</v>
      </c>
      <c r="E1224" s="8" t="s">
        <v>30</v>
      </c>
      <c r="F1224">
        <v>4</v>
      </c>
      <c r="G1224" s="2">
        <v>46208.75</v>
      </c>
      <c r="H1224" s="2">
        <v>46208.583333333336</v>
      </c>
    </row>
    <row r="1225" spans="1:8" x14ac:dyDescent="0.25">
      <c r="A1225" s="8" t="s">
        <v>4285</v>
      </c>
      <c r="B1225" s="8" t="s">
        <v>14075</v>
      </c>
      <c r="C1225" s="2">
        <v>46208.416666666664</v>
      </c>
      <c r="D1225" s="8" t="s">
        <v>13929</v>
      </c>
      <c r="E1225" s="8" t="s">
        <v>41</v>
      </c>
      <c r="F1225">
        <v>1</v>
      </c>
      <c r="G1225" s="2">
        <v>46208.75</v>
      </c>
      <c r="H1225" s="2">
        <v>46208.583333333336</v>
      </c>
    </row>
    <row r="1226" spans="1:8" x14ac:dyDescent="0.25">
      <c r="A1226" s="8" t="s">
        <v>4288</v>
      </c>
      <c r="B1226" s="8" t="s">
        <v>14075</v>
      </c>
      <c r="C1226" s="2">
        <v>46208.416666666664</v>
      </c>
      <c r="D1226" s="8" t="s">
        <v>13929</v>
      </c>
      <c r="E1226" s="8" t="s">
        <v>45</v>
      </c>
      <c r="F1226">
        <v>2</v>
      </c>
      <c r="G1226" s="2">
        <v>46208.75</v>
      </c>
      <c r="H1226" s="2">
        <v>46208.583333333336</v>
      </c>
    </row>
    <row r="1227" spans="1:8" x14ac:dyDescent="0.25">
      <c r="A1227" s="8" t="s">
        <v>4291</v>
      </c>
      <c r="B1227" s="8" t="s">
        <v>14075</v>
      </c>
      <c r="C1227" s="2">
        <v>46208.416666666664</v>
      </c>
      <c r="D1227" s="8" t="s">
        <v>13929</v>
      </c>
      <c r="E1227" s="8" t="s">
        <v>47</v>
      </c>
      <c r="F1227">
        <v>3</v>
      </c>
      <c r="G1227" s="2">
        <v>46208.75</v>
      </c>
      <c r="H1227" s="2">
        <v>46208.583333333336</v>
      </c>
    </row>
    <row r="1228" spans="1:8" x14ac:dyDescent="0.25">
      <c r="A1228" s="8" t="s">
        <v>4294</v>
      </c>
      <c r="B1228" s="8" t="s">
        <v>14075</v>
      </c>
      <c r="C1228" s="2">
        <v>46208.416666666664</v>
      </c>
      <c r="D1228" s="8" t="s">
        <v>13929</v>
      </c>
      <c r="E1228" s="8" t="s">
        <v>53</v>
      </c>
      <c r="F1228">
        <v>5</v>
      </c>
      <c r="G1228" s="2">
        <v>46208.75</v>
      </c>
      <c r="H1228" s="2">
        <v>46208.583333333336</v>
      </c>
    </row>
    <row r="1229" spans="1:8" x14ac:dyDescent="0.25">
      <c r="A1229" s="8" t="s">
        <v>4297</v>
      </c>
      <c r="B1229" s="8" t="s">
        <v>14075</v>
      </c>
      <c r="C1229" s="2">
        <v>46208.416666666664</v>
      </c>
      <c r="D1229" s="8" t="s">
        <v>13929</v>
      </c>
      <c r="E1229" s="8" t="s">
        <v>57</v>
      </c>
      <c r="F1229">
        <v>5</v>
      </c>
      <c r="G1229" s="2">
        <v>46208.75</v>
      </c>
      <c r="H1229" s="2">
        <v>46208.583333333336</v>
      </c>
    </row>
    <row r="1230" spans="1:8" x14ac:dyDescent="0.25">
      <c r="A1230" s="8" t="s">
        <v>4300</v>
      </c>
      <c r="B1230" s="8" t="s">
        <v>14075</v>
      </c>
      <c r="C1230" s="2">
        <v>46208.416666666664</v>
      </c>
      <c r="D1230" s="8" t="s">
        <v>13929</v>
      </c>
      <c r="E1230" s="8" t="s">
        <v>71</v>
      </c>
      <c r="F1230">
        <v>3</v>
      </c>
      <c r="G1230" s="2">
        <v>46208.75</v>
      </c>
      <c r="H1230" s="2">
        <v>46208.583333333336</v>
      </c>
    </row>
    <row r="1231" spans="1:8" x14ac:dyDescent="0.25">
      <c r="A1231" s="8" t="s">
        <v>4303</v>
      </c>
      <c r="B1231" s="8" t="s">
        <v>14075</v>
      </c>
      <c r="C1231" s="2">
        <v>46208.416666666664</v>
      </c>
      <c r="D1231" s="8" t="s">
        <v>13929</v>
      </c>
      <c r="E1231" s="8" t="s">
        <v>75</v>
      </c>
      <c r="F1231">
        <v>5</v>
      </c>
      <c r="G1231" s="2">
        <v>46208.75</v>
      </c>
      <c r="H1231" s="2">
        <v>46208.583333333336</v>
      </c>
    </row>
    <row r="1232" spans="1:8" x14ac:dyDescent="0.25">
      <c r="A1232" s="8" t="s">
        <v>4306</v>
      </c>
      <c r="B1232" s="8" t="s">
        <v>14076</v>
      </c>
      <c r="C1232" s="2">
        <v>46208.416666666664</v>
      </c>
      <c r="D1232" s="8" t="s">
        <v>13931</v>
      </c>
      <c r="E1232" s="8" t="s">
        <v>20</v>
      </c>
      <c r="F1232">
        <v>4</v>
      </c>
      <c r="G1232" s="2">
        <v>46208.75</v>
      </c>
      <c r="H1232" s="2">
        <v>46208.583333333336</v>
      </c>
    </row>
    <row r="1233" spans="1:8" x14ac:dyDescent="0.25">
      <c r="A1233" s="8" t="s">
        <v>4309</v>
      </c>
      <c r="B1233" s="8" t="s">
        <v>14076</v>
      </c>
      <c r="C1233" s="2">
        <v>46208.416666666664</v>
      </c>
      <c r="D1233" s="8" t="s">
        <v>13931</v>
      </c>
      <c r="E1233" s="8" t="s">
        <v>24</v>
      </c>
      <c r="F1233">
        <v>3</v>
      </c>
      <c r="G1233" s="2">
        <v>46208.75</v>
      </c>
      <c r="H1233" s="2">
        <v>46208.583333333336</v>
      </c>
    </row>
    <row r="1234" spans="1:8" x14ac:dyDescent="0.25">
      <c r="A1234" s="8" t="s">
        <v>4312</v>
      </c>
      <c r="B1234" s="8" t="s">
        <v>14076</v>
      </c>
      <c r="C1234" s="2">
        <v>46208.416666666664</v>
      </c>
      <c r="D1234" s="8" t="s">
        <v>13931</v>
      </c>
      <c r="E1234" s="8" t="s">
        <v>30</v>
      </c>
      <c r="F1234">
        <v>3</v>
      </c>
      <c r="G1234" s="2">
        <v>46208.75</v>
      </c>
      <c r="H1234" s="2">
        <v>46208.583333333336</v>
      </c>
    </row>
    <row r="1235" spans="1:8" x14ac:dyDescent="0.25">
      <c r="A1235" s="8" t="s">
        <v>4315</v>
      </c>
      <c r="B1235" s="8" t="s">
        <v>14076</v>
      </c>
      <c r="C1235" s="2">
        <v>46208.416666666664</v>
      </c>
      <c r="D1235" s="8" t="s">
        <v>13931</v>
      </c>
      <c r="E1235" s="8" t="s">
        <v>36</v>
      </c>
      <c r="F1235">
        <v>6</v>
      </c>
      <c r="G1235" s="2">
        <v>46208.75</v>
      </c>
      <c r="H1235" s="2">
        <v>46208.583333333336</v>
      </c>
    </row>
    <row r="1236" spans="1:8" x14ac:dyDescent="0.25">
      <c r="A1236" s="8" t="s">
        <v>4318</v>
      </c>
      <c r="B1236" s="8" t="s">
        <v>14076</v>
      </c>
      <c r="C1236" s="2">
        <v>46208.416666666664</v>
      </c>
      <c r="D1236" s="8" t="s">
        <v>13931</v>
      </c>
      <c r="E1236" s="8" t="s">
        <v>57</v>
      </c>
      <c r="F1236">
        <v>6</v>
      </c>
      <c r="G1236" s="2">
        <v>46208.75</v>
      </c>
      <c r="H1236" s="2">
        <v>46208.583333333336</v>
      </c>
    </row>
    <row r="1237" spans="1:8" x14ac:dyDescent="0.25">
      <c r="A1237" s="8" t="s">
        <v>4321</v>
      </c>
      <c r="B1237" s="8" t="s">
        <v>14076</v>
      </c>
      <c r="C1237" s="2">
        <v>46208.416666666664</v>
      </c>
      <c r="D1237" s="8" t="s">
        <v>13931</v>
      </c>
      <c r="E1237" s="8" t="s">
        <v>59</v>
      </c>
      <c r="F1237">
        <v>6</v>
      </c>
      <c r="G1237" s="2">
        <v>46208.75</v>
      </c>
      <c r="H1237" s="2">
        <v>46208.583333333336</v>
      </c>
    </row>
    <row r="1238" spans="1:8" x14ac:dyDescent="0.25">
      <c r="A1238" s="8" t="s">
        <v>4324</v>
      </c>
      <c r="B1238" s="8" t="s">
        <v>14077</v>
      </c>
      <c r="C1238" s="2">
        <v>46208.416666666664</v>
      </c>
      <c r="D1238" s="8" t="s">
        <v>13933</v>
      </c>
      <c r="E1238" s="8" t="s">
        <v>24</v>
      </c>
      <c r="F1238">
        <v>3</v>
      </c>
      <c r="G1238" s="2">
        <v>46208.75</v>
      </c>
      <c r="H1238" s="2">
        <v>46208.583333333336</v>
      </c>
    </row>
    <row r="1239" spans="1:8" x14ac:dyDescent="0.25">
      <c r="A1239" s="8" t="s">
        <v>4327</v>
      </c>
      <c r="B1239" s="8" t="s">
        <v>14077</v>
      </c>
      <c r="C1239" s="2">
        <v>46208.416666666664</v>
      </c>
      <c r="D1239" s="8" t="s">
        <v>13933</v>
      </c>
      <c r="E1239" s="8" t="s">
        <v>26</v>
      </c>
      <c r="F1239">
        <v>5</v>
      </c>
      <c r="G1239" s="2">
        <v>46208.75</v>
      </c>
      <c r="H1239" s="2">
        <v>46208.583333333336</v>
      </c>
    </row>
    <row r="1240" spans="1:8" x14ac:dyDescent="0.25">
      <c r="A1240" s="8" t="s">
        <v>4330</v>
      </c>
      <c r="B1240" s="8" t="s">
        <v>14077</v>
      </c>
      <c r="C1240" s="2">
        <v>46208.416666666664</v>
      </c>
      <c r="D1240" s="8" t="s">
        <v>13933</v>
      </c>
      <c r="E1240" s="8" t="s">
        <v>32</v>
      </c>
      <c r="F1240">
        <v>3</v>
      </c>
      <c r="G1240" s="2">
        <v>46208.75</v>
      </c>
      <c r="H1240" s="2">
        <v>46208.583333333336</v>
      </c>
    </row>
    <row r="1241" spans="1:8" x14ac:dyDescent="0.25">
      <c r="A1241" s="8" t="s">
        <v>4333</v>
      </c>
      <c r="B1241" s="8" t="s">
        <v>14077</v>
      </c>
      <c r="C1241" s="2">
        <v>46208.416666666664</v>
      </c>
      <c r="D1241" s="8" t="s">
        <v>13933</v>
      </c>
      <c r="E1241" s="8" t="s">
        <v>49</v>
      </c>
      <c r="F1241">
        <v>8</v>
      </c>
      <c r="G1241" s="2">
        <v>46208.75</v>
      </c>
      <c r="H1241" s="2">
        <v>46208.583333333336</v>
      </c>
    </row>
    <row r="1242" spans="1:8" x14ac:dyDescent="0.25">
      <c r="A1242" s="8" t="s">
        <v>4336</v>
      </c>
      <c r="B1242" s="8" t="s">
        <v>14077</v>
      </c>
      <c r="C1242" s="2">
        <v>46208.416666666664</v>
      </c>
      <c r="D1242" s="8" t="s">
        <v>13933</v>
      </c>
      <c r="E1242" s="8" t="s">
        <v>55</v>
      </c>
      <c r="F1242">
        <v>2</v>
      </c>
      <c r="G1242" s="2">
        <v>46208.75</v>
      </c>
      <c r="H1242" s="2">
        <v>46208.583333333336</v>
      </c>
    </row>
    <row r="1243" spans="1:8" x14ac:dyDescent="0.25">
      <c r="A1243" s="8" t="s">
        <v>4339</v>
      </c>
      <c r="B1243" s="8" t="s">
        <v>14077</v>
      </c>
      <c r="C1243" s="2">
        <v>46208.416666666664</v>
      </c>
      <c r="D1243" s="8" t="s">
        <v>13933</v>
      </c>
      <c r="E1243" s="8" t="s">
        <v>71</v>
      </c>
      <c r="F1243">
        <v>6</v>
      </c>
      <c r="G1243" s="2">
        <v>46208.75</v>
      </c>
      <c r="H1243" s="2">
        <v>46208.583333333336</v>
      </c>
    </row>
    <row r="1244" spans="1:8" x14ac:dyDescent="0.25">
      <c r="A1244" s="8" t="s">
        <v>4342</v>
      </c>
      <c r="B1244" s="8" t="s">
        <v>14078</v>
      </c>
      <c r="C1244" s="2">
        <v>46208.416666666664</v>
      </c>
      <c r="D1244" s="8" t="s">
        <v>13935</v>
      </c>
      <c r="E1244" s="8" t="s">
        <v>20</v>
      </c>
      <c r="F1244">
        <v>9</v>
      </c>
      <c r="G1244" s="2">
        <v>46208.75</v>
      </c>
      <c r="H1244" s="2">
        <v>46208.583333333336</v>
      </c>
    </row>
    <row r="1245" spans="1:8" x14ac:dyDescent="0.25">
      <c r="A1245" s="8" t="s">
        <v>4345</v>
      </c>
      <c r="B1245" s="8" t="s">
        <v>14078</v>
      </c>
      <c r="C1245" s="2">
        <v>46208.416666666664</v>
      </c>
      <c r="D1245" s="8" t="s">
        <v>13935</v>
      </c>
      <c r="E1245" s="8" t="s">
        <v>22</v>
      </c>
      <c r="F1245">
        <v>4</v>
      </c>
      <c r="G1245" s="2">
        <v>46208.75</v>
      </c>
      <c r="H1245" s="2">
        <v>46208.583333333336</v>
      </c>
    </row>
    <row r="1246" spans="1:8" x14ac:dyDescent="0.25">
      <c r="A1246" s="8" t="s">
        <v>4348</v>
      </c>
      <c r="B1246" s="8" t="s">
        <v>14078</v>
      </c>
      <c r="C1246" s="2">
        <v>46208.416666666664</v>
      </c>
      <c r="D1246" s="8" t="s">
        <v>13935</v>
      </c>
      <c r="E1246" s="8" t="s">
        <v>24</v>
      </c>
      <c r="F1246">
        <v>5</v>
      </c>
      <c r="G1246" s="2">
        <v>46208.75</v>
      </c>
      <c r="H1246" s="2">
        <v>46208.583333333336</v>
      </c>
    </row>
    <row r="1247" spans="1:8" x14ac:dyDescent="0.25">
      <c r="A1247" s="8" t="s">
        <v>4351</v>
      </c>
      <c r="B1247" s="8" t="s">
        <v>14078</v>
      </c>
      <c r="C1247" s="2">
        <v>46208.416666666664</v>
      </c>
      <c r="D1247" s="8" t="s">
        <v>13935</v>
      </c>
      <c r="E1247" s="8" t="s">
        <v>26</v>
      </c>
      <c r="F1247">
        <v>7</v>
      </c>
      <c r="G1247" s="2">
        <v>46208.75</v>
      </c>
      <c r="H1247" s="2">
        <v>46208.583333333336</v>
      </c>
    </row>
    <row r="1248" spans="1:8" x14ac:dyDescent="0.25">
      <c r="A1248" s="8" t="s">
        <v>4354</v>
      </c>
      <c r="B1248" s="8" t="s">
        <v>14078</v>
      </c>
      <c r="C1248" s="2">
        <v>46208.416666666664</v>
      </c>
      <c r="D1248" s="8" t="s">
        <v>13935</v>
      </c>
      <c r="E1248" s="8" t="s">
        <v>28</v>
      </c>
      <c r="F1248">
        <v>4</v>
      </c>
      <c r="G1248" s="2">
        <v>46208.75</v>
      </c>
      <c r="H1248" s="2">
        <v>46208.583333333336</v>
      </c>
    </row>
    <row r="1249" spans="1:8" x14ac:dyDescent="0.25">
      <c r="A1249" s="8" t="s">
        <v>4357</v>
      </c>
      <c r="B1249" s="8" t="s">
        <v>14078</v>
      </c>
      <c r="C1249" s="2">
        <v>46208.416666666664</v>
      </c>
      <c r="D1249" s="8" t="s">
        <v>13935</v>
      </c>
      <c r="E1249" s="8" t="s">
        <v>32</v>
      </c>
      <c r="F1249">
        <v>7</v>
      </c>
      <c r="G1249" s="2">
        <v>46208.75</v>
      </c>
      <c r="H1249" s="2">
        <v>46208.583333333336</v>
      </c>
    </row>
    <row r="1250" spans="1:8" x14ac:dyDescent="0.25">
      <c r="A1250" s="8" t="s">
        <v>4360</v>
      </c>
      <c r="B1250" s="8" t="s">
        <v>14078</v>
      </c>
      <c r="C1250" s="2">
        <v>46208.416666666664</v>
      </c>
      <c r="D1250" s="8" t="s">
        <v>13935</v>
      </c>
      <c r="E1250" s="8" t="s">
        <v>36</v>
      </c>
      <c r="F1250">
        <v>4</v>
      </c>
      <c r="G1250" s="2">
        <v>46208.75</v>
      </c>
      <c r="H1250" s="2">
        <v>46208.583333333336</v>
      </c>
    </row>
    <row r="1251" spans="1:8" x14ac:dyDescent="0.25">
      <c r="A1251" s="8" t="s">
        <v>4363</v>
      </c>
      <c r="B1251" s="8" t="s">
        <v>14078</v>
      </c>
      <c r="C1251" s="2">
        <v>46208.416666666664</v>
      </c>
      <c r="D1251" s="8" t="s">
        <v>13935</v>
      </c>
      <c r="E1251" s="8" t="s">
        <v>47</v>
      </c>
      <c r="F1251">
        <v>7</v>
      </c>
      <c r="G1251" s="2">
        <v>46208.75</v>
      </c>
      <c r="H1251" s="2">
        <v>46208.583333333336</v>
      </c>
    </row>
    <row r="1252" spans="1:8" x14ac:dyDescent="0.25">
      <c r="A1252" s="8" t="s">
        <v>4366</v>
      </c>
      <c r="B1252" s="8" t="s">
        <v>14078</v>
      </c>
      <c r="C1252" s="2">
        <v>46208.416666666664</v>
      </c>
      <c r="D1252" s="8" t="s">
        <v>13935</v>
      </c>
      <c r="E1252" s="8" t="s">
        <v>53</v>
      </c>
      <c r="F1252">
        <v>2</v>
      </c>
      <c r="G1252" s="2">
        <v>46208.75</v>
      </c>
      <c r="H1252" s="2">
        <v>46208.583333333336</v>
      </c>
    </row>
    <row r="1253" spans="1:8" x14ac:dyDescent="0.25">
      <c r="A1253" s="8" t="s">
        <v>4369</v>
      </c>
      <c r="B1253" s="8" t="s">
        <v>14078</v>
      </c>
      <c r="C1253" s="2">
        <v>46208.416666666664</v>
      </c>
      <c r="D1253" s="8" t="s">
        <v>13935</v>
      </c>
      <c r="E1253" s="8" t="s">
        <v>59</v>
      </c>
      <c r="F1253">
        <v>5</v>
      </c>
      <c r="G1253" s="2">
        <v>46208.75</v>
      </c>
      <c r="H1253" s="2">
        <v>46208.583333333336</v>
      </c>
    </row>
    <row r="1254" spans="1:8" x14ac:dyDescent="0.25">
      <c r="A1254" s="8" t="s">
        <v>4372</v>
      </c>
      <c r="B1254" s="8" t="s">
        <v>14078</v>
      </c>
      <c r="C1254" s="2">
        <v>46208.416666666664</v>
      </c>
      <c r="D1254" s="8" t="s">
        <v>13935</v>
      </c>
      <c r="E1254" s="8" t="s">
        <v>67</v>
      </c>
      <c r="F1254">
        <v>9</v>
      </c>
      <c r="G1254" s="2">
        <v>46208.75</v>
      </c>
      <c r="H1254" s="2">
        <v>46208.583333333336</v>
      </c>
    </row>
    <row r="1255" spans="1:8" x14ac:dyDescent="0.25">
      <c r="A1255" s="8" t="s">
        <v>4375</v>
      </c>
      <c r="B1255" s="8" t="s">
        <v>14078</v>
      </c>
      <c r="C1255" s="2">
        <v>46208.416666666664</v>
      </c>
      <c r="D1255" s="8" t="s">
        <v>13935</v>
      </c>
      <c r="E1255" s="8" t="s">
        <v>69</v>
      </c>
      <c r="F1255">
        <v>5</v>
      </c>
      <c r="G1255" s="2">
        <v>46208.75</v>
      </c>
      <c r="H1255" s="2">
        <v>46208.583333333336</v>
      </c>
    </row>
    <row r="1256" spans="1:8" x14ac:dyDescent="0.25">
      <c r="A1256" s="8" t="s">
        <v>4378</v>
      </c>
      <c r="B1256" s="8" t="s">
        <v>14078</v>
      </c>
      <c r="C1256" s="2">
        <v>46208.416666666664</v>
      </c>
      <c r="D1256" s="8" t="s">
        <v>13935</v>
      </c>
      <c r="E1256" s="8" t="s">
        <v>75</v>
      </c>
      <c r="F1256">
        <v>2</v>
      </c>
      <c r="G1256" s="2">
        <v>46208.75</v>
      </c>
      <c r="H1256" s="2">
        <v>46208.583333333336</v>
      </c>
    </row>
    <row r="1257" spans="1:8" x14ac:dyDescent="0.25">
      <c r="A1257" s="8" t="s">
        <v>4381</v>
      </c>
      <c r="B1257" s="8" t="s">
        <v>14079</v>
      </c>
      <c r="C1257" s="2">
        <v>46208.416666666664</v>
      </c>
      <c r="D1257" s="8" t="s">
        <v>13937</v>
      </c>
      <c r="E1257" s="8" t="s">
        <v>11</v>
      </c>
      <c r="F1257">
        <v>6</v>
      </c>
      <c r="G1257" s="2">
        <v>46208.75</v>
      </c>
      <c r="H1257" s="2">
        <v>46208.583333333336</v>
      </c>
    </row>
    <row r="1258" spans="1:8" x14ac:dyDescent="0.25">
      <c r="A1258" s="8" t="s">
        <v>4384</v>
      </c>
      <c r="B1258" s="8" t="s">
        <v>14079</v>
      </c>
      <c r="C1258" s="2">
        <v>46208.416666666664</v>
      </c>
      <c r="D1258" s="8" t="s">
        <v>13937</v>
      </c>
      <c r="E1258" s="8" t="s">
        <v>18</v>
      </c>
      <c r="F1258">
        <v>4</v>
      </c>
      <c r="G1258" s="2">
        <v>46208.75</v>
      </c>
      <c r="H1258" s="2">
        <v>46208.583333333336</v>
      </c>
    </row>
    <row r="1259" spans="1:8" x14ac:dyDescent="0.25">
      <c r="A1259" s="8" t="s">
        <v>4387</v>
      </c>
      <c r="B1259" s="8" t="s">
        <v>14079</v>
      </c>
      <c r="C1259" s="2">
        <v>46208.416666666664</v>
      </c>
      <c r="D1259" s="8" t="s">
        <v>13937</v>
      </c>
      <c r="E1259" s="8" t="s">
        <v>22</v>
      </c>
      <c r="F1259">
        <v>5</v>
      </c>
      <c r="G1259" s="2">
        <v>46208.75</v>
      </c>
      <c r="H1259" s="2">
        <v>46208.583333333336</v>
      </c>
    </row>
    <row r="1260" spans="1:8" x14ac:dyDescent="0.25">
      <c r="A1260" s="8" t="s">
        <v>4390</v>
      </c>
      <c r="B1260" s="8" t="s">
        <v>14079</v>
      </c>
      <c r="C1260" s="2">
        <v>46208.416666666664</v>
      </c>
      <c r="D1260" s="8" t="s">
        <v>13937</v>
      </c>
      <c r="E1260" s="8" t="s">
        <v>26</v>
      </c>
      <c r="F1260">
        <v>6</v>
      </c>
      <c r="G1260" s="2">
        <v>46208.75</v>
      </c>
      <c r="H1260" s="2">
        <v>46208.583333333336</v>
      </c>
    </row>
    <row r="1261" spans="1:8" x14ac:dyDescent="0.25">
      <c r="A1261" s="8" t="s">
        <v>4393</v>
      </c>
      <c r="B1261" s="8" t="s">
        <v>14079</v>
      </c>
      <c r="C1261" s="2">
        <v>46208.416666666664</v>
      </c>
      <c r="D1261" s="8" t="s">
        <v>13937</v>
      </c>
      <c r="E1261" s="8" t="s">
        <v>28</v>
      </c>
      <c r="F1261">
        <v>4</v>
      </c>
      <c r="G1261" s="2">
        <v>46208.75</v>
      </c>
      <c r="H1261" s="2">
        <v>46208.583333333336</v>
      </c>
    </row>
    <row r="1262" spans="1:8" x14ac:dyDescent="0.25">
      <c r="A1262" s="8" t="s">
        <v>4396</v>
      </c>
      <c r="B1262" s="8" t="s">
        <v>14079</v>
      </c>
      <c r="C1262" s="2">
        <v>46208.416666666664</v>
      </c>
      <c r="D1262" s="8" t="s">
        <v>13937</v>
      </c>
      <c r="E1262" s="8" t="s">
        <v>32</v>
      </c>
      <c r="F1262">
        <v>2</v>
      </c>
      <c r="G1262" s="2">
        <v>46208.75</v>
      </c>
      <c r="H1262" s="2">
        <v>46208.583333333336</v>
      </c>
    </row>
    <row r="1263" spans="1:8" x14ac:dyDescent="0.25">
      <c r="A1263" s="8" t="s">
        <v>4399</v>
      </c>
      <c r="B1263" s="8" t="s">
        <v>14079</v>
      </c>
      <c r="C1263" s="2">
        <v>46208.416666666664</v>
      </c>
      <c r="D1263" s="8" t="s">
        <v>13937</v>
      </c>
      <c r="E1263" s="8" t="s">
        <v>43</v>
      </c>
      <c r="F1263">
        <v>2</v>
      </c>
      <c r="G1263" s="2">
        <v>46208.75</v>
      </c>
      <c r="H1263" s="2">
        <v>46208.583333333336</v>
      </c>
    </row>
    <row r="1264" spans="1:8" x14ac:dyDescent="0.25">
      <c r="A1264" s="8" t="s">
        <v>4402</v>
      </c>
      <c r="B1264" s="8" t="s">
        <v>14079</v>
      </c>
      <c r="C1264" s="2">
        <v>46208.416666666664</v>
      </c>
      <c r="D1264" s="8" t="s">
        <v>13937</v>
      </c>
      <c r="E1264" s="8" t="s">
        <v>45</v>
      </c>
      <c r="F1264">
        <v>1</v>
      </c>
      <c r="G1264" s="2">
        <v>46208.75</v>
      </c>
      <c r="H1264" s="2">
        <v>46208.583333333336</v>
      </c>
    </row>
    <row r="1265" spans="1:8" x14ac:dyDescent="0.25">
      <c r="A1265" s="8" t="s">
        <v>4405</v>
      </c>
      <c r="B1265" s="8" t="s">
        <v>14079</v>
      </c>
      <c r="C1265" s="2">
        <v>46208.416666666664</v>
      </c>
      <c r="D1265" s="8" t="s">
        <v>13937</v>
      </c>
      <c r="E1265" s="8" t="s">
        <v>51</v>
      </c>
      <c r="F1265">
        <v>4</v>
      </c>
      <c r="G1265" s="2">
        <v>46208.75</v>
      </c>
      <c r="H1265" s="2">
        <v>46208.583333333336</v>
      </c>
    </row>
    <row r="1266" spans="1:8" x14ac:dyDescent="0.25">
      <c r="A1266" s="8" t="s">
        <v>4408</v>
      </c>
      <c r="B1266" s="8" t="s">
        <v>14079</v>
      </c>
      <c r="C1266" s="2">
        <v>46208.416666666664</v>
      </c>
      <c r="D1266" s="8" t="s">
        <v>13937</v>
      </c>
      <c r="E1266" s="8" t="s">
        <v>65</v>
      </c>
      <c r="F1266">
        <v>5</v>
      </c>
      <c r="G1266" s="2">
        <v>46208.75</v>
      </c>
      <c r="H1266" s="2">
        <v>46208.583333333336</v>
      </c>
    </row>
    <row r="1267" spans="1:8" x14ac:dyDescent="0.25">
      <c r="A1267" s="8" t="s">
        <v>4411</v>
      </c>
      <c r="B1267" s="8" t="s">
        <v>14079</v>
      </c>
      <c r="C1267" s="2">
        <v>46208.416666666664</v>
      </c>
      <c r="D1267" s="8" t="s">
        <v>13937</v>
      </c>
      <c r="E1267" s="8" t="s">
        <v>73</v>
      </c>
      <c r="F1267">
        <v>6</v>
      </c>
      <c r="G1267" s="2">
        <v>46208.75</v>
      </c>
      <c r="H1267" s="2">
        <v>46208.583333333336</v>
      </c>
    </row>
    <row r="1268" spans="1:8" x14ac:dyDescent="0.25">
      <c r="A1268" s="8" t="s">
        <v>4414</v>
      </c>
      <c r="B1268" s="8" t="s">
        <v>14079</v>
      </c>
      <c r="C1268" s="2">
        <v>46208.416666666664</v>
      </c>
      <c r="D1268" s="8" t="s">
        <v>13937</v>
      </c>
      <c r="E1268" s="8" t="s">
        <v>77</v>
      </c>
      <c r="F1268">
        <v>5</v>
      </c>
      <c r="G1268" s="2">
        <v>46208.75</v>
      </c>
      <c r="H1268" s="2">
        <v>46208.583333333336</v>
      </c>
    </row>
    <row r="1269" spans="1:8" x14ac:dyDescent="0.25">
      <c r="A1269" s="8" t="s">
        <v>4417</v>
      </c>
      <c r="B1269" s="8" t="s">
        <v>14080</v>
      </c>
      <c r="C1269" s="2">
        <v>46209.416666666664</v>
      </c>
      <c r="D1269" s="8" t="s">
        <v>13929</v>
      </c>
      <c r="E1269" s="8" t="s">
        <v>11</v>
      </c>
      <c r="F1269">
        <v>4</v>
      </c>
      <c r="G1269" s="2">
        <v>46209.75</v>
      </c>
      <c r="H1269" s="2">
        <v>46209.583333333336</v>
      </c>
    </row>
    <row r="1270" spans="1:8" x14ac:dyDescent="0.25">
      <c r="A1270" s="8" t="s">
        <v>4420</v>
      </c>
      <c r="B1270" s="8" t="s">
        <v>14080</v>
      </c>
      <c r="C1270" s="2">
        <v>46209.416666666664</v>
      </c>
      <c r="D1270" s="8" t="s">
        <v>13929</v>
      </c>
      <c r="E1270" s="8" t="s">
        <v>24</v>
      </c>
      <c r="F1270">
        <v>2</v>
      </c>
      <c r="G1270" s="2">
        <v>46209.75</v>
      </c>
      <c r="H1270" s="2">
        <v>46209.583333333336</v>
      </c>
    </row>
    <row r="1271" spans="1:8" x14ac:dyDescent="0.25">
      <c r="A1271" s="8" t="s">
        <v>4423</v>
      </c>
      <c r="B1271" s="8" t="s">
        <v>14080</v>
      </c>
      <c r="C1271" s="2">
        <v>46209.416666666664</v>
      </c>
      <c r="D1271" s="8" t="s">
        <v>13929</v>
      </c>
      <c r="E1271" s="8" t="s">
        <v>28</v>
      </c>
      <c r="F1271">
        <v>2</v>
      </c>
      <c r="G1271" s="2">
        <v>46209.75</v>
      </c>
      <c r="H1271" s="2">
        <v>46209.583333333336</v>
      </c>
    </row>
    <row r="1272" spans="1:8" x14ac:dyDescent="0.25">
      <c r="A1272" s="8" t="s">
        <v>4426</v>
      </c>
      <c r="B1272" s="8" t="s">
        <v>14080</v>
      </c>
      <c r="C1272" s="2">
        <v>46209.416666666664</v>
      </c>
      <c r="D1272" s="8" t="s">
        <v>13929</v>
      </c>
      <c r="E1272" s="8" t="s">
        <v>32</v>
      </c>
      <c r="F1272">
        <v>4</v>
      </c>
      <c r="G1272" s="2">
        <v>46209.75</v>
      </c>
      <c r="H1272" s="2">
        <v>46209.583333333336</v>
      </c>
    </row>
    <row r="1273" spans="1:8" x14ac:dyDescent="0.25">
      <c r="A1273" s="8" t="s">
        <v>4429</v>
      </c>
      <c r="B1273" s="8" t="s">
        <v>14080</v>
      </c>
      <c r="C1273" s="2">
        <v>46209.416666666664</v>
      </c>
      <c r="D1273" s="8" t="s">
        <v>13929</v>
      </c>
      <c r="E1273" s="8" t="s">
        <v>43</v>
      </c>
      <c r="F1273">
        <v>2</v>
      </c>
      <c r="G1273" s="2">
        <v>46209.75</v>
      </c>
      <c r="H1273" s="2">
        <v>46209.583333333336</v>
      </c>
    </row>
    <row r="1274" spans="1:8" x14ac:dyDescent="0.25">
      <c r="A1274" s="8" t="s">
        <v>4432</v>
      </c>
      <c r="B1274" s="8" t="s">
        <v>14080</v>
      </c>
      <c r="C1274" s="2">
        <v>46209.416666666664</v>
      </c>
      <c r="D1274" s="8" t="s">
        <v>13929</v>
      </c>
      <c r="E1274" s="8" t="s">
        <v>45</v>
      </c>
      <c r="F1274">
        <v>1</v>
      </c>
      <c r="G1274" s="2">
        <v>46209.75</v>
      </c>
      <c r="H1274" s="2">
        <v>46209.583333333336</v>
      </c>
    </row>
    <row r="1275" spans="1:8" x14ac:dyDescent="0.25">
      <c r="A1275" s="8" t="s">
        <v>4435</v>
      </c>
      <c r="B1275" s="8" t="s">
        <v>14080</v>
      </c>
      <c r="C1275" s="2">
        <v>46209.416666666664</v>
      </c>
      <c r="D1275" s="8" t="s">
        <v>13929</v>
      </c>
      <c r="E1275" s="8" t="s">
        <v>53</v>
      </c>
      <c r="F1275">
        <v>4</v>
      </c>
      <c r="G1275" s="2">
        <v>46209.75</v>
      </c>
      <c r="H1275" s="2">
        <v>46209.583333333336</v>
      </c>
    </row>
    <row r="1276" spans="1:8" x14ac:dyDescent="0.25">
      <c r="A1276" s="8" t="s">
        <v>4438</v>
      </c>
      <c r="B1276" s="8" t="s">
        <v>14080</v>
      </c>
      <c r="C1276" s="2">
        <v>46209.416666666664</v>
      </c>
      <c r="D1276" s="8" t="s">
        <v>13929</v>
      </c>
      <c r="E1276" s="8" t="s">
        <v>57</v>
      </c>
      <c r="F1276">
        <v>2</v>
      </c>
      <c r="G1276" s="2">
        <v>46209.75</v>
      </c>
      <c r="H1276" s="2">
        <v>46209.583333333336</v>
      </c>
    </row>
    <row r="1277" spans="1:8" x14ac:dyDescent="0.25">
      <c r="A1277" s="8" t="s">
        <v>4441</v>
      </c>
      <c r="B1277" s="8" t="s">
        <v>14080</v>
      </c>
      <c r="C1277" s="2">
        <v>46209.416666666664</v>
      </c>
      <c r="D1277" s="8" t="s">
        <v>13929</v>
      </c>
      <c r="E1277" s="8" t="s">
        <v>67</v>
      </c>
      <c r="F1277">
        <v>4</v>
      </c>
      <c r="G1277" s="2">
        <v>46209.75</v>
      </c>
      <c r="H1277" s="2">
        <v>46209.583333333336</v>
      </c>
    </row>
    <row r="1278" spans="1:8" x14ac:dyDescent="0.25">
      <c r="A1278" s="8" t="s">
        <v>4444</v>
      </c>
      <c r="B1278" s="8" t="s">
        <v>14081</v>
      </c>
      <c r="C1278" s="2">
        <v>46209.416666666664</v>
      </c>
      <c r="D1278" s="8" t="s">
        <v>13931</v>
      </c>
      <c r="E1278" s="8" t="s">
        <v>11</v>
      </c>
      <c r="F1278">
        <v>4</v>
      </c>
      <c r="G1278" s="2">
        <v>46209.75</v>
      </c>
      <c r="H1278" s="2">
        <v>46209.583333333336</v>
      </c>
    </row>
    <row r="1279" spans="1:8" x14ac:dyDescent="0.25">
      <c r="A1279" s="8" t="s">
        <v>4447</v>
      </c>
      <c r="B1279" s="8" t="s">
        <v>14081</v>
      </c>
      <c r="C1279" s="2">
        <v>46209.416666666664</v>
      </c>
      <c r="D1279" s="8" t="s">
        <v>13931</v>
      </c>
      <c r="E1279" s="8" t="s">
        <v>18</v>
      </c>
      <c r="F1279">
        <v>1</v>
      </c>
      <c r="G1279" s="2">
        <v>46209.75</v>
      </c>
      <c r="H1279" s="2">
        <v>46209.583333333336</v>
      </c>
    </row>
    <row r="1280" spans="1:8" x14ac:dyDescent="0.25">
      <c r="A1280" s="8" t="s">
        <v>4450</v>
      </c>
      <c r="B1280" s="8" t="s">
        <v>14081</v>
      </c>
      <c r="C1280" s="2">
        <v>46209.416666666664</v>
      </c>
      <c r="D1280" s="8" t="s">
        <v>13931</v>
      </c>
      <c r="E1280" s="8" t="s">
        <v>22</v>
      </c>
      <c r="F1280">
        <v>1</v>
      </c>
      <c r="G1280" s="2">
        <v>46209.75</v>
      </c>
      <c r="H1280" s="2">
        <v>46209.583333333336</v>
      </c>
    </row>
    <row r="1281" spans="1:8" x14ac:dyDescent="0.25">
      <c r="A1281" s="8" t="s">
        <v>4453</v>
      </c>
      <c r="B1281" s="8" t="s">
        <v>14081</v>
      </c>
      <c r="C1281" s="2">
        <v>46209.416666666664</v>
      </c>
      <c r="D1281" s="8" t="s">
        <v>13931</v>
      </c>
      <c r="E1281" s="8" t="s">
        <v>24</v>
      </c>
      <c r="F1281">
        <v>3</v>
      </c>
      <c r="G1281" s="2">
        <v>46209.75</v>
      </c>
      <c r="H1281" s="2">
        <v>46209.583333333336</v>
      </c>
    </row>
    <row r="1282" spans="1:8" x14ac:dyDescent="0.25">
      <c r="A1282" s="8" t="s">
        <v>4456</v>
      </c>
      <c r="B1282" s="8" t="s">
        <v>14081</v>
      </c>
      <c r="C1282" s="2">
        <v>46209.416666666664</v>
      </c>
      <c r="D1282" s="8" t="s">
        <v>13931</v>
      </c>
      <c r="E1282" s="8" t="s">
        <v>32</v>
      </c>
      <c r="F1282">
        <v>1</v>
      </c>
      <c r="G1282" s="2">
        <v>46209.75</v>
      </c>
      <c r="H1282" s="2">
        <v>46209.583333333336</v>
      </c>
    </row>
    <row r="1283" spans="1:8" x14ac:dyDescent="0.25">
      <c r="A1283" s="8" t="s">
        <v>4459</v>
      </c>
      <c r="B1283" s="8" t="s">
        <v>14081</v>
      </c>
      <c r="C1283" s="2">
        <v>46209.416666666664</v>
      </c>
      <c r="D1283" s="8" t="s">
        <v>13931</v>
      </c>
      <c r="E1283" s="8" t="s">
        <v>53</v>
      </c>
      <c r="F1283">
        <v>4</v>
      </c>
      <c r="G1283" s="2">
        <v>46209.75</v>
      </c>
      <c r="H1283" s="2">
        <v>46209.583333333336</v>
      </c>
    </row>
    <row r="1284" spans="1:8" x14ac:dyDescent="0.25">
      <c r="A1284" s="8" t="s">
        <v>4462</v>
      </c>
      <c r="B1284" s="8" t="s">
        <v>14081</v>
      </c>
      <c r="C1284" s="2">
        <v>46209.416666666664</v>
      </c>
      <c r="D1284" s="8" t="s">
        <v>13931</v>
      </c>
      <c r="E1284" s="8" t="s">
        <v>65</v>
      </c>
      <c r="F1284">
        <v>2</v>
      </c>
      <c r="G1284" s="2">
        <v>46209.75</v>
      </c>
      <c r="H1284" s="2">
        <v>46209.583333333336</v>
      </c>
    </row>
    <row r="1285" spans="1:8" x14ac:dyDescent="0.25">
      <c r="A1285" s="8" t="s">
        <v>4465</v>
      </c>
      <c r="B1285" s="8" t="s">
        <v>14081</v>
      </c>
      <c r="C1285" s="2">
        <v>46209.416666666664</v>
      </c>
      <c r="D1285" s="8" t="s">
        <v>13931</v>
      </c>
      <c r="E1285" s="8" t="s">
        <v>67</v>
      </c>
      <c r="F1285">
        <v>1</v>
      </c>
      <c r="G1285" s="2">
        <v>46209.75</v>
      </c>
      <c r="H1285" s="2">
        <v>46209.583333333336</v>
      </c>
    </row>
    <row r="1286" spans="1:8" x14ac:dyDescent="0.25">
      <c r="A1286" s="8" t="s">
        <v>4468</v>
      </c>
      <c r="B1286" s="8" t="s">
        <v>14081</v>
      </c>
      <c r="C1286" s="2">
        <v>46209.416666666664</v>
      </c>
      <c r="D1286" s="8" t="s">
        <v>13931</v>
      </c>
      <c r="E1286" s="8" t="s">
        <v>71</v>
      </c>
      <c r="F1286">
        <v>4</v>
      </c>
      <c r="G1286" s="2">
        <v>46209.75</v>
      </c>
      <c r="H1286" s="2">
        <v>46209.583333333336</v>
      </c>
    </row>
    <row r="1287" spans="1:8" x14ac:dyDescent="0.25">
      <c r="A1287" s="8" t="s">
        <v>4471</v>
      </c>
      <c r="B1287" s="8" t="s">
        <v>14082</v>
      </c>
      <c r="C1287" s="2">
        <v>46209.416666666664</v>
      </c>
      <c r="D1287" s="8" t="s">
        <v>13933</v>
      </c>
      <c r="E1287" s="8" t="s">
        <v>20</v>
      </c>
      <c r="F1287">
        <v>6</v>
      </c>
      <c r="G1287" s="2">
        <v>46209.75</v>
      </c>
      <c r="H1287" s="2">
        <v>46209.583333333336</v>
      </c>
    </row>
    <row r="1288" spans="1:8" x14ac:dyDescent="0.25">
      <c r="A1288" s="8" t="s">
        <v>4474</v>
      </c>
      <c r="B1288" s="8" t="s">
        <v>14082</v>
      </c>
      <c r="C1288" s="2">
        <v>46209.416666666664</v>
      </c>
      <c r="D1288" s="8" t="s">
        <v>13933</v>
      </c>
      <c r="E1288" s="8" t="s">
        <v>28</v>
      </c>
      <c r="F1288">
        <v>4</v>
      </c>
      <c r="G1288" s="2">
        <v>46209.75</v>
      </c>
      <c r="H1288" s="2">
        <v>46209.583333333336</v>
      </c>
    </row>
    <row r="1289" spans="1:8" x14ac:dyDescent="0.25">
      <c r="A1289" s="8" t="s">
        <v>4477</v>
      </c>
      <c r="B1289" s="8" t="s">
        <v>14082</v>
      </c>
      <c r="C1289" s="2">
        <v>46209.416666666664</v>
      </c>
      <c r="D1289" s="8" t="s">
        <v>13933</v>
      </c>
      <c r="E1289" s="8" t="s">
        <v>41</v>
      </c>
      <c r="F1289">
        <v>5</v>
      </c>
      <c r="G1289" s="2">
        <v>46209.75</v>
      </c>
      <c r="H1289" s="2">
        <v>46209.583333333336</v>
      </c>
    </row>
    <row r="1290" spans="1:8" x14ac:dyDescent="0.25">
      <c r="A1290" s="8" t="s">
        <v>4480</v>
      </c>
      <c r="B1290" s="8" t="s">
        <v>14082</v>
      </c>
      <c r="C1290" s="2">
        <v>46209.416666666664</v>
      </c>
      <c r="D1290" s="8" t="s">
        <v>13933</v>
      </c>
      <c r="E1290" s="8" t="s">
        <v>45</v>
      </c>
      <c r="F1290">
        <v>5</v>
      </c>
      <c r="G1290" s="2">
        <v>46209.75</v>
      </c>
      <c r="H1290" s="2">
        <v>46209.583333333336</v>
      </c>
    </row>
    <row r="1291" spans="1:8" x14ac:dyDescent="0.25">
      <c r="A1291" s="8" t="s">
        <v>4483</v>
      </c>
      <c r="B1291" s="8" t="s">
        <v>14082</v>
      </c>
      <c r="C1291" s="2">
        <v>46209.416666666664</v>
      </c>
      <c r="D1291" s="8" t="s">
        <v>13933</v>
      </c>
      <c r="E1291" s="8" t="s">
        <v>47</v>
      </c>
      <c r="F1291">
        <v>6</v>
      </c>
      <c r="G1291" s="2">
        <v>46209.75</v>
      </c>
      <c r="H1291" s="2">
        <v>46209.583333333336</v>
      </c>
    </row>
    <row r="1292" spans="1:8" x14ac:dyDescent="0.25">
      <c r="A1292" s="8" t="s">
        <v>4486</v>
      </c>
      <c r="B1292" s="8" t="s">
        <v>14082</v>
      </c>
      <c r="C1292" s="2">
        <v>46209.416666666664</v>
      </c>
      <c r="D1292" s="8" t="s">
        <v>13933</v>
      </c>
      <c r="E1292" s="8" t="s">
        <v>51</v>
      </c>
      <c r="F1292">
        <v>1</v>
      </c>
      <c r="G1292" s="2">
        <v>46209.75</v>
      </c>
      <c r="H1292" s="2">
        <v>46209.583333333336</v>
      </c>
    </row>
    <row r="1293" spans="1:8" x14ac:dyDescent="0.25">
      <c r="A1293" s="8" t="s">
        <v>4489</v>
      </c>
      <c r="B1293" s="8" t="s">
        <v>14082</v>
      </c>
      <c r="C1293" s="2">
        <v>46209.416666666664</v>
      </c>
      <c r="D1293" s="8" t="s">
        <v>13933</v>
      </c>
      <c r="E1293" s="8" t="s">
        <v>69</v>
      </c>
      <c r="F1293">
        <v>4</v>
      </c>
      <c r="G1293" s="2">
        <v>46209.75</v>
      </c>
      <c r="H1293" s="2">
        <v>46209.583333333336</v>
      </c>
    </row>
    <row r="1294" spans="1:8" x14ac:dyDescent="0.25">
      <c r="A1294" s="8" t="s">
        <v>4492</v>
      </c>
      <c r="B1294" s="8" t="s">
        <v>14082</v>
      </c>
      <c r="C1294" s="2">
        <v>46209.416666666664</v>
      </c>
      <c r="D1294" s="8" t="s">
        <v>13933</v>
      </c>
      <c r="E1294" s="8" t="s">
        <v>73</v>
      </c>
      <c r="F1294">
        <v>2</v>
      </c>
      <c r="G1294" s="2">
        <v>46209.75</v>
      </c>
      <c r="H1294" s="2">
        <v>46209.583333333336</v>
      </c>
    </row>
    <row r="1295" spans="1:8" x14ac:dyDescent="0.25">
      <c r="A1295" s="8" t="s">
        <v>4497</v>
      </c>
      <c r="B1295" s="8" t="s">
        <v>14083</v>
      </c>
      <c r="C1295" s="2">
        <v>46209.416666666664</v>
      </c>
      <c r="D1295" s="8" t="s">
        <v>13935</v>
      </c>
      <c r="E1295" s="8" t="s">
        <v>20</v>
      </c>
      <c r="F1295">
        <v>4</v>
      </c>
      <c r="G1295" s="2">
        <v>46209.75</v>
      </c>
      <c r="H1295" s="2">
        <v>46209.583333333336</v>
      </c>
    </row>
    <row r="1296" spans="1:8" x14ac:dyDescent="0.25">
      <c r="A1296" s="8" t="s">
        <v>4500</v>
      </c>
      <c r="B1296" s="8" t="s">
        <v>14083</v>
      </c>
      <c r="C1296" s="2">
        <v>46209.416666666664</v>
      </c>
      <c r="D1296" s="8" t="s">
        <v>13935</v>
      </c>
      <c r="E1296" s="8" t="s">
        <v>26</v>
      </c>
      <c r="F1296">
        <v>4</v>
      </c>
      <c r="G1296" s="2">
        <v>46209.75</v>
      </c>
      <c r="H1296" s="2">
        <v>46209.583333333336</v>
      </c>
    </row>
    <row r="1297" spans="1:8" x14ac:dyDescent="0.25">
      <c r="A1297" s="8" t="s">
        <v>4503</v>
      </c>
      <c r="B1297" s="8" t="s">
        <v>14083</v>
      </c>
      <c r="C1297" s="2">
        <v>46209.416666666664</v>
      </c>
      <c r="D1297" s="8" t="s">
        <v>13935</v>
      </c>
      <c r="E1297" s="8" t="s">
        <v>30</v>
      </c>
      <c r="F1297">
        <v>6</v>
      </c>
      <c r="G1297" s="2">
        <v>46209.75</v>
      </c>
      <c r="H1297" s="2">
        <v>46209.583333333336</v>
      </c>
    </row>
    <row r="1298" spans="1:8" x14ac:dyDescent="0.25">
      <c r="A1298" s="8" t="s">
        <v>4506</v>
      </c>
      <c r="B1298" s="8" t="s">
        <v>14083</v>
      </c>
      <c r="C1298" s="2">
        <v>46209.416666666664</v>
      </c>
      <c r="D1298" s="8" t="s">
        <v>13935</v>
      </c>
      <c r="E1298" s="8" t="s">
        <v>32</v>
      </c>
      <c r="F1298">
        <v>7</v>
      </c>
      <c r="G1298" s="2">
        <v>46209.75</v>
      </c>
      <c r="H1298" s="2">
        <v>46209.583333333336</v>
      </c>
    </row>
    <row r="1299" spans="1:8" x14ac:dyDescent="0.25">
      <c r="A1299" s="8" t="s">
        <v>4509</v>
      </c>
      <c r="B1299" s="8" t="s">
        <v>14083</v>
      </c>
      <c r="C1299" s="2">
        <v>46209.416666666664</v>
      </c>
      <c r="D1299" s="8" t="s">
        <v>13935</v>
      </c>
      <c r="E1299" s="8" t="s">
        <v>43</v>
      </c>
      <c r="F1299">
        <v>3</v>
      </c>
      <c r="G1299" s="2">
        <v>46209.75</v>
      </c>
      <c r="H1299" s="2">
        <v>46209.583333333336</v>
      </c>
    </row>
    <row r="1300" spans="1:8" x14ac:dyDescent="0.25">
      <c r="A1300" s="8" t="s">
        <v>4512</v>
      </c>
      <c r="B1300" s="8" t="s">
        <v>14083</v>
      </c>
      <c r="C1300" s="2">
        <v>46209.416666666664</v>
      </c>
      <c r="D1300" s="8" t="s">
        <v>13935</v>
      </c>
      <c r="E1300" s="8" t="s">
        <v>53</v>
      </c>
      <c r="F1300">
        <v>1</v>
      </c>
      <c r="G1300" s="2">
        <v>46209.75</v>
      </c>
      <c r="H1300" s="2">
        <v>46209.583333333336</v>
      </c>
    </row>
    <row r="1301" spans="1:8" x14ac:dyDescent="0.25">
      <c r="A1301" s="8" t="s">
        <v>4515</v>
      </c>
      <c r="B1301" s="8" t="s">
        <v>14083</v>
      </c>
      <c r="C1301" s="2">
        <v>46209.416666666664</v>
      </c>
      <c r="D1301" s="8" t="s">
        <v>13935</v>
      </c>
      <c r="E1301" s="8" t="s">
        <v>55</v>
      </c>
      <c r="F1301">
        <v>7</v>
      </c>
      <c r="G1301" s="2">
        <v>46209.75</v>
      </c>
      <c r="H1301" s="2">
        <v>46209.583333333336</v>
      </c>
    </row>
    <row r="1302" spans="1:8" x14ac:dyDescent="0.25">
      <c r="A1302" s="8" t="s">
        <v>4518</v>
      </c>
      <c r="B1302" s="8" t="s">
        <v>14083</v>
      </c>
      <c r="C1302" s="2">
        <v>46209.416666666664</v>
      </c>
      <c r="D1302" s="8" t="s">
        <v>13935</v>
      </c>
      <c r="E1302" s="8" t="s">
        <v>59</v>
      </c>
      <c r="F1302">
        <v>3</v>
      </c>
      <c r="G1302" s="2">
        <v>46209.75</v>
      </c>
      <c r="H1302" s="2">
        <v>46209.583333333336</v>
      </c>
    </row>
    <row r="1303" spans="1:8" x14ac:dyDescent="0.25">
      <c r="A1303" s="8" t="s">
        <v>4521</v>
      </c>
      <c r="B1303" s="8" t="s">
        <v>14083</v>
      </c>
      <c r="C1303" s="2">
        <v>46209.416666666664</v>
      </c>
      <c r="D1303" s="8" t="s">
        <v>13935</v>
      </c>
      <c r="E1303" s="8" t="s">
        <v>69</v>
      </c>
      <c r="F1303">
        <v>7</v>
      </c>
      <c r="G1303" s="2">
        <v>46209.75</v>
      </c>
      <c r="H1303" s="2">
        <v>46209.583333333336</v>
      </c>
    </row>
    <row r="1304" spans="1:8" x14ac:dyDescent="0.25">
      <c r="A1304" s="8" t="s">
        <v>4524</v>
      </c>
      <c r="B1304" s="8" t="s">
        <v>14083</v>
      </c>
      <c r="C1304" s="2">
        <v>46209.416666666664</v>
      </c>
      <c r="D1304" s="8" t="s">
        <v>13935</v>
      </c>
      <c r="E1304" s="8" t="s">
        <v>75</v>
      </c>
      <c r="F1304">
        <v>7</v>
      </c>
      <c r="G1304" s="2">
        <v>46209.75</v>
      </c>
      <c r="H1304" s="2">
        <v>46209.583333333336</v>
      </c>
    </row>
    <row r="1305" spans="1:8" x14ac:dyDescent="0.25">
      <c r="A1305" s="8" t="s">
        <v>4527</v>
      </c>
      <c r="B1305" s="8" t="s">
        <v>14084</v>
      </c>
      <c r="C1305" s="2">
        <v>46209.416666666664</v>
      </c>
      <c r="D1305" s="8" t="s">
        <v>13937</v>
      </c>
      <c r="E1305" s="8" t="s">
        <v>11</v>
      </c>
      <c r="F1305">
        <v>4</v>
      </c>
      <c r="G1305" s="2">
        <v>46209.75</v>
      </c>
      <c r="H1305" s="2">
        <v>46209.583333333336</v>
      </c>
    </row>
    <row r="1306" spans="1:8" x14ac:dyDescent="0.25">
      <c r="A1306" s="8" t="s">
        <v>4530</v>
      </c>
      <c r="B1306" s="8" t="s">
        <v>14084</v>
      </c>
      <c r="C1306" s="2">
        <v>46209.416666666664</v>
      </c>
      <c r="D1306" s="8" t="s">
        <v>13937</v>
      </c>
      <c r="E1306" s="8" t="s">
        <v>18</v>
      </c>
      <c r="F1306">
        <v>2</v>
      </c>
      <c r="G1306" s="2">
        <v>46209.75</v>
      </c>
      <c r="H1306" s="2">
        <v>46209.583333333336</v>
      </c>
    </row>
    <row r="1307" spans="1:8" x14ac:dyDescent="0.25">
      <c r="A1307" s="8" t="s">
        <v>4533</v>
      </c>
      <c r="B1307" s="8" t="s">
        <v>14084</v>
      </c>
      <c r="C1307" s="2">
        <v>46209.416666666664</v>
      </c>
      <c r="D1307" s="8" t="s">
        <v>13937</v>
      </c>
      <c r="E1307" s="8" t="s">
        <v>24</v>
      </c>
      <c r="F1307">
        <v>4</v>
      </c>
      <c r="G1307" s="2">
        <v>46209.75</v>
      </c>
      <c r="H1307" s="2">
        <v>46209.583333333336</v>
      </c>
    </row>
    <row r="1308" spans="1:8" x14ac:dyDescent="0.25">
      <c r="A1308" s="8" t="s">
        <v>4536</v>
      </c>
      <c r="B1308" s="8" t="s">
        <v>14084</v>
      </c>
      <c r="C1308" s="2">
        <v>46209.416666666664</v>
      </c>
      <c r="D1308" s="8" t="s">
        <v>13937</v>
      </c>
      <c r="E1308" s="8" t="s">
        <v>26</v>
      </c>
      <c r="F1308">
        <v>4</v>
      </c>
      <c r="G1308" s="2">
        <v>46209.75</v>
      </c>
      <c r="H1308" s="2">
        <v>46209.583333333336</v>
      </c>
    </row>
    <row r="1309" spans="1:8" x14ac:dyDescent="0.25">
      <c r="A1309" s="8" t="s">
        <v>4539</v>
      </c>
      <c r="B1309" s="8" t="s">
        <v>14084</v>
      </c>
      <c r="C1309" s="2">
        <v>46209.416666666664</v>
      </c>
      <c r="D1309" s="8" t="s">
        <v>13937</v>
      </c>
      <c r="E1309" s="8" t="s">
        <v>28</v>
      </c>
      <c r="F1309">
        <v>4</v>
      </c>
      <c r="G1309" s="2">
        <v>46209.75</v>
      </c>
      <c r="H1309" s="2">
        <v>46209.583333333336</v>
      </c>
    </row>
    <row r="1310" spans="1:8" x14ac:dyDescent="0.25">
      <c r="A1310" s="8" t="s">
        <v>4542</v>
      </c>
      <c r="B1310" s="8" t="s">
        <v>14084</v>
      </c>
      <c r="C1310" s="2">
        <v>46209.416666666664</v>
      </c>
      <c r="D1310" s="8" t="s">
        <v>13937</v>
      </c>
      <c r="E1310" s="8" t="s">
        <v>30</v>
      </c>
      <c r="F1310">
        <v>1</v>
      </c>
      <c r="G1310" s="2">
        <v>46209.75</v>
      </c>
      <c r="H1310" s="2">
        <v>46209.583333333336</v>
      </c>
    </row>
    <row r="1311" spans="1:8" x14ac:dyDescent="0.25">
      <c r="A1311" s="8" t="s">
        <v>4545</v>
      </c>
      <c r="B1311" s="8" t="s">
        <v>14084</v>
      </c>
      <c r="C1311" s="2">
        <v>46209.416666666664</v>
      </c>
      <c r="D1311" s="8" t="s">
        <v>13937</v>
      </c>
      <c r="E1311" s="8" t="s">
        <v>49</v>
      </c>
      <c r="F1311">
        <v>1</v>
      </c>
      <c r="G1311" s="2">
        <v>46209.75</v>
      </c>
      <c r="H1311" s="2">
        <v>46209.583333333336</v>
      </c>
    </row>
    <row r="1312" spans="1:8" x14ac:dyDescent="0.25">
      <c r="A1312" s="8" t="s">
        <v>4548</v>
      </c>
      <c r="B1312" s="8" t="s">
        <v>14084</v>
      </c>
      <c r="C1312" s="2">
        <v>46209.416666666664</v>
      </c>
      <c r="D1312" s="8" t="s">
        <v>13937</v>
      </c>
      <c r="E1312" s="8" t="s">
        <v>51</v>
      </c>
      <c r="F1312">
        <v>1</v>
      </c>
      <c r="G1312" s="2">
        <v>46209.75</v>
      </c>
      <c r="H1312" s="2">
        <v>46209.583333333336</v>
      </c>
    </row>
    <row r="1313" spans="1:8" x14ac:dyDescent="0.25">
      <c r="A1313" s="8" t="s">
        <v>4551</v>
      </c>
      <c r="B1313" s="8" t="s">
        <v>14084</v>
      </c>
      <c r="C1313" s="2">
        <v>46209.416666666664</v>
      </c>
      <c r="D1313" s="8" t="s">
        <v>13937</v>
      </c>
      <c r="E1313" s="8" t="s">
        <v>67</v>
      </c>
      <c r="F1313">
        <v>3</v>
      </c>
      <c r="G1313" s="2">
        <v>46209.75</v>
      </c>
      <c r="H1313" s="2">
        <v>46209.583333333336</v>
      </c>
    </row>
    <row r="1314" spans="1:8" x14ac:dyDescent="0.25">
      <c r="A1314" s="8" t="s">
        <v>4554</v>
      </c>
      <c r="B1314" s="8" t="s">
        <v>14084</v>
      </c>
      <c r="C1314" s="2">
        <v>46209.416666666664</v>
      </c>
      <c r="D1314" s="8" t="s">
        <v>13937</v>
      </c>
      <c r="E1314" s="8" t="s">
        <v>73</v>
      </c>
      <c r="F1314">
        <v>3</v>
      </c>
      <c r="G1314" s="2">
        <v>46209.75</v>
      </c>
      <c r="H1314" s="2">
        <v>46209.583333333336</v>
      </c>
    </row>
    <row r="1315" spans="1:8" x14ac:dyDescent="0.25">
      <c r="A1315" s="8" t="s">
        <v>4557</v>
      </c>
      <c r="B1315" s="8" t="s">
        <v>14084</v>
      </c>
      <c r="C1315" s="2">
        <v>46209.416666666664</v>
      </c>
      <c r="D1315" s="8" t="s">
        <v>13937</v>
      </c>
      <c r="E1315" s="8" t="s">
        <v>77</v>
      </c>
      <c r="F1315">
        <v>3</v>
      </c>
      <c r="G1315" s="2">
        <v>46209.75</v>
      </c>
      <c r="H1315" s="2">
        <v>46209.583333333336</v>
      </c>
    </row>
    <row r="1316" spans="1:8" x14ac:dyDescent="0.25">
      <c r="A1316" s="8" t="s">
        <v>4608</v>
      </c>
      <c r="B1316" s="8" t="s">
        <v>14085</v>
      </c>
      <c r="C1316" s="2">
        <v>46210.416666666664</v>
      </c>
      <c r="D1316" s="8" t="s">
        <v>13929</v>
      </c>
      <c r="E1316" s="8" t="s">
        <v>11</v>
      </c>
      <c r="F1316">
        <v>2</v>
      </c>
      <c r="G1316" s="2">
        <v>46210.75</v>
      </c>
      <c r="H1316" s="2">
        <v>46210.583333333336</v>
      </c>
    </row>
    <row r="1317" spans="1:8" x14ac:dyDescent="0.25">
      <c r="A1317" s="8" t="s">
        <v>4611</v>
      </c>
      <c r="B1317" s="8" t="s">
        <v>14085</v>
      </c>
      <c r="C1317" s="2">
        <v>46210.416666666664</v>
      </c>
      <c r="D1317" s="8" t="s">
        <v>13929</v>
      </c>
      <c r="E1317" s="8" t="s">
        <v>20</v>
      </c>
      <c r="F1317">
        <v>1</v>
      </c>
      <c r="G1317" s="2">
        <v>46210.75</v>
      </c>
      <c r="H1317" s="2">
        <v>46210.583333333336</v>
      </c>
    </row>
    <row r="1318" spans="1:8" x14ac:dyDescent="0.25">
      <c r="A1318" s="8" t="s">
        <v>4614</v>
      </c>
      <c r="B1318" s="8" t="s">
        <v>14085</v>
      </c>
      <c r="C1318" s="2">
        <v>46210.416666666664</v>
      </c>
      <c r="D1318" s="8" t="s">
        <v>13929</v>
      </c>
      <c r="E1318" s="8" t="s">
        <v>24</v>
      </c>
      <c r="F1318">
        <v>2</v>
      </c>
      <c r="G1318" s="2">
        <v>46210.75</v>
      </c>
      <c r="H1318" s="2">
        <v>46210.583333333336</v>
      </c>
    </row>
    <row r="1319" spans="1:8" x14ac:dyDescent="0.25">
      <c r="A1319" s="8" t="s">
        <v>4617</v>
      </c>
      <c r="B1319" s="8" t="s">
        <v>14085</v>
      </c>
      <c r="C1319" s="2">
        <v>46210.416666666664</v>
      </c>
      <c r="D1319" s="8" t="s">
        <v>13929</v>
      </c>
      <c r="E1319" s="8" t="s">
        <v>26</v>
      </c>
      <c r="F1319">
        <v>2</v>
      </c>
      <c r="G1319" s="2">
        <v>46210.75</v>
      </c>
      <c r="H1319" s="2">
        <v>46210.583333333336</v>
      </c>
    </row>
    <row r="1320" spans="1:8" x14ac:dyDescent="0.25">
      <c r="A1320" s="8" t="s">
        <v>4620</v>
      </c>
      <c r="B1320" s="8" t="s">
        <v>14085</v>
      </c>
      <c r="C1320" s="2">
        <v>46210.416666666664</v>
      </c>
      <c r="D1320" s="8" t="s">
        <v>13929</v>
      </c>
      <c r="E1320" s="8" t="s">
        <v>28</v>
      </c>
      <c r="F1320">
        <v>2</v>
      </c>
      <c r="G1320" s="2">
        <v>46210.75</v>
      </c>
      <c r="H1320" s="2">
        <v>46210.583333333336</v>
      </c>
    </row>
    <row r="1321" spans="1:8" x14ac:dyDescent="0.25">
      <c r="A1321" s="8" t="s">
        <v>4625</v>
      </c>
      <c r="B1321" s="8" t="s">
        <v>14085</v>
      </c>
      <c r="C1321" s="2">
        <v>46210.416666666664</v>
      </c>
      <c r="D1321" s="8" t="s">
        <v>13929</v>
      </c>
      <c r="E1321" s="8" t="s">
        <v>45</v>
      </c>
      <c r="F1321">
        <v>4</v>
      </c>
      <c r="G1321" s="2">
        <v>46210.75</v>
      </c>
      <c r="H1321" s="2">
        <v>46210.583333333336</v>
      </c>
    </row>
    <row r="1322" spans="1:8" x14ac:dyDescent="0.25">
      <c r="A1322" s="8" t="s">
        <v>4628</v>
      </c>
      <c r="B1322" s="8" t="s">
        <v>14085</v>
      </c>
      <c r="C1322" s="2">
        <v>46210.416666666664</v>
      </c>
      <c r="D1322" s="8" t="s">
        <v>13929</v>
      </c>
      <c r="E1322" s="8" t="s">
        <v>53</v>
      </c>
      <c r="F1322">
        <v>2</v>
      </c>
      <c r="G1322" s="2">
        <v>46210.75</v>
      </c>
      <c r="H1322" s="2">
        <v>46210.583333333336</v>
      </c>
    </row>
    <row r="1323" spans="1:8" x14ac:dyDescent="0.25">
      <c r="A1323" s="8" t="s">
        <v>4631</v>
      </c>
      <c r="B1323" s="8" t="s">
        <v>14085</v>
      </c>
      <c r="C1323" s="2">
        <v>46210.416666666664</v>
      </c>
      <c r="D1323" s="8" t="s">
        <v>13929</v>
      </c>
      <c r="E1323" s="8" t="s">
        <v>55</v>
      </c>
      <c r="F1323">
        <v>2</v>
      </c>
      <c r="G1323" s="2">
        <v>46210.75</v>
      </c>
      <c r="H1323" s="2">
        <v>46210.583333333336</v>
      </c>
    </row>
    <row r="1324" spans="1:8" x14ac:dyDescent="0.25">
      <c r="A1324" s="8" t="s">
        <v>4634</v>
      </c>
      <c r="B1324" s="8" t="s">
        <v>14085</v>
      </c>
      <c r="C1324" s="2">
        <v>46210.416666666664</v>
      </c>
      <c r="D1324" s="8" t="s">
        <v>13929</v>
      </c>
      <c r="E1324" s="8" t="s">
        <v>65</v>
      </c>
      <c r="F1324">
        <v>3</v>
      </c>
      <c r="G1324" s="2">
        <v>46210.75</v>
      </c>
      <c r="H1324" s="2">
        <v>46210.583333333336</v>
      </c>
    </row>
    <row r="1325" spans="1:8" x14ac:dyDescent="0.25">
      <c r="A1325" s="8" t="s">
        <v>4637</v>
      </c>
      <c r="B1325" s="8" t="s">
        <v>14086</v>
      </c>
      <c r="C1325" s="2">
        <v>46210.416666666664</v>
      </c>
      <c r="D1325" s="8" t="s">
        <v>13931</v>
      </c>
      <c r="E1325" s="8" t="s">
        <v>11</v>
      </c>
      <c r="F1325">
        <v>2</v>
      </c>
      <c r="G1325" s="2">
        <v>46210.75</v>
      </c>
      <c r="H1325" s="2">
        <v>46210.583333333336</v>
      </c>
    </row>
    <row r="1326" spans="1:8" x14ac:dyDescent="0.25">
      <c r="A1326" s="8" t="s">
        <v>4640</v>
      </c>
      <c r="B1326" s="8" t="s">
        <v>14086</v>
      </c>
      <c r="C1326" s="2">
        <v>46210.416666666664</v>
      </c>
      <c r="D1326" s="8" t="s">
        <v>13931</v>
      </c>
      <c r="E1326" s="8" t="s">
        <v>20</v>
      </c>
      <c r="F1326">
        <v>1</v>
      </c>
      <c r="G1326" s="2">
        <v>46210.75</v>
      </c>
      <c r="H1326" s="2">
        <v>46210.583333333336</v>
      </c>
    </row>
    <row r="1327" spans="1:8" x14ac:dyDescent="0.25">
      <c r="A1327" s="8" t="s">
        <v>4643</v>
      </c>
      <c r="B1327" s="8" t="s">
        <v>14086</v>
      </c>
      <c r="C1327" s="2">
        <v>46210.416666666664</v>
      </c>
      <c r="D1327" s="8" t="s">
        <v>13931</v>
      </c>
      <c r="E1327" s="8" t="s">
        <v>22</v>
      </c>
      <c r="F1327">
        <v>4</v>
      </c>
      <c r="G1327" s="2">
        <v>46210.75</v>
      </c>
      <c r="H1327" s="2">
        <v>46210.583333333336</v>
      </c>
    </row>
    <row r="1328" spans="1:8" x14ac:dyDescent="0.25">
      <c r="A1328" s="8" t="s">
        <v>4646</v>
      </c>
      <c r="B1328" s="8" t="s">
        <v>14086</v>
      </c>
      <c r="C1328" s="2">
        <v>46210.416666666664</v>
      </c>
      <c r="D1328" s="8" t="s">
        <v>13931</v>
      </c>
      <c r="E1328" s="8" t="s">
        <v>24</v>
      </c>
      <c r="F1328">
        <v>5</v>
      </c>
      <c r="G1328" s="2">
        <v>46210.75</v>
      </c>
      <c r="H1328" s="2">
        <v>46210.583333333336</v>
      </c>
    </row>
    <row r="1329" spans="1:8" x14ac:dyDescent="0.25">
      <c r="A1329" s="8" t="s">
        <v>4649</v>
      </c>
      <c r="B1329" s="8" t="s">
        <v>14086</v>
      </c>
      <c r="C1329" s="2">
        <v>46210.416666666664</v>
      </c>
      <c r="D1329" s="8" t="s">
        <v>13931</v>
      </c>
      <c r="E1329" s="8" t="s">
        <v>26</v>
      </c>
      <c r="F1329">
        <v>3</v>
      </c>
      <c r="G1329" s="2">
        <v>46210.75</v>
      </c>
      <c r="H1329" s="2">
        <v>46210.583333333336</v>
      </c>
    </row>
    <row r="1330" spans="1:8" x14ac:dyDescent="0.25">
      <c r="A1330" s="8" t="s">
        <v>4652</v>
      </c>
      <c r="B1330" s="8" t="s">
        <v>14086</v>
      </c>
      <c r="C1330" s="2">
        <v>46210.416666666664</v>
      </c>
      <c r="D1330" s="8" t="s">
        <v>13931</v>
      </c>
      <c r="E1330" s="8" t="s">
        <v>41</v>
      </c>
      <c r="F1330">
        <v>5</v>
      </c>
      <c r="G1330" s="2">
        <v>46210.75</v>
      </c>
      <c r="H1330" s="2">
        <v>46210.583333333336</v>
      </c>
    </row>
    <row r="1331" spans="1:8" x14ac:dyDescent="0.25">
      <c r="A1331" s="8" t="s">
        <v>4655</v>
      </c>
      <c r="B1331" s="8" t="s">
        <v>14086</v>
      </c>
      <c r="C1331" s="2">
        <v>46210.416666666664</v>
      </c>
      <c r="D1331" s="8" t="s">
        <v>13931</v>
      </c>
      <c r="E1331" s="8" t="s">
        <v>47</v>
      </c>
      <c r="F1331">
        <v>3</v>
      </c>
      <c r="G1331" s="2">
        <v>46210.75</v>
      </c>
      <c r="H1331" s="2">
        <v>46210.583333333336</v>
      </c>
    </row>
    <row r="1332" spans="1:8" x14ac:dyDescent="0.25">
      <c r="A1332" s="8" t="s">
        <v>4658</v>
      </c>
      <c r="B1332" s="8" t="s">
        <v>14086</v>
      </c>
      <c r="C1332" s="2">
        <v>46210.416666666664</v>
      </c>
      <c r="D1332" s="8" t="s">
        <v>13931</v>
      </c>
      <c r="E1332" s="8" t="s">
        <v>69</v>
      </c>
      <c r="F1332">
        <v>4</v>
      </c>
      <c r="G1332" s="2">
        <v>46210.75</v>
      </c>
      <c r="H1332" s="2">
        <v>46210.583333333336</v>
      </c>
    </row>
    <row r="1333" spans="1:8" x14ac:dyDescent="0.25">
      <c r="A1333" s="8" t="s">
        <v>4661</v>
      </c>
      <c r="B1333" s="8" t="s">
        <v>14086</v>
      </c>
      <c r="C1333" s="2">
        <v>46210.416666666664</v>
      </c>
      <c r="D1333" s="8" t="s">
        <v>13931</v>
      </c>
      <c r="E1333" s="8" t="s">
        <v>79</v>
      </c>
      <c r="F1333">
        <v>1</v>
      </c>
      <c r="G1333" s="2">
        <v>46210.75</v>
      </c>
      <c r="H1333" s="2">
        <v>46210.583333333336</v>
      </c>
    </row>
    <row r="1334" spans="1:8" x14ac:dyDescent="0.25">
      <c r="A1334" s="8" t="s">
        <v>4664</v>
      </c>
      <c r="B1334" s="8" t="s">
        <v>14087</v>
      </c>
      <c r="C1334" s="2">
        <v>46210.416666666664</v>
      </c>
      <c r="D1334" s="8" t="s">
        <v>13933</v>
      </c>
      <c r="E1334" s="8" t="s">
        <v>11</v>
      </c>
      <c r="F1334">
        <v>6</v>
      </c>
      <c r="G1334" s="2">
        <v>46210.75</v>
      </c>
      <c r="H1334" s="2">
        <v>46210.583333333336</v>
      </c>
    </row>
    <row r="1335" spans="1:8" x14ac:dyDescent="0.25">
      <c r="A1335" s="8" t="s">
        <v>4667</v>
      </c>
      <c r="B1335" s="8" t="s">
        <v>14087</v>
      </c>
      <c r="C1335" s="2">
        <v>46210.416666666664</v>
      </c>
      <c r="D1335" s="8" t="s">
        <v>13933</v>
      </c>
      <c r="E1335" s="8" t="s">
        <v>20</v>
      </c>
      <c r="F1335">
        <v>6</v>
      </c>
      <c r="G1335" s="2">
        <v>46210.75</v>
      </c>
      <c r="H1335" s="2">
        <v>46210.583333333336</v>
      </c>
    </row>
    <row r="1336" spans="1:8" x14ac:dyDescent="0.25">
      <c r="A1336" s="8" t="s">
        <v>4670</v>
      </c>
      <c r="B1336" s="8" t="s">
        <v>14087</v>
      </c>
      <c r="C1336" s="2">
        <v>46210.416666666664</v>
      </c>
      <c r="D1336" s="8" t="s">
        <v>13933</v>
      </c>
      <c r="E1336" s="8" t="s">
        <v>22</v>
      </c>
      <c r="F1336">
        <v>6</v>
      </c>
      <c r="G1336" s="2">
        <v>46210.75</v>
      </c>
      <c r="H1336" s="2">
        <v>46210.583333333336</v>
      </c>
    </row>
    <row r="1337" spans="1:8" x14ac:dyDescent="0.25">
      <c r="A1337" s="8" t="s">
        <v>4673</v>
      </c>
      <c r="B1337" s="8" t="s">
        <v>14087</v>
      </c>
      <c r="C1337" s="2">
        <v>46210.416666666664</v>
      </c>
      <c r="D1337" s="8" t="s">
        <v>13933</v>
      </c>
      <c r="E1337" s="8" t="s">
        <v>28</v>
      </c>
      <c r="F1337">
        <v>6</v>
      </c>
      <c r="G1337" s="2">
        <v>46210.75</v>
      </c>
      <c r="H1337" s="2">
        <v>46210.583333333336</v>
      </c>
    </row>
    <row r="1338" spans="1:8" x14ac:dyDescent="0.25">
      <c r="A1338" s="8" t="s">
        <v>4676</v>
      </c>
      <c r="B1338" s="8" t="s">
        <v>14087</v>
      </c>
      <c r="C1338" s="2">
        <v>46210.416666666664</v>
      </c>
      <c r="D1338" s="8" t="s">
        <v>13933</v>
      </c>
      <c r="E1338" s="8" t="s">
        <v>32</v>
      </c>
      <c r="F1338">
        <v>4</v>
      </c>
      <c r="G1338" s="2">
        <v>46210.75</v>
      </c>
      <c r="H1338" s="2">
        <v>46210.583333333336</v>
      </c>
    </row>
    <row r="1339" spans="1:8" x14ac:dyDescent="0.25">
      <c r="A1339" s="8" t="s">
        <v>4679</v>
      </c>
      <c r="B1339" s="8" t="s">
        <v>14087</v>
      </c>
      <c r="C1339" s="2">
        <v>46210.416666666664</v>
      </c>
      <c r="D1339" s="8" t="s">
        <v>13933</v>
      </c>
      <c r="E1339" s="8" t="s">
        <v>41</v>
      </c>
      <c r="F1339">
        <v>5</v>
      </c>
      <c r="G1339" s="2">
        <v>46210.75</v>
      </c>
      <c r="H1339" s="2">
        <v>46210.583333333336</v>
      </c>
    </row>
    <row r="1340" spans="1:8" x14ac:dyDescent="0.25">
      <c r="A1340" s="8" t="s">
        <v>4682</v>
      </c>
      <c r="B1340" s="8" t="s">
        <v>14087</v>
      </c>
      <c r="C1340" s="2">
        <v>46210.416666666664</v>
      </c>
      <c r="D1340" s="8" t="s">
        <v>13933</v>
      </c>
      <c r="E1340" s="8" t="s">
        <v>43</v>
      </c>
      <c r="F1340">
        <v>6</v>
      </c>
      <c r="G1340" s="2">
        <v>46210.75</v>
      </c>
      <c r="H1340" s="2">
        <v>46210.583333333336</v>
      </c>
    </row>
    <row r="1341" spans="1:8" x14ac:dyDescent="0.25">
      <c r="A1341" s="8" t="s">
        <v>4685</v>
      </c>
      <c r="B1341" s="8" t="s">
        <v>14087</v>
      </c>
      <c r="C1341" s="2">
        <v>46210.416666666664</v>
      </c>
      <c r="D1341" s="8" t="s">
        <v>13933</v>
      </c>
      <c r="E1341" s="8" t="s">
        <v>57</v>
      </c>
      <c r="F1341">
        <v>6</v>
      </c>
      <c r="G1341" s="2">
        <v>46210.75</v>
      </c>
      <c r="H1341" s="2">
        <v>46210.583333333336</v>
      </c>
    </row>
    <row r="1342" spans="1:8" x14ac:dyDescent="0.25">
      <c r="A1342" s="8" t="s">
        <v>4688</v>
      </c>
      <c r="B1342" s="8" t="s">
        <v>14088</v>
      </c>
      <c r="C1342" s="2">
        <v>46210.416666666664</v>
      </c>
      <c r="D1342" s="8" t="s">
        <v>13935</v>
      </c>
      <c r="E1342" s="8" t="s">
        <v>11</v>
      </c>
      <c r="F1342">
        <v>4</v>
      </c>
      <c r="G1342" s="2">
        <v>46210.75</v>
      </c>
      <c r="H1342" s="2">
        <v>46210.583333333336</v>
      </c>
    </row>
    <row r="1343" spans="1:8" x14ac:dyDescent="0.25">
      <c r="A1343" s="8" t="s">
        <v>4691</v>
      </c>
      <c r="B1343" s="8" t="s">
        <v>14088</v>
      </c>
      <c r="C1343" s="2">
        <v>46210.416666666664</v>
      </c>
      <c r="D1343" s="8" t="s">
        <v>13935</v>
      </c>
      <c r="E1343" s="8" t="s">
        <v>18</v>
      </c>
      <c r="F1343">
        <v>7</v>
      </c>
      <c r="G1343" s="2">
        <v>46210.75</v>
      </c>
      <c r="H1343" s="2">
        <v>46210.583333333336</v>
      </c>
    </row>
    <row r="1344" spans="1:8" x14ac:dyDescent="0.25">
      <c r="A1344" s="8" t="s">
        <v>4694</v>
      </c>
      <c r="B1344" s="8" t="s">
        <v>14088</v>
      </c>
      <c r="C1344" s="2">
        <v>46210.416666666664</v>
      </c>
      <c r="D1344" s="8" t="s">
        <v>13935</v>
      </c>
      <c r="E1344" s="8" t="s">
        <v>22</v>
      </c>
      <c r="F1344">
        <v>6</v>
      </c>
      <c r="G1344" s="2">
        <v>46210.75</v>
      </c>
      <c r="H1344" s="2">
        <v>46210.583333333336</v>
      </c>
    </row>
    <row r="1345" spans="1:8" x14ac:dyDescent="0.25">
      <c r="A1345" s="8" t="s">
        <v>4697</v>
      </c>
      <c r="B1345" s="8" t="s">
        <v>14088</v>
      </c>
      <c r="C1345" s="2">
        <v>46210.416666666664</v>
      </c>
      <c r="D1345" s="8" t="s">
        <v>13935</v>
      </c>
      <c r="E1345" s="8" t="s">
        <v>26</v>
      </c>
      <c r="F1345">
        <v>7</v>
      </c>
      <c r="G1345" s="2">
        <v>46210.75</v>
      </c>
      <c r="H1345" s="2">
        <v>46210.583333333336</v>
      </c>
    </row>
    <row r="1346" spans="1:8" x14ac:dyDescent="0.25">
      <c r="A1346" s="8" t="s">
        <v>4700</v>
      </c>
      <c r="B1346" s="8" t="s">
        <v>14088</v>
      </c>
      <c r="C1346" s="2">
        <v>46210.416666666664</v>
      </c>
      <c r="D1346" s="8" t="s">
        <v>13935</v>
      </c>
      <c r="E1346" s="8" t="s">
        <v>30</v>
      </c>
      <c r="F1346">
        <v>3</v>
      </c>
      <c r="G1346" s="2">
        <v>46210.75</v>
      </c>
      <c r="H1346" s="2">
        <v>46210.583333333336</v>
      </c>
    </row>
    <row r="1347" spans="1:8" x14ac:dyDescent="0.25">
      <c r="A1347" s="8" t="s">
        <v>4703</v>
      </c>
      <c r="B1347" s="8" t="s">
        <v>14088</v>
      </c>
      <c r="C1347" s="2">
        <v>46210.416666666664</v>
      </c>
      <c r="D1347" s="8" t="s">
        <v>13935</v>
      </c>
      <c r="E1347" s="8" t="s">
        <v>59</v>
      </c>
      <c r="F1347">
        <v>3</v>
      </c>
      <c r="G1347" s="2">
        <v>46210.75</v>
      </c>
      <c r="H1347" s="2">
        <v>46210.583333333336</v>
      </c>
    </row>
    <row r="1348" spans="1:8" x14ac:dyDescent="0.25">
      <c r="A1348" s="8" t="s">
        <v>4706</v>
      </c>
      <c r="B1348" s="8" t="s">
        <v>14088</v>
      </c>
      <c r="C1348" s="2">
        <v>46210.416666666664</v>
      </c>
      <c r="D1348" s="8" t="s">
        <v>13935</v>
      </c>
      <c r="E1348" s="8" t="s">
        <v>73</v>
      </c>
      <c r="F1348">
        <v>1</v>
      </c>
      <c r="G1348" s="2">
        <v>46210.75</v>
      </c>
      <c r="H1348" s="2">
        <v>46210.583333333336</v>
      </c>
    </row>
    <row r="1349" spans="1:8" x14ac:dyDescent="0.25">
      <c r="A1349" s="8" t="s">
        <v>4709</v>
      </c>
      <c r="B1349" s="8" t="s">
        <v>14088</v>
      </c>
      <c r="C1349" s="2">
        <v>46210.416666666664</v>
      </c>
      <c r="D1349" s="8" t="s">
        <v>13935</v>
      </c>
      <c r="E1349" s="8" t="s">
        <v>77</v>
      </c>
      <c r="F1349">
        <v>4</v>
      </c>
      <c r="G1349" s="2">
        <v>46210.75</v>
      </c>
      <c r="H1349" s="2">
        <v>46210.583333333336</v>
      </c>
    </row>
    <row r="1350" spans="1:8" x14ac:dyDescent="0.25">
      <c r="A1350" s="8" t="s">
        <v>4712</v>
      </c>
      <c r="B1350" s="8" t="s">
        <v>14089</v>
      </c>
      <c r="C1350" s="2">
        <v>46210.416666666664</v>
      </c>
      <c r="D1350" s="8" t="s">
        <v>13937</v>
      </c>
      <c r="E1350" s="8" t="s">
        <v>11</v>
      </c>
      <c r="F1350">
        <v>2</v>
      </c>
      <c r="G1350" s="2">
        <v>46210.75</v>
      </c>
      <c r="H1350" s="2">
        <v>46210.583333333336</v>
      </c>
    </row>
    <row r="1351" spans="1:8" x14ac:dyDescent="0.25">
      <c r="A1351" s="8" t="s">
        <v>4715</v>
      </c>
      <c r="B1351" s="8" t="s">
        <v>14089</v>
      </c>
      <c r="C1351" s="2">
        <v>46210.416666666664</v>
      </c>
      <c r="D1351" s="8" t="s">
        <v>13937</v>
      </c>
      <c r="E1351" s="8" t="s">
        <v>18</v>
      </c>
      <c r="F1351">
        <v>1</v>
      </c>
      <c r="G1351" s="2">
        <v>46210.75</v>
      </c>
      <c r="H1351" s="2">
        <v>46210.583333333336</v>
      </c>
    </row>
    <row r="1352" spans="1:8" x14ac:dyDescent="0.25">
      <c r="A1352" s="8" t="s">
        <v>4718</v>
      </c>
      <c r="B1352" s="8" t="s">
        <v>14089</v>
      </c>
      <c r="C1352" s="2">
        <v>46210.416666666664</v>
      </c>
      <c r="D1352" s="8" t="s">
        <v>13937</v>
      </c>
      <c r="E1352" s="8" t="s">
        <v>20</v>
      </c>
      <c r="F1352">
        <v>2</v>
      </c>
      <c r="G1352" s="2">
        <v>46210.75</v>
      </c>
      <c r="H1352" s="2">
        <v>46210.583333333336</v>
      </c>
    </row>
    <row r="1353" spans="1:8" x14ac:dyDescent="0.25">
      <c r="A1353" s="8" t="s">
        <v>4721</v>
      </c>
      <c r="B1353" s="8" t="s">
        <v>14089</v>
      </c>
      <c r="C1353" s="2">
        <v>46210.416666666664</v>
      </c>
      <c r="D1353" s="8" t="s">
        <v>13937</v>
      </c>
      <c r="E1353" s="8" t="s">
        <v>22</v>
      </c>
      <c r="F1353">
        <v>1</v>
      </c>
      <c r="G1353" s="2">
        <v>46210.75</v>
      </c>
      <c r="H1353" s="2">
        <v>46210.583333333336</v>
      </c>
    </row>
    <row r="1354" spans="1:8" x14ac:dyDescent="0.25">
      <c r="A1354" s="8" t="s">
        <v>4724</v>
      </c>
      <c r="B1354" s="8" t="s">
        <v>14089</v>
      </c>
      <c r="C1354" s="2">
        <v>46210.416666666664</v>
      </c>
      <c r="D1354" s="8" t="s">
        <v>13937</v>
      </c>
      <c r="E1354" s="8" t="s">
        <v>28</v>
      </c>
      <c r="F1354">
        <v>4</v>
      </c>
      <c r="G1354" s="2">
        <v>46210.75</v>
      </c>
      <c r="H1354" s="2">
        <v>46210.583333333336</v>
      </c>
    </row>
    <row r="1355" spans="1:8" x14ac:dyDescent="0.25">
      <c r="A1355" s="8" t="s">
        <v>4727</v>
      </c>
      <c r="B1355" s="8" t="s">
        <v>14089</v>
      </c>
      <c r="C1355" s="2">
        <v>46210.416666666664</v>
      </c>
      <c r="D1355" s="8" t="s">
        <v>13937</v>
      </c>
      <c r="E1355" s="8" t="s">
        <v>65</v>
      </c>
      <c r="F1355">
        <v>4</v>
      </c>
      <c r="G1355" s="2">
        <v>46210.75</v>
      </c>
      <c r="H1355" s="2">
        <v>46210.583333333336</v>
      </c>
    </row>
    <row r="1356" spans="1:8" x14ac:dyDescent="0.25">
      <c r="A1356" s="8" t="s">
        <v>4730</v>
      </c>
      <c r="B1356" s="8" t="s">
        <v>14089</v>
      </c>
      <c r="C1356" s="2">
        <v>46210.416666666664</v>
      </c>
      <c r="D1356" s="8" t="s">
        <v>13937</v>
      </c>
      <c r="E1356" s="8" t="s">
        <v>73</v>
      </c>
      <c r="F1356">
        <v>4</v>
      </c>
      <c r="G1356" s="2">
        <v>46210.75</v>
      </c>
      <c r="H1356" s="2">
        <v>46210.583333333336</v>
      </c>
    </row>
    <row r="1357" spans="1:8" x14ac:dyDescent="0.25">
      <c r="A1357" s="8" t="s">
        <v>4733</v>
      </c>
      <c r="B1357" s="8" t="s">
        <v>14089</v>
      </c>
      <c r="C1357" s="2">
        <v>46210.416666666664</v>
      </c>
      <c r="D1357" s="8" t="s">
        <v>13937</v>
      </c>
      <c r="E1357" s="8" t="s">
        <v>75</v>
      </c>
      <c r="F1357">
        <v>1</v>
      </c>
      <c r="G1357" s="2">
        <v>46210.75</v>
      </c>
      <c r="H1357" s="2">
        <v>46210.583333333336</v>
      </c>
    </row>
    <row r="1358" spans="1:8" x14ac:dyDescent="0.25">
      <c r="A1358" s="8" t="s">
        <v>4736</v>
      </c>
      <c r="B1358" s="8" t="s">
        <v>14090</v>
      </c>
      <c r="C1358" s="2">
        <v>46211.416666666664</v>
      </c>
      <c r="D1358" s="8" t="s">
        <v>13929</v>
      </c>
      <c r="E1358" s="8" t="s">
        <v>11</v>
      </c>
      <c r="F1358">
        <v>3</v>
      </c>
      <c r="G1358" s="2">
        <v>46211.75</v>
      </c>
      <c r="H1358" s="2">
        <v>46211.583333333336</v>
      </c>
    </row>
    <row r="1359" spans="1:8" x14ac:dyDescent="0.25">
      <c r="A1359" s="8" t="s">
        <v>4739</v>
      </c>
      <c r="B1359" s="8" t="s">
        <v>14090</v>
      </c>
      <c r="C1359" s="2">
        <v>46211.416666666664</v>
      </c>
      <c r="D1359" s="8" t="s">
        <v>13929</v>
      </c>
      <c r="E1359" s="8" t="s">
        <v>18</v>
      </c>
      <c r="F1359">
        <v>1</v>
      </c>
      <c r="G1359" s="2">
        <v>46211.75</v>
      </c>
      <c r="H1359" s="2">
        <v>46211.583333333336</v>
      </c>
    </row>
    <row r="1360" spans="1:8" x14ac:dyDescent="0.25">
      <c r="A1360" s="8" t="s">
        <v>4742</v>
      </c>
      <c r="B1360" s="8" t="s">
        <v>14090</v>
      </c>
      <c r="C1360" s="2">
        <v>46211.416666666664</v>
      </c>
      <c r="D1360" s="8" t="s">
        <v>13929</v>
      </c>
      <c r="E1360" s="8" t="s">
        <v>22</v>
      </c>
      <c r="F1360">
        <v>2</v>
      </c>
      <c r="G1360" s="2">
        <v>46211.75</v>
      </c>
      <c r="H1360" s="2">
        <v>46211.583333333336</v>
      </c>
    </row>
    <row r="1361" spans="1:8" x14ac:dyDescent="0.25">
      <c r="A1361" s="8" t="s">
        <v>14091</v>
      </c>
      <c r="B1361" s="8" t="s">
        <v>14090</v>
      </c>
      <c r="C1361" s="2">
        <v>46211.416666666664</v>
      </c>
      <c r="D1361" s="8" t="s">
        <v>13929</v>
      </c>
      <c r="E1361" s="8" t="s">
        <v>26</v>
      </c>
      <c r="F1361">
        <v>3</v>
      </c>
      <c r="G1361" s="2">
        <v>46211.75</v>
      </c>
      <c r="H1361" s="2"/>
    </row>
    <row r="1362" spans="1:8" x14ac:dyDescent="0.25">
      <c r="A1362" s="8" t="s">
        <v>4747</v>
      </c>
      <c r="B1362" s="8" t="s">
        <v>14090</v>
      </c>
      <c r="C1362" s="2">
        <v>46211.416666666664</v>
      </c>
      <c r="D1362" s="8" t="s">
        <v>13929</v>
      </c>
      <c r="E1362" s="8" t="s">
        <v>28</v>
      </c>
      <c r="F1362">
        <v>4</v>
      </c>
      <c r="G1362" s="2">
        <v>46211.75</v>
      </c>
      <c r="H1362" s="2">
        <v>46211.583333333336</v>
      </c>
    </row>
    <row r="1363" spans="1:8" x14ac:dyDescent="0.25">
      <c r="A1363" s="8" t="s">
        <v>4750</v>
      </c>
      <c r="B1363" s="8" t="s">
        <v>14090</v>
      </c>
      <c r="C1363" s="2">
        <v>46211.416666666664</v>
      </c>
      <c r="D1363" s="8" t="s">
        <v>13929</v>
      </c>
      <c r="E1363" s="8" t="s">
        <v>43</v>
      </c>
      <c r="F1363">
        <v>2</v>
      </c>
      <c r="G1363" s="2">
        <v>46211.75</v>
      </c>
      <c r="H1363" s="2">
        <v>46211.583333333336</v>
      </c>
    </row>
    <row r="1364" spans="1:8" x14ac:dyDescent="0.25">
      <c r="A1364" s="8" t="s">
        <v>4753</v>
      </c>
      <c r="B1364" s="8" t="s">
        <v>14090</v>
      </c>
      <c r="C1364" s="2">
        <v>46211.416666666664</v>
      </c>
      <c r="D1364" s="8" t="s">
        <v>13929</v>
      </c>
      <c r="E1364" s="8" t="s">
        <v>47</v>
      </c>
      <c r="F1364">
        <v>2</v>
      </c>
      <c r="G1364" s="2">
        <v>46211.75</v>
      </c>
      <c r="H1364" s="2">
        <v>46211.583333333336</v>
      </c>
    </row>
    <row r="1365" spans="1:8" x14ac:dyDescent="0.25">
      <c r="A1365" s="8" t="s">
        <v>4756</v>
      </c>
      <c r="B1365" s="8" t="s">
        <v>14090</v>
      </c>
      <c r="C1365" s="2">
        <v>46211.416666666664</v>
      </c>
      <c r="D1365" s="8" t="s">
        <v>13929</v>
      </c>
      <c r="E1365" s="8" t="s">
        <v>49</v>
      </c>
      <c r="F1365">
        <v>2</v>
      </c>
      <c r="G1365" s="2">
        <v>46211.75</v>
      </c>
      <c r="H1365" s="2">
        <v>46211.583333333336</v>
      </c>
    </row>
    <row r="1366" spans="1:8" x14ac:dyDescent="0.25">
      <c r="A1366" s="8" t="s">
        <v>4759</v>
      </c>
      <c r="B1366" s="8" t="s">
        <v>14090</v>
      </c>
      <c r="C1366" s="2">
        <v>46211.416666666664</v>
      </c>
      <c r="D1366" s="8" t="s">
        <v>13929</v>
      </c>
      <c r="E1366" s="8" t="s">
        <v>59</v>
      </c>
      <c r="F1366">
        <v>1</v>
      </c>
      <c r="G1366" s="2">
        <v>46211.75</v>
      </c>
      <c r="H1366" s="2">
        <v>46211.583333333336</v>
      </c>
    </row>
    <row r="1367" spans="1:8" x14ac:dyDescent="0.25">
      <c r="A1367" s="8" t="s">
        <v>4762</v>
      </c>
      <c r="B1367" s="8" t="s">
        <v>14090</v>
      </c>
      <c r="C1367" s="2">
        <v>46211.416666666664</v>
      </c>
      <c r="D1367" s="8" t="s">
        <v>13929</v>
      </c>
      <c r="E1367" s="8" t="s">
        <v>71</v>
      </c>
      <c r="F1367">
        <v>4</v>
      </c>
      <c r="G1367" s="2">
        <v>46211.75</v>
      </c>
      <c r="H1367" s="2">
        <v>46211.583333333336</v>
      </c>
    </row>
    <row r="1368" spans="1:8" x14ac:dyDescent="0.25">
      <c r="A1368" s="8" t="s">
        <v>4765</v>
      </c>
      <c r="B1368" s="8" t="s">
        <v>14090</v>
      </c>
      <c r="C1368" s="2">
        <v>46211.416666666664</v>
      </c>
      <c r="D1368" s="8" t="s">
        <v>13929</v>
      </c>
      <c r="E1368" s="8" t="s">
        <v>75</v>
      </c>
      <c r="F1368">
        <v>1</v>
      </c>
      <c r="G1368" s="2">
        <v>46211.75</v>
      </c>
      <c r="H1368" s="2">
        <v>46211.583333333336</v>
      </c>
    </row>
    <row r="1369" spans="1:8" x14ac:dyDescent="0.25">
      <c r="A1369" s="8" t="s">
        <v>4768</v>
      </c>
      <c r="B1369" s="8" t="s">
        <v>14092</v>
      </c>
      <c r="C1369" s="2">
        <v>46211.416666666664</v>
      </c>
      <c r="D1369" s="8" t="s">
        <v>13931</v>
      </c>
      <c r="E1369" s="8" t="s">
        <v>18</v>
      </c>
      <c r="F1369">
        <v>1</v>
      </c>
      <c r="G1369" s="2">
        <v>46211.75</v>
      </c>
      <c r="H1369" s="2">
        <v>46211.583333333336</v>
      </c>
    </row>
    <row r="1370" spans="1:8" x14ac:dyDescent="0.25">
      <c r="A1370" s="8" t="s">
        <v>4771</v>
      </c>
      <c r="B1370" s="8" t="s">
        <v>14092</v>
      </c>
      <c r="C1370" s="2">
        <v>46211.416666666664</v>
      </c>
      <c r="D1370" s="8" t="s">
        <v>13931</v>
      </c>
      <c r="E1370" s="8" t="s">
        <v>20</v>
      </c>
      <c r="F1370">
        <v>3</v>
      </c>
      <c r="G1370" s="2">
        <v>46211.75</v>
      </c>
      <c r="H1370" s="2">
        <v>46211.583333333336</v>
      </c>
    </row>
    <row r="1371" spans="1:8" x14ac:dyDescent="0.25">
      <c r="A1371" s="8" t="s">
        <v>4774</v>
      </c>
      <c r="B1371" s="8" t="s">
        <v>14092</v>
      </c>
      <c r="C1371" s="2">
        <v>46211.416666666664</v>
      </c>
      <c r="D1371" s="8" t="s">
        <v>13931</v>
      </c>
      <c r="E1371" s="8" t="s">
        <v>22</v>
      </c>
      <c r="F1371">
        <v>1</v>
      </c>
      <c r="G1371" s="2">
        <v>46211.75</v>
      </c>
      <c r="H1371" s="2">
        <v>46211.583333333336</v>
      </c>
    </row>
    <row r="1372" spans="1:8" x14ac:dyDescent="0.25">
      <c r="A1372" s="8" t="s">
        <v>4777</v>
      </c>
      <c r="B1372" s="8" t="s">
        <v>14092</v>
      </c>
      <c r="C1372" s="2">
        <v>46211.416666666664</v>
      </c>
      <c r="D1372" s="8" t="s">
        <v>13931</v>
      </c>
      <c r="E1372" s="8" t="s">
        <v>24</v>
      </c>
      <c r="F1372">
        <v>1</v>
      </c>
      <c r="G1372" s="2">
        <v>46211.75</v>
      </c>
      <c r="H1372" s="2">
        <v>46211.583333333336</v>
      </c>
    </row>
    <row r="1373" spans="1:8" x14ac:dyDescent="0.25">
      <c r="A1373" s="8" t="s">
        <v>14093</v>
      </c>
      <c r="B1373" s="8" t="s">
        <v>14092</v>
      </c>
      <c r="C1373" s="2">
        <v>46211.416666666664</v>
      </c>
      <c r="D1373" s="8" t="s">
        <v>13931</v>
      </c>
      <c r="E1373" s="8" t="s">
        <v>26</v>
      </c>
      <c r="F1373">
        <v>2</v>
      </c>
      <c r="G1373" s="2">
        <v>46211.75</v>
      </c>
      <c r="H1373" s="2"/>
    </row>
    <row r="1374" spans="1:8" x14ac:dyDescent="0.25">
      <c r="A1374" s="8" t="s">
        <v>4780</v>
      </c>
      <c r="B1374" s="8" t="s">
        <v>14092</v>
      </c>
      <c r="C1374" s="2">
        <v>46211.416666666664</v>
      </c>
      <c r="D1374" s="8" t="s">
        <v>13931</v>
      </c>
      <c r="E1374" s="8" t="s">
        <v>28</v>
      </c>
      <c r="F1374">
        <v>2</v>
      </c>
      <c r="G1374" s="2">
        <v>46211.75</v>
      </c>
      <c r="H1374" s="2">
        <v>46211.583333333336</v>
      </c>
    </row>
    <row r="1375" spans="1:8" x14ac:dyDescent="0.25">
      <c r="A1375" s="8" t="s">
        <v>4783</v>
      </c>
      <c r="B1375" s="8" t="s">
        <v>14092</v>
      </c>
      <c r="C1375" s="2">
        <v>46211.416666666664</v>
      </c>
      <c r="D1375" s="8" t="s">
        <v>13931</v>
      </c>
      <c r="E1375" s="8" t="s">
        <v>32</v>
      </c>
      <c r="F1375">
        <v>5</v>
      </c>
      <c r="G1375" s="2">
        <v>46211.75</v>
      </c>
      <c r="H1375" s="2">
        <v>46211.583333333336</v>
      </c>
    </row>
    <row r="1376" spans="1:8" x14ac:dyDescent="0.25">
      <c r="A1376" s="8" t="s">
        <v>4786</v>
      </c>
      <c r="B1376" s="8" t="s">
        <v>14092</v>
      </c>
      <c r="C1376" s="2">
        <v>46211.416666666664</v>
      </c>
      <c r="D1376" s="8" t="s">
        <v>13931</v>
      </c>
      <c r="E1376" s="8" t="s">
        <v>49</v>
      </c>
      <c r="F1376">
        <v>2</v>
      </c>
      <c r="G1376" s="2">
        <v>46211.75</v>
      </c>
      <c r="H1376" s="2">
        <v>46211.583333333336</v>
      </c>
    </row>
    <row r="1377" spans="1:8" x14ac:dyDescent="0.25">
      <c r="A1377" s="8" t="s">
        <v>4789</v>
      </c>
      <c r="B1377" s="8" t="s">
        <v>14092</v>
      </c>
      <c r="C1377" s="2">
        <v>46211.416666666664</v>
      </c>
      <c r="D1377" s="8" t="s">
        <v>13931</v>
      </c>
      <c r="E1377" s="8" t="s">
        <v>67</v>
      </c>
      <c r="F1377">
        <v>4</v>
      </c>
      <c r="G1377" s="2">
        <v>46211.75</v>
      </c>
      <c r="H1377" s="2">
        <v>46211.583333333336</v>
      </c>
    </row>
    <row r="1378" spans="1:8" x14ac:dyDescent="0.25">
      <c r="A1378" s="8" t="s">
        <v>4792</v>
      </c>
      <c r="B1378" s="8" t="s">
        <v>14092</v>
      </c>
      <c r="C1378" s="2">
        <v>46211.416666666664</v>
      </c>
      <c r="D1378" s="8" t="s">
        <v>13931</v>
      </c>
      <c r="E1378" s="8" t="s">
        <v>71</v>
      </c>
      <c r="F1378">
        <v>5</v>
      </c>
      <c r="G1378" s="2">
        <v>46211.75</v>
      </c>
      <c r="H1378" s="2">
        <v>46211.583333333336</v>
      </c>
    </row>
    <row r="1379" spans="1:8" x14ac:dyDescent="0.25">
      <c r="A1379" s="8" t="s">
        <v>4795</v>
      </c>
      <c r="B1379" s="8" t="s">
        <v>14094</v>
      </c>
      <c r="C1379" s="2">
        <v>46211.416666666664</v>
      </c>
      <c r="D1379" s="8" t="s">
        <v>13933</v>
      </c>
      <c r="E1379" s="8" t="s">
        <v>11</v>
      </c>
      <c r="F1379">
        <v>5</v>
      </c>
      <c r="G1379" s="2">
        <v>46211.75</v>
      </c>
      <c r="H1379" s="2">
        <v>46211.583333333336</v>
      </c>
    </row>
    <row r="1380" spans="1:8" x14ac:dyDescent="0.25">
      <c r="A1380" s="8" t="s">
        <v>4798</v>
      </c>
      <c r="B1380" s="8" t="s">
        <v>14094</v>
      </c>
      <c r="C1380" s="2">
        <v>46211.416666666664</v>
      </c>
      <c r="D1380" s="8" t="s">
        <v>13933</v>
      </c>
      <c r="E1380" s="8" t="s">
        <v>18</v>
      </c>
      <c r="F1380">
        <v>1</v>
      </c>
      <c r="G1380" s="2">
        <v>46211.75</v>
      </c>
      <c r="H1380" s="2">
        <v>46211.583333333336</v>
      </c>
    </row>
    <row r="1381" spans="1:8" x14ac:dyDescent="0.25">
      <c r="A1381" s="8" t="s">
        <v>4801</v>
      </c>
      <c r="B1381" s="8" t="s">
        <v>14094</v>
      </c>
      <c r="C1381" s="2">
        <v>46211.416666666664</v>
      </c>
      <c r="D1381" s="8" t="s">
        <v>13933</v>
      </c>
      <c r="E1381" s="8" t="s">
        <v>22</v>
      </c>
      <c r="F1381">
        <v>1</v>
      </c>
      <c r="G1381" s="2">
        <v>46211.75</v>
      </c>
      <c r="H1381" s="2">
        <v>46211.583333333336</v>
      </c>
    </row>
    <row r="1382" spans="1:8" x14ac:dyDescent="0.25">
      <c r="A1382" s="8" t="s">
        <v>4804</v>
      </c>
      <c r="B1382" s="8" t="s">
        <v>14094</v>
      </c>
      <c r="C1382" s="2">
        <v>46211.416666666664</v>
      </c>
      <c r="D1382" s="8" t="s">
        <v>13933</v>
      </c>
      <c r="E1382" s="8" t="s">
        <v>24</v>
      </c>
      <c r="F1382">
        <v>6</v>
      </c>
      <c r="G1382" s="2">
        <v>46211.75</v>
      </c>
      <c r="H1382" s="2">
        <v>46211.583333333336</v>
      </c>
    </row>
    <row r="1383" spans="1:8" x14ac:dyDescent="0.25">
      <c r="A1383" s="8" t="s">
        <v>14095</v>
      </c>
      <c r="B1383" s="8" t="s">
        <v>14094</v>
      </c>
      <c r="C1383" s="2">
        <v>46211.416666666664</v>
      </c>
      <c r="D1383" s="8" t="s">
        <v>13933</v>
      </c>
      <c r="E1383" s="8" t="s">
        <v>26</v>
      </c>
      <c r="F1383">
        <v>1</v>
      </c>
      <c r="G1383" s="2">
        <v>46211.75</v>
      </c>
      <c r="H1383" s="2"/>
    </row>
    <row r="1384" spans="1:8" x14ac:dyDescent="0.25">
      <c r="A1384" s="8" t="s">
        <v>4807</v>
      </c>
      <c r="B1384" s="8" t="s">
        <v>14094</v>
      </c>
      <c r="C1384" s="2">
        <v>46211.416666666664</v>
      </c>
      <c r="D1384" s="8" t="s">
        <v>13933</v>
      </c>
      <c r="E1384" s="8" t="s">
        <v>28</v>
      </c>
      <c r="F1384">
        <v>6</v>
      </c>
      <c r="G1384" s="2">
        <v>46211.75</v>
      </c>
      <c r="H1384" s="2">
        <v>46211.583333333336</v>
      </c>
    </row>
    <row r="1385" spans="1:8" x14ac:dyDescent="0.25">
      <c r="A1385" s="8" t="s">
        <v>4810</v>
      </c>
      <c r="B1385" s="8" t="s">
        <v>14094</v>
      </c>
      <c r="C1385" s="2">
        <v>46211.416666666664</v>
      </c>
      <c r="D1385" s="8" t="s">
        <v>13933</v>
      </c>
      <c r="E1385" s="8" t="s">
        <v>41</v>
      </c>
      <c r="F1385">
        <v>1</v>
      </c>
      <c r="G1385" s="2">
        <v>46211.75</v>
      </c>
      <c r="H1385" s="2">
        <v>46211.583333333336</v>
      </c>
    </row>
    <row r="1386" spans="1:8" x14ac:dyDescent="0.25">
      <c r="A1386" s="8" t="s">
        <v>4813</v>
      </c>
      <c r="B1386" s="8" t="s">
        <v>14094</v>
      </c>
      <c r="C1386" s="2">
        <v>46211.416666666664</v>
      </c>
      <c r="D1386" s="8" t="s">
        <v>13933</v>
      </c>
      <c r="E1386" s="8" t="s">
        <v>53</v>
      </c>
      <c r="F1386">
        <v>5</v>
      </c>
      <c r="G1386" s="2">
        <v>46211.75</v>
      </c>
      <c r="H1386" s="2">
        <v>46211.583333333336</v>
      </c>
    </row>
    <row r="1387" spans="1:8" x14ac:dyDescent="0.25">
      <c r="A1387" s="8" t="s">
        <v>4816</v>
      </c>
      <c r="B1387" s="8" t="s">
        <v>14094</v>
      </c>
      <c r="C1387" s="2">
        <v>46211.416666666664</v>
      </c>
      <c r="D1387" s="8" t="s">
        <v>13933</v>
      </c>
      <c r="E1387" s="8" t="s">
        <v>65</v>
      </c>
      <c r="F1387">
        <v>6</v>
      </c>
      <c r="G1387" s="2">
        <v>46211.75</v>
      </c>
      <c r="H1387" s="2">
        <v>46211.583333333336</v>
      </c>
    </row>
    <row r="1388" spans="1:8" x14ac:dyDescent="0.25">
      <c r="A1388" s="8" t="s">
        <v>4819</v>
      </c>
      <c r="B1388" s="8" t="s">
        <v>14094</v>
      </c>
      <c r="C1388" s="2">
        <v>46211.416666666664</v>
      </c>
      <c r="D1388" s="8" t="s">
        <v>13933</v>
      </c>
      <c r="E1388" s="8" t="s">
        <v>69</v>
      </c>
      <c r="F1388">
        <v>6</v>
      </c>
      <c r="G1388" s="2">
        <v>46211.75</v>
      </c>
      <c r="H1388" s="2">
        <v>46211.583333333336</v>
      </c>
    </row>
    <row r="1389" spans="1:8" x14ac:dyDescent="0.25">
      <c r="A1389" s="8" t="s">
        <v>4822</v>
      </c>
      <c r="B1389" s="8" t="s">
        <v>14094</v>
      </c>
      <c r="C1389" s="2">
        <v>46211.416666666664</v>
      </c>
      <c r="D1389" s="8" t="s">
        <v>13933</v>
      </c>
      <c r="E1389" s="8" t="s">
        <v>73</v>
      </c>
      <c r="F1389">
        <v>6</v>
      </c>
      <c r="G1389" s="2">
        <v>46211.75</v>
      </c>
      <c r="H1389" s="2">
        <v>46211.583333333336</v>
      </c>
    </row>
    <row r="1390" spans="1:8" x14ac:dyDescent="0.25">
      <c r="A1390" s="8" t="s">
        <v>4825</v>
      </c>
      <c r="B1390" s="8" t="s">
        <v>14096</v>
      </c>
      <c r="C1390" s="2">
        <v>46211.416666666664</v>
      </c>
      <c r="D1390" s="8" t="s">
        <v>13935</v>
      </c>
      <c r="E1390" s="8" t="s">
        <v>22</v>
      </c>
      <c r="F1390">
        <v>3</v>
      </c>
      <c r="G1390" s="2">
        <v>46211.75</v>
      </c>
      <c r="H1390" s="2">
        <v>46211.583333333336</v>
      </c>
    </row>
    <row r="1391" spans="1:8" x14ac:dyDescent="0.25">
      <c r="A1391" s="8" t="s">
        <v>4828</v>
      </c>
      <c r="B1391" s="8" t="s">
        <v>14096</v>
      </c>
      <c r="C1391" s="2">
        <v>46211.416666666664</v>
      </c>
      <c r="D1391" s="8" t="s">
        <v>13935</v>
      </c>
      <c r="E1391" s="8" t="s">
        <v>24</v>
      </c>
      <c r="F1391">
        <v>6</v>
      </c>
      <c r="G1391" s="2">
        <v>46211.75</v>
      </c>
      <c r="H1391" s="2">
        <v>46211.583333333336</v>
      </c>
    </row>
    <row r="1392" spans="1:8" x14ac:dyDescent="0.25">
      <c r="A1392" s="8" t="s">
        <v>14097</v>
      </c>
      <c r="B1392" s="8" t="s">
        <v>14096</v>
      </c>
      <c r="C1392" s="2">
        <v>46211.416666666664</v>
      </c>
      <c r="D1392" s="8" t="s">
        <v>13935</v>
      </c>
      <c r="E1392" s="8" t="s">
        <v>26</v>
      </c>
      <c r="F1392">
        <v>1</v>
      </c>
      <c r="G1392" s="2">
        <v>46211.75</v>
      </c>
      <c r="H1392" s="2"/>
    </row>
    <row r="1393" spans="1:8" x14ac:dyDescent="0.25">
      <c r="A1393" s="8" t="s">
        <v>4831</v>
      </c>
      <c r="B1393" s="8" t="s">
        <v>14096</v>
      </c>
      <c r="C1393" s="2">
        <v>46211.416666666664</v>
      </c>
      <c r="D1393" s="8" t="s">
        <v>13935</v>
      </c>
      <c r="E1393" s="8" t="s">
        <v>28</v>
      </c>
      <c r="F1393">
        <v>4</v>
      </c>
      <c r="G1393" s="2">
        <v>46211.75</v>
      </c>
      <c r="H1393" s="2">
        <v>46211.583333333336</v>
      </c>
    </row>
    <row r="1394" spans="1:8" x14ac:dyDescent="0.25">
      <c r="A1394" s="8" t="s">
        <v>4834</v>
      </c>
      <c r="B1394" s="8" t="s">
        <v>14096</v>
      </c>
      <c r="C1394" s="2">
        <v>46211.416666666664</v>
      </c>
      <c r="D1394" s="8" t="s">
        <v>13935</v>
      </c>
      <c r="E1394" s="8" t="s">
        <v>43</v>
      </c>
      <c r="F1394">
        <v>3</v>
      </c>
      <c r="G1394" s="2">
        <v>46211.75</v>
      </c>
      <c r="H1394" s="2">
        <v>46211.583333333336</v>
      </c>
    </row>
    <row r="1395" spans="1:8" x14ac:dyDescent="0.25">
      <c r="A1395" s="8" t="s">
        <v>4837</v>
      </c>
      <c r="B1395" s="8" t="s">
        <v>14096</v>
      </c>
      <c r="C1395" s="2">
        <v>46211.416666666664</v>
      </c>
      <c r="D1395" s="8" t="s">
        <v>13935</v>
      </c>
      <c r="E1395" s="8" t="s">
        <v>65</v>
      </c>
      <c r="F1395">
        <v>6</v>
      </c>
      <c r="G1395" s="2">
        <v>46211.75</v>
      </c>
      <c r="H1395" s="2">
        <v>46211.583333333336</v>
      </c>
    </row>
    <row r="1396" spans="1:8" x14ac:dyDescent="0.25">
      <c r="A1396" s="8" t="s">
        <v>4842</v>
      </c>
      <c r="B1396" s="8" t="s">
        <v>14096</v>
      </c>
      <c r="C1396" s="2">
        <v>46211.416666666664</v>
      </c>
      <c r="D1396" s="8" t="s">
        <v>13935</v>
      </c>
      <c r="E1396" s="8" t="s">
        <v>73</v>
      </c>
      <c r="F1396">
        <v>7</v>
      </c>
      <c r="G1396" s="2">
        <v>46211.75</v>
      </c>
      <c r="H1396" s="2">
        <v>46211.583333333336</v>
      </c>
    </row>
    <row r="1397" spans="1:8" x14ac:dyDescent="0.25">
      <c r="A1397" s="8" t="s">
        <v>4845</v>
      </c>
      <c r="B1397" s="8" t="s">
        <v>14096</v>
      </c>
      <c r="C1397" s="2">
        <v>46211.416666666664</v>
      </c>
      <c r="D1397" s="8" t="s">
        <v>13935</v>
      </c>
      <c r="E1397" s="8" t="s">
        <v>77</v>
      </c>
      <c r="F1397">
        <v>4</v>
      </c>
      <c r="G1397" s="2">
        <v>46211.75</v>
      </c>
      <c r="H1397" s="2">
        <v>46211.583333333336</v>
      </c>
    </row>
    <row r="1398" spans="1:8" x14ac:dyDescent="0.25">
      <c r="A1398" s="8" t="s">
        <v>4848</v>
      </c>
      <c r="B1398" s="8" t="s">
        <v>14098</v>
      </c>
      <c r="C1398" s="2">
        <v>46211.416666666664</v>
      </c>
      <c r="D1398" s="8" t="s">
        <v>13937</v>
      </c>
      <c r="E1398" s="8" t="s">
        <v>20</v>
      </c>
      <c r="F1398">
        <v>2</v>
      </c>
      <c r="G1398" s="2">
        <v>46211.75</v>
      </c>
      <c r="H1398" s="2">
        <v>46211.583333333336</v>
      </c>
    </row>
    <row r="1399" spans="1:8" x14ac:dyDescent="0.25">
      <c r="A1399" s="8" t="s">
        <v>4851</v>
      </c>
      <c r="B1399" s="8" t="s">
        <v>14098</v>
      </c>
      <c r="C1399" s="2">
        <v>46211.416666666664</v>
      </c>
      <c r="D1399" s="8" t="s">
        <v>13937</v>
      </c>
      <c r="E1399" s="8" t="s">
        <v>24</v>
      </c>
      <c r="F1399">
        <v>4</v>
      </c>
      <c r="G1399" s="2">
        <v>46211.75</v>
      </c>
      <c r="H1399" s="2">
        <v>46211.583333333336</v>
      </c>
    </row>
    <row r="1400" spans="1:8" x14ac:dyDescent="0.25">
      <c r="A1400" s="8" t="s">
        <v>4854</v>
      </c>
      <c r="B1400" s="8" t="s">
        <v>14098</v>
      </c>
      <c r="C1400" s="2">
        <v>46211.416666666664</v>
      </c>
      <c r="D1400" s="8" t="s">
        <v>13937</v>
      </c>
      <c r="E1400" s="8" t="s">
        <v>28</v>
      </c>
      <c r="F1400">
        <v>4</v>
      </c>
      <c r="G1400" s="2">
        <v>46211.75</v>
      </c>
      <c r="H1400" s="2">
        <v>46211.583333333336</v>
      </c>
    </row>
    <row r="1401" spans="1:8" x14ac:dyDescent="0.25">
      <c r="A1401" s="8" t="s">
        <v>4857</v>
      </c>
      <c r="B1401" s="8" t="s">
        <v>14098</v>
      </c>
      <c r="C1401" s="2">
        <v>46211.416666666664</v>
      </c>
      <c r="D1401" s="8" t="s">
        <v>13937</v>
      </c>
      <c r="E1401" s="8" t="s">
        <v>30</v>
      </c>
      <c r="F1401">
        <v>4</v>
      </c>
      <c r="G1401" s="2">
        <v>46211.75</v>
      </c>
      <c r="H1401" s="2">
        <v>46211.583333333336</v>
      </c>
    </row>
    <row r="1402" spans="1:8" x14ac:dyDescent="0.25">
      <c r="A1402" s="8" t="s">
        <v>4860</v>
      </c>
      <c r="B1402" s="8" t="s">
        <v>14098</v>
      </c>
      <c r="C1402" s="2">
        <v>46211.416666666664</v>
      </c>
      <c r="D1402" s="8" t="s">
        <v>13937</v>
      </c>
      <c r="E1402" s="8" t="s">
        <v>32</v>
      </c>
      <c r="F1402">
        <v>1</v>
      </c>
      <c r="G1402" s="2">
        <v>46211.75</v>
      </c>
      <c r="H1402" s="2">
        <v>46211.583333333336</v>
      </c>
    </row>
    <row r="1403" spans="1:8" x14ac:dyDescent="0.25">
      <c r="A1403" s="8" t="s">
        <v>4863</v>
      </c>
      <c r="B1403" s="8" t="s">
        <v>14098</v>
      </c>
      <c r="C1403" s="2">
        <v>46211.416666666664</v>
      </c>
      <c r="D1403" s="8" t="s">
        <v>13937</v>
      </c>
      <c r="E1403" s="8" t="s">
        <v>41</v>
      </c>
      <c r="F1403">
        <v>2</v>
      </c>
      <c r="G1403" s="2">
        <v>46211.75</v>
      </c>
      <c r="H1403" s="2">
        <v>46211.583333333336</v>
      </c>
    </row>
    <row r="1404" spans="1:8" x14ac:dyDescent="0.25">
      <c r="A1404" s="8" t="s">
        <v>4866</v>
      </c>
      <c r="B1404" s="8" t="s">
        <v>14098</v>
      </c>
      <c r="C1404" s="2">
        <v>46211.416666666664</v>
      </c>
      <c r="D1404" s="8" t="s">
        <v>13937</v>
      </c>
      <c r="E1404" s="8" t="s">
        <v>49</v>
      </c>
      <c r="F1404">
        <v>4</v>
      </c>
      <c r="G1404" s="2">
        <v>46211.75</v>
      </c>
      <c r="H1404" s="2">
        <v>46211.583333333336</v>
      </c>
    </row>
    <row r="1405" spans="1:8" x14ac:dyDescent="0.25">
      <c r="A1405" s="8" t="s">
        <v>4869</v>
      </c>
      <c r="B1405" s="8" t="s">
        <v>14098</v>
      </c>
      <c r="C1405" s="2">
        <v>46211.416666666664</v>
      </c>
      <c r="D1405" s="8" t="s">
        <v>13937</v>
      </c>
      <c r="E1405" s="8" t="s">
        <v>65</v>
      </c>
      <c r="F1405">
        <v>3</v>
      </c>
      <c r="G1405" s="2">
        <v>46211.75</v>
      </c>
      <c r="H1405" s="2">
        <v>46211.583333333336</v>
      </c>
    </row>
    <row r="1406" spans="1:8" x14ac:dyDescent="0.25">
      <c r="A1406" s="8" t="s">
        <v>4872</v>
      </c>
      <c r="B1406" s="8" t="s">
        <v>14098</v>
      </c>
      <c r="C1406" s="2">
        <v>46211.416666666664</v>
      </c>
      <c r="D1406" s="8" t="s">
        <v>13937</v>
      </c>
      <c r="E1406" s="8" t="s">
        <v>67</v>
      </c>
      <c r="F1406">
        <v>2</v>
      </c>
      <c r="G1406" s="2">
        <v>46211.75</v>
      </c>
      <c r="H1406" s="2">
        <v>46211.583333333336</v>
      </c>
    </row>
    <row r="1407" spans="1:8" x14ac:dyDescent="0.25">
      <c r="A1407" s="8" t="s">
        <v>4875</v>
      </c>
      <c r="B1407" s="8" t="s">
        <v>14099</v>
      </c>
      <c r="C1407" s="2">
        <v>46212.416666666664</v>
      </c>
      <c r="D1407" s="8" t="s">
        <v>13929</v>
      </c>
      <c r="E1407" s="8" t="s">
        <v>18</v>
      </c>
      <c r="F1407">
        <v>2</v>
      </c>
      <c r="G1407" s="2">
        <v>46212.75</v>
      </c>
      <c r="H1407" s="2">
        <v>46212.583333333336</v>
      </c>
    </row>
    <row r="1408" spans="1:8" x14ac:dyDescent="0.25">
      <c r="A1408" s="8" t="s">
        <v>4878</v>
      </c>
      <c r="B1408" s="8" t="s">
        <v>14099</v>
      </c>
      <c r="C1408" s="2">
        <v>46212.416666666664</v>
      </c>
      <c r="D1408" s="8" t="s">
        <v>13929</v>
      </c>
      <c r="E1408" s="8" t="s">
        <v>20</v>
      </c>
      <c r="F1408">
        <v>3</v>
      </c>
      <c r="G1408" s="2">
        <v>46212.75</v>
      </c>
      <c r="H1408" s="2">
        <v>46212.583333333336</v>
      </c>
    </row>
    <row r="1409" spans="1:8" x14ac:dyDescent="0.25">
      <c r="A1409" s="8" t="s">
        <v>4881</v>
      </c>
      <c r="B1409" s="8" t="s">
        <v>14099</v>
      </c>
      <c r="C1409" s="2">
        <v>46212.416666666664</v>
      </c>
      <c r="D1409" s="8" t="s">
        <v>13929</v>
      </c>
      <c r="E1409" s="8" t="s">
        <v>22</v>
      </c>
      <c r="F1409">
        <v>4</v>
      </c>
      <c r="G1409" s="2">
        <v>46212.75</v>
      </c>
      <c r="H1409" s="2">
        <v>46212.583333333336</v>
      </c>
    </row>
    <row r="1410" spans="1:8" x14ac:dyDescent="0.25">
      <c r="A1410" s="8" t="s">
        <v>4884</v>
      </c>
      <c r="B1410" s="8" t="s">
        <v>14099</v>
      </c>
      <c r="C1410" s="2">
        <v>46212.416666666664</v>
      </c>
      <c r="D1410" s="8" t="s">
        <v>13929</v>
      </c>
      <c r="E1410" s="8" t="s">
        <v>24</v>
      </c>
      <c r="F1410">
        <v>1</v>
      </c>
      <c r="G1410" s="2">
        <v>46212.75</v>
      </c>
      <c r="H1410" s="2">
        <v>46212.583333333336</v>
      </c>
    </row>
    <row r="1411" spans="1:8" x14ac:dyDescent="0.25">
      <c r="A1411" s="8" t="s">
        <v>14100</v>
      </c>
      <c r="B1411" s="8" t="s">
        <v>14099</v>
      </c>
      <c r="C1411" s="2">
        <v>46212.416666666664</v>
      </c>
      <c r="D1411" s="8" t="s">
        <v>13929</v>
      </c>
      <c r="E1411" s="8" t="s">
        <v>26</v>
      </c>
      <c r="F1411">
        <v>1</v>
      </c>
      <c r="G1411" s="2">
        <v>46212.75</v>
      </c>
      <c r="H1411" s="2"/>
    </row>
    <row r="1412" spans="1:8" x14ac:dyDescent="0.25">
      <c r="A1412" s="8" t="s">
        <v>4887</v>
      </c>
      <c r="B1412" s="8" t="s">
        <v>14099</v>
      </c>
      <c r="C1412" s="2">
        <v>46212.416666666664</v>
      </c>
      <c r="D1412" s="8" t="s">
        <v>13929</v>
      </c>
      <c r="E1412" s="8" t="s">
        <v>41</v>
      </c>
      <c r="F1412">
        <v>3</v>
      </c>
      <c r="G1412" s="2">
        <v>46212.75</v>
      </c>
      <c r="H1412" s="2">
        <v>46212.583333333336</v>
      </c>
    </row>
    <row r="1413" spans="1:8" x14ac:dyDescent="0.25">
      <c r="A1413" s="8" t="s">
        <v>4890</v>
      </c>
      <c r="B1413" s="8" t="s">
        <v>14099</v>
      </c>
      <c r="C1413" s="2">
        <v>46212.416666666664</v>
      </c>
      <c r="D1413" s="8" t="s">
        <v>13929</v>
      </c>
      <c r="E1413" s="8" t="s">
        <v>49</v>
      </c>
      <c r="F1413">
        <v>2</v>
      </c>
      <c r="G1413" s="2">
        <v>46212.75</v>
      </c>
      <c r="H1413" s="2">
        <v>46212.583333333336</v>
      </c>
    </row>
    <row r="1414" spans="1:8" x14ac:dyDescent="0.25">
      <c r="A1414" s="8" t="s">
        <v>4893</v>
      </c>
      <c r="B1414" s="8" t="s">
        <v>14101</v>
      </c>
      <c r="C1414" s="2">
        <v>46212.416666666664</v>
      </c>
      <c r="D1414" s="8" t="s">
        <v>13931</v>
      </c>
      <c r="E1414" s="8" t="s">
        <v>11</v>
      </c>
      <c r="F1414">
        <v>5</v>
      </c>
      <c r="G1414" s="2">
        <v>46212.75</v>
      </c>
      <c r="H1414" s="2">
        <v>46212.583333333336</v>
      </c>
    </row>
    <row r="1415" spans="1:8" x14ac:dyDescent="0.25">
      <c r="A1415" s="8" t="s">
        <v>4896</v>
      </c>
      <c r="B1415" s="8" t="s">
        <v>14101</v>
      </c>
      <c r="C1415" s="2">
        <v>46212.416666666664</v>
      </c>
      <c r="D1415" s="8" t="s">
        <v>13931</v>
      </c>
      <c r="E1415" s="8" t="s">
        <v>18</v>
      </c>
      <c r="F1415">
        <v>4</v>
      </c>
      <c r="G1415" s="2">
        <v>46212.75</v>
      </c>
      <c r="H1415" s="2">
        <v>46212.583333333336</v>
      </c>
    </row>
    <row r="1416" spans="1:8" x14ac:dyDescent="0.25">
      <c r="A1416" s="8" t="s">
        <v>4899</v>
      </c>
      <c r="B1416" s="8" t="s">
        <v>14101</v>
      </c>
      <c r="C1416" s="2">
        <v>46212.416666666664</v>
      </c>
      <c r="D1416" s="8" t="s">
        <v>13931</v>
      </c>
      <c r="E1416" s="8" t="s">
        <v>28</v>
      </c>
      <c r="F1416">
        <v>3</v>
      </c>
      <c r="G1416" s="2">
        <v>46212.75</v>
      </c>
      <c r="H1416" s="2">
        <v>46212.583333333336</v>
      </c>
    </row>
    <row r="1417" spans="1:8" x14ac:dyDescent="0.25">
      <c r="A1417" s="8" t="s">
        <v>4902</v>
      </c>
      <c r="B1417" s="8" t="s">
        <v>14101</v>
      </c>
      <c r="C1417" s="2">
        <v>46212.416666666664</v>
      </c>
      <c r="D1417" s="8" t="s">
        <v>13931</v>
      </c>
      <c r="E1417" s="8" t="s">
        <v>45</v>
      </c>
      <c r="F1417">
        <v>3</v>
      </c>
      <c r="G1417" s="2">
        <v>46212.75</v>
      </c>
      <c r="H1417" s="2">
        <v>46212.583333333336</v>
      </c>
    </row>
    <row r="1418" spans="1:8" x14ac:dyDescent="0.25">
      <c r="A1418" s="8" t="s">
        <v>4905</v>
      </c>
      <c r="B1418" s="8" t="s">
        <v>14101</v>
      </c>
      <c r="C1418" s="2">
        <v>46212.416666666664</v>
      </c>
      <c r="D1418" s="8" t="s">
        <v>13931</v>
      </c>
      <c r="E1418" s="8" t="s">
        <v>49</v>
      </c>
      <c r="F1418">
        <v>2</v>
      </c>
      <c r="G1418" s="2">
        <v>46212.75</v>
      </c>
      <c r="H1418" s="2">
        <v>46212.583333333336</v>
      </c>
    </row>
    <row r="1419" spans="1:8" x14ac:dyDescent="0.25">
      <c r="A1419" s="8" t="s">
        <v>4908</v>
      </c>
      <c r="B1419" s="8" t="s">
        <v>14101</v>
      </c>
      <c r="C1419" s="2">
        <v>46212.416666666664</v>
      </c>
      <c r="D1419" s="8" t="s">
        <v>13931</v>
      </c>
      <c r="E1419" s="8" t="s">
        <v>71</v>
      </c>
      <c r="F1419">
        <v>5</v>
      </c>
      <c r="G1419" s="2">
        <v>46212.75</v>
      </c>
      <c r="H1419" s="2">
        <v>46212.583333333336</v>
      </c>
    </row>
    <row r="1420" spans="1:8" x14ac:dyDescent="0.25">
      <c r="A1420" s="8" t="s">
        <v>4911</v>
      </c>
      <c r="B1420" s="8" t="s">
        <v>14102</v>
      </c>
      <c r="C1420" s="2">
        <v>46212.416666666664</v>
      </c>
      <c r="D1420" s="8" t="s">
        <v>13933</v>
      </c>
      <c r="E1420" s="8" t="s">
        <v>11</v>
      </c>
      <c r="F1420">
        <v>1</v>
      </c>
      <c r="G1420" s="2">
        <v>46212.75</v>
      </c>
      <c r="H1420" s="2">
        <v>46212.583333333336</v>
      </c>
    </row>
    <row r="1421" spans="1:8" x14ac:dyDescent="0.25">
      <c r="A1421" s="8" t="s">
        <v>4914</v>
      </c>
      <c r="B1421" s="8" t="s">
        <v>14102</v>
      </c>
      <c r="C1421" s="2">
        <v>46212.416666666664</v>
      </c>
      <c r="D1421" s="8" t="s">
        <v>13933</v>
      </c>
      <c r="E1421" s="8" t="s">
        <v>18</v>
      </c>
      <c r="F1421">
        <v>4</v>
      </c>
      <c r="G1421" s="2">
        <v>46212.75</v>
      </c>
      <c r="H1421" s="2">
        <v>46212.583333333336</v>
      </c>
    </row>
    <row r="1422" spans="1:8" x14ac:dyDescent="0.25">
      <c r="A1422" s="8" t="s">
        <v>4917</v>
      </c>
      <c r="B1422" s="8" t="s">
        <v>14102</v>
      </c>
      <c r="C1422" s="2">
        <v>46212.416666666664</v>
      </c>
      <c r="D1422" s="8" t="s">
        <v>13933</v>
      </c>
      <c r="E1422" s="8" t="s">
        <v>22</v>
      </c>
      <c r="F1422">
        <v>6</v>
      </c>
      <c r="G1422" s="2">
        <v>46212.75</v>
      </c>
      <c r="H1422" s="2">
        <v>46212.583333333336</v>
      </c>
    </row>
    <row r="1423" spans="1:8" x14ac:dyDescent="0.25">
      <c r="A1423" s="8" t="s">
        <v>4920</v>
      </c>
      <c r="B1423" s="8" t="s">
        <v>14102</v>
      </c>
      <c r="C1423" s="2">
        <v>46212.416666666664</v>
      </c>
      <c r="D1423" s="8" t="s">
        <v>13933</v>
      </c>
      <c r="E1423" s="8" t="s">
        <v>30</v>
      </c>
      <c r="F1423">
        <v>5</v>
      </c>
      <c r="G1423" s="2">
        <v>46212.75</v>
      </c>
      <c r="H1423" s="2">
        <v>46212.583333333336</v>
      </c>
    </row>
    <row r="1424" spans="1:8" x14ac:dyDescent="0.25">
      <c r="A1424" s="8" t="s">
        <v>4923</v>
      </c>
      <c r="B1424" s="8" t="s">
        <v>14102</v>
      </c>
      <c r="C1424" s="2">
        <v>46212.416666666664</v>
      </c>
      <c r="D1424" s="8" t="s">
        <v>13933</v>
      </c>
      <c r="E1424" s="8" t="s">
        <v>36</v>
      </c>
      <c r="F1424">
        <v>4</v>
      </c>
      <c r="G1424" s="2">
        <v>46212.75</v>
      </c>
      <c r="H1424" s="2">
        <v>46212.583333333336</v>
      </c>
    </row>
    <row r="1425" spans="1:8" x14ac:dyDescent="0.25">
      <c r="A1425" s="8" t="s">
        <v>4926</v>
      </c>
      <c r="B1425" s="8" t="s">
        <v>14102</v>
      </c>
      <c r="C1425" s="2">
        <v>46212.416666666664</v>
      </c>
      <c r="D1425" s="8" t="s">
        <v>13933</v>
      </c>
      <c r="E1425" s="8" t="s">
        <v>43</v>
      </c>
      <c r="F1425">
        <v>6</v>
      </c>
      <c r="G1425" s="2">
        <v>46212.75</v>
      </c>
      <c r="H1425" s="2">
        <v>46212.583333333336</v>
      </c>
    </row>
    <row r="1426" spans="1:8" x14ac:dyDescent="0.25">
      <c r="A1426" s="8" t="s">
        <v>4929</v>
      </c>
      <c r="B1426" s="8" t="s">
        <v>14102</v>
      </c>
      <c r="C1426" s="2">
        <v>46212.416666666664</v>
      </c>
      <c r="D1426" s="8" t="s">
        <v>13933</v>
      </c>
      <c r="E1426" s="8" t="s">
        <v>45</v>
      </c>
      <c r="F1426">
        <v>5</v>
      </c>
      <c r="G1426" s="2">
        <v>46212.75</v>
      </c>
      <c r="H1426" s="2">
        <v>46212.583333333336</v>
      </c>
    </row>
    <row r="1427" spans="1:8" x14ac:dyDescent="0.25">
      <c r="A1427" s="8" t="s">
        <v>4932</v>
      </c>
      <c r="B1427" s="8" t="s">
        <v>14102</v>
      </c>
      <c r="C1427" s="2">
        <v>46212.416666666664</v>
      </c>
      <c r="D1427" s="8" t="s">
        <v>13933</v>
      </c>
      <c r="E1427" s="8" t="s">
        <v>59</v>
      </c>
      <c r="F1427">
        <v>2</v>
      </c>
      <c r="G1427" s="2">
        <v>46212.75</v>
      </c>
      <c r="H1427" s="2">
        <v>46212.583333333336</v>
      </c>
    </row>
    <row r="1428" spans="1:8" x14ac:dyDescent="0.25">
      <c r="A1428" s="8" t="s">
        <v>4935</v>
      </c>
      <c r="B1428" s="8" t="s">
        <v>14102</v>
      </c>
      <c r="C1428" s="2">
        <v>46212.416666666664</v>
      </c>
      <c r="D1428" s="8" t="s">
        <v>13933</v>
      </c>
      <c r="E1428" s="8" t="s">
        <v>67</v>
      </c>
      <c r="F1428">
        <v>4</v>
      </c>
      <c r="G1428" s="2">
        <v>46212.75</v>
      </c>
      <c r="H1428" s="2">
        <v>46212.583333333336</v>
      </c>
    </row>
    <row r="1429" spans="1:8" x14ac:dyDescent="0.25">
      <c r="A1429" s="8" t="s">
        <v>4938</v>
      </c>
      <c r="B1429" s="8" t="s">
        <v>14103</v>
      </c>
      <c r="C1429" s="2">
        <v>46212.416666666664</v>
      </c>
      <c r="D1429" s="8" t="s">
        <v>13935</v>
      </c>
      <c r="E1429" s="8" t="s">
        <v>20</v>
      </c>
      <c r="F1429">
        <v>1</v>
      </c>
      <c r="G1429" s="2">
        <v>46212.75</v>
      </c>
      <c r="H1429" s="2">
        <v>46212.583333333336</v>
      </c>
    </row>
    <row r="1430" spans="1:8" x14ac:dyDescent="0.25">
      <c r="A1430" s="8" t="s">
        <v>4941</v>
      </c>
      <c r="B1430" s="8" t="s">
        <v>14103</v>
      </c>
      <c r="C1430" s="2">
        <v>46212.416666666664</v>
      </c>
      <c r="D1430" s="8" t="s">
        <v>13935</v>
      </c>
      <c r="E1430" s="8" t="s">
        <v>22</v>
      </c>
      <c r="F1430">
        <v>3</v>
      </c>
      <c r="G1430" s="2">
        <v>46212.75</v>
      </c>
      <c r="H1430" s="2">
        <v>46212.583333333336</v>
      </c>
    </row>
    <row r="1431" spans="1:8" x14ac:dyDescent="0.25">
      <c r="A1431" s="8" t="s">
        <v>4944</v>
      </c>
      <c r="B1431" s="8" t="s">
        <v>14103</v>
      </c>
      <c r="C1431" s="2">
        <v>46212.416666666664</v>
      </c>
      <c r="D1431" s="8" t="s">
        <v>13935</v>
      </c>
      <c r="E1431" s="8" t="s">
        <v>24</v>
      </c>
      <c r="F1431">
        <v>3</v>
      </c>
      <c r="G1431" s="2">
        <v>46212.75</v>
      </c>
      <c r="H1431" s="2">
        <v>46212.583333333336</v>
      </c>
    </row>
    <row r="1432" spans="1:8" x14ac:dyDescent="0.25">
      <c r="A1432" s="8" t="s">
        <v>14104</v>
      </c>
      <c r="B1432" s="8" t="s">
        <v>14103</v>
      </c>
      <c r="C1432" s="2">
        <v>46212.416666666664</v>
      </c>
      <c r="D1432" s="8" t="s">
        <v>13935</v>
      </c>
      <c r="E1432" s="8" t="s">
        <v>26</v>
      </c>
      <c r="F1432">
        <v>1</v>
      </c>
      <c r="G1432" s="2">
        <v>46212.75</v>
      </c>
      <c r="H1432" s="2"/>
    </row>
    <row r="1433" spans="1:8" x14ac:dyDescent="0.25">
      <c r="A1433" s="8" t="s">
        <v>4947</v>
      </c>
      <c r="B1433" s="8" t="s">
        <v>14103</v>
      </c>
      <c r="C1433" s="2">
        <v>46212.416666666664</v>
      </c>
      <c r="D1433" s="8" t="s">
        <v>13935</v>
      </c>
      <c r="E1433" s="8" t="s">
        <v>30</v>
      </c>
      <c r="F1433">
        <v>4</v>
      </c>
      <c r="G1433" s="2">
        <v>46212.75</v>
      </c>
      <c r="H1433" s="2">
        <v>46212.583333333336</v>
      </c>
    </row>
    <row r="1434" spans="1:8" x14ac:dyDescent="0.25">
      <c r="A1434" s="8" t="s">
        <v>4950</v>
      </c>
      <c r="B1434" s="8" t="s">
        <v>14103</v>
      </c>
      <c r="C1434" s="2">
        <v>46212.416666666664</v>
      </c>
      <c r="D1434" s="8" t="s">
        <v>13935</v>
      </c>
      <c r="E1434" s="8" t="s">
        <v>32</v>
      </c>
      <c r="F1434">
        <v>1</v>
      </c>
      <c r="G1434" s="2">
        <v>46212.75</v>
      </c>
      <c r="H1434" s="2">
        <v>46212.583333333336</v>
      </c>
    </row>
    <row r="1435" spans="1:8" x14ac:dyDescent="0.25">
      <c r="A1435" s="8" t="s">
        <v>4953</v>
      </c>
      <c r="B1435" s="8" t="s">
        <v>14103</v>
      </c>
      <c r="C1435" s="2">
        <v>46212.416666666664</v>
      </c>
      <c r="D1435" s="8" t="s">
        <v>13935</v>
      </c>
      <c r="E1435" s="8" t="s">
        <v>45</v>
      </c>
      <c r="F1435">
        <v>1</v>
      </c>
      <c r="G1435" s="2">
        <v>46212.75</v>
      </c>
      <c r="H1435" s="2">
        <v>46212.583333333336</v>
      </c>
    </row>
    <row r="1436" spans="1:8" x14ac:dyDescent="0.25">
      <c r="A1436" s="8" t="s">
        <v>4956</v>
      </c>
      <c r="B1436" s="8" t="s">
        <v>14103</v>
      </c>
      <c r="C1436" s="2">
        <v>46212.416666666664</v>
      </c>
      <c r="D1436" s="8" t="s">
        <v>13935</v>
      </c>
      <c r="E1436" s="8" t="s">
        <v>49</v>
      </c>
      <c r="F1436">
        <v>4</v>
      </c>
      <c r="G1436" s="2">
        <v>46212.75</v>
      </c>
      <c r="H1436" s="2">
        <v>46212.583333333336</v>
      </c>
    </row>
    <row r="1437" spans="1:8" x14ac:dyDescent="0.25">
      <c r="A1437" s="8" t="s">
        <v>4959</v>
      </c>
      <c r="B1437" s="8" t="s">
        <v>14103</v>
      </c>
      <c r="C1437" s="2">
        <v>46212.416666666664</v>
      </c>
      <c r="D1437" s="8" t="s">
        <v>13935</v>
      </c>
      <c r="E1437" s="8" t="s">
        <v>57</v>
      </c>
      <c r="F1437">
        <v>6</v>
      </c>
      <c r="G1437" s="2">
        <v>46212.75</v>
      </c>
      <c r="H1437" s="2">
        <v>46212.583333333336</v>
      </c>
    </row>
    <row r="1438" spans="1:8" x14ac:dyDescent="0.25">
      <c r="A1438" s="8" t="s">
        <v>4962</v>
      </c>
      <c r="B1438" s="8" t="s">
        <v>14103</v>
      </c>
      <c r="C1438" s="2">
        <v>46212.416666666664</v>
      </c>
      <c r="D1438" s="8" t="s">
        <v>13935</v>
      </c>
      <c r="E1438" s="8" t="s">
        <v>69</v>
      </c>
      <c r="F1438">
        <v>6</v>
      </c>
      <c r="G1438" s="2">
        <v>46212.75</v>
      </c>
      <c r="H1438" s="2">
        <v>46212.583333333336</v>
      </c>
    </row>
    <row r="1439" spans="1:8" x14ac:dyDescent="0.25">
      <c r="A1439" s="8" t="s">
        <v>4965</v>
      </c>
      <c r="B1439" s="8" t="s">
        <v>14103</v>
      </c>
      <c r="C1439" s="2">
        <v>46212.416666666664</v>
      </c>
      <c r="D1439" s="8" t="s">
        <v>13935</v>
      </c>
      <c r="E1439" s="8" t="s">
        <v>77</v>
      </c>
      <c r="F1439">
        <v>1</v>
      </c>
      <c r="G1439" s="2">
        <v>46212.75</v>
      </c>
      <c r="H1439" s="2">
        <v>46212.583333333336</v>
      </c>
    </row>
    <row r="1440" spans="1:8" x14ac:dyDescent="0.25">
      <c r="A1440" s="8" t="s">
        <v>4968</v>
      </c>
      <c r="B1440" s="8" t="s">
        <v>14105</v>
      </c>
      <c r="C1440" s="2">
        <v>46212.416666666664</v>
      </c>
      <c r="D1440" s="8" t="s">
        <v>13937</v>
      </c>
      <c r="E1440" s="8" t="s">
        <v>18</v>
      </c>
      <c r="F1440">
        <v>2</v>
      </c>
      <c r="G1440" s="2">
        <v>46212.75</v>
      </c>
      <c r="H1440" s="2">
        <v>46212.583333333336</v>
      </c>
    </row>
    <row r="1441" spans="1:8" x14ac:dyDescent="0.25">
      <c r="A1441" s="8" t="s">
        <v>4971</v>
      </c>
      <c r="B1441" s="8" t="s">
        <v>14105</v>
      </c>
      <c r="C1441" s="2">
        <v>46212.416666666664</v>
      </c>
      <c r="D1441" s="8" t="s">
        <v>13937</v>
      </c>
      <c r="E1441" s="8" t="s">
        <v>24</v>
      </c>
      <c r="F1441">
        <v>1</v>
      </c>
      <c r="G1441" s="2">
        <v>46212.75</v>
      </c>
      <c r="H1441" s="2">
        <v>46212.583333333336</v>
      </c>
    </row>
    <row r="1442" spans="1:8" x14ac:dyDescent="0.25">
      <c r="A1442" s="8" t="s">
        <v>14106</v>
      </c>
      <c r="B1442" s="8" t="s">
        <v>14105</v>
      </c>
      <c r="C1442" s="2">
        <v>46212.416666666664</v>
      </c>
      <c r="D1442" s="8" t="s">
        <v>13937</v>
      </c>
      <c r="E1442" s="8" t="s">
        <v>26</v>
      </c>
      <c r="F1442">
        <v>1</v>
      </c>
      <c r="G1442" s="2">
        <v>46212.75</v>
      </c>
      <c r="H1442" s="2"/>
    </row>
    <row r="1443" spans="1:8" x14ac:dyDescent="0.25">
      <c r="A1443" s="8" t="s">
        <v>4974</v>
      </c>
      <c r="B1443" s="8" t="s">
        <v>14105</v>
      </c>
      <c r="C1443" s="2">
        <v>46212.416666666664</v>
      </c>
      <c r="D1443" s="8" t="s">
        <v>13937</v>
      </c>
      <c r="E1443" s="8" t="s">
        <v>28</v>
      </c>
      <c r="F1443">
        <v>4</v>
      </c>
      <c r="G1443" s="2">
        <v>46212.75</v>
      </c>
      <c r="H1443" s="2">
        <v>46212.583333333336</v>
      </c>
    </row>
    <row r="1444" spans="1:8" x14ac:dyDescent="0.25">
      <c r="A1444" s="8" t="s">
        <v>4977</v>
      </c>
      <c r="B1444" s="8" t="s">
        <v>14105</v>
      </c>
      <c r="C1444" s="2">
        <v>46212.416666666664</v>
      </c>
      <c r="D1444" s="8" t="s">
        <v>13937</v>
      </c>
      <c r="E1444" s="8" t="s">
        <v>41</v>
      </c>
      <c r="F1444">
        <v>1</v>
      </c>
      <c r="G1444" s="2">
        <v>46212.75</v>
      </c>
      <c r="H1444" s="2">
        <v>46212.583333333336</v>
      </c>
    </row>
    <row r="1445" spans="1:8" x14ac:dyDescent="0.25">
      <c r="A1445" s="8" t="s">
        <v>4980</v>
      </c>
      <c r="B1445" s="8" t="s">
        <v>14105</v>
      </c>
      <c r="C1445" s="2">
        <v>46212.416666666664</v>
      </c>
      <c r="D1445" s="8" t="s">
        <v>13937</v>
      </c>
      <c r="E1445" s="8" t="s">
        <v>47</v>
      </c>
      <c r="F1445">
        <v>4</v>
      </c>
      <c r="G1445" s="2">
        <v>46212.75</v>
      </c>
      <c r="H1445" s="2">
        <v>46212.583333333336</v>
      </c>
    </row>
    <row r="1446" spans="1:8" x14ac:dyDescent="0.25">
      <c r="A1446" s="8" t="s">
        <v>4983</v>
      </c>
      <c r="B1446" s="8" t="s">
        <v>14105</v>
      </c>
      <c r="C1446" s="2">
        <v>46212.416666666664</v>
      </c>
      <c r="D1446" s="8" t="s">
        <v>13937</v>
      </c>
      <c r="E1446" s="8" t="s">
        <v>59</v>
      </c>
      <c r="F1446">
        <v>1</v>
      </c>
      <c r="G1446" s="2">
        <v>46212.75</v>
      </c>
      <c r="H1446" s="2">
        <v>46212.583333333336</v>
      </c>
    </row>
    <row r="1447" spans="1:8" x14ac:dyDescent="0.25">
      <c r="A1447" s="8" t="s">
        <v>4986</v>
      </c>
      <c r="B1447" s="8" t="s">
        <v>14105</v>
      </c>
      <c r="C1447" s="2">
        <v>46212.416666666664</v>
      </c>
      <c r="D1447" s="8" t="s">
        <v>13937</v>
      </c>
      <c r="E1447" s="8" t="s">
        <v>69</v>
      </c>
      <c r="F1447">
        <v>3</v>
      </c>
      <c r="G1447" s="2">
        <v>46212.75</v>
      </c>
      <c r="H1447" s="2">
        <v>46212.583333333336</v>
      </c>
    </row>
    <row r="1448" spans="1:8" x14ac:dyDescent="0.25">
      <c r="A1448" s="8" t="s">
        <v>4989</v>
      </c>
      <c r="B1448" s="8" t="s">
        <v>14107</v>
      </c>
      <c r="C1448" s="2">
        <v>46213.416666666664</v>
      </c>
      <c r="D1448" s="8" t="s">
        <v>13929</v>
      </c>
      <c r="E1448" s="8" t="s">
        <v>22</v>
      </c>
      <c r="F1448">
        <v>2</v>
      </c>
      <c r="G1448" s="2">
        <v>46213.75</v>
      </c>
      <c r="H1448" s="2">
        <v>46213.583333333336</v>
      </c>
    </row>
    <row r="1449" spans="1:8" x14ac:dyDescent="0.25">
      <c r="A1449" s="8" t="s">
        <v>4992</v>
      </c>
      <c r="B1449" s="8" t="s">
        <v>14107</v>
      </c>
      <c r="C1449" s="2">
        <v>46213.416666666664</v>
      </c>
      <c r="D1449" s="8" t="s">
        <v>13929</v>
      </c>
      <c r="E1449" s="8" t="s">
        <v>24</v>
      </c>
      <c r="F1449">
        <v>2</v>
      </c>
      <c r="G1449" s="2">
        <v>46213.75</v>
      </c>
      <c r="H1449" s="2">
        <v>46213.583333333336</v>
      </c>
    </row>
    <row r="1450" spans="1:8" x14ac:dyDescent="0.25">
      <c r="A1450" s="8" t="s">
        <v>14108</v>
      </c>
      <c r="B1450" s="8" t="s">
        <v>14107</v>
      </c>
      <c r="C1450" s="2">
        <v>46213.416666666664</v>
      </c>
      <c r="D1450" s="8" t="s">
        <v>13929</v>
      </c>
      <c r="E1450" s="8" t="s">
        <v>26</v>
      </c>
      <c r="F1450">
        <v>1</v>
      </c>
      <c r="G1450" s="2">
        <v>46213.75</v>
      </c>
      <c r="H1450" s="2"/>
    </row>
    <row r="1451" spans="1:8" x14ac:dyDescent="0.25">
      <c r="A1451" s="8" t="s">
        <v>4995</v>
      </c>
      <c r="B1451" s="8" t="s">
        <v>14107</v>
      </c>
      <c r="C1451" s="2">
        <v>46213.416666666664</v>
      </c>
      <c r="D1451" s="8" t="s">
        <v>13929</v>
      </c>
      <c r="E1451" s="8" t="s">
        <v>32</v>
      </c>
      <c r="F1451">
        <v>3</v>
      </c>
      <c r="G1451" s="2">
        <v>46213.75</v>
      </c>
      <c r="H1451" s="2">
        <v>46213.583333333336</v>
      </c>
    </row>
    <row r="1452" spans="1:8" x14ac:dyDescent="0.25">
      <c r="A1452" s="8" t="s">
        <v>4998</v>
      </c>
      <c r="B1452" s="8" t="s">
        <v>14107</v>
      </c>
      <c r="C1452" s="2">
        <v>46213.416666666664</v>
      </c>
      <c r="D1452" s="8" t="s">
        <v>13929</v>
      </c>
      <c r="E1452" s="8" t="s">
        <v>43</v>
      </c>
      <c r="F1452">
        <v>2</v>
      </c>
      <c r="G1452" s="2">
        <v>46213.75</v>
      </c>
      <c r="H1452" s="2">
        <v>46213.583333333336</v>
      </c>
    </row>
    <row r="1453" spans="1:8" x14ac:dyDescent="0.25">
      <c r="A1453" s="8" t="s">
        <v>5001</v>
      </c>
      <c r="B1453" s="8" t="s">
        <v>14107</v>
      </c>
      <c r="C1453" s="2">
        <v>46213.416666666664</v>
      </c>
      <c r="D1453" s="8" t="s">
        <v>13929</v>
      </c>
      <c r="E1453" s="8" t="s">
        <v>49</v>
      </c>
      <c r="F1453">
        <v>4</v>
      </c>
      <c r="G1453" s="2">
        <v>46213.75</v>
      </c>
      <c r="H1453" s="2">
        <v>46213.583333333336</v>
      </c>
    </row>
    <row r="1454" spans="1:8" x14ac:dyDescent="0.25">
      <c r="A1454" s="8" t="s">
        <v>5004</v>
      </c>
      <c r="B1454" s="8" t="s">
        <v>14107</v>
      </c>
      <c r="C1454" s="2">
        <v>46213.416666666664</v>
      </c>
      <c r="D1454" s="8" t="s">
        <v>13929</v>
      </c>
      <c r="E1454" s="8" t="s">
        <v>59</v>
      </c>
      <c r="F1454">
        <v>2</v>
      </c>
      <c r="G1454" s="2">
        <v>46213.75</v>
      </c>
      <c r="H1454" s="2">
        <v>46213.583333333336</v>
      </c>
    </row>
    <row r="1455" spans="1:8" x14ac:dyDescent="0.25">
      <c r="A1455" s="8" t="s">
        <v>5007</v>
      </c>
      <c r="B1455" s="8" t="s">
        <v>14107</v>
      </c>
      <c r="C1455" s="2">
        <v>46213.416666666664</v>
      </c>
      <c r="D1455" s="8" t="s">
        <v>13929</v>
      </c>
      <c r="E1455" s="8" t="s">
        <v>69</v>
      </c>
      <c r="F1455">
        <v>2</v>
      </c>
      <c r="G1455" s="2">
        <v>46213.75</v>
      </c>
      <c r="H1455" s="2">
        <v>46213.583333333336</v>
      </c>
    </row>
    <row r="1456" spans="1:8" x14ac:dyDescent="0.25">
      <c r="A1456" s="8" t="s">
        <v>5010</v>
      </c>
      <c r="B1456" s="8" t="s">
        <v>14107</v>
      </c>
      <c r="C1456" s="2">
        <v>46213.416666666664</v>
      </c>
      <c r="D1456" s="8" t="s">
        <v>13929</v>
      </c>
      <c r="E1456" s="8" t="s">
        <v>71</v>
      </c>
      <c r="F1456">
        <v>4</v>
      </c>
      <c r="G1456" s="2">
        <v>46213.75</v>
      </c>
      <c r="H1456" s="2">
        <v>46213.583333333336</v>
      </c>
    </row>
    <row r="1457" spans="1:8" x14ac:dyDescent="0.25">
      <c r="A1457" s="8" t="s">
        <v>5013</v>
      </c>
      <c r="B1457" s="8" t="s">
        <v>14107</v>
      </c>
      <c r="C1457" s="2">
        <v>46213.416666666664</v>
      </c>
      <c r="D1457" s="8" t="s">
        <v>13929</v>
      </c>
      <c r="E1457" s="8" t="s">
        <v>77</v>
      </c>
      <c r="F1457">
        <v>3</v>
      </c>
      <c r="G1457" s="2">
        <v>46213.75</v>
      </c>
      <c r="H1457" s="2">
        <v>46213.583333333336</v>
      </c>
    </row>
    <row r="1458" spans="1:8" x14ac:dyDescent="0.25">
      <c r="A1458" s="8" t="s">
        <v>5016</v>
      </c>
      <c r="B1458" s="8" t="s">
        <v>14109</v>
      </c>
      <c r="C1458" s="2">
        <v>46213.416666666664</v>
      </c>
      <c r="D1458" s="8" t="s">
        <v>13931</v>
      </c>
      <c r="E1458" s="8" t="s">
        <v>20</v>
      </c>
      <c r="F1458">
        <v>1</v>
      </c>
      <c r="G1458" s="2">
        <v>46213.75</v>
      </c>
      <c r="H1458" s="2">
        <v>46213.583333333336</v>
      </c>
    </row>
    <row r="1459" spans="1:8" x14ac:dyDescent="0.25">
      <c r="A1459" s="8" t="s">
        <v>5019</v>
      </c>
      <c r="B1459" s="8" t="s">
        <v>14109</v>
      </c>
      <c r="C1459" s="2">
        <v>46213.416666666664</v>
      </c>
      <c r="D1459" s="8" t="s">
        <v>13931</v>
      </c>
      <c r="E1459" s="8" t="s">
        <v>24</v>
      </c>
      <c r="F1459">
        <v>1</v>
      </c>
      <c r="G1459" s="2">
        <v>46213.75</v>
      </c>
      <c r="H1459" s="2">
        <v>46213.583333333336</v>
      </c>
    </row>
    <row r="1460" spans="1:8" x14ac:dyDescent="0.25">
      <c r="A1460" s="8" t="s">
        <v>14110</v>
      </c>
      <c r="B1460" s="8" t="s">
        <v>14109</v>
      </c>
      <c r="C1460" s="2">
        <v>46213.416666666664</v>
      </c>
      <c r="D1460" s="8" t="s">
        <v>13931</v>
      </c>
      <c r="E1460" s="8" t="s">
        <v>26</v>
      </c>
      <c r="F1460">
        <v>4</v>
      </c>
      <c r="G1460" s="2">
        <v>46213.75</v>
      </c>
      <c r="H1460" s="2"/>
    </row>
    <row r="1461" spans="1:8" x14ac:dyDescent="0.25">
      <c r="A1461" s="8" t="s">
        <v>5022</v>
      </c>
      <c r="B1461" s="8" t="s">
        <v>14109</v>
      </c>
      <c r="C1461" s="2">
        <v>46213.416666666664</v>
      </c>
      <c r="D1461" s="8" t="s">
        <v>13931</v>
      </c>
      <c r="E1461" s="8" t="s">
        <v>55</v>
      </c>
      <c r="F1461">
        <v>1</v>
      </c>
      <c r="G1461" s="2">
        <v>46213.75</v>
      </c>
      <c r="H1461" s="2">
        <v>46213.583333333336</v>
      </c>
    </row>
    <row r="1462" spans="1:8" x14ac:dyDescent="0.25">
      <c r="A1462" s="8" t="s">
        <v>5025</v>
      </c>
      <c r="B1462" s="8" t="s">
        <v>14109</v>
      </c>
      <c r="C1462" s="2">
        <v>46213.416666666664</v>
      </c>
      <c r="D1462" s="8" t="s">
        <v>13931</v>
      </c>
      <c r="E1462" s="8" t="s">
        <v>65</v>
      </c>
      <c r="F1462">
        <v>5</v>
      </c>
      <c r="G1462" s="2">
        <v>46213.75</v>
      </c>
      <c r="H1462" s="2">
        <v>46213.583333333336</v>
      </c>
    </row>
    <row r="1463" spans="1:8" x14ac:dyDescent="0.25">
      <c r="A1463" s="8" t="s">
        <v>5028</v>
      </c>
      <c r="B1463" s="8" t="s">
        <v>14109</v>
      </c>
      <c r="C1463" s="2">
        <v>46213.416666666664</v>
      </c>
      <c r="D1463" s="8" t="s">
        <v>13931</v>
      </c>
      <c r="E1463" s="8" t="s">
        <v>69</v>
      </c>
      <c r="F1463">
        <v>2</v>
      </c>
      <c r="G1463" s="2">
        <v>46213.75</v>
      </c>
      <c r="H1463" s="2">
        <v>46213.583333333336</v>
      </c>
    </row>
    <row r="1464" spans="1:8" x14ac:dyDescent="0.25">
      <c r="A1464" s="8" t="s">
        <v>5031</v>
      </c>
      <c r="B1464" s="8" t="s">
        <v>14109</v>
      </c>
      <c r="C1464" s="2">
        <v>46213.416666666664</v>
      </c>
      <c r="D1464" s="8" t="s">
        <v>13931</v>
      </c>
      <c r="E1464" s="8" t="s">
        <v>75</v>
      </c>
      <c r="F1464">
        <v>3</v>
      </c>
      <c r="G1464" s="2">
        <v>46213.75</v>
      </c>
      <c r="H1464" s="2">
        <v>46213.583333333336</v>
      </c>
    </row>
    <row r="1465" spans="1:8" x14ac:dyDescent="0.25">
      <c r="A1465" s="8" t="s">
        <v>5034</v>
      </c>
      <c r="B1465" s="8" t="s">
        <v>14111</v>
      </c>
      <c r="C1465" s="2">
        <v>46213.416666666664</v>
      </c>
      <c r="D1465" s="8" t="s">
        <v>13933</v>
      </c>
      <c r="E1465" s="8" t="s">
        <v>11</v>
      </c>
      <c r="F1465">
        <v>1</v>
      </c>
      <c r="G1465" s="2">
        <v>46213.75</v>
      </c>
      <c r="H1465" s="2">
        <v>46213.583333333336</v>
      </c>
    </row>
    <row r="1466" spans="1:8" x14ac:dyDescent="0.25">
      <c r="A1466" s="8" t="s">
        <v>5037</v>
      </c>
      <c r="B1466" s="8" t="s">
        <v>14111</v>
      </c>
      <c r="C1466" s="2">
        <v>46213.416666666664</v>
      </c>
      <c r="D1466" s="8" t="s">
        <v>13933</v>
      </c>
      <c r="E1466" s="8" t="s">
        <v>18</v>
      </c>
      <c r="F1466">
        <v>2</v>
      </c>
      <c r="G1466" s="2">
        <v>46213.75</v>
      </c>
      <c r="H1466" s="2">
        <v>46213.583333333336</v>
      </c>
    </row>
    <row r="1467" spans="1:8" x14ac:dyDescent="0.25">
      <c r="A1467" s="8" t="s">
        <v>5040</v>
      </c>
      <c r="B1467" s="8" t="s">
        <v>14111</v>
      </c>
      <c r="C1467" s="2">
        <v>46213.416666666664</v>
      </c>
      <c r="D1467" s="8" t="s">
        <v>13933</v>
      </c>
      <c r="E1467" s="8" t="s">
        <v>20</v>
      </c>
      <c r="F1467">
        <v>5</v>
      </c>
      <c r="G1467" s="2">
        <v>46213.75</v>
      </c>
      <c r="H1467" s="2">
        <v>46213.583333333336</v>
      </c>
    </row>
    <row r="1468" spans="1:8" x14ac:dyDescent="0.25">
      <c r="A1468" s="8" t="s">
        <v>5043</v>
      </c>
      <c r="B1468" s="8" t="s">
        <v>14111</v>
      </c>
      <c r="C1468" s="2">
        <v>46213.416666666664</v>
      </c>
      <c r="D1468" s="8" t="s">
        <v>13933</v>
      </c>
      <c r="E1468" s="8" t="s">
        <v>24</v>
      </c>
      <c r="F1468">
        <v>2</v>
      </c>
      <c r="G1468" s="2">
        <v>46213.75</v>
      </c>
      <c r="H1468" s="2">
        <v>46213.583333333336</v>
      </c>
    </row>
    <row r="1469" spans="1:8" x14ac:dyDescent="0.25">
      <c r="A1469" s="8" t="s">
        <v>14112</v>
      </c>
      <c r="B1469" s="8" t="s">
        <v>14111</v>
      </c>
      <c r="C1469" s="2">
        <v>46213.416666666664</v>
      </c>
      <c r="D1469" s="8" t="s">
        <v>13933</v>
      </c>
      <c r="E1469" s="8" t="s">
        <v>26</v>
      </c>
      <c r="F1469">
        <v>6</v>
      </c>
      <c r="G1469" s="2">
        <v>46213.75</v>
      </c>
      <c r="H1469" s="2"/>
    </row>
    <row r="1470" spans="1:8" x14ac:dyDescent="0.25">
      <c r="A1470" s="8" t="s">
        <v>5046</v>
      </c>
      <c r="B1470" s="8" t="s">
        <v>14111</v>
      </c>
      <c r="C1470" s="2">
        <v>46213.416666666664</v>
      </c>
      <c r="D1470" s="8" t="s">
        <v>13933</v>
      </c>
      <c r="E1470" s="8" t="s">
        <v>36</v>
      </c>
      <c r="F1470">
        <v>5</v>
      </c>
      <c r="G1470" s="2">
        <v>46213.75</v>
      </c>
      <c r="H1470" s="2">
        <v>46213.583333333336</v>
      </c>
    </row>
    <row r="1471" spans="1:8" x14ac:dyDescent="0.25">
      <c r="A1471" s="8" t="s">
        <v>5049</v>
      </c>
      <c r="B1471" s="8" t="s">
        <v>14111</v>
      </c>
      <c r="C1471" s="2">
        <v>46213.416666666664</v>
      </c>
      <c r="D1471" s="8" t="s">
        <v>13933</v>
      </c>
      <c r="E1471" s="8" t="s">
        <v>49</v>
      </c>
      <c r="F1471">
        <v>4</v>
      </c>
      <c r="G1471" s="2">
        <v>46213.75</v>
      </c>
      <c r="H1471" s="2">
        <v>46213.583333333336</v>
      </c>
    </row>
    <row r="1472" spans="1:8" x14ac:dyDescent="0.25">
      <c r="A1472" s="8" t="s">
        <v>5052</v>
      </c>
      <c r="B1472" s="8" t="s">
        <v>14111</v>
      </c>
      <c r="C1472" s="2">
        <v>46213.416666666664</v>
      </c>
      <c r="D1472" s="8" t="s">
        <v>13933</v>
      </c>
      <c r="E1472" s="8" t="s">
        <v>51</v>
      </c>
      <c r="F1472">
        <v>6</v>
      </c>
      <c r="G1472" s="2">
        <v>46213.75</v>
      </c>
      <c r="H1472" s="2">
        <v>46213.583333333336</v>
      </c>
    </row>
    <row r="1473" spans="1:8" x14ac:dyDescent="0.25">
      <c r="A1473" s="8" t="s">
        <v>5055</v>
      </c>
      <c r="B1473" s="8" t="s">
        <v>14111</v>
      </c>
      <c r="C1473" s="2">
        <v>46213.416666666664</v>
      </c>
      <c r="D1473" s="8" t="s">
        <v>13933</v>
      </c>
      <c r="E1473" s="8" t="s">
        <v>53</v>
      </c>
      <c r="F1473">
        <v>5</v>
      </c>
      <c r="G1473" s="2">
        <v>46213.75</v>
      </c>
      <c r="H1473" s="2">
        <v>46213.583333333336</v>
      </c>
    </row>
    <row r="1474" spans="1:8" x14ac:dyDescent="0.25">
      <c r="A1474" s="8" t="s">
        <v>5058</v>
      </c>
      <c r="B1474" s="8" t="s">
        <v>14111</v>
      </c>
      <c r="C1474" s="2">
        <v>46213.416666666664</v>
      </c>
      <c r="D1474" s="8" t="s">
        <v>13933</v>
      </c>
      <c r="E1474" s="8" t="s">
        <v>71</v>
      </c>
      <c r="F1474">
        <v>4</v>
      </c>
      <c r="G1474" s="2">
        <v>46213.75</v>
      </c>
      <c r="H1474" s="2">
        <v>46213.583333333336</v>
      </c>
    </row>
    <row r="1475" spans="1:8" x14ac:dyDescent="0.25">
      <c r="A1475" s="8" t="s">
        <v>5061</v>
      </c>
      <c r="B1475" s="8" t="s">
        <v>14111</v>
      </c>
      <c r="C1475" s="2">
        <v>46213.416666666664</v>
      </c>
      <c r="D1475" s="8" t="s">
        <v>13933</v>
      </c>
      <c r="E1475" s="8" t="s">
        <v>75</v>
      </c>
      <c r="F1475">
        <v>6</v>
      </c>
      <c r="G1475" s="2">
        <v>46213.75</v>
      </c>
      <c r="H1475" s="2">
        <v>46213.583333333336</v>
      </c>
    </row>
    <row r="1476" spans="1:8" x14ac:dyDescent="0.25">
      <c r="A1476" s="8" t="s">
        <v>5064</v>
      </c>
      <c r="B1476" s="8" t="s">
        <v>14113</v>
      </c>
      <c r="C1476" s="2">
        <v>46213.416666666664</v>
      </c>
      <c r="D1476" s="8" t="s">
        <v>13935</v>
      </c>
      <c r="E1476" s="8" t="s">
        <v>11</v>
      </c>
      <c r="F1476">
        <v>7</v>
      </c>
      <c r="G1476" s="2">
        <v>46213.75</v>
      </c>
      <c r="H1476" s="2">
        <v>46213.583333333336</v>
      </c>
    </row>
    <row r="1477" spans="1:8" x14ac:dyDescent="0.25">
      <c r="A1477" s="8" t="s">
        <v>5067</v>
      </c>
      <c r="B1477" s="8" t="s">
        <v>14113</v>
      </c>
      <c r="C1477" s="2">
        <v>46213.416666666664</v>
      </c>
      <c r="D1477" s="8" t="s">
        <v>13935</v>
      </c>
      <c r="E1477" s="8" t="s">
        <v>18</v>
      </c>
      <c r="F1477">
        <v>6</v>
      </c>
      <c r="G1477" s="2">
        <v>46213.75</v>
      </c>
      <c r="H1477" s="2">
        <v>46213.583333333336</v>
      </c>
    </row>
    <row r="1478" spans="1:8" x14ac:dyDescent="0.25">
      <c r="A1478" s="8" t="s">
        <v>5070</v>
      </c>
      <c r="B1478" s="8" t="s">
        <v>14113</v>
      </c>
      <c r="C1478" s="2">
        <v>46213.416666666664</v>
      </c>
      <c r="D1478" s="8" t="s">
        <v>13935</v>
      </c>
      <c r="E1478" s="8" t="s">
        <v>20</v>
      </c>
      <c r="F1478">
        <v>1</v>
      </c>
      <c r="G1478" s="2">
        <v>46213.75</v>
      </c>
      <c r="H1478" s="2">
        <v>46213.583333333336</v>
      </c>
    </row>
    <row r="1479" spans="1:8" x14ac:dyDescent="0.25">
      <c r="A1479" s="8" t="s">
        <v>5073</v>
      </c>
      <c r="B1479" s="8" t="s">
        <v>14113</v>
      </c>
      <c r="C1479" s="2">
        <v>46213.416666666664</v>
      </c>
      <c r="D1479" s="8" t="s">
        <v>13935</v>
      </c>
      <c r="E1479" s="8" t="s">
        <v>24</v>
      </c>
      <c r="F1479">
        <v>6</v>
      </c>
      <c r="G1479" s="2">
        <v>46213.75</v>
      </c>
      <c r="H1479" s="2">
        <v>46213.583333333336</v>
      </c>
    </row>
    <row r="1480" spans="1:8" x14ac:dyDescent="0.25">
      <c r="A1480" s="8" t="s">
        <v>14114</v>
      </c>
      <c r="B1480" s="8" t="s">
        <v>14113</v>
      </c>
      <c r="C1480" s="2">
        <v>46213.416666666664</v>
      </c>
      <c r="D1480" s="8" t="s">
        <v>13935</v>
      </c>
      <c r="E1480" s="8" t="s">
        <v>26</v>
      </c>
      <c r="F1480">
        <v>4</v>
      </c>
      <c r="G1480" s="2">
        <v>46213.75</v>
      </c>
      <c r="H1480" s="2"/>
    </row>
    <row r="1481" spans="1:8" x14ac:dyDescent="0.25">
      <c r="A1481" s="8" t="s">
        <v>5076</v>
      </c>
      <c r="B1481" s="8" t="s">
        <v>14113</v>
      </c>
      <c r="C1481" s="2">
        <v>46213.416666666664</v>
      </c>
      <c r="D1481" s="8" t="s">
        <v>13935</v>
      </c>
      <c r="E1481" s="8" t="s">
        <v>32</v>
      </c>
      <c r="F1481">
        <v>7</v>
      </c>
      <c r="G1481" s="2">
        <v>46213.75</v>
      </c>
      <c r="H1481" s="2">
        <v>46213.583333333336</v>
      </c>
    </row>
    <row r="1482" spans="1:8" x14ac:dyDescent="0.25">
      <c r="A1482" s="8" t="s">
        <v>5079</v>
      </c>
      <c r="B1482" s="8" t="s">
        <v>14113</v>
      </c>
      <c r="C1482" s="2">
        <v>46213.416666666664</v>
      </c>
      <c r="D1482" s="8" t="s">
        <v>13935</v>
      </c>
      <c r="E1482" s="8" t="s">
        <v>47</v>
      </c>
      <c r="F1482">
        <v>1</v>
      </c>
      <c r="G1482" s="2">
        <v>46213.75</v>
      </c>
      <c r="H1482" s="2">
        <v>46213.583333333336</v>
      </c>
    </row>
    <row r="1483" spans="1:8" x14ac:dyDescent="0.25">
      <c r="A1483" s="8" t="s">
        <v>5082</v>
      </c>
      <c r="B1483" s="8" t="s">
        <v>14113</v>
      </c>
      <c r="C1483" s="2">
        <v>46213.416666666664</v>
      </c>
      <c r="D1483" s="8" t="s">
        <v>13935</v>
      </c>
      <c r="E1483" s="8" t="s">
        <v>57</v>
      </c>
      <c r="F1483">
        <v>1</v>
      </c>
      <c r="G1483" s="2">
        <v>46213.75</v>
      </c>
      <c r="H1483" s="2">
        <v>46213.583333333336</v>
      </c>
    </row>
    <row r="1484" spans="1:8" x14ac:dyDescent="0.25">
      <c r="A1484" s="8" t="s">
        <v>5085</v>
      </c>
      <c r="B1484" s="8" t="s">
        <v>14113</v>
      </c>
      <c r="C1484" s="2">
        <v>46213.416666666664</v>
      </c>
      <c r="D1484" s="8" t="s">
        <v>13935</v>
      </c>
      <c r="E1484" s="8" t="s">
        <v>67</v>
      </c>
      <c r="F1484">
        <v>1</v>
      </c>
      <c r="G1484" s="2">
        <v>46213.75</v>
      </c>
      <c r="H1484" s="2">
        <v>46213.583333333336</v>
      </c>
    </row>
    <row r="1485" spans="1:8" x14ac:dyDescent="0.25">
      <c r="A1485" s="8" t="s">
        <v>5088</v>
      </c>
      <c r="B1485" s="8" t="s">
        <v>14113</v>
      </c>
      <c r="C1485" s="2">
        <v>46213.416666666664</v>
      </c>
      <c r="D1485" s="8" t="s">
        <v>13935</v>
      </c>
      <c r="E1485" s="8" t="s">
        <v>69</v>
      </c>
      <c r="F1485">
        <v>4</v>
      </c>
      <c r="G1485" s="2">
        <v>46213.75</v>
      </c>
      <c r="H1485" s="2">
        <v>46213.583333333336</v>
      </c>
    </row>
    <row r="1486" spans="1:8" x14ac:dyDescent="0.25">
      <c r="A1486" s="8" t="s">
        <v>5091</v>
      </c>
      <c r="B1486" s="8" t="s">
        <v>14113</v>
      </c>
      <c r="C1486" s="2">
        <v>46213.416666666664</v>
      </c>
      <c r="D1486" s="8" t="s">
        <v>13935</v>
      </c>
      <c r="E1486" s="8" t="s">
        <v>73</v>
      </c>
      <c r="F1486">
        <v>4</v>
      </c>
      <c r="G1486" s="2">
        <v>46213.75</v>
      </c>
      <c r="H1486" s="2">
        <v>46213.583333333336</v>
      </c>
    </row>
    <row r="1487" spans="1:8" x14ac:dyDescent="0.25">
      <c r="A1487" s="8" t="s">
        <v>5094</v>
      </c>
      <c r="B1487" s="8" t="s">
        <v>14113</v>
      </c>
      <c r="C1487" s="2">
        <v>46213.416666666664</v>
      </c>
      <c r="D1487" s="8" t="s">
        <v>13935</v>
      </c>
      <c r="E1487" s="8" t="s">
        <v>77</v>
      </c>
      <c r="F1487">
        <v>6</v>
      </c>
      <c r="G1487" s="2">
        <v>46213.75</v>
      </c>
      <c r="H1487" s="2">
        <v>46213.583333333336</v>
      </c>
    </row>
    <row r="1488" spans="1:8" x14ac:dyDescent="0.25">
      <c r="A1488" s="8" t="s">
        <v>5097</v>
      </c>
      <c r="B1488" s="8" t="s">
        <v>14115</v>
      </c>
      <c r="C1488" s="2">
        <v>46213.416666666664</v>
      </c>
      <c r="D1488" s="8" t="s">
        <v>13937</v>
      </c>
      <c r="E1488" s="8" t="s">
        <v>18</v>
      </c>
      <c r="F1488">
        <v>2</v>
      </c>
      <c r="G1488" s="2">
        <v>46213.75</v>
      </c>
      <c r="H1488" s="2">
        <v>46213.583333333336</v>
      </c>
    </row>
    <row r="1489" spans="1:8" x14ac:dyDescent="0.25">
      <c r="A1489" s="8" t="s">
        <v>5100</v>
      </c>
      <c r="B1489" s="8" t="s">
        <v>14115</v>
      </c>
      <c r="C1489" s="2">
        <v>46213.416666666664</v>
      </c>
      <c r="D1489" s="8" t="s">
        <v>13937</v>
      </c>
      <c r="E1489" s="8" t="s">
        <v>20</v>
      </c>
      <c r="F1489">
        <v>4</v>
      </c>
      <c r="G1489" s="2">
        <v>46213.75</v>
      </c>
      <c r="H1489" s="2">
        <v>46213.583333333336</v>
      </c>
    </row>
    <row r="1490" spans="1:8" x14ac:dyDescent="0.25">
      <c r="A1490" s="8" t="s">
        <v>5103</v>
      </c>
      <c r="B1490" s="8" t="s">
        <v>14115</v>
      </c>
      <c r="C1490" s="2">
        <v>46213.416666666664</v>
      </c>
      <c r="D1490" s="8" t="s">
        <v>13937</v>
      </c>
      <c r="E1490" s="8" t="s">
        <v>22</v>
      </c>
      <c r="F1490">
        <v>4</v>
      </c>
      <c r="G1490" s="2">
        <v>46213.75</v>
      </c>
      <c r="H1490" s="2">
        <v>46213.583333333336</v>
      </c>
    </row>
    <row r="1491" spans="1:8" x14ac:dyDescent="0.25">
      <c r="A1491" s="8" t="s">
        <v>14116</v>
      </c>
      <c r="B1491" s="8" t="s">
        <v>14115</v>
      </c>
      <c r="C1491" s="2">
        <v>46213.416666666664</v>
      </c>
      <c r="D1491" s="8" t="s">
        <v>13937</v>
      </c>
      <c r="E1491" s="8" t="s">
        <v>26</v>
      </c>
      <c r="F1491">
        <v>4</v>
      </c>
      <c r="G1491" s="2">
        <v>46213.75</v>
      </c>
      <c r="H1491" s="2"/>
    </row>
    <row r="1492" spans="1:8" x14ac:dyDescent="0.25">
      <c r="A1492" s="8" t="s">
        <v>5106</v>
      </c>
      <c r="B1492" s="8" t="s">
        <v>14115</v>
      </c>
      <c r="C1492" s="2">
        <v>46213.416666666664</v>
      </c>
      <c r="D1492" s="8" t="s">
        <v>13937</v>
      </c>
      <c r="E1492" s="8" t="s">
        <v>41</v>
      </c>
      <c r="F1492">
        <v>3</v>
      </c>
      <c r="G1492" s="2">
        <v>46213.75</v>
      </c>
      <c r="H1492" s="2">
        <v>46213.583333333336</v>
      </c>
    </row>
    <row r="1493" spans="1:8" x14ac:dyDescent="0.25">
      <c r="A1493" s="8" t="s">
        <v>5109</v>
      </c>
      <c r="B1493" s="8" t="s">
        <v>14115</v>
      </c>
      <c r="C1493" s="2">
        <v>46213.416666666664</v>
      </c>
      <c r="D1493" s="8" t="s">
        <v>13937</v>
      </c>
      <c r="E1493" s="8" t="s">
        <v>43</v>
      </c>
      <c r="F1493">
        <v>3</v>
      </c>
      <c r="G1493" s="2">
        <v>46213.75</v>
      </c>
      <c r="H1493" s="2">
        <v>46213.583333333336</v>
      </c>
    </row>
    <row r="1494" spans="1:8" x14ac:dyDescent="0.25">
      <c r="A1494" s="8" t="s">
        <v>5112</v>
      </c>
      <c r="B1494" s="8" t="s">
        <v>14115</v>
      </c>
      <c r="C1494" s="2">
        <v>46213.416666666664</v>
      </c>
      <c r="D1494" s="8" t="s">
        <v>13937</v>
      </c>
      <c r="E1494" s="8" t="s">
        <v>45</v>
      </c>
      <c r="F1494">
        <v>4</v>
      </c>
      <c r="G1494" s="2">
        <v>46213.75</v>
      </c>
      <c r="H1494" s="2">
        <v>46213.583333333336</v>
      </c>
    </row>
    <row r="1495" spans="1:8" x14ac:dyDescent="0.25">
      <c r="A1495" s="8" t="s">
        <v>5115</v>
      </c>
      <c r="B1495" s="8" t="s">
        <v>14115</v>
      </c>
      <c r="C1495" s="2">
        <v>46213.416666666664</v>
      </c>
      <c r="D1495" s="8" t="s">
        <v>13937</v>
      </c>
      <c r="E1495" s="8" t="s">
        <v>55</v>
      </c>
      <c r="F1495">
        <v>2</v>
      </c>
      <c r="G1495" s="2">
        <v>46213.75</v>
      </c>
      <c r="H1495" s="2">
        <v>46213.583333333336</v>
      </c>
    </row>
    <row r="1496" spans="1:8" x14ac:dyDescent="0.25">
      <c r="A1496" s="8" t="s">
        <v>5118</v>
      </c>
      <c r="B1496" s="8" t="s">
        <v>14115</v>
      </c>
      <c r="C1496" s="2">
        <v>46213.416666666664</v>
      </c>
      <c r="D1496" s="8" t="s">
        <v>13937</v>
      </c>
      <c r="E1496" s="8" t="s">
        <v>65</v>
      </c>
      <c r="F1496">
        <v>1</v>
      </c>
      <c r="G1496" s="2">
        <v>46213.75</v>
      </c>
      <c r="H1496" s="2">
        <v>46213.583333333336</v>
      </c>
    </row>
    <row r="1497" spans="1:8" x14ac:dyDescent="0.25">
      <c r="A1497" s="8" t="s">
        <v>5121</v>
      </c>
      <c r="B1497" s="8" t="s">
        <v>14115</v>
      </c>
      <c r="C1497" s="2">
        <v>46213.416666666664</v>
      </c>
      <c r="D1497" s="8" t="s">
        <v>13937</v>
      </c>
      <c r="E1497" s="8" t="s">
        <v>69</v>
      </c>
      <c r="F1497">
        <v>3</v>
      </c>
      <c r="G1497" s="2">
        <v>46213.75</v>
      </c>
      <c r="H1497" s="2">
        <v>46213.583333333336</v>
      </c>
    </row>
    <row r="1498" spans="1:8" x14ac:dyDescent="0.25">
      <c r="A1498" s="8" t="s">
        <v>5124</v>
      </c>
      <c r="B1498" s="8" t="s">
        <v>14115</v>
      </c>
      <c r="C1498" s="2">
        <v>46213.416666666664</v>
      </c>
      <c r="D1498" s="8" t="s">
        <v>13937</v>
      </c>
      <c r="E1498" s="8" t="s">
        <v>77</v>
      </c>
      <c r="F1498">
        <v>4</v>
      </c>
      <c r="G1498" s="2">
        <v>46213.75</v>
      </c>
      <c r="H1498" s="2">
        <v>46213.583333333336</v>
      </c>
    </row>
    <row r="1499" spans="1:8" x14ac:dyDescent="0.25">
      <c r="A1499" s="8" t="s">
        <v>5127</v>
      </c>
      <c r="B1499" s="8" t="s">
        <v>14117</v>
      </c>
      <c r="C1499" s="2">
        <v>46214.416666666664</v>
      </c>
      <c r="D1499" s="8" t="s">
        <v>13929</v>
      </c>
      <c r="E1499" s="8" t="s">
        <v>11</v>
      </c>
      <c r="F1499">
        <v>4</v>
      </c>
      <c r="G1499" s="2">
        <v>46214.75</v>
      </c>
      <c r="H1499" s="2">
        <v>46214.583333333336</v>
      </c>
    </row>
    <row r="1500" spans="1:8" x14ac:dyDescent="0.25">
      <c r="A1500" s="8" t="s">
        <v>5130</v>
      </c>
      <c r="B1500" s="8" t="s">
        <v>14117</v>
      </c>
      <c r="C1500" s="2">
        <v>46214.416666666664</v>
      </c>
      <c r="D1500" s="8" t="s">
        <v>13929</v>
      </c>
      <c r="E1500" s="8" t="s">
        <v>18</v>
      </c>
      <c r="F1500">
        <v>5</v>
      </c>
      <c r="G1500" s="2">
        <v>46214.75</v>
      </c>
      <c r="H1500" s="2">
        <v>46214.583333333336</v>
      </c>
    </row>
    <row r="1501" spans="1:8" x14ac:dyDescent="0.25">
      <c r="A1501" s="8" t="s">
        <v>5133</v>
      </c>
      <c r="B1501" s="8" t="s">
        <v>14117</v>
      </c>
      <c r="C1501" s="2">
        <v>46214.416666666664</v>
      </c>
      <c r="D1501" s="8" t="s">
        <v>13929</v>
      </c>
      <c r="E1501" s="8" t="s">
        <v>20</v>
      </c>
      <c r="F1501">
        <v>2</v>
      </c>
      <c r="G1501" s="2">
        <v>46214.75</v>
      </c>
      <c r="H1501" s="2">
        <v>46214.583333333336</v>
      </c>
    </row>
    <row r="1502" spans="1:8" x14ac:dyDescent="0.25">
      <c r="A1502" s="8" t="s">
        <v>5136</v>
      </c>
      <c r="B1502" s="8" t="s">
        <v>14117</v>
      </c>
      <c r="C1502" s="2">
        <v>46214.416666666664</v>
      </c>
      <c r="D1502" s="8" t="s">
        <v>13929</v>
      </c>
      <c r="E1502" s="8" t="s">
        <v>22</v>
      </c>
      <c r="F1502">
        <v>3</v>
      </c>
      <c r="G1502" s="2">
        <v>46214.75</v>
      </c>
      <c r="H1502" s="2">
        <v>46214.583333333336</v>
      </c>
    </row>
    <row r="1503" spans="1:8" x14ac:dyDescent="0.25">
      <c r="A1503" s="8" t="s">
        <v>5139</v>
      </c>
      <c r="B1503" s="8" t="s">
        <v>14117</v>
      </c>
      <c r="C1503" s="2">
        <v>46214.416666666664</v>
      </c>
      <c r="D1503" s="8" t="s">
        <v>13929</v>
      </c>
      <c r="E1503" s="8" t="s">
        <v>24</v>
      </c>
      <c r="F1503">
        <v>4</v>
      </c>
      <c r="G1503" s="2">
        <v>46214.75</v>
      </c>
      <c r="H1503" s="2">
        <v>46214.583333333336</v>
      </c>
    </row>
    <row r="1504" spans="1:8" x14ac:dyDescent="0.25">
      <c r="A1504" s="8" t="s">
        <v>14118</v>
      </c>
      <c r="B1504" s="8" t="s">
        <v>14117</v>
      </c>
      <c r="C1504" s="2">
        <v>46214.416666666664</v>
      </c>
      <c r="D1504" s="8" t="s">
        <v>13929</v>
      </c>
      <c r="E1504" s="8" t="s">
        <v>26</v>
      </c>
      <c r="F1504">
        <v>2</v>
      </c>
      <c r="G1504" s="2">
        <v>46214.75</v>
      </c>
      <c r="H1504" s="2"/>
    </row>
    <row r="1505" spans="1:8" x14ac:dyDescent="0.25">
      <c r="A1505" s="8" t="s">
        <v>5142</v>
      </c>
      <c r="B1505" s="8" t="s">
        <v>14117</v>
      </c>
      <c r="C1505" s="2">
        <v>46214.416666666664</v>
      </c>
      <c r="D1505" s="8" t="s">
        <v>13929</v>
      </c>
      <c r="E1505" s="8" t="s">
        <v>45</v>
      </c>
      <c r="F1505">
        <v>2</v>
      </c>
      <c r="G1505" s="2">
        <v>46214.75</v>
      </c>
      <c r="H1505" s="2">
        <v>46214.583333333336</v>
      </c>
    </row>
    <row r="1506" spans="1:8" x14ac:dyDescent="0.25">
      <c r="A1506" s="8" t="s">
        <v>5145</v>
      </c>
      <c r="B1506" s="8" t="s">
        <v>14117</v>
      </c>
      <c r="C1506" s="2">
        <v>46214.416666666664</v>
      </c>
      <c r="D1506" s="8" t="s">
        <v>13929</v>
      </c>
      <c r="E1506" s="8" t="s">
        <v>65</v>
      </c>
      <c r="F1506">
        <v>5</v>
      </c>
      <c r="G1506" s="2">
        <v>46214.75</v>
      </c>
      <c r="H1506" s="2">
        <v>46214.583333333336</v>
      </c>
    </row>
    <row r="1507" spans="1:8" x14ac:dyDescent="0.25">
      <c r="A1507" s="8" t="s">
        <v>5148</v>
      </c>
      <c r="B1507" s="8" t="s">
        <v>14117</v>
      </c>
      <c r="C1507" s="2">
        <v>46214.416666666664</v>
      </c>
      <c r="D1507" s="8" t="s">
        <v>13929</v>
      </c>
      <c r="E1507" s="8" t="s">
        <v>67</v>
      </c>
      <c r="F1507">
        <v>2</v>
      </c>
      <c r="G1507" s="2">
        <v>46214.75</v>
      </c>
      <c r="H1507" s="2">
        <v>46214.583333333336</v>
      </c>
    </row>
    <row r="1508" spans="1:8" x14ac:dyDescent="0.25">
      <c r="A1508" s="8" t="s">
        <v>5151</v>
      </c>
      <c r="B1508" s="8" t="s">
        <v>14117</v>
      </c>
      <c r="C1508" s="2">
        <v>46214.416666666664</v>
      </c>
      <c r="D1508" s="8" t="s">
        <v>13929</v>
      </c>
      <c r="E1508" s="8" t="s">
        <v>75</v>
      </c>
      <c r="F1508">
        <v>1</v>
      </c>
      <c r="G1508" s="2">
        <v>46214.75</v>
      </c>
      <c r="H1508" s="2">
        <v>46214.583333333336</v>
      </c>
    </row>
    <row r="1509" spans="1:8" x14ac:dyDescent="0.25">
      <c r="A1509" s="8" t="s">
        <v>5154</v>
      </c>
      <c r="B1509" s="8" t="s">
        <v>14117</v>
      </c>
      <c r="C1509" s="2">
        <v>46214.416666666664</v>
      </c>
      <c r="D1509" s="8" t="s">
        <v>13929</v>
      </c>
      <c r="E1509" s="8" t="s">
        <v>77</v>
      </c>
      <c r="F1509">
        <v>5</v>
      </c>
      <c r="G1509" s="2">
        <v>46214.75</v>
      </c>
      <c r="H1509" s="2">
        <v>46214.583333333336</v>
      </c>
    </row>
    <row r="1510" spans="1:8" x14ac:dyDescent="0.25">
      <c r="A1510" s="8" t="s">
        <v>5157</v>
      </c>
      <c r="B1510" s="8" t="s">
        <v>14119</v>
      </c>
      <c r="C1510" s="2">
        <v>46214.416666666664</v>
      </c>
      <c r="D1510" s="8" t="s">
        <v>13931</v>
      </c>
      <c r="E1510" s="8" t="s">
        <v>20</v>
      </c>
      <c r="F1510">
        <v>4</v>
      </c>
      <c r="G1510" s="2">
        <v>46214.75</v>
      </c>
      <c r="H1510" s="2">
        <v>46214.583333333336</v>
      </c>
    </row>
    <row r="1511" spans="1:8" x14ac:dyDescent="0.25">
      <c r="A1511" s="8" t="s">
        <v>5160</v>
      </c>
      <c r="B1511" s="8" t="s">
        <v>14119</v>
      </c>
      <c r="C1511" s="2">
        <v>46214.416666666664</v>
      </c>
      <c r="D1511" s="8" t="s">
        <v>13931</v>
      </c>
      <c r="E1511" s="8" t="s">
        <v>24</v>
      </c>
      <c r="F1511">
        <v>6</v>
      </c>
      <c r="G1511" s="2">
        <v>46214.75</v>
      </c>
      <c r="H1511" s="2">
        <v>46214.583333333336</v>
      </c>
    </row>
    <row r="1512" spans="1:8" x14ac:dyDescent="0.25">
      <c r="A1512" s="8" t="s">
        <v>14120</v>
      </c>
      <c r="B1512" s="8" t="s">
        <v>14119</v>
      </c>
      <c r="C1512" s="2">
        <v>46214.416666666664</v>
      </c>
      <c r="D1512" s="8" t="s">
        <v>13931</v>
      </c>
      <c r="E1512" s="8" t="s">
        <v>26</v>
      </c>
      <c r="F1512">
        <v>3</v>
      </c>
      <c r="G1512" s="2">
        <v>46214.75</v>
      </c>
      <c r="H1512" s="2"/>
    </row>
    <row r="1513" spans="1:8" x14ac:dyDescent="0.25">
      <c r="A1513" s="8" t="s">
        <v>5163</v>
      </c>
      <c r="B1513" s="8" t="s">
        <v>14119</v>
      </c>
      <c r="C1513" s="2">
        <v>46214.416666666664</v>
      </c>
      <c r="D1513" s="8" t="s">
        <v>13931</v>
      </c>
      <c r="E1513" s="8" t="s">
        <v>30</v>
      </c>
      <c r="F1513">
        <v>4</v>
      </c>
      <c r="G1513" s="2">
        <v>46214.75</v>
      </c>
      <c r="H1513" s="2">
        <v>46214.583333333336</v>
      </c>
    </row>
    <row r="1514" spans="1:8" x14ac:dyDescent="0.25">
      <c r="A1514" s="8" t="s">
        <v>5166</v>
      </c>
      <c r="B1514" s="8" t="s">
        <v>14119</v>
      </c>
      <c r="C1514" s="2">
        <v>46214.416666666664</v>
      </c>
      <c r="D1514" s="8" t="s">
        <v>13931</v>
      </c>
      <c r="E1514" s="8" t="s">
        <v>43</v>
      </c>
      <c r="F1514">
        <v>5</v>
      </c>
      <c r="G1514" s="2">
        <v>46214.75</v>
      </c>
      <c r="H1514" s="2">
        <v>46214.583333333336</v>
      </c>
    </row>
    <row r="1515" spans="1:8" x14ac:dyDescent="0.25">
      <c r="A1515" s="8" t="s">
        <v>5169</v>
      </c>
      <c r="B1515" s="8" t="s">
        <v>14119</v>
      </c>
      <c r="C1515" s="2">
        <v>46214.416666666664</v>
      </c>
      <c r="D1515" s="8" t="s">
        <v>13931</v>
      </c>
      <c r="E1515" s="8" t="s">
        <v>47</v>
      </c>
      <c r="F1515">
        <v>1</v>
      </c>
      <c r="G1515" s="2">
        <v>46214.75</v>
      </c>
      <c r="H1515" s="2">
        <v>46214.583333333336</v>
      </c>
    </row>
    <row r="1516" spans="1:8" x14ac:dyDescent="0.25">
      <c r="A1516" s="8" t="s">
        <v>5172</v>
      </c>
      <c r="B1516" s="8" t="s">
        <v>14119</v>
      </c>
      <c r="C1516" s="2">
        <v>46214.416666666664</v>
      </c>
      <c r="D1516" s="8" t="s">
        <v>13931</v>
      </c>
      <c r="E1516" s="8" t="s">
        <v>49</v>
      </c>
      <c r="F1516">
        <v>5</v>
      </c>
      <c r="G1516" s="2">
        <v>46214.75</v>
      </c>
      <c r="H1516" s="2">
        <v>46214.583333333336</v>
      </c>
    </row>
    <row r="1517" spans="1:8" x14ac:dyDescent="0.25">
      <c r="A1517" s="8" t="s">
        <v>5175</v>
      </c>
      <c r="B1517" s="8" t="s">
        <v>14119</v>
      </c>
      <c r="C1517" s="2">
        <v>46214.416666666664</v>
      </c>
      <c r="D1517" s="8" t="s">
        <v>13931</v>
      </c>
      <c r="E1517" s="8" t="s">
        <v>51</v>
      </c>
      <c r="F1517">
        <v>3</v>
      </c>
      <c r="G1517" s="2">
        <v>46214.75</v>
      </c>
      <c r="H1517" s="2">
        <v>46214.583333333336</v>
      </c>
    </row>
    <row r="1518" spans="1:8" x14ac:dyDescent="0.25">
      <c r="A1518" s="8" t="s">
        <v>5178</v>
      </c>
      <c r="B1518" s="8" t="s">
        <v>14119</v>
      </c>
      <c r="C1518" s="2">
        <v>46214.416666666664</v>
      </c>
      <c r="D1518" s="8" t="s">
        <v>13931</v>
      </c>
      <c r="E1518" s="8" t="s">
        <v>65</v>
      </c>
      <c r="F1518">
        <v>3</v>
      </c>
      <c r="G1518" s="2">
        <v>46214.75</v>
      </c>
      <c r="H1518" s="2">
        <v>46214.583333333336</v>
      </c>
    </row>
    <row r="1519" spans="1:8" x14ac:dyDescent="0.25">
      <c r="A1519" s="8" t="s">
        <v>5181</v>
      </c>
      <c r="B1519" s="8" t="s">
        <v>14121</v>
      </c>
      <c r="C1519" s="2">
        <v>46214.416666666664</v>
      </c>
      <c r="D1519" s="8" t="s">
        <v>13933</v>
      </c>
      <c r="E1519" s="8" t="s">
        <v>11</v>
      </c>
      <c r="F1519">
        <v>8</v>
      </c>
      <c r="G1519" s="2">
        <v>46214.75</v>
      </c>
      <c r="H1519" s="2">
        <v>46214.583333333336</v>
      </c>
    </row>
    <row r="1520" spans="1:8" x14ac:dyDescent="0.25">
      <c r="A1520" s="8" t="s">
        <v>5184</v>
      </c>
      <c r="B1520" s="8" t="s">
        <v>14121</v>
      </c>
      <c r="C1520" s="2">
        <v>46214.416666666664</v>
      </c>
      <c r="D1520" s="8" t="s">
        <v>13933</v>
      </c>
      <c r="E1520" s="8" t="s">
        <v>18</v>
      </c>
      <c r="F1520">
        <v>2</v>
      </c>
      <c r="G1520" s="2">
        <v>46214.75</v>
      </c>
      <c r="H1520" s="2">
        <v>46214.583333333336</v>
      </c>
    </row>
    <row r="1521" spans="1:8" x14ac:dyDescent="0.25">
      <c r="A1521" s="8" t="s">
        <v>5187</v>
      </c>
      <c r="B1521" s="8" t="s">
        <v>14121</v>
      </c>
      <c r="C1521" s="2">
        <v>46214.416666666664</v>
      </c>
      <c r="D1521" s="8" t="s">
        <v>13933</v>
      </c>
      <c r="E1521" s="8" t="s">
        <v>22</v>
      </c>
      <c r="F1521">
        <v>6</v>
      </c>
      <c r="G1521" s="2">
        <v>46214.75</v>
      </c>
      <c r="H1521" s="2">
        <v>46214.583333333336</v>
      </c>
    </row>
    <row r="1522" spans="1:8" x14ac:dyDescent="0.25">
      <c r="A1522" s="8" t="s">
        <v>5190</v>
      </c>
      <c r="B1522" s="8" t="s">
        <v>14121</v>
      </c>
      <c r="C1522" s="2">
        <v>46214.416666666664</v>
      </c>
      <c r="D1522" s="8" t="s">
        <v>13933</v>
      </c>
      <c r="E1522" s="8" t="s">
        <v>24</v>
      </c>
      <c r="F1522">
        <v>6</v>
      </c>
      <c r="G1522" s="2">
        <v>46214.75</v>
      </c>
      <c r="H1522" s="2">
        <v>46214.583333333336</v>
      </c>
    </row>
    <row r="1523" spans="1:8" x14ac:dyDescent="0.25">
      <c r="A1523" s="8" t="s">
        <v>14122</v>
      </c>
      <c r="B1523" s="8" t="s">
        <v>14121</v>
      </c>
      <c r="C1523" s="2">
        <v>46214.416666666664</v>
      </c>
      <c r="D1523" s="8" t="s">
        <v>13933</v>
      </c>
      <c r="E1523" s="8" t="s">
        <v>26</v>
      </c>
      <c r="F1523">
        <v>6</v>
      </c>
      <c r="G1523" s="2">
        <v>46214.75</v>
      </c>
      <c r="H1523" s="2"/>
    </row>
    <row r="1524" spans="1:8" x14ac:dyDescent="0.25">
      <c r="A1524" s="8" t="s">
        <v>5193</v>
      </c>
      <c r="B1524" s="8" t="s">
        <v>14121</v>
      </c>
      <c r="C1524" s="2">
        <v>46214.416666666664</v>
      </c>
      <c r="D1524" s="8" t="s">
        <v>13933</v>
      </c>
      <c r="E1524" s="8" t="s">
        <v>36</v>
      </c>
      <c r="F1524">
        <v>5</v>
      </c>
      <c r="G1524" s="2">
        <v>46214.75</v>
      </c>
      <c r="H1524" s="2">
        <v>46214.583333333336</v>
      </c>
    </row>
    <row r="1525" spans="1:8" x14ac:dyDescent="0.25">
      <c r="A1525" s="8" t="s">
        <v>5196</v>
      </c>
      <c r="B1525" s="8" t="s">
        <v>14121</v>
      </c>
      <c r="C1525" s="2">
        <v>46214.416666666664</v>
      </c>
      <c r="D1525" s="8" t="s">
        <v>13933</v>
      </c>
      <c r="E1525" s="8" t="s">
        <v>45</v>
      </c>
      <c r="F1525">
        <v>5</v>
      </c>
      <c r="G1525" s="2">
        <v>46214.75</v>
      </c>
      <c r="H1525" s="2">
        <v>46214.583333333336</v>
      </c>
    </row>
    <row r="1526" spans="1:8" x14ac:dyDescent="0.25">
      <c r="A1526" s="8" t="s">
        <v>5199</v>
      </c>
      <c r="B1526" s="8" t="s">
        <v>14121</v>
      </c>
      <c r="C1526" s="2">
        <v>46214.416666666664</v>
      </c>
      <c r="D1526" s="8" t="s">
        <v>13933</v>
      </c>
      <c r="E1526" s="8" t="s">
        <v>51</v>
      </c>
      <c r="F1526">
        <v>5</v>
      </c>
      <c r="G1526" s="2">
        <v>46214.75</v>
      </c>
      <c r="H1526" s="2">
        <v>46214.583333333336</v>
      </c>
    </row>
    <row r="1527" spans="1:8" x14ac:dyDescent="0.25">
      <c r="A1527" s="8" t="s">
        <v>5202</v>
      </c>
      <c r="B1527" s="8" t="s">
        <v>14121</v>
      </c>
      <c r="C1527" s="2">
        <v>46214.416666666664</v>
      </c>
      <c r="D1527" s="8" t="s">
        <v>13933</v>
      </c>
      <c r="E1527" s="8" t="s">
        <v>55</v>
      </c>
      <c r="F1527">
        <v>2</v>
      </c>
      <c r="G1527" s="2">
        <v>46214.75</v>
      </c>
      <c r="H1527" s="2">
        <v>46214.583333333336</v>
      </c>
    </row>
    <row r="1528" spans="1:8" x14ac:dyDescent="0.25">
      <c r="A1528" s="8" t="s">
        <v>5205</v>
      </c>
      <c r="B1528" s="8" t="s">
        <v>14121</v>
      </c>
      <c r="C1528" s="2">
        <v>46214.416666666664</v>
      </c>
      <c r="D1528" s="8" t="s">
        <v>13933</v>
      </c>
      <c r="E1528" s="8" t="s">
        <v>65</v>
      </c>
      <c r="F1528">
        <v>6</v>
      </c>
      <c r="G1528" s="2">
        <v>46214.75</v>
      </c>
      <c r="H1528" s="2">
        <v>46214.583333333336</v>
      </c>
    </row>
    <row r="1529" spans="1:8" x14ac:dyDescent="0.25">
      <c r="A1529" s="8" t="s">
        <v>5208</v>
      </c>
      <c r="B1529" s="8" t="s">
        <v>14121</v>
      </c>
      <c r="C1529" s="2">
        <v>46214.416666666664</v>
      </c>
      <c r="D1529" s="8" t="s">
        <v>13933</v>
      </c>
      <c r="E1529" s="8" t="s">
        <v>71</v>
      </c>
      <c r="F1529">
        <v>2</v>
      </c>
      <c r="G1529" s="2">
        <v>46214.75</v>
      </c>
      <c r="H1529" s="2">
        <v>46214.583333333336</v>
      </c>
    </row>
    <row r="1530" spans="1:8" x14ac:dyDescent="0.25">
      <c r="A1530" s="8" t="s">
        <v>5211</v>
      </c>
      <c r="B1530" s="8" t="s">
        <v>14123</v>
      </c>
      <c r="C1530" s="2">
        <v>46214.416666666664</v>
      </c>
      <c r="D1530" s="8" t="s">
        <v>13935</v>
      </c>
      <c r="E1530" s="8" t="s">
        <v>11</v>
      </c>
      <c r="F1530">
        <v>9</v>
      </c>
      <c r="G1530" s="2">
        <v>46214.75</v>
      </c>
      <c r="H1530" s="2">
        <v>46214.583333333336</v>
      </c>
    </row>
    <row r="1531" spans="1:8" x14ac:dyDescent="0.25">
      <c r="A1531" s="8" t="s">
        <v>5214</v>
      </c>
      <c r="B1531" s="8" t="s">
        <v>14123</v>
      </c>
      <c r="C1531" s="2">
        <v>46214.416666666664</v>
      </c>
      <c r="D1531" s="8" t="s">
        <v>13935</v>
      </c>
      <c r="E1531" s="8" t="s">
        <v>22</v>
      </c>
      <c r="F1531">
        <v>2</v>
      </c>
      <c r="G1531" s="2">
        <v>46214.75</v>
      </c>
      <c r="H1531" s="2">
        <v>46214.583333333336</v>
      </c>
    </row>
    <row r="1532" spans="1:8" x14ac:dyDescent="0.25">
      <c r="A1532" s="8" t="s">
        <v>5217</v>
      </c>
      <c r="B1532" s="8" t="s">
        <v>14123</v>
      </c>
      <c r="C1532" s="2">
        <v>46214.416666666664</v>
      </c>
      <c r="D1532" s="8" t="s">
        <v>13935</v>
      </c>
      <c r="E1532" s="8" t="s">
        <v>24</v>
      </c>
      <c r="F1532">
        <v>9</v>
      </c>
      <c r="G1532" s="2">
        <v>46214.75</v>
      </c>
      <c r="H1532" s="2">
        <v>46214.583333333336</v>
      </c>
    </row>
    <row r="1533" spans="1:8" x14ac:dyDescent="0.25">
      <c r="A1533" s="8" t="s">
        <v>14124</v>
      </c>
      <c r="B1533" s="8" t="s">
        <v>14123</v>
      </c>
      <c r="C1533" s="2">
        <v>46214.416666666664</v>
      </c>
      <c r="D1533" s="8" t="s">
        <v>13935</v>
      </c>
      <c r="E1533" s="8" t="s">
        <v>26</v>
      </c>
      <c r="F1533">
        <v>7</v>
      </c>
      <c r="G1533" s="2">
        <v>46214.75</v>
      </c>
      <c r="H1533" s="2"/>
    </row>
    <row r="1534" spans="1:8" x14ac:dyDescent="0.25">
      <c r="A1534" s="8" t="s">
        <v>5220</v>
      </c>
      <c r="B1534" s="8" t="s">
        <v>14123</v>
      </c>
      <c r="C1534" s="2">
        <v>46214.416666666664</v>
      </c>
      <c r="D1534" s="8" t="s">
        <v>13935</v>
      </c>
      <c r="E1534" s="8" t="s">
        <v>30</v>
      </c>
      <c r="F1534">
        <v>5</v>
      </c>
      <c r="G1534" s="2">
        <v>46214.75</v>
      </c>
      <c r="H1534" s="2">
        <v>46214.583333333336</v>
      </c>
    </row>
    <row r="1535" spans="1:8" x14ac:dyDescent="0.25">
      <c r="A1535" s="8" t="s">
        <v>5223</v>
      </c>
      <c r="B1535" s="8" t="s">
        <v>14123</v>
      </c>
      <c r="C1535" s="2">
        <v>46214.416666666664</v>
      </c>
      <c r="D1535" s="8" t="s">
        <v>13935</v>
      </c>
      <c r="E1535" s="8" t="s">
        <v>47</v>
      </c>
      <c r="F1535">
        <v>5</v>
      </c>
      <c r="G1535" s="2">
        <v>46214.75</v>
      </c>
      <c r="H1535" s="2">
        <v>46214.583333333336</v>
      </c>
    </row>
    <row r="1536" spans="1:8" x14ac:dyDescent="0.25">
      <c r="A1536" s="8" t="s">
        <v>5226</v>
      </c>
      <c r="B1536" s="8" t="s">
        <v>14123</v>
      </c>
      <c r="C1536" s="2">
        <v>46214.416666666664</v>
      </c>
      <c r="D1536" s="8" t="s">
        <v>13935</v>
      </c>
      <c r="E1536" s="8" t="s">
        <v>51</v>
      </c>
      <c r="F1536">
        <v>2</v>
      </c>
      <c r="G1536" s="2">
        <v>46214.75</v>
      </c>
      <c r="H1536" s="2">
        <v>46214.583333333336</v>
      </c>
    </row>
    <row r="1537" spans="1:8" x14ac:dyDescent="0.25">
      <c r="A1537" s="8" t="s">
        <v>5229</v>
      </c>
      <c r="B1537" s="8" t="s">
        <v>14123</v>
      </c>
      <c r="C1537" s="2">
        <v>46214.416666666664</v>
      </c>
      <c r="D1537" s="8" t="s">
        <v>13935</v>
      </c>
      <c r="E1537" s="8" t="s">
        <v>57</v>
      </c>
      <c r="F1537">
        <v>9</v>
      </c>
      <c r="G1537" s="2">
        <v>46214.75</v>
      </c>
      <c r="H1537" s="2">
        <v>46214.583333333336</v>
      </c>
    </row>
    <row r="1538" spans="1:8" x14ac:dyDescent="0.25">
      <c r="A1538" s="8" t="s">
        <v>5232</v>
      </c>
      <c r="B1538" s="8" t="s">
        <v>14123</v>
      </c>
      <c r="C1538" s="2">
        <v>46214.416666666664</v>
      </c>
      <c r="D1538" s="8" t="s">
        <v>13935</v>
      </c>
      <c r="E1538" s="8" t="s">
        <v>75</v>
      </c>
      <c r="F1538">
        <v>5</v>
      </c>
      <c r="G1538" s="2">
        <v>46214.75</v>
      </c>
      <c r="H1538" s="2">
        <v>46214.583333333336</v>
      </c>
    </row>
    <row r="1539" spans="1:8" x14ac:dyDescent="0.25">
      <c r="A1539" s="8" t="s">
        <v>5237</v>
      </c>
      <c r="B1539" s="8" t="s">
        <v>14125</v>
      </c>
      <c r="C1539" s="2">
        <v>46214.416666666664</v>
      </c>
      <c r="D1539" s="8" t="s">
        <v>13937</v>
      </c>
      <c r="E1539" s="8" t="s">
        <v>11</v>
      </c>
      <c r="F1539">
        <v>2</v>
      </c>
      <c r="G1539" s="2">
        <v>46214.75</v>
      </c>
      <c r="H1539" s="2">
        <v>46214.583333333336</v>
      </c>
    </row>
    <row r="1540" spans="1:8" x14ac:dyDescent="0.25">
      <c r="A1540" s="8" t="s">
        <v>5240</v>
      </c>
      <c r="B1540" s="8" t="s">
        <v>14125</v>
      </c>
      <c r="C1540" s="2">
        <v>46214.416666666664</v>
      </c>
      <c r="D1540" s="8" t="s">
        <v>13937</v>
      </c>
      <c r="E1540" s="8" t="s">
        <v>20</v>
      </c>
      <c r="F1540">
        <v>5</v>
      </c>
      <c r="G1540" s="2">
        <v>46214.75</v>
      </c>
      <c r="H1540" s="2">
        <v>46214.583333333336</v>
      </c>
    </row>
    <row r="1541" spans="1:8" x14ac:dyDescent="0.25">
      <c r="A1541" s="8" t="s">
        <v>5243</v>
      </c>
      <c r="B1541" s="8" t="s">
        <v>14125</v>
      </c>
      <c r="C1541" s="2">
        <v>46214.416666666664</v>
      </c>
      <c r="D1541" s="8" t="s">
        <v>13937</v>
      </c>
      <c r="E1541" s="8" t="s">
        <v>24</v>
      </c>
      <c r="F1541">
        <v>5</v>
      </c>
      <c r="G1541" s="2">
        <v>46214.75</v>
      </c>
      <c r="H1541" s="2">
        <v>46214.583333333336</v>
      </c>
    </row>
    <row r="1542" spans="1:8" x14ac:dyDescent="0.25">
      <c r="A1542" s="8" t="s">
        <v>5246</v>
      </c>
      <c r="B1542" s="8" t="s">
        <v>14125</v>
      </c>
      <c r="C1542" s="2">
        <v>46214.416666666664</v>
      </c>
      <c r="D1542" s="8" t="s">
        <v>13937</v>
      </c>
      <c r="E1542" s="8" t="s">
        <v>47</v>
      </c>
      <c r="F1542">
        <v>1</v>
      </c>
      <c r="G1542" s="2">
        <v>46214.75</v>
      </c>
      <c r="H1542" s="2">
        <v>46214.583333333336</v>
      </c>
    </row>
    <row r="1543" spans="1:8" x14ac:dyDescent="0.25">
      <c r="A1543" s="8" t="s">
        <v>5249</v>
      </c>
      <c r="B1543" s="8" t="s">
        <v>14125</v>
      </c>
      <c r="C1543" s="2">
        <v>46214.416666666664</v>
      </c>
      <c r="D1543" s="8" t="s">
        <v>13937</v>
      </c>
      <c r="E1543" s="8" t="s">
        <v>55</v>
      </c>
      <c r="F1543">
        <v>2</v>
      </c>
      <c r="G1543" s="2">
        <v>46214.75</v>
      </c>
      <c r="H1543" s="2">
        <v>46214.583333333336</v>
      </c>
    </row>
    <row r="1544" spans="1:8" x14ac:dyDescent="0.25">
      <c r="A1544" s="8" t="s">
        <v>5252</v>
      </c>
      <c r="B1544" s="8" t="s">
        <v>14125</v>
      </c>
      <c r="C1544" s="2">
        <v>46214.416666666664</v>
      </c>
      <c r="D1544" s="8" t="s">
        <v>13937</v>
      </c>
      <c r="E1544" s="8" t="s">
        <v>67</v>
      </c>
      <c r="F1544">
        <v>2</v>
      </c>
      <c r="G1544" s="2">
        <v>46214.75</v>
      </c>
      <c r="H1544" s="2">
        <v>46214.583333333336</v>
      </c>
    </row>
    <row r="1545" spans="1:8" x14ac:dyDescent="0.25">
      <c r="A1545" s="8" t="s">
        <v>5255</v>
      </c>
      <c r="B1545" s="8" t="s">
        <v>14125</v>
      </c>
      <c r="C1545" s="2">
        <v>46214.416666666664</v>
      </c>
      <c r="D1545" s="8" t="s">
        <v>13937</v>
      </c>
      <c r="E1545" s="8" t="s">
        <v>73</v>
      </c>
      <c r="F1545">
        <v>1</v>
      </c>
      <c r="G1545" s="2">
        <v>46214.75</v>
      </c>
      <c r="H1545" s="2">
        <v>46214.583333333336</v>
      </c>
    </row>
    <row r="1546" spans="1:8" x14ac:dyDescent="0.25">
      <c r="A1546" s="8" t="s">
        <v>5258</v>
      </c>
      <c r="B1546" s="8" t="s">
        <v>14126</v>
      </c>
      <c r="C1546" s="2">
        <v>46215.416666666664</v>
      </c>
      <c r="D1546" s="8" t="s">
        <v>13929</v>
      </c>
      <c r="E1546" s="8" t="s">
        <v>11</v>
      </c>
      <c r="F1546">
        <v>5</v>
      </c>
      <c r="G1546" s="2">
        <v>46215.75</v>
      </c>
      <c r="H1546" s="2">
        <v>46215.583333333336</v>
      </c>
    </row>
    <row r="1547" spans="1:8" x14ac:dyDescent="0.25">
      <c r="A1547" s="8" t="s">
        <v>5261</v>
      </c>
      <c r="B1547" s="8" t="s">
        <v>14126</v>
      </c>
      <c r="C1547" s="2">
        <v>46215.416666666664</v>
      </c>
      <c r="D1547" s="8" t="s">
        <v>13929</v>
      </c>
      <c r="E1547" s="8" t="s">
        <v>18</v>
      </c>
      <c r="F1547">
        <v>2</v>
      </c>
      <c r="G1547" s="2">
        <v>46215.75</v>
      </c>
      <c r="H1547" s="2">
        <v>46215.583333333336</v>
      </c>
    </row>
    <row r="1548" spans="1:8" x14ac:dyDescent="0.25">
      <c r="A1548" s="8" t="s">
        <v>5264</v>
      </c>
      <c r="B1548" s="8" t="s">
        <v>14126</v>
      </c>
      <c r="C1548" s="2">
        <v>46215.416666666664</v>
      </c>
      <c r="D1548" s="8" t="s">
        <v>13929</v>
      </c>
      <c r="E1548" s="8" t="s">
        <v>20</v>
      </c>
      <c r="F1548">
        <v>3</v>
      </c>
      <c r="G1548" s="2">
        <v>46215.75</v>
      </c>
      <c r="H1548" s="2">
        <v>46215.583333333336</v>
      </c>
    </row>
    <row r="1549" spans="1:8" x14ac:dyDescent="0.25">
      <c r="A1549" s="8" t="s">
        <v>5267</v>
      </c>
      <c r="B1549" s="8" t="s">
        <v>14126</v>
      </c>
      <c r="C1549" s="2">
        <v>46215.416666666664</v>
      </c>
      <c r="D1549" s="8" t="s">
        <v>13929</v>
      </c>
      <c r="E1549" s="8" t="s">
        <v>22</v>
      </c>
      <c r="F1549">
        <v>3</v>
      </c>
      <c r="G1549" s="2">
        <v>46215.75</v>
      </c>
      <c r="H1549" s="2">
        <v>46215.583333333336</v>
      </c>
    </row>
    <row r="1550" spans="1:8" x14ac:dyDescent="0.25">
      <c r="A1550" s="8" t="s">
        <v>5270</v>
      </c>
      <c r="B1550" s="8" t="s">
        <v>14126</v>
      </c>
      <c r="C1550" s="2">
        <v>46215.416666666664</v>
      </c>
      <c r="D1550" s="8" t="s">
        <v>13929</v>
      </c>
      <c r="E1550" s="8" t="s">
        <v>32</v>
      </c>
      <c r="F1550">
        <v>5</v>
      </c>
      <c r="G1550" s="2">
        <v>46215.75</v>
      </c>
      <c r="H1550" s="2">
        <v>46215.583333333336</v>
      </c>
    </row>
    <row r="1551" spans="1:8" x14ac:dyDescent="0.25">
      <c r="A1551" s="8" t="s">
        <v>5273</v>
      </c>
      <c r="B1551" s="8" t="s">
        <v>14126</v>
      </c>
      <c r="C1551" s="2">
        <v>46215.416666666664</v>
      </c>
      <c r="D1551" s="8" t="s">
        <v>13929</v>
      </c>
      <c r="E1551" s="8" t="s">
        <v>41</v>
      </c>
      <c r="F1551">
        <v>4</v>
      </c>
      <c r="G1551" s="2">
        <v>46215.75</v>
      </c>
      <c r="H1551" s="2">
        <v>46215.583333333336</v>
      </c>
    </row>
    <row r="1552" spans="1:8" x14ac:dyDescent="0.25">
      <c r="A1552" s="8" t="s">
        <v>5276</v>
      </c>
      <c r="B1552" s="8" t="s">
        <v>14126</v>
      </c>
      <c r="C1552" s="2">
        <v>46215.416666666664</v>
      </c>
      <c r="D1552" s="8" t="s">
        <v>13929</v>
      </c>
      <c r="E1552" s="8" t="s">
        <v>53</v>
      </c>
      <c r="F1552">
        <v>5</v>
      </c>
      <c r="G1552" s="2">
        <v>46215.75</v>
      </c>
      <c r="H1552" s="2">
        <v>46215.583333333336</v>
      </c>
    </row>
    <row r="1553" spans="1:8" x14ac:dyDescent="0.25">
      <c r="A1553" s="8" t="s">
        <v>5279</v>
      </c>
      <c r="B1553" s="8" t="s">
        <v>14126</v>
      </c>
      <c r="C1553" s="2">
        <v>46215.416666666664</v>
      </c>
      <c r="D1553" s="8" t="s">
        <v>13929</v>
      </c>
      <c r="E1553" s="8" t="s">
        <v>65</v>
      </c>
      <c r="F1553">
        <v>2</v>
      </c>
      <c r="G1553" s="2">
        <v>46215.75</v>
      </c>
      <c r="H1553" s="2">
        <v>46215.583333333336</v>
      </c>
    </row>
    <row r="1554" spans="1:8" x14ac:dyDescent="0.25">
      <c r="A1554" s="8" t="s">
        <v>5282</v>
      </c>
      <c r="B1554" s="8" t="s">
        <v>14126</v>
      </c>
      <c r="C1554" s="2">
        <v>46215.416666666664</v>
      </c>
      <c r="D1554" s="8" t="s">
        <v>13929</v>
      </c>
      <c r="E1554" s="8" t="s">
        <v>73</v>
      </c>
      <c r="F1554">
        <v>2</v>
      </c>
      <c r="G1554" s="2">
        <v>46215.75</v>
      </c>
      <c r="H1554" s="2">
        <v>46215.583333333336</v>
      </c>
    </row>
    <row r="1555" spans="1:8" x14ac:dyDescent="0.25">
      <c r="A1555" s="8" t="s">
        <v>5285</v>
      </c>
      <c r="B1555" s="8" t="s">
        <v>14126</v>
      </c>
      <c r="C1555" s="2">
        <v>46215.416666666664</v>
      </c>
      <c r="D1555" s="8" t="s">
        <v>13929</v>
      </c>
      <c r="E1555" s="8" t="s">
        <v>75</v>
      </c>
      <c r="F1555">
        <v>3</v>
      </c>
      <c r="G1555" s="2">
        <v>46215.75</v>
      </c>
      <c r="H1555" s="2">
        <v>46215.583333333336</v>
      </c>
    </row>
    <row r="1556" spans="1:8" x14ac:dyDescent="0.25">
      <c r="A1556" s="8" t="s">
        <v>5288</v>
      </c>
      <c r="B1556" s="8" t="s">
        <v>14126</v>
      </c>
      <c r="C1556" s="2">
        <v>46215.416666666664</v>
      </c>
      <c r="D1556" s="8" t="s">
        <v>13929</v>
      </c>
      <c r="E1556" s="8" t="s">
        <v>77</v>
      </c>
      <c r="F1556">
        <v>4</v>
      </c>
      <c r="G1556" s="2">
        <v>46215.75</v>
      </c>
      <c r="H1556" s="2">
        <v>46215.583333333336</v>
      </c>
    </row>
    <row r="1557" spans="1:8" x14ac:dyDescent="0.25">
      <c r="A1557" s="8" t="s">
        <v>5291</v>
      </c>
      <c r="B1557" s="8" t="s">
        <v>14127</v>
      </c>
      <c r="C1557" s="2">
        <v>46215.416666666664</v>
      </c>
      <c r="D1557" s="8" t="s">
        <v>13931</v>
      </c>
      <c r="E1557" s="8" t="s">
        <v>11</v>
      </c>
      <c r="F1557">
        <v>3</v>
      </c>
      <c r="G1557" s="2">
        <v>46215.75</v>
      </c>
      <c r="H1557" s="2">
        <v>46215.583333333336</v>
      </c>
    </row>
    <row r="1558" spans="1:8" x14ac:dyDescent="0.25">
      <c r="A1558" s="8" t="s">
        <v>5294</v>
      </c>
      <c r="B1558" s="8" t="s">
        <v>14127</v>
      </c>
      <c r="C1558" s="2">
        <v>46215.416666666664</v>
      </c>
      <c r="D1558" s="8" t="s">
        <v>13931</v>
      </c>
      <c r="E1558" s="8" t="s">
        <v>18</v>
      </c>
      <c r="F1558">
        <v>5</v>
      </c>
      <c r="G1558" s="2">
        <v>46215.75</v>
      </c>
      <c r="H1558" s="2">
        <v>46215.583333333336</v>
      </c>
    </row>
    <row r="1559" spans="1:8" x14ac:dyDescent="0.25">
      <c r="A1559" s="8" t="s">
        <v>5297</v>
      </c>
      <c r="B1559" s="8" t="s">
        <v>14127</v>
      </c>
      <c r="C1559" s="2">
        <v>46215.416666666664</v>
      </c>
      <c r="D1559" s="8" t="s">
        <v>13931</v>
      </c>
      <c r="E1559" s="8" t="s">
        <v>22</v>
      </c>
      <c r="F1559">
        <v>1</v>
      </c>
      <c r="G1559" s="2">
        <v>46215.75</v>
      </c>
      <c r="H1559" s="2">
        <v>46215.583333333336</v>
      </c>
    </row>
    <row r="1560" spans="1:8" x14ac:dyDescent="0.25">
      <c r="A1560" s="8" t="s">
        <v>5300</v>
      </c>
      <c r="B1560" s="8" t="s">
        <v>14127</v>
      </c>
      <c r="C1560" s="2">
        <v>46215.416666666664</v>
      </c>
      <c r="D1560" s="8" t="s">
        <v>13931</v>
      </c>
      <c r="E1560" s="8" t="s">
        <v>24</v>
      </c>
      <c r="F1560">
        <v>4</v>
      </c>
      <c r="G1560" s="2">
        <v>46215.75</v>
      </c>
      <c r="H1560" s="2">
        <v>46215.583333333336</v>
      </c>
    </row>
    <row r="1561" spans="1:8" x14ac:dyDescent="0.25">
      <c r="A1561" s="8" t="s">
        <v>5303</v>
      </c>
      <c r="B1561" s="8" t="s">
        <v>14127</v>
      </c>
      <c r="C1561" s="2">
        <v>46215.416666666664</v>
      </c>
      <c r="D1561" s="8" t="s">
        <v>13931</v>
      </c>
      <c r="E1561" s="8" t="s">
        <v>32</v>
      </c>
      <c r="F1561">
        <v>1</v>
      </c>
      <c r="G1561" s="2">
        <v>46215.75</v>
      </c>
      <c r="H1561" s="2">
        <v>46215.583333333336</v>
      </c>
    </row>
    <row r="1562" spans="1:8" x14ac:dyDescent="0.25">
      <c r="A1562" s="8" t="s">
        <v>5306</v>
      </c>
      <c r="B1562" s="8" t="s">
        <v>14127</v>
      </c>
      <c r="C1562" s="2">
        <v>46215.416666666664</v>
      </c>
      <c r="D1562" s="8" t="s">
        <v>13931</v>
      </c>
      <c r="E1562" s="8" t="s">
        <v>49</v>
      </c>
      <c r="F1562">
        <v>3</v>
      </c>
      <c r="G1562" s="2">
        <v>46215.75</v>
      </c>
      <c r="H1562" s="2">
        <v>46215.583333333336</v>
      </c>
    </row>
    <row r="1563" spans="1:8" x14ac:dyDescent="0.25">
      <c r="A1563" s="8" t="s">
        <v>5309</v>
      </c>
      <c r="B1563" s="8" t="s">
        <v>14127</v>
      </c>
      <c r="C1563" s="2">
        <v>46215.416666666664</v>
      </c>
      <c r="D1563" s="8" t="s">
        <v>13931</v>
      </c>
      <c r="E1563" s="8" t="s">
        <v>51</v>
      </c>
      <c r="F1563">
        <v>4</v>
      </c>
      <c r="G1563" s="2">
        <v>46215.75</v>
      </c>
      <c r="H1563" s="2">
        <v>46215.583333333336</v>
      </c>
    </row>
    <row r="1564" spans="1:8" x14ac:dyDescent="0.25">
      <c r="A1564" s="8" t="s">
        <v>5312</v>
      </c>
      <c r="B1564" s="8" t="s">
        <v>14127</v>
      </c>
      <c r="C1564" s="2">
        <v>46215.416666666664</v>
      </c>
      <c r="D1564" s="8" t="s">
        <v>13931</v>
      </c>
      <c r="E1564" s="8" t="s">
        <v>53</v>
      </c>
      <c r="F1564">
        <v>4</v>
      </c>
      <c r="G1564" s="2">
        <v>46215.75</v>
      </c>
      <c r="H1564" s="2">
        <v>46215.583333333336</v>
      </c>
    </row>
    <row r="1565" spans="1:8" x14ac:dyDescent="0.25">
      <c r="A1565" s="8" t="s">
        <v>5315</v>
      </c>
      <c r="B1565" s="8" t="s">
        <v>14127</v>
      </c>
      <c r="C1565" s="2">
        <v>46215.416666666664</v>
      </c>
      <c r="D1565" s="8" t="s">
        <v>13931</v>
      </c>
      <c r="E1565" s="8" t="s">
        <v>59</v>
      </c>
      <c r="F1565">
        <v>5</v>
      </c>
      <c r="G1565" s="2">
        <v>46215.75</v>
      </c>
      <c r="H1565" s="2">
        <v>46215.583333333336</v>
      </c>
    </row>
    <row r="1566" spans="1:8" x14ac:dyDescent="0.25">
      <c r="A1566" s="8" t="s">
        <v>5318</v>
      </c>
      <c r="B1566" s="8" t="s">
        <v>14127</v>
      </c>
      <c r="C1566" s="2">
        <v>46215.416666666664</v>
      </c>
      <c r="D1566" s="8" t="s">
        <v>13931</v>
      </c>
      <c r="E1566" s="8" t="s">
        <v>65</v>
      </c>
      <c r="F1566">
        <v>4</v>
      </c>
      <c r="G1566" s="2">
        <v>46215.75</v>
      </c>
      <c r="H1566" s="2">
        <v>46215.583333333336</v>
      </c>
    </row>
    <row r="1567" spans="1:8" x14ac:dyDescent="0.25">
      <c r="A1567" s="8" t="s">
        <v>5321</v>
      </c>
      <c r="B1567" s="8" t="s">
        <v>14127</v>
      </c>
      <c r="C1567" s="2">
        <v>46215.416666666664</v>
      </c>
      <c r="D1567" s="8" t="s">
        <v>13931</v>
      </c>
      <c r="E1567" s="8" t="s">
        <v>69</v>
      </c>
      <c r="F1567">
        <v>4</v>
      </c>
      <c r="G1567" s="2">
        <v>46215.75</v>
      </c>
      <c r="H1567" s="2">
        <v>46215.583333333336</v>
      </c>
    </row>
    <row r="1568" spans="1:8" x14ac:dyDescent="0.25">
      <c r="A1568" s="8" t="s">
        <v>5324</v>
      </c>
      <c r="B1568" s="8" t="s">
        <v>14128</v>
      </c>
      <c r="C1568" s="2">
        <v>46215.416666666664</v>
      </c>
      <c r="D1568" s="8" t="s">
        <v>13933</v>
      </c>
      <c r="E1568" s="8" t="s">
        <v>20</v>
      </c>
      <c r="F1568">
        <v>3</v>
      </c>
      <c r="G1568" s="2">
        <v>46215.75</v>
      </c>
      <c r="H1568" s="2">
        <v>46215.583333333336</v>
      </c>
    </row>
    <row r="1569" spans="1:8" x14ac:dyDescent="0.25">
      <c r="A1569" s="8" t="s">
        <v>5327</v>
      </c>
      <c r="B1569" s="8" t="s">
        <v>14128</v>
      </c>
      <c r="C1569" s="2">
        <v>46215.416666666664</v>
      </c>
      <c r="D1569" s="8" t="s">
        <v>13933</v>
      </c>
      <c r="E1569" s="8" t="s">
        <v>22</v>
      </c>
      <c r="F1569">
        <v>5</v>
      </c>
      <c r="G1569" s="2">
        <v>46215.75</v>
      </c>
      <c r="H1569" s="2">
        <v>46215.583333333336</v>
      </c>
    </row>
    <row r="1570" spans="1:8" x14ac:dyDescent="0.25">
      <c r="A1570" s="8" t="s">
        <v>5330</v>
      </c>
      <c r="B1570" s="8" t="s">
        <v>14128</v>
      </c>
      <c r="C1570" s="2">
        <v>46215.416666666664</v>
      </c>
      <c r="D1570" s="8" t="s">
        <v>13933</v>
      </c>
      <c r="E1570" s="8" t="s">
        <v>24</v>
      </c>
      <c r="F1570">
        <v>6</v>
      </c>
      <c r="G1570" s="2">
        <v>46215.75</v>
      </c>
      <c r="H1570" s="2">
        <v>46215.583333333336</v>
      </c>
    </row>
    <row r="1571" spans="1:8" x14ac:dyDescent="0.25">
      <c r="A1571" s="8" t="s">
        <v>14129</v>
      </c>
      <c r="B1571" s="8" t="s">
        <v>14128</v>
      </c>
      <c r="C1571" s="2">
        <v>46215.416666666664</v>
      </c>
      <c r="D1571" s="8" t="s">
        <v>13933</v>
      </c>
      <c r="E1571" s="8" t="s">
        <v>26</v>
      </c>
      <c r="F1571">
        <v>2</v>
      </c>
      <c r="G1571" s="2">
        <v>46215.75</v>
      </c>
      <c r="H1571" s="2"/>
    </row>
    <row r="1572" spans="1:8" x14ac:dyDescent="0.25">
      <c r="A1572" s="8" t="s">
        <v>5333</v>
      </c>
      <c r="B1572" s="8" t="s">
        <v>14128</v>
      </c>
      <c r="C1572" s="2">
        <v>46215.416666666664</v>
      </c>
      <c r="D1572" s="8" t="s">
        <v>13933</v>
      </c>
      <c r="E1572" s="8" t="s">
        <v>28</v>
      </c>
      <c r="F1572">
        <v>6</v>
      </c>
      <c r="G1572" s="2">
        <v>46215.75</v>
      </c>
      <c r="H1572" s="2">
        <v>46215.583333333336</v>
      </c>
    </row>
    <row r="1573" spans="1:8" x14ac:dyDescent="0.25">
      <c r="A1573" s="8" t="s">
        <v>5336</v>
      </c>
      <c r="B1573" s="8" t="s">
        <v>14128</v>
      </c>
      <c r="C1573" s="2">
        <v>46215.416666666664</v>
      </c>
      <c r="D1573" s="8" t="s">
        <v>13933</v>
      </c>
      <c r="E1573" s="8" t="s">
        <v>47</v>
      </c>
      <c r="F1573">
        <v>5</v>
      </c>
      <c r="G1573" s="2">
        <v>46215.75</v>
      </c>
      <c r="H1573" s="2">
        <v>46215.583333333336</v>
      </c>
    </row>
    <row r="1574" spans="1:8" x14ac:dyDescent="0.25">
      <c r="A1574" s="8" t="s">
        <v>5339</v>
      </c>
      <c r="B1574" s="8" t="s">
        <v>14128</v>
      </c>
      <c r="C1574" s="2">
        <v>46215.416666666664</v>
      </c>
      <c r="D1574" s="8" t="s">
        <v>13933</v>
      </c>
      <c r="E1574" s="8" t="s">
        <v>65</v>
      </c>
      <c r="F1574">
        <v>2</v>
      </c>
      <c r="G1574" s="2">
        <v>46215.75</v>
      </c>
      <c r="H1574" s="2">
        <v>46215.583333333336</v>
      </c>
    </row>
    <row r="1575" spans="1:8" x14ac:dyDescent="0.25">
      <c r="A1575" s="8" t="s">
        <v>5342</v>
      </c>
      <c r="B1575" s="8" t="s">
        <v>14128</v>
      </c>
      <c r="C1575" s="2">
        <v>46215.416666666664</v>
      </c>
      <c r="D1575" s="8" t="s">
        <v>13933</v>
      </c>
      <c r="E1575" s="8" t="s">
        <v>67</v>
      </c>
      <c r="F1575">
        <v>5</v>
      </c>
      <c r="G1575" s="2">
        <v>46215.75</v>
      </c>
      <c r="H1575" s="2">
        <v>46215.583333333336</v>
      </c>
    </row>
    <row r="1576" spans="1:8" x14ac:dyDescent="0.25">
      <c r="A1576" s="8" t="s">
        <v>5345</v>
      </c>
      <c r="B1576" s="8" t="s">
        <v>14128</v>
      </c>
      <c r="C1576" s="2">
        <v>46215.416666666664</v>
      </c>
      <c r="D1576" s="8" t="s">
        <v>13933</v>
      </c>
      <c r="E1576" s="8" t="s">
        <v>69</v>
      </c>
      <c r="F1576">
        <v>6</v>
      </c>
      <c r="G1576" s="2">
        <v>46215.75</v>
      </c>
      <c r="H1576" s="2">
        <v>46215.583333333336</v>
      </c>
    </row>
    <row r="1577" spans="1:8" x14ac:dyDescent="0.25">
      <c r="A1577" s="8" t="s">
        <v>5348</v>
      </c>
      <c r="B1577" s="8" t="s">
        <v>14128</v>
      </c>
      <c r="C1577" s="2">
        <v>46215.416666666664</v>
      </c>
      <c r="D1577" s="8" t="s">
        <v>13933</v>
      </c>
      <c r="E1577" s="8" t="s">
        <v>73</v>
      </c>
      <c r="F1577">
        <v>5</v>
      </c>
      <c r="G1577" s="2">
        <v>46215.75</v>
      </c>
      <c r="H1577" s="2">
        <v>46215.583333333336</v>
      </c>
    </row>
    <row r="1578" spans="1:8" x14ac:dyDescent="0.25">
      <c r="A1578" s="8" t="s">
        <v>5351</v>
      </c>
      <c r="B1578" s="8" t="s">
        <v>14128</v>
      </c>
      <c r="C1578" s="2">
        <v>46215.416666666664</v>
      </c>
      <c r="D1578" s="8" t="s">
        <v>13933</v>
      </c>
      <c r="E1578" s="8" t="s">
        <v>77</v>
      </c>
      <c r="F1578">
        <v>6</v>
      </c>
      <c r="G1578" s="2">
        <v>46215.75</v>
      </c>
      <c r="H1578" s="2">
        <v>46215.583333333336</v>
      </c>
    </row>
    <row r="1579" spans="1:8" x14ac:dyDescent="0.25">
      <c r="A1579" s="8" t="s">
        <v>5354</v>
      </c>
      <c r="B1579" s="8" t="s">
        <v>14130</v>
      </c>
      <c r="C1579" s="2">
        <v>46215.416666666664</v>
      </c>
      <c r="D1579" s="8" t="s">
        <v>13935</v>
      </c>
      <c r="E1579" s="8" t="s">
        <v>11</v>
      </c>
      <c r="F1579">
        <v>5</v>
      </c>
      <c r="G1579" s="2">
        <v>46215.75</v>
      </c>
      <c r="H1579" s="2">
        <v>46215.583333333336</v>
      </c>
    </row>
    <row r="1580" spans="1:8" x14ac:dyDescent="0.25">
      <c r="A1580" s="8" t="s">
        <v>5357</v>
      </c>
      <c r="B1580" s="8" t="s">
        <v>14130</v>
      </c>
      <c r="C1580" s="2">
        <v>46215.416666666664</v>
      </c>
      <c r="D1580" s="8" t="s">
        <v>13935</v>
      </c>
      <c r="E1580" s="8" t="s">
        <v>24</v>
      </c>
      <c r="F1580">
        <v>5</v>
      </c>
      <c r="G1580" s="2">
        <v>46215.75</v>
      </c>
      <c r="H1580" s="2">
        <v>46215.583333333336</v>
      </c>
    </row>
    <row r="1581" spans="1:8" x14ac:dyDescent="0.25">
      <c r="A1581" s="8" t="s">
        <v>14131</v>
      </c>
      <c r="B1581" s="8" t="s">
        <v>14130</v>
      </c>
      <c r="C1581" s="2">
        <v>46215.416666666664</v>
      </c>
      <c r="D1581" s="8" t="s">
        <v>13935</v>
      </c>
      <c r="E1581" s="8" t="s">
        <v>26</v>
      </c>
      <c r="F1581">
        <v>2</v>
      </c>
      <c r="G1581" s="2">
        <v>46215.75</v>
      </c>
      <c r="H1581" s="2"/>
    </row>
    <row r="1582" spans="1:8" x14ac:dyDescent="0.25">
      <c r="A1582" s="8" t="s">
        <v>5362</v>
      </c>
      <c r="B1582" s="8" t="s">
        <v>14130</v>
      </c>
      <c r="C1582" s="2">
        <v>46215.416666666664</v>
      </c>
      <c r="D1582" s="8" t="s">
        <v>13935</v>
      </c>
      <c r="E1582" s="8" t="s">
        <v>45</v>
      </c>
      <c r="F1582">
        <v>7</v>
      </c>
      <c r="G1582" s="2">
        <v>46215.75</v>
      </c>
      <c r="H1582" s="2">
        <v>46215.583333333336</v>
      </c>
    </row>
    <row r="1583" spans="1:8" x14ac:dyDescent="0.25">
      <c r="A1583" s="8" t="s">
        <v>5365</v>
      </c>
      <c r="B1583" s="8" t="s">
        <v>14130</v>
      </c>
      <c r="C1583" s="2">
        <v>46215.416666666664</v>
      </c>
      <c r="D1583" s="8" t="s">
        <v>13935</v>
      </c>
      <c r="E1583" s="8" t="s">
        <v>55</v>
      </c>
      <c r="F1583">
        <v>9</v>
      </c>
      <c r="G1583" s="2">
        <v>46215.75</v>
      </c>
      <c r="H1583" s="2">
        <v>46215.583333333336</v>
      </c>
    </row>
    <row r="1584" spans="1:8" x14ac:dyDescent="0.25">
      <c r="A1584" s="8" t="s">
        <v>5368</v>
      </c>
      <c r="B1584" s="8" t="s">
        <v>14130</v>
      </c>
      <c r="C1584" s="2">
        <v>46215.416666666664</v>
      </c>
      <c r="D1584" s="8" t="s">
        <v>13935</v>
      </c>
      <c r="E1584" s="8" t="s">
        <v>59</v>
      </c>
      <c r="F1584">
        <v>5</v>
      </c>
      <c r="G1584" s="2">
        <v>46215.75</v>
      </c>
      <c r="H1584" s="2">
        <v>46215.583333333336</v>
      </c>
    </row>
    <row r="1585" spans="1:8" x14ac:dyDescent="0.25">
      <c r="A1585" s="8" t="s">
        <v>5373</v>
      </c>
      <c r="B1585" s="8" t="s">
        <v>14130</v>
      </c>
      <c r="C1585" s="2">
        <v>46215.416666666664</v>
      </c>
      <c r="D1585" s="8" t="s">
        <v>13935</v>
      </c>
      <c r="E1585" s="8" t="s">
        <v>65</v>
      </c>
      <c r="F1585">
        <v>9</v>
      </c>
      <c r="G1585" s="2">
        <v>46215.75</v>
      </c>
      <c r="H1585" s="2">
        <v>46215.583333333336</v>
      </c>
    </row>
    <row r="1586" spans="1:8" x14ac:dyDescent="0.25">
      <c r="A1586" s="8" t="s">
        <v>5376</v>
      </c>
      <c r="B1586" s="8" t="s">
        <v>14132</v>
      </c>
      <c r="C1586" s="2">
        <v>46215.416666666664</v>
      </c>
      <c r="D1586" s="8" t="s">
        <v>13937</v>
      </c>
      <c r="E1586" s="8" t="s">
        <v>11</v>
      </c>
      <c r="F1586">
        <v>1</v>
      </c>
      <c r="G1586" s="2">
        <v>46215.75</v>
      </c>
      <c r="H1586" s="2">
        <v>46215.583333333336</v>
      </c>
    </row>
    <row r="1587" spans="1:8" x14ac:dyDescent="0.25">
      <c r="A1587" s="8" t="s">
        <v>5379</v>
      </c>
      <c r="B1587" s="8" t="s">
        <v>14132</v>
      </c>
      <c r="C1587" s="2">
        <v>46215.416666666664</v>
      </c>
      <c r="D1587" s="8" t="s">
        <v>13937</v>
      </c>
      <c r="E1587" s="8" t="s">
        <v>20</v>
      </c>
      <c r="F1587">
        <v>1</v>
      </c>
      <c r="G1587" s="2">
        <v>46215.75</v>
      </c>
      <c r="H1587" s="2">
        <v>46215.583333333336</v>
      </c>
    </row>
    <row r="1588" spans="1:8" x14ac:dyDescent="0.25">
      <c r="A1588" s="8" t="s">
        <v>5382</v>
      </c>
      <c r="B1588" s="8" t="s">
        <v>14132</v>
      </c>
      <c r="C1588" s="2">
        <v>46215.416666666664</v>
      </c>
      <c r="D1588" s="8" t="s">
        <v>13937</v>
      </c>
      <c r="E1588" s="8" t="s">
        <v>22</v>
      </c>
      <c r="F1588">
        <v>4</v>
      </c>
      <c r="G1588" s="2">
        <v>46215.75</v>
      </c>
      <c r="H1588" s="2">
        <v>46215.583333333336</v>
      </c>
    </row>
    <row r="1589" spans="1:8" x14ac:dyDescent="0.25">
      <c r="A1589" s="8" t="s">
        <v>5385</v>
      </c>
      <c r="B1589" s="8" t="s">
        <v>14132</v>
      </c>
      <c r="C1589" s="2">
        <v>46215.416666666664</v>
      </c>
      <c r="D1589" s="8" t="s">
        <v>13937</v>
      </c>
      <c r="E1589" s="8" t="s">
        <v>24</v>
      </c>
      <c r="F1589">
        <v>6</v>
      </c>
      <c r="G1589" s="2">
        <v>46215.75</v>
      </c>
      <c r="H1589" s="2">
        <v>46215.583333333336</v>
      </c>
    </row>
    <row r="1590" spans="1:8" x14ac:dyDescent="0.25">
      <c r="A1590" s="8" t="s">
        <v>5388</v>
      </c>
      <c r="B1590" s="8" t="s">
        <v>14132</v>
      </c>
      <c r="C1590" s="2">
        <v>46215.416666666664</v>
      </c>
      <c r="D1590" s="8" t="s">
        <v>13937</v>
      </c>
      <c r="E1590" s="8" t="s">
        <v>41</v>
      </c>
      <c r="F1590">
        <v>4</v>
      </c>
      <c r="G1590" s="2">
        <v>46215.75</v>
      </c>
      <c r="H1590" s="2">
        <v>46215.583333333336</v>
      </c>
    </row>
    <row r="1591" spans="1:8" x14ac:dyDescent="0.25">
      <c r="A1591" s="8" t="s">
        <v>5391</v>
      </c>
      <c r="B1591" s="8" t="s">
        <v>14132</v>
      </c>
      <c r="C1591" s="2">
        <v>46215.416666666664</v>
      </c>
      <c r="D1591" s="8" t="s">
        <v>13937</v>
      </c>
      <c r="E1591" s="8" t="s">
        <v>43</v>
      </c>
      <c r="F1591">
        <v>6</v>
      </c>
      <c r="G1591" s="2">
        <v>46215.75</v>
      </c>
      <c r="H1591" s="2">
        <v>46215.583333333336</v>
      </c>
    </row>
    <row r="1592" spans="1:8" x14ac:dyDescent="0.25">
      <c r="A1592" s="8" t="s">
        <v>5394</v>
      </c>
      <c r="B1592" s="8" t="s">
        <v>14132</v>
      </c>
      <c r="C1592" s="2">
        <v>46215.416666666664</v>
      </c>
      <c r="D1592" s="8" t="s">
        <v>13937</v>
      </c>
      <c r="E1592" s="8" t="s">
        <v>47</v>
      </c>
      <c r="F1592">
        <v>5</v>
      </c>
      <c r="G1592" s="2">
        <v>46215.75</v>
      </c>
      <c r="H1592" s="2">
        <v>46215.583333333336</v>
      </c>
    </row>
    <row r="1593" spans="1:8" x14ac:dyDescent="0.25">
      <c r="A1593" s="8" t="s">
        <v>5397</v>
      </c>
      <c r="B1593" s="8" t="s">
        <v>14132</v>
      </c>
      <c r="C1593" s="2">
        <v>46215.416666666664</v>
      </c>
      <c r="D1593" s="8" t="s">
        <v>13937</v>
      </c>
      <c r="E1593" s="8" t="s">
        <v>53</v>
      </c>
      <c r="F1593">
        <v>1</v>
      </c>
      <c r="G1593" s="2">
        <v>46215.75</v>
      </c>
      <c r="H1593" s="2">
        <v>46215.583333333336</v>
      </c>
    </row>
    <row r="1594" spans="1:8" x14ac:dyDescent="0.25">
      <c r="A1594" s="8" t="s">
        <v>5400</v>
      </c>
      <c r="B1594" s="8" t="s">
        <v>14132</v>
      </c>
      <c r="C1594" s="2">
        <v>46215.416666666664</v>
      </c>
      <c r="D1594" s="8" t="s">
        <v>13937</v>
      </c>
      <c r="E1594" s="8" t="s">
        <v>55</v>
      </c>
      <c r="F1594">
        <v>1</v>
      </c>
      <c r="G1594" s="2">
        <v>46215.75</v>
      </c>
      <c r="H1594" s="2">
        <v>46215.583333333336</v>
      </c>
    </row>
    <row r="1595" spans="1:8" x14ac:dyDescent="0.25">
      <c r="A1595" s="8" t="s">
        <v>5403</v>
      </c>
      <c r="B1595" s="8" t="s">
        <v>14132</v>
      </c>
      <c r="C1595" s="2">
        <v>46215.416666666664</v>
      </c>
      <c r="D1595" s="8" t="s">
        <v>13937</v>
      </c>
      <c r="E1595" s="8" t="s">
        <v>65</v>
      </c>
      <c r="F1595">
        <v>2</v>
      </c>
      <c r="G1595" s="2">
        <v>46215.75</v>
      </c>
      <c r="H1595" s="2">
        <v>46215.583333333336</v>
      </c>
    </row>
    <row r="1596" spans="1:8" x14ac:dyDescent="0.25">
      <c r="A1596" s="8" t="s">
        <v>5406</v>
      </c>
      <c r="B1596" s="8" t="s">
        <v>14133</v>
      </c>
      <c r="C1596" s="2">
        <v>46216.416666666664</v>
      </c>
      <c r="D1596" s="8" t="s">
        <v>13929</v>
      </c>
      <c r="E1596" s="8" t="s">
        <v>20</v>
      </c>
      <c r="F1596">
        <v>3</v>
      </c>
      <c r="G1596" s="2">
        <v>46216.75</v>
      </c>
      <c r="H1596" s="2">
        <v>46216.583333333336</v>
      </c>
    </row>
    <row r="1597" spans="1:8" x14ac:dyDescent="0.25">
      <c r="A1597" s="8" t="s">
        <v>5409</v>
      </c>
      <c r="B1597" s="8" t="s">
        <v>14133</v>
      </c>
      <c r="C1597" s="2">
        <v>46216.416666666664</v>
      </c>
      <c r="D1597" s="8" t="s">
        <v>13929</v>
      </c>
      <c r="E1597" s="8" t="s">
        <v>22</v>
      </c>
      <c r="F1597">
        <v>3</v>
      </c>
      <c r="G1597" s="2">
        <v>46216.75</v>
      </c>
      <c r="H1597" s="2">
        <v>46216.583333333336</v>
      </c>
    </row>
    <row r="1598" spans="1:8" x14ac:dyDescent="0.25">
      <c r="A1598" s="8" t="s">
        <v>5412</v>
      </c>
      <c r="B1598" s="8" t="s">
        <v>14133</v>
      </c>
      <c r="C1598" s="2">
        <v>46216.416666666664</v>
      </c>
      <c r="D1598" s="8" t="s">
        <v>13929</v>
      </c>
      <c r="E1598" s="8" t="s">
        <v>30</v>
      </c>
      <c r="F1598">
        <v>3</v>
      </c>
      <c r="G1598" s="2">
        <v>46216.75</v>
      </c>
      <c r="H1598" s="2">
        <v>46216.583333333336</v>
      </c>
    </row>
    <row r="1599" spans="1:8" x14ac:dyDescent="0.25">
      <c r="A1599" s="8" t="s">
        <v>5415</v>
      </c>
      <c r="B1599" s="8" t="s">
        <v>14133</v>
      </c>
      <c r="C1599" s="2">
        <v>46216.416666666664</v>
      </c>
      <c r="D1599" s="8" t="s">
        <v>13929</v>
      </c>
      <c r="E1599" s="8" t="s">
        <v>36</v>
      </c>
      <c r="F1599">
        <v>1</v>
      </c>
      <c r="G1599" s="2">
        <v>46216.75</v>
      </c>
      <c r="H1599" s="2">
        <v>46216.583333333336</v>
      </c>
    </row>
    <row r="1600" spans="1:8" x14ac:dyDescent="0.25">
      <c r="A1600" s="8" t="s">
        <v>5418</v>
      </c>
      <c r="B1600" s="8" t="s">
        <v>14133</v>
      </c>
      <c r="C1600" s="2">
        <v>46216.416666666664</v>
      </c>
      <c r="D1600" s="8" t="s">
        <v>13929</v>
      </c>
      <c r="E1600" s="8" t="s">
        <v>69</v>
      </c>
      <c r="F1600">
        <v>4</v>
      </c>
      <c r="G1600" s="2">
        <v>46216.75</v>
      </c>
      <c r="H1600" s="2">
        <v>46216.583333333336</v>
      </c>
    </row>
    <row r="1601" spans="1:8" x14ac:dyDescent="0.25">
      <c r="A1601" s="8" t="s">
        <v>5421</v>
      </c>
      <c r="B1601" s="8" t="s">
        <v>14133</v>
      </c>
      <c r="C1601" s="2">
        <v>46216.416666666664</v>
      </c>
      <c r="D1601" s="8" t="s">
        <v>13929</v>
      </c>
      <c r="E1601" s="8" t="s">
        <v>75</v>
      </c>
      <c r="F1601">
        <v>2</v>
      </c>
      <c r="G1601" s="2">
        <v>46216.75</v>
      </c>
      <c r="H1601" s="2">
        <v>46216.583333333336</v>
      </c>
    </row>
    <row r="1602" spans="1:8" x14ac:dyDescent="0.25">
      <c r="A1602" s="8" t="s">
        <v>5424</v>
      </c>
      <c r="B1602" s="8" t="s">
        <v>14134</v>
      </c>
      <c r="C1602" s="2">
        <v>46216.416666666664</v>
      </c>
      <c r="D1602" s="8" t="s">
        <v>13931</v>
      </c>
      <c r="E1602" s="8" t="s">
        <v>11</v>
      </c>
      <c r="F1602">
        <v>4</v>
      </c>
      <c r="G1602" s="2">
        <v>46216.75</v>
      </c>
      <c r="H1602" s="2">
        <v>46216.583333333336</v>
      </c>
    </row>
    <row r="1603" spans="1:8" x14ac:dyDescent="0.25">
      <c r="A1603" s="8" t="s">
        <v>5429</v>
      </c>
      <c r="B1603" s="8" t="s">
        <v>14134</v>
      </c>
      <c r="C1603" s="2">
        <v>46216.416666666664</v>
      </c>
      <c r="D1603" s="8" t="s">
        <v>13931</v>
      </c>
      <c r="E1603" s="8" t="s">
        <v>22</v>
      </c>
      <c r="F1603">
        <v>4</v>
      </c>
      <c r="G1603" s="2">
        <v>46216.75</v>
      </c>
      <c r="H1603" s="2">
        <v>46216.583333333336</v>
      </c>
    </row>
    <row r="1604" spans="1:8" x14ac:dyDescent="0.25">
      <c r="A1604" s="8" t="s">
        <v>5432</v>
      </c>
      <c r="B1604" s="8" t="s">
        <v>14134</v>
      </c>
      <c r="C1604" s="2">
        <v>46216.416666666664</v>
      </c>
      <c r="D1604" s="8" t="s">
        <v>13931</v>
      </c>
      <c r="E1604" s="8" t="s">
        <v>28</v>
      </c>
      <c r="F1604">
        <v>5</v>
      </c>
      <c r="G1604" s="2">
        <v>46216.75</v>
      </c>
      <c r="H1604" s="2">
        <v>46216.583333333336</v>
      </c>
    </row>
    <row r="1605" spans="1:8" x14ac:dyDescent="0.25">
      <c r="A1605" s="8" t="s">
        <v>5435</v>
      </c>
      <c r="B1605" s="8" t="s">
        <v>14134</v>
      </c>
      <c r="C1605" s="2">
        <v>46216.416666666664</v>
      </c>
      <c r="D1605" s="8" t="s">
        <v>13931</v>
      </c>
      <c r="E1605" s="8" t="s">
        <v>32</v>
      </c>
      <c r="F1605">
        <v>4</v>
      </c>
      <c r="G1605" s="2">
        <v>46216.75</v>
      </c>
      <c r="H1605" s="2">
        <v>46216.583333333336</v>
      </c>
    </row>
    <row r="1606" spans="1:8" x14ac:dyDescent="0.25">
      <c r="A1606" s="8" t="s">
        <v>5438</v>
      </c>
      <c r="B1606" s="8" t="s">
        <v>14134</v>
      </c>
      <c r="C1606" s="2">
        <v>46216.416666666664</v>
      </c>
      <c r="D1606" s="8" t="s">
        <v>13931</v>
      </c>
      <c r="E1606" s="8" t="s">
        <v>36</v>
      </c>
      <c r="F1606">
        <v>3</v>
      </c>
      <c r="G1606" s="2">
        <v>46216.75</v>
      </c>
      <c r="H1606" s="2">
        <v>46216.583333333336</v>
      </c>
    </row>
    <row r="1607" spans="1:8" x14ac:dyDescent="0.25">
      <c r="A1607" s="8" t="s">
        <v>5441</v>
      </c>
      <c r="B1607" s="8" t="s">
        <v>14134</v>
      </c>
      <c r="C1607" s="2">
        <v>46216.416666666664</v>
      </c>
      <c r="D1607" s="8" t="s">
        <v>13931</v>
      </c>
      <c r="E1607" s="8" t="s">
        <v>45</v>
      </c>
      <c r="F1607">
        <v>3</v>
      </c>
      <c r="G1607" s="2">
        <v>46216.75</v>
      </c>
      <c r="H1607" s="2">
        <v>46216.583333333336</v>
      </c>
    </row>
    <row r="1608" spans="1:8" x14ac:dyDescent="0.25">
      <c r="A1608" s="8" t="s">
        <v>5444</v>
      </c>
      <c r="B1608" s="8" t="s">
        <v>14134</v>
      </c>
      <c r="C1608" s="2">
        <v>46216.416666666664</v>
      </c>
      <c r="D1608" s="8" t="s">
        <v>13931</v>
      </c>
      <c r="E1608" s="8" t="s">
        <v>47</v>
      </c>
      <c r="F1608">
        <v>1</v>
      </c>
      <c r="G1608" s="2">
        <v>46216.75</v>
      </c>
      <c r="H1608" s="2">
        <v>46216.583333333336</v>
      </c>
    </row>
    <row r="1609" spans="1:8" x14ac:dyDescent="0.25">
      <c r="A1609" s="8" t="s">
        <v>5447</v>
      </c>
      <c r="B1609" s="8" t="s">
        <v>14134</v>
      </c>
      <c r="C1609" s="2">
        <v>46216.416666666664</v>
      </c>
      <c r="D1609" s="8" t="s">
        <v>13931</v>
      </c>
      <c r="E1609" s="8" t="s">
        <v>53</v>
      </c>
      <c r="F1609">
        <v>2</v>
      </c>
      <c r="G1609" s="2">
        <v>46216.75</v>
      </c>
      <c r="H1609" s="2">
        <v>46216.583333333336</v>
      </c>
    </row>
    <row r="1610" spans="1:8" x14ac:dyDescent="0.25">
      <c r="A1610" s="8" t="s">
        <v>5450</v>
      </c>
      <c r="B1610" s="8" t="s">
        <v>14134</v>
      </c>
      <c r="C1610" s="2">
        <v>46216.416666666664</v>
      </c>
      <c r="D1610" s="8" t="s">
        <v>13931</v>
      </c>
      <c r="E1610" s="8" t="s">
        <v>57</v>
      </c>
      <c r="F1610">
        <v>2</v>
      </c>
      <c r="G1610" s="2">
        <v>46216.75</v>
      </c>
      <c r="H1610" s="2">
        <v>46216.583333333336</v>
      </c>
    </row>
    <row r="1611" spans="1:8" x14ac:dyDescent="0.25">
      <c r="A1611" s="8" t="s">
        <v>5453</v>
      </c>
      <c r="B1611" s="8" t="s">
        <v>14134</v>
      </c>
      <c r="C1611" s="2">
        <v>46216.416666666664</v>
      </c>
      <c r="D1611" s="8" t="s">
        <v>13931</v>
      </c>
      <c r="E1611" s="8" t="s">
        <v>71</v>
      </c>
      <c r="F1611">
        <v>3</v>
      </c>
      <c r="G1611" s="2">
        <v>46216.75</v>
      </c>
      <c r="H1611" s="2">
        <v>46216.583333333336</v>
      </c>
    </row>
    <row r="1612" spans="1:8" x14ac:dyDescent="0.25">
      <c r="A1612" s="8" t="s">
        <v>5456</v>
      </c>
      <c r="B1612" s="8" t="s">
        <v>14135</v>
      </c>
      <c r="C1612" s="2">
        <v>46216.416666666664</v>
      </c>
      <c r="D1612" s="8" t="s">
        <v>13933</v>
      </c>
      <c r="E1612" s="8" t="s">
        <v>20</v>
      </c>
      <c r="F1612">
        <v>1</v>
      </c>
      <c r="G1612" s="2">
        <v>46216.75</v>
      </c>
      <c r="H1612" s="2">
        <v>46216.583333333336</v>
      </c>
    </row>
    <row r="1613" spans="1:8" x14ac:dyDescent="0.25">
      <c r="A1613" s="8" t="s">
        <v>5459</v>
      </c>
      <c r="B1613" s="8" t="s">
        <v>14135</v>
      </c>
      <c r="C1613" s="2">
        <v>46216.416666666664</v>
      </c>
      <c r="D1613" s="8" t="s">
        <v>13933</v>
      </c>
      <c r="E1613" s="8" t="s">
        <v>24</v>
      </c>
      <c r="F1613">
        <v>5</v>
      </c>
      <c r="G1613" s="2">
        <v>46216.75</v>
      </c>
      <c r="H1613" s="2">
        <v>46216.583333333336</v>
      </c>
    </row>
    <row r="1614" spans="1:8" x14ac:dyDescent="0.25">
      <c r="A1614" s="8" t="s">
        <v>14136</v>
      </c>
      <c r="B1614" s="8" t="s">
        <v>14135</v>
      </c>
      <c r="C1614" s="2">
        <v>46216.416666666664</v>
      </c>
      <c r="D1614" s="8" t="s">
        <v>13933</v>
      </c>
      <c r="E1614" s="8" t="s">
        <v>26</v>
      </c>
      <c r="F1614">
        <v>6</v>
      </c>
      <c r="G1614" s="2">
        <v>46216.75</v>
      </c>
      <c r="H1614" s="2"/>
    </row>
    <row r="1615" spans="1:8" x14ac:dyDescent="0.25">
      <c r="A1615" s="8" t="s">
        <v>5462</v>
      </c>
      <c r="B1615" s="8" t="s">
        <v>14135</v>
      </c>
      <c r="C1615" s="2">
        <v>46216.416666666664</v>
      </c>
      <c r="D1615" s="8" t="s">
        <v>13933</v>
      </c>
      <c r="E1615" s="8" t="s">
        <v>30</v>
      </c>
      <c r="F1615">
        <v>2</v>
      </c>
      <c r="G1615" s="2">
        <v>46216.75</v>
      </c>
      <c r="H1615" s="2">
        <v>46216.583333333336</v>
      </c>
    </row>
    <row r="1616" spans="1:8" x14ac:dyDescent="0.25">
      <c r="A1616" s="8" t="s">
        <v>5465</v>
      </c>
      <c r="B1616" s="8" t="s">
        <v>14135</v>
      </c>
      <c r="C1616" s="2">
        <v>46216.416666666664</v>
      </c>
      <c r="D1616" s="8" t="s">
        <v>13933</v>
      </c>
      <c r="E1616" s="8" t="s">
        <v>43</v>
      </c>
      <c r="F1616">
        <v>1</v>
      </c>
      <c r="G1616" s="2">
        <v>46216.75</v>
      </c>
      <c r="H1616" s="2">
        <v>46216.583333333336</v>
      </c>
    </row>
    <row r="1617" spans="1:8" x14ac:dyDescent="0.25">
      <c r="A1617" s="8" t="s">
        <v>5468</v>
      </c>
      <c r="B1617" s="8" t="s">
        <v>14135</v>
      </c>
      <c r="C1617" s="2">
        <v>46216.416666666664</v>
      </c>
      <c r="D1617" s="8" t="s">
        <v>13933</v>
      </c>
      <c r="E1617" s="8" t="s">
        <v>53</v>
      </c>
      <c r="F1617">
        <v>2</v>
      </c>
      <c r="G1617" s="2">
        <v>46216.75</v>
      </c>
      <c r="H1617" s="2">
        <v>46216.583333333336</v>
      </c>
    </row>
    <row r="1618" spans="1:8" x14ac:dyDescent="0.25">
      <c r="A1618" s="8" t="s">
        <v>5471</v>
      </c>
      <c r="B1618" s="8" t="s">
        <v>14135</v>
      </c>
      <c r="C1618" s="2">
        <v>46216.416666666664</v>
      </c>
      <c r="D1618" s="8" t="s">
        <v>13933</v>
      </c>
      <c r="E1618" s="8" t="s">
        <v>67</v>
      </c>
      <c r="F1618">
        <v>4</v>
      </c>
      <c r="G1618" s="2">
        <v>46216.75</v>
      </c>
      <c r="H1618" s="2">
        <v>46216.583333333336</v>
      </c>
    </row>
    <row r="1619" spans="1:8" x14ac:dyDescent="0.25">
      <c r="A1619" s="8" t="s">
        <v>5474</v>
      </c>
      <c r="B1619" s="8" t="s">
        <v>14137</v>
      </c>
      <c r="C1619" s="2">
        <v>46216.416666666664</v>
      </c>
      <c r="D1619" s="8" t="s">
        <v>13935</v>
      </c>
      <c r="E1619" s="8" t="s">
        <v>11</v>
      </c>
      <c r="F1619">
        <v>6</v>
      </c>
      <c r="G1619" s="2">
        <v>46216.75</v>
      </c>
      <c r="H1619" s="2">
        <v>46216.583333333336</v>
      </c>
    </row>
    <row r="1620" spans="1:8" x14ac:dyDescent="0.25">
      <c r="A1620" s="8" t="s">
        <v>5477</v>
      </c>
      <c r="B1620" s="8" t="s">
        <v>14137</v>
      </c>
      <c r="C1620" s="2">
        <v>46216.416666666664</v>
      </c>
      <c r="D1620" s="8" t="s">
        <v>13935</v>
      </c>
      <c r="E1620" s="8" t="s">
        <v>18</v>
      </c>
      <c r="F1620">
        <v>7</v>
      </c>
      <c r="G1620" s="2">
        <v>46216.75</v>
      </c>
      <c r="H1620" s="2">
        <v>46216.583333333336</v>
      </c>
    </row>
    <row r="1621" spans="1:8" x14ac:dyDescent="0.25">
      <c r="A1621" s="8" t="s">
        <v>5480</v>
      </c>
      <c r="B1621" s="8" t="s">
        <v>14137</v>
      </c>
      <c r="C1621" s="2">
        <v>46216.416666666664</v>
      </c>
      <c r="D1621" s="8" t="s">
        <v>13935</v>
      </c>
      <c r="E1621" s="8" t="s">
        <v>20</v>
      </c>
      <c r="F1621">
        <v>4</v>
      </c>
      <c r="G1621" s="2">
        <v>46216.75</v>
      </c>
      <c r="H1621" s="2">
        <v>46216.583333333336</v>
      </c>
    </row>
    <row r="1622" spans="1:8" x14ac:dyDescent="0.25">
      <c r="A1622" s="8" t="s">
        <v>5483</v>
      </c>
      <c r="B1622" s="8" t="s">
        <v>14137</v>
      </c>
      <c r="C1622" s="2">
        <v>46216.416666666664</v>
      </c>
      <c r="D1622" s="8" t="s">
        <v>13935</v>
      </c>
      <c r="E1622" s="8" t="s">
        <v>22</v>
      </c>
      <c r="F1622">
        <v>6</v>
      </c>
      <c r="G1622" s="2">
        <v>46216.75</v>
      </c>
      <c r="H1622" s="2">
        <v>46216.583333333336</v>
      </c>
    </row>
    <row r="1623" spans="1:8" x14ac:dyDescent="0.25">
      <c r="A1623" s="8" t="s">
        <v>14138</v>
      </c>
      <c r="B1623" s="8" t="s">
        <v>14137</v>
      </c>
      <c r="C1623" s="2">
        <v>46216.416666666664</v>
      </c>
      <c r="D1623" s="8" t="s">
        <v>13935</v>
      </c>
      <c r="E1623" s="8" t="s">
        <v>26</v>
      </c>
      <c r="F1623">
        <v>6</v>
      </c>
      <c r="G1623" s="2">
        <v>46216.75</v>
      </c>
      <c r="H1623" s="2"/>
    </row>
    <row r="1624" spans="1:8" x14ac:dyDescent="0.25">
      <c r="A1624" s="8" t="s">
        <v>5486</v>
      </c>
      <c r="B1624" s="8" t="s">
        <v>14137</v>
      </c>
      <c r="C1624" s="2">
        <v>46216.416666666664</v>
      </c>
      <c r="D1624" s="8" t="s">
        <v>13935</v>
      </c>
      <c r="E1624" s="8" t="s">
        <v>36</v>
      </c>
      <c r="F1624">
        <v>6</v>
      </c>
      <c r="G1624" s="2">
        <v>46216.75</v>
      </c>
      <c r="H1624" s="2">
        <v>46216.583333333336</v>
      </c>
    </row>
    <row r="1625" spans="1:8" x14ac:dyDescent="0.25">
      <c r="A1625" s="8" t="s">
        <v>5489</v>
      </c>
      <c r="B1625" s="8" t="s">
        <v>14137</v>
      </c>
      <c r="C1625" s="2">
        <v>46216.416666666664</v>
      </c>
      <c r="D1625" s="8" t="s">
        <v>13935</v>
      </c>
      <c r="E1625" s="8" t="s">
        <v>41</v>
      </c>
      <c r="F1625">
        <v>4</v>
      </c>
      <c r="G1625" s="2">
        <v>46216.75</v>
      </c>
      <c r="H1625" s="2">
        <v>46216.583333333336</v>
      </c>
    </row>
    <row r="1626" spans="1:8" x14ac:dyDescent="0.25">
      <c r="A1626" s="8" t="s">
        <v>5492</v>
      </c>
      <c r="B1626" s="8" t="s">
        <v>14137</v>
      </c>
      <c r="C1626" s="2">
        <v>46216.416666666664</v>
      </c>
      <c r="D1626" s="8" t="s">
        <v>13935</v>
      </c>
      <c r="E1626" s="8" t="s">
        <v>43</v>
      </c>
      <c r="F1626">
        <v>3</v>
      </c>
      <c r="G1626" s="2">
        <v>46216.75</v>
      </c>
      <c r="H1626" s="2">
        <v>46216.583333333336</v>
      </c>
    </row>
    <row r="1627" spans="1:8" x14ac:dyDescent="0.25">
      <c r="A1627" s="8" t="s">
        <v>5495</v>
      </c>
      <c r="B1627" s="8" t="s">
        <v>14137</v>
      </c>
      <c r="C1627" s="2">
        <v>46216.416666666664</v>
      </c>
      <c r="D1627" s="8" t="s">
        <v>13935</v>
      </c>
      <c r="E1627" s="8" t="s">
        <v>55</v>
      </c>
      <c r="F1627">
        <v>3</v>
      </c>
      <c r="G1627" s="2">
        <v>46216.75</v>
      </c>
      <c r="H1627" s="2">
        <v>46216.583333333336</v>
      </c>
    </row>
    <row r="1628" spans="1:8" x14ac:dyDescent="0.25">
      <c r="A1628" s="8" t="s">
        <v>5498</v>
      </c>
      <c r="B1628" s="8" t="s">
        <v>14137</v>
      </c>
      <c r="C1628" s="2">
        <v>46216.416666666664</v>
      </c>
      <c r="D1628" s="8" t="s">
        <v>13935</v>
      </c>
      <c r="E1628" s="8" t="s">
        <v>77</v>
      </c>
      <c r="F1628">
        <v>7</v>
      </c>
      <c r="G1628" s="2">
        <v>46216.75</v>
      </c>
      <c r="H1628" s="2">
        <v>46216.583333333336</v>
      </c>
    </row>
    <row r="1629" spans="1:8" x14ac:dyDescent="0.25">
      <c r="A1629" s="8" t="s">
        <v>5501</v>
      </c>
      <c r="B1629" s="8" t="s">
        <v>14139</v>
      </c>
      <c r="C1629" s="2">
        <v>46216.416666666664</v>
      </c>
      <c r="D1629" s="8" t="s">
        <v>13937</v>
      </c>
      <c r="E1629" s="8" t="s">
        <v>11</v>
      </c>
      <c r="F1629">
        <v>2</v>
      </c>
      <c r="G1629" s="2">
        <v>46216.75</v>
      </c>
      <c r="H1629" s="2">
        <v>46216.583333333336</v>
      </c>
    </row>
    <row r="1630" spans="1:8" x14ac:dyDescent="0.25">
      <c r="A1630" s="8" t="s">
        <v>5504</v>
      </c>
      <c r="B1630" s="8" t="s">
        <v>14139</v>
      </c>
      <c r="C1630" s="2">
        <v>46216.416666666664</v>
      </c>
      <c r="D1630" s="8" t="s">
        <v>13937</v>
      </c>
      <c r="E1630" s="8" t="s">
        <v>20</v>
      </c>
      <c r="F1630">
        <v>4</v>
      </c>
      <c r="G1630" s="2">
        <v>46216.75</v>
      </c>
      <c r="H1630" s="2">
        <v>46216.583333333336</v>
      </c>
    </row>
    <row r="1631" spans="1:8" x14ac:dyDescent="0.25">
      <c r="A1631" s="8" t="s">
        <v>5507</v>
      </c>
      <c r="B1631" s="8" t="s">
        <v>14139</v>
      </c>
      <c r="C1631" s="2">
        <v>46216.416666666664</v>
      </c>
      <c r="D1631" s="8" t="s">
        <v>13937</v>
      </c>
      <c r="E1631" s="8" t="s">
        <v>22</v>
      </c>
      <c r="F1631">
        <v>3</v>
      </c>
      <c r="G1631" s="2">
        <v>46216.75</v>
      </c>
      <c r="H1631" s="2">
        <v>46216.583333333336</v>
      </c>
    </row>
    <row r="1632" spans="1:8" x14ac:dyDescent="0.25">
      <c r="A1632" s="8" t="s">
        <v>5510</v>
      </c>
      <c r="B1632" s="8" t="s">
        <v>14139</v>
      </c>
      <c r="C1632" s="2">
        <v>46216.416666666664</v>
      </c>
      <c r="D1632" s="8" t="s">
        <v>13937</v>
      </c>
      <c r="E1632" s="8" t="s">
        <v>45</v>
      </c>
      <c r="F1632">
        <v>2</v>
      </c>
      <c r="G1632" s="2">
        <v>46216.75</v>
      </c>
      <c r="H1632" s="2">
        <v>46216.583333333336</v>
      </c>
    </row>
    <row r="1633" spans="1:8" x14ac:dyDescent="0.25">
      <c r="A1633" s="8" t="s">
        <v>5513</v>
      </c>
      <c r="B1633" s="8" t="s">
        <v>14139</v>
      </c>
      <c r="C1633" s="2">
        <v>46216.416666666664</v>
      </c>
      <c r="D1633" s="8" t="s">
        <v>13937</v>
      </c>
      <c r="E1633" s="8" t="s">
        <v>59</v>
      </c>
      <c r="F1633">
        <v>3</v>
      </c>
      <c r="G1633" s="2">
        <v>46216.75</v>
      </c>
      <c r="H1633" s="2">
        <v>46216.583333333336</v>
      </c>
    </row>
    <row r="1634" spans="1:8" x14ac:dyDescent="0.25">
      <c r="A1634" s="8" t="s">
        <v>5516</v>
      </c>
      <c r="B1634" s="8" t="s">
        <v>14139</v>
      </c>
      <c r="C1634" s="2">
        <v>46216.416666666664</v>
      </c>
      <c r="D1634" s="8" t="s">
        <v>13937</v>
      </c>
      <c r="E1634" s="8" t="s">
        <v>69</v>
      </c>
      <c r="F1634">
        <v>4</v>
      </c>
      <c r="G1634" s="2">
        <v>46216.75</v>
      </c>
      <c r="H1634" s="2">
        <v>46216.583333333336</v>
      </c>
    </row>
    <row r="1635" spans="1:8" x14ac:dyDescent="0.25">
      <c r="A1635" s="8" t="s">
        <v>5558</v>
      </c>
      <c r="B1635" s="8" t="s">
        <v>14140</v>
      </c>
      <c r="C1635" s="2">
        <v>46217.416666666664</v>
      </c>
      <c r="D1635" s="8" t="s">
        <v>13929</v>
      </c>
      <c r="E1635" s="8" t="s">
        <v>11</v>
      </c>
      <c r="F1635">
        <v>2</v>
      </c>
      <c r="G1635" s="2">
        <v>46217.75</v>
      </c>
      <c r="H1635" s="2">
        <v>46217.583333333336</v>
      </c>
    </row>
    <row r="1636" spans="1:8" x14ac:dyDescent="0.25">
      <c r="A1636" s="8" t="s">
        <v>5561</v>
      </c>
      <c r="B1636" s="8" t="s">
        <v>14140</v>
      </c>
      <c r="C1636" s="2">
        <v>46217.416666666664</v>
      </c>
      <c r="D1636" s="8" t="s">
        <v>13929</v>
      </c>
      <c r="E1636" s="8" t="s">
        <v>18</v>
      </c>
      <c r="F1636">
        <v>4</v>
      </c>
      <c r="G1636" s="2">
        <v>46217.75</v>
      </c>
      <c r="H1636" s="2">
        <v>46217.583333333336</v>
      </c>
    </row>
    <row r="1637" spans="1:8" x14ac:dyDescent="0.25">
      <c r="A1637" s="8" t="s">
        <v>5564</v>
      </c>
      <c r="B1637" s="8" t="s">
        <v>14140</v>
      </c>
      <c r="C1637" s="2">
        <v>46217.416666666664</v>
      </c>
      <c r="D1637" s="8" t="s">
        <v>13929</v>
      </c>
      <c r="E1637" s="8" t="s">
        <v>20</v>
      </c>
      <c r="F1637">
        <v>4</v>
      </c>
      <c r="G1637" s="2">
        <v>46217.75</v>
      </c>
      <c r="H1637" s="2">
        <v>46217.583333333336</v>
      </c>
    </row>
    <row r="1638" spans="1:8" x14ac:dyDescent="0.25">
      <c r="A1638" s="8" t="s">
        <v>5569</v>
      </c>
      <c r="B1638" s="8" t="s">
        <v>14140</v>
      </c>
      <c r="C1638" s="2">
        <v>46217.416666666664</v>
      </c>
      <c r="D1638" s="8" t="s">
        <v>13929</v>
      </c>
      <c r="E1638" s="8" t="s">
        <v>22</v>
      </c>
      <c r="F1638">
        <v>2</v>
      </c>
      <c r="G1638" s="2">
        <v>46217.75</v>
      </c>
      <c r="H1638" s="2">
        <v>46217.583333333336</v>
      </c>
    </row>
    <row r="1639" spans="1:8" x14ac:dyDescent="0.25">
      <c r="A1639" s="8" t="s">
        <v>5572</v>
      </c>
      <c r="B1639" s="8" t="s">
        <v>14140</v>
      </c>
      <c r="C1639" s="2">
        <v>46217.416666666664</v>
      </c>
      <c r="D1639" s="8" t="s">
        <v>13929</v>
      </c>
      <c r="E1639" s="8" t="s">
        <v>24</v>
      </c>
      <c r="F1639">
        <v>1</v>
      </c>
      <c r="G1639" s="2">
        <v>46217.75</v>
      </c>
      <c r="H1639" s="2">
        <v>46217.583333333336</v>
      </c>
    </row>
    <row r="1640" spans="1:8" x14ac:dyDescent="0.25">
      <c r="A1640" s="8" t="s">
        <v>5575</v>
      </c>
      <c r="B1640" s="8" t="s">
        <v>14140</v>
      </c>
      <c r="C1640" s="2">
        <v>46217.416666666664</v>
      </c>
      <c r="D1640" s="8" t="s">
        <v>13929</v>
      </c>
      <c r="E1640" s="8" t="s">
        <v>26</v>
      </c>
      <c r="F1640">
        <v>2</v>
      </c>
      <c r="G1640" s="2">
        <v>46217.75</v>
      </c>
      <c r="H1640" s="2">
        <v>46217.583333333336</v>
      </c>
    </row>
    <row r="1641" spans="1:8" x14ac:dyDescent="0.25">
      <c r="A1641" s="8" t="s">
        <v>5578</v>
      </c>
      <c r="B1641" s="8" t="s">
        <v>14140</v>
      </c>
      <c r="C1641" s="2">
        <v>46217.416666666664</v>
      </c>
      <c r="D1641" s="8" t="s">
        <v>13929</v>
      </c>
      <c r="E1641" s="8" t="s">
        <v>28</v>
      </c>
      <c r="F1641">
        <v>2</v>
      </c>
      <c r="G1641" s="2">
        <v>46217.75</v>
      </c>
      <c r="H1641" s="2">
        <v>46217.583333333336</v>
      </c>
    </row>
    <row r="1642" spans="1:8" x14ac:dyDescent="0.25">
      <c r="A1642" s="8" t="s">
        <v>5581</v>
      </c>
      <c r="B1642" s="8" t="s">
        <v>14140</v>
      </c>
      <c r="C1642" s="2">
        <v>46217.416666666664</v>
      </c>
      <c r="D1642" s="8" t="s">
        <v>13929</v>
      </c>
      <c r="E1642" s="8" t="s">
        <v>43</v>
      </c>
      <c r="F1642">
        <v>2</v>
      </c>
      <c r="G1642" s="2">
        <v>46217.75</v>
      </c>
      <c r="H1642" s="2">
        <v>46217.583333333336</v>
      </c>
    </row>
    <row r="1643" spans="1:8" x14ac:dyDescent="0.25">
      <c r="A1643" s="8" t="s">
        <v>5584</v>
      </c>
      <c r="B1643" s="8" t="s">
        <v>14140</v>
      </c>
      <c r="C1643" s="2">
        <v>46217.416666666664</v>
      </c>
      <c r="D1643" s="8" t="s">
        <v>13929</v>
      </c>
      <c r="E1643" s="8" t="s">
        <v>47</v>
      </c>
      <c r="F1643">
        <v>3</v>
      </c>
      <c r="G1643" s="2">
        <v>46217.75</v>
      </c>
      <c r="H1643" s="2">
        <v>46217.583333333336</v>
      </c>
    </row>
    <row r="1644" spans="1:8" x14ac:dyDescent="0.25">
      <c r="A1644" s="8" t="s">
        <v>5587</v>
      </c>
      <c r="B1644" s="8" t="s">
        <v>14140</v>
      </c>
      <c r="C1644" s="2">
        <v>46217.416666666664</v>
      </c>
      <c r="D1644" s="8" t="s">
        <v>13929</v>
      </c>
      <c r="E1644" s="8" t="s">
        <v>65</v>
      </c>
      <c r="F1644">
        <v>2</v>
      </c>
      <c r="G1644" s="2">
        <v>46217.75</v>
      </c>
      <c r="H1644" s="2">
        <v>46217.583333333336</v>
      </c>
    </row>
    <row r="1645" spans="1:8" x14ac:dyDescent="0.25">
      <c r="A1645" s="8" t="s">
        <v>5590</v>
      </c>
      <c r="B1645" s="8" t="s">
        <v>14140</v>
      </c>
      <c r="C1645" s="2">
        <v>46217.416666666664</v>
      </c>
      <c r="D1645" s="8" t="s">
        <v>13929</v>
      </c>
      <c r="E1645" s="8" t="s">
        <v>67</v>
      </c>
      <c r="F1645">
        <v>4</v>
      </c>
      <c r="G1645" s="2">
        <v>46217.75</v>
      </c>
      <c r="H1645" s="2">
        <v>46217.583333333336</v>
      </c>
    </row>
    <row r="1646" spans="1:8" x14ac:dyDescent="0.25">
      <c r="A1646" s="8" t="s">
        <v>5593</v>
      </c>
      <c r="B1646" s="8" t="s">
        <v>14140</v>
      </c>
      <c r="C1646" s="2">
        <v>46217.416666666664</v>
      </c>
      <c r="D1646" s="8" t="s">
        <v>13929</v>
      </c>
      <c r="E1646" s="8" t="s">
        <v>75</v>
      </c>
      <c r="F1646">
        <v>1</v>
      </c>
      <c r="G1646" s="2">
        <v>46217.75</v>
      </c>
      <c r="H1646" s="2">
        <v>46217.583333333336</v>
      </c>
    </row>
    <row r="1647" spans="1:8" x14ac:dyDescent="0.25">
      <c r="A1647" s="8" t="s">
        <v>5596</v>
      </c>
      <c r="B1647" s="8" t="s">
        <v>14141</v>
      </c>
      <c r="C1647" s="2">
        <v>46217.416666666664</v>
      </c>
      <c r="D1647" s="8" t="s">
        <v>13931</v>
      </c>
      <c r="E1647" s="8" t="s">
        <v>22</v>
      </c>
      <c r="F1647">
        <v>3</v>
      </c>
      <c r="G1647" s="2">
        <v>46217.75</v>
      </c>
      <c r="H1647" s="2">
        <v>46217.583333333336</v>
      </c>
    </row>
    <row r="1648" spans="1:8" x14ac:dyDescent="0.25">
      <c r="A1648" s="8" t="s">
        <v>5599</v>
      </c>
      <c r="B1648" s="8" t="s">
        <v>14141</v>
      </c>
      <c r="C1648" s="2">
        <v>46217.416666666664</v>
      </c>
      <c r="D1648" s="8" t="s">
        <v>13931</v>
      </c>
      <c r="E1648" s="8" t="s">
        <v>24</v>
      </c>
      <c r="F1648">
        <v>2</v>
      </c>
      <c r="G1648" s="2">
        <v>46217.75</v>
      </c>
      <c r="H1648" s="2">
        <v>46217.583333333336</v>
      </c>
    </row>
    <row r="1649" spans="1:8" x14ac:dyDescent="0.25">
      <c r="A1649" s="8" t="s">
        <v>5602</v>
      </c>
      <c r="B1649" s="8" t="s">
        <v>14141</v>
      </c>
      <c r="C1649" s="2">
        <v>46217.416666666664</v>
      </c>
      <c r="D1649" s="8" t="s">
        <v>13931</v>
      </c>
      <c r="E1649" s="8" t="s">
        <v>26</v>
      </c>
      <c r="F1649">
        <v>1</v>
      </c>
      <c r="G1649" s="2">
        <v>46217.75</v>
      </c>
      <c r="H1649" s="2">
        <v>46217.583333333336</v>
      </c>
    </row>
    <row r="1650" spans="1:8" x14ac:dyDescent="0.25">
      <c r="A1650" s="8" t="s">
        <v>5605</v>
      </c>
      <c r="B1650" s="8" t="s">
        <v>14141</v>
      </c>
      <c r="C1650" s="2">
        <v>46217.416666666664</v>
      </c>
      <c r="D1650" s="8" t="s">
        <v>13931</v>
      </c>
      <c r="E1650" s="8" t="s">
        <v>43</v>
      </c>
      <c r="F1650">
        <v>2</v>
      </c>
      <c r="G1650" s="2">
        <v>46217.75</v>
      </c>
      <c r="H1650" s="2">
        <v>46217.583333333336</v>
      </c>
    </row>
    <row r="1651" spans="1:8" x14ac:dyDescent="0.25">
      <c r="A1651" s="8" t="s">
        <v>5608</v>
      </c>
      <c r="B1651" s="8" t="s">
        <v>14141</v>
      </c>
      <c r="C1651" s="2">
        <v>46217.416666666664</v>
      </c>
      <c r="D1651" s="8" t="s">
        <v>13931</v>
      </c>
      <c r="E1651" s="8" t="s">
        <v>65</v>
      </c>
      <c r="F1651">
        <v>2</v>
      </c>
      <c r="G1651" s="2">
        <v>46217.75</v>
      </c>
      <c r="H1651" s="2">
        <v>46217.583333333336</v>
      </c>
    </row>
    <row r="1652" spans="1:8" x14ac:dyDescent="0.25">
      <c r="A1652" s="8" t="s">
        <v>5611</v>
      </c>
      <c r="B1652" s="8" t="s">
        <v>14141</v>
      </c>
      <c r="C1652" s="2">
        <v>46217.416666666664</v>
      </c>
      <c r="D1652" s="8" t="s">
        <v>13931</v>
      </c>
      <c r="E1652" s="8" t="s">
        <v>67</v>
      </c>
      <c r="F1652">
        <v>5</v>
      </c>
      <c r="G1652" s="2">
        <v>46217.75</v>
      </c>
      <c r="H1652" s="2">
        <v>46217.583333333336</v>
      </c>
    </row>
    <row r="1653" spans="1:8" x14ac:dyDescent="0.25">
      <c r="A1653" s="8" t="s">
        <v>5614</v>
      </c>
      <c r="B1653" s="8" t="s">
        <v>14141</v>
      </c>
      <c r="C1653" s="2">
        <v>46217.416666666664</v>
      </c>
      <c r="D1653" s="8" t="s">
        <v>13931</v>
      </c>
      <c r="E1653" s="8" t="s">
        <v>71</v>
      </c>
      <c r="F1653">
        <v>4</v>
      </c>
      <c r="G1653" s="2">
        <v>46217.75</v>
      </c>
      <c r="H1653" s="2">
        <v>46217.583333333336</v>
      </c>
    </row>
    <row r="1654" spans="1:8" x14ac:dyDescent="0.25">
      <c r="A1654" s="8" t="s">
        <v>5617</v>
      </c>
      <c r="B1654" s="8" t="s">
        <v>14141</v>
      </c>
      <c r="C1654" s="2">
        <v>46217.416666666664</v>
      </c>
      <c r="D1654" s="8" t="s">
        <v>13931</v>
      </c>
      <c r="E1654" s="8" t="s">
        <v>75</v>
      </c>
      <c r="F1654">
        <v>1</v>
      </c>
      <c r="G1654" s="2">
        <v>46217.75</v>
      </c>
      <c r="H1654" s="2">
        <v>46217.583333333336</v>
      </c>
    </row>
    <row r="1655" spans="1:8" x14ac:dyDescent="0.25">
      <c r="A1655" s="8" t="s">
        <v>5620</v>
      </c>
      <c r="B1655" s="8" t="s">
        <v>14142</v>
      </c>
      <c r="C1655" s="2">
        <v>46217.416666666664</v>
      </c>
      <c r="D1655" s="8" t="s">
        <v>13933</v>
      </c>
      <c r="E1655" s="8" t="s">
        <v>18</v>
      </c>
      <c r="F1655">
        <v>6</v>
      </c>
      <c r="G1655" s="2">
        <v>46217.75</v>
      </c>
      <c r="H1655" s="2">
        <v>46217.583333333336</v>
      </c>
    </row>
    <row r="1656" spans="1:8" x14ac:dyDescent="0.25">
      <c r="A1656" s="8" t="s">
        <v>5623</v>
      </c>
      <c r="B1656" s="8" t="s">
        <v>14142</v>
      </c>
      <c r="C1656" s="2">
        <v>46217.416666666664</v>
      </c>
      <c r="D1656" s="8" t="s">
        <v>13933</v>
      </c>
      <c r="E1656" s="8" t="s">
        <v>22</v>
      </c>
      <c r="F1656">
        <v>4</v>
      </c>
      <c r="G1656" s="2">
        <v>46217.75</v>
      </c>
      <c r="H1656" s="2">
        <v>46217.583333333336</v>
      </c>
    </row>
    <row r="1657" spans="1:8" x14ac:dyDescent="0.25">
      <c r="A1657" s="8" t="s">
        <v>5626</v>
      </c>
      <c r="B1657" s="8" t="s">
        <v>14142</v>
      </c>
      <c r="C1657" s="2">
        <v>46217.416666666664</v>
      </c>
      <c r="D1657" s="8" t="s">
        <v>13933</v>
      </c>
      <c r="E1657" s="8" t="s">
        <v>26</v>
      </c>
      <c r="F1657">
        <v>1</v>
      </c>
      <c r="G1657" s="2">
        <v>46217.75</v>
      </c>
      <c r="H1657" s="2">
        <v>46217.583333333336</v>
      </c>
    </row>
    <row r="1658" spans="1:8" x14ac:dyDescent="0.25">
      <c r="A1658" s="8" t="s">
        <v>5629</v>
      </c>
      <c r="B1658" s="8" t="s">
        <v>14142</v>
      </c>
      <c r="C1658" s="2">
        <v>46217.416666666664</v>
      </c>
      <c r="D1658" s="8" t="s">
        <v>13933</v>
      </c>
      <c r="E1658" s="8" t="s">
        <v>28</v>
      </c>
      <c r="F1658">
        <v>4</v>
      </c>
      <c r="G1658" s="2">
        <v>46217.75</v>
      </c>
      <c r="H1658" s="2">
        <v>46217.583333333336</v>
      </c>
    </row>
    <row r="1659" spans="1:8" x14ac:dyDescent="0.25">
      <c r="A1659" s="8" t="s">
        <v>5632</v>
      </c>
      <c r="B1659" s="8" t="s">
        <v>14142</v>
      </c>
      <c r="C1659" s="2">
        <v>46217.416666666664</v>
      </c>
      <c r="D1659" s="8" t="s">
        <v>13933</v>
      </c>
      <c r="E1659" s="8" t="s">
        <v>55</v>
      </c>
      <c r="F1659">
        <v>6</v>
      </c>
      <c r="G1659" s="2">
        <v>46217.75</v>
      </c>
      <c r="H1659" s="2">
        <v>46217.583333333336</v>
      </c>
    </row>
    <row r="1660" spans="1:8" x14ac:dyDescent="0.25">
      <c r="A1660" s="8" t="s">
        <v>5635</v>
      </c>
      <c r="B1660" s="8" t="s">
        <v>14142</v>
      </c>
      <c r="C1660" s="2">
        <v>46217.416666666664</v>
      </c>
      <c r="D1660" s="8" t="s">
        <v>13933</v>
      </c>
      <c r="E1660" s="8" t="s">
        <v>57</v>
      </c>
      <c r="F1660">
        <v>1</v>
      </c>
      <c r="G1660" s="2">
        <v>46217.75</v>
      </c>
      <c r="H1660" s="2">
        <v>46217.583333333336</v>
      </c>
    </row>
    <row r="1661" spans="1:8" x14ac:dyDescent="0.25">
      <c r="A1661" s="8" t="s">
        <v>5638</v>
      </c>
      <c r="B1661" s="8" t="s">
        <v>14142</v>
      </c>
      <c r="C1661" s="2">
        <v>46217.416666666664</v>
      </c>
      <c r="D1661" s="8" t="s">
        <v>13933</v>
      </c>
      <c r="E1661" s="8" t="s">
        <v>59</v>
      </c>
      <c r="F1661">
        <v>6</v>
      </c>
      <c r="G1661" s="2">
        <v>46217.75</v>
      </c>
      <c r="H1661" s="2">
        <v>46217.583333333336</v>
      </c>
    </row>
    <row r="1662" spans="1:8" x14ac:dyDescent="0.25">
      <c r="A1662" s="8" t="s">
        <v>5641</v>
      </c>
      <c r="B1662" s="8" t="s">
        <v>14142</v>
      </c>
      <c r="C1662" s="2">
        <v>46217.416666666664</v>
      </c>
      <c r="D1662" s="8" t="s">
        <v>13933</v>
      </c>
      <c r="E1662" s="8" t="s">
        <v>69</v>
      </c>
      <c r="F1662">
        <v>5</v>
      </c>
      <c r="G1662" s="2">
        <v>46217.75</v>
      </c>
      <c r="H1662" s="2">
        <v>46217.583333333336</v>
      </c>
    </row>
    <row r="1663" spans="1:8" x14ac:dyDescent="0.25">
      <c r="A1663" s="8" t="s">
        <v>5644</v>
      </c>
      <c r="B1663" s="8" t="s">
        <v>14142</v>
      </c>
      <c r="C1663" s="2">
        <v>46217.416666666664</v>
      </c>
      <c r="D1663" s="8" t="s">
        <v>13933</v>
      </c>
      <c r="E1663" s="8" t="s">
        <v>77</v>
      </c>
      <c r="F1663">
        <v>6</v>
      </c>
      <c r="G1663" s="2">
        <v>46217.75</v>
      </c>
      <c r="H1663" s="2">
        <v>46217.583333333336</v>
      </c>
    </row>
    <row r="1664" spans="1:8" x14ac:dyDescent="0.25">
      <c r="A1664" s="8" t="s">
        <v>5647</v>
      </c>
      <c r="B1664" s="8" t="s">
        <v>14143</v>
      </c>
      <c r="C1664" s="2">
        <v>46217.416666666664</v>
      </c>
      <c r="D1664" s="8" t="s">
        <v>13935</v>
      </c>
      <c r="E1664" s="8" t="s">
        <v>11</v>
      </c>
      <c r="F1664">
        <v>6</v>
      </c>
      <c r="G1664" s="2">
        <v>46217.75</v>
      </c>
      <c r="H1664" s="2">
        <v>46217.583333333336</v>
      </c>
    </row>
    <row r="1665" spans="1:8" x14ac:dyDescent="0.25">
      <c r="A1665" s="8" t="s">
        <v>5650</v>
      </c>
      <c r="B1665" s="8" t="s">
        <v>14143</v>
      </c>
      <c r="C1665" s="2">
        <v>46217.416666666664</v>
      </c>
      <c r="D1665" s="8" t="s">
        <v>13935</v>
      </c>
      <c r="E1665" s="8" t="s">
        <v>20</v>
      </c>
      <c r="F1665">
        <v>6</v>
      </c>
      <c r="G1665" s="2">
        <v>46217.75</v>
      </c>
      <c r="H1665" s="2">
        <v>46217.583333333336</v>
      </c>
    </row>
    <row r="1666" spans="1:8" x14ac:dyDescent="0.25">
      <c r="A1666" s="8" t="s">
        <v>5655</v>
      </c>
      <c r="B1666" s="8" t="s">
        <v>14143</v>
      </c>
      <c r="C1666" s="2">
        <v>46217.416666666664</v>
      </c>
      <c r="D1666" s="8" t="s">
        <v>13935</v>
      </c>
      <c r="E1666" s="8" t="s">
        <v>22</v>
      </c>
      <c r="F1666">
        <v>3</v>
      </c>
      <c r="G1666" s="2">
        <v>46217.75</v>
      </c>
      <c r="H1666" s="2">
        <v>46217.583333333336</v>
      </c>
    </row>
    <row r="1667" spans="1:8" x14ac:dyDescent="0.25">
      <c r="A1667" s="8" t="s">
        <v>5658</v>
      </c>
      <c r="B1667" s="8" t="s">
        <v>14143</v>
      </c>
      <c r="C1667" s="2">
        <v>46217.416666666664</v>
      </c>
      <c r="D1667" s="8" t="s">
        <v>13935</v>
      </c>
      <c r="E1667" s="8" t="s">
        <v>26</v>
      </c>
      <c r="F1667">
        <v>3</v>
      </c>
      <c r="G1667" s="2">
        <v>46217.75</v>
      </c>
      <c r="H1667" s="2">
        <v>46217.583333333336</v>
      </c>
    </row>
    <row r="1668" spans="1:8" x14ac:dyDescent="0.25">
      <c r="A1668" s="8" t="s">
        <v>5661</v>
      </c>
      <c r="B1668" s="8" t="s">
        <v>14143</v>
      </c>
      <c r="C1668" s="2">
        <v>46217.416666666664</v>
      </c>
      <c r="D1668" s="8" t="s">
        <v>13935</v>
      </c>
      <c r="E1668" s="8" t="s">
        <v>41</v>
      </c>
      <c r="F1668">
        <v>3</v>
      </c>
      <c r="G1668" s="2">
        <v>46217.75</v>
      </c>
      <c r="H1668" s="2">
        <v>46217.583333333336</v>
      </c>
    </row>
    <row r="1669" spans="1:8" x14ac:dyDescent="0.25">
      <c r="A1669" s="8" t="s">
        <v>5664</v>
      </c>
      <c r="B1669" s="8" t="s">
        <v>14143</v>
      </c>
      <c r="C1669" s="2">
        <v>46217.416666666664</v>
      </c>
      <c r="D1669" s="8" t="s">
        <v>13935</v>
      </c>
      <c r="E1669" s="8" t="s">
        <v>55</v>
      </c>
      <c r="F1669">
        <v>1</v>
      </c>
      <c r="G1669" s="2">
        <v>46217.75</v>
      </c>
      <c r="H1669" s="2">
        <v>46217.583333333336</v>
      </c>
    </row>
    <row r="1670" spans="1:8" x14ac:dyDescent="0.25">
      <c r="A1670" s="8" t="s">
        <v>5667</v>
      </c>
      <c r="B1670" s="8" t="s">
        <v>14143</v>
      </c>
      <c r="C1670" s="2">
        <v>46217.416666666664</v>
      </c>
      <c r="D1670" s="8" t="s">
        <v>13935</v>
      </c>
      <c r="E1670" s="8" t="s">
        <v>59</v>
      </c>
      <c r="F1670">
        <v>6</v>
      </c>
      <c r="G1670" s="2">
        <v>46217.75</v>
      </c>
      <c r="H1670" s="2">
        <v>46217.583333333336</v>
      </c>
    </row>
    <row r="1671" spans="1:8" x14ac:dyDescent="0.25">
      <c r="A1671" s="8" t="s">
        <v>5670</v>
      </c>
      <c r="B1671" s="8" t="s">
        <v>14143</v>
      </c>
      <c r="C1671" s="2">
        <v>46217.416666666664</v>
      </c>
      <c r="D1671" s="8" t="s">
        <v>13935</v>
      </c>
      <c r="E1671" s="8" t="s">
        <v>69</v>
      </c>
      <c r="F1671">
        <v>3</v>
      </c>
      <c r="G1671" s="2">
        <v>46217.75</v>
      </c>
      <c r="H1671" s="2">
        <v>46217.583333333336</v>
      </c>
    </row>
    <row r="1672" spans="1:8" x14ac:dyDescent="0.25">
      <c r="A1672" s="8" t="s">
        <v>5673</v>
      </c>
      <c r="B1672" s="8" t="s">
        <v>14143</v>
      </c>
      <c r="C1672" s="2">
        <v>46217.416666666664</v>
      </c>
      <c r="D1672" s="8" t="s">
        <v>13935</v>
      </c>
      <c r="E1672" s="8" t="s">
        <v>71</v>
      </c>
      <c r="F1672">
        <v>3</v>
      </c>
      <c r="G1672" s="2">
        <v>46217.75</v>
      </c>
      <c r="H1672" s="2">
        <v>46217.583333333336</v>
      </c>
    </row>
    <row r="1673" spans="1:8" x14ac:dyDescent="0.25">
      <c r="A1673" s="8" t="s">
        <v>5676</v>
      </c>
      <c r="B1673" s="8" t="s">
        <v>14144</v>
      </c>
      <c r="C1673" s="2">
        <v>46217.416666666664</v>
      </c>
      <c r="D1673" s="8" t="s">
        <v>13937</v>
      </c>
      <c r="E1673" s="8" t="s">
        <v>18</v>
      </c>
      <c r="F1673">
        <v>1</v>
      </c>
      <c r="G1673" s="2">
        <v>46217.75</v>
      </c>
      <c r="H1673" s="2">
        <v>46217.583333333336</v>
      </c>
    </row>
    <row r="1674" spans="1:8" x14ac:dyDescent="0.25">
      <c r="A1674" s="8" t="s">
        <v>5679</v>
      </c>
      <c r="B1674" s="8" t="s">
        <v>14144</v>
      </c>
      <c r="C1674" s="2">
        <v>46217.416666666664</v>
      </c>
      <c r="D1674" s="8" t="s">
        <v>13937</v>
      </c>
      <c r="E1674" s="8" t="s">
        <v>20</v>
      </c>
      <c r="F1674">
        <v>1</v>
      </c>
      <c r="G1674" s="2">
        <v>46217.75</v>
      </c>
      <c r="H1674" s="2">
        <v>46217.583333333336</v>
      </c>
    </row>
    <row r="1675" spans="1:8" x14ac:dyDescent="0.25">
      <c r="A1675" s="8" t="s">
        <v>5682</v>
      </c>
      <c r="B1675" s="8" t="s">
        <v>14144</v>
      </c>
      <c r="C1675" s="2">
        <v>46217.416666666664</v>
      </c>
      <c r="D1675" s="8" t="s">
        <v>13937</v>
      </c>
      <c r="E1675" s="8" t="s">
        <v>26</v>
      </c>
      <c r="F1675">
        <v>2</v>
      </c>
      <c r="G1675" s="2">
        <v>46217.75</v>
      </c>
      <c r="H1675" s="2">
        <v>46217.583333333336</v>
      </c>
    </row>
    <row r="1676" spans="1:8" x14ac:dyDescent="0.25">
      <c r="A1676" s="8" t="s">
        <v>5685</v>
      </c>
      <c r="B1676" s="8" t="s">
        <v>14144</v>
      </c>
      <c r="C1676" s="2">
        <v>46217.416666666664</v>
      </c>
      <c r="D1676" s="8" t="s">
        <v>13937</v>
      </c>
      <c r="E1676" s="8" t="s">
        <v>30</v>
      </c>
      <c r="F1676">
        <v>4</v>
      </c>
      <c r="G1676" s="2">
        <v>46217.75</v>
      </c>
      <c r="H1676" s="2">
        <v>46217.583333333336</v>
      </c>
    </row>
    <row r="1677" spans="1:8" x14ac:dyDescent="0.25">
      <c r="A1677" s="8" t="s">
        <v>5688</v>
      </c>
      <c r="B1677" s="8" t="s">
        <v>14144</v>
      </c>
      <c r="C1677" s="2">
        <v>46217.416666666664</v>
      </c>
      <c r="D1677" s="8" t="s">
        <v>13937</v>
      </c>
      <c r="E1677" s="8" t="s">
        <v>41</v>
      </c>
      <c r="F1677">
        <v>4</v>
      </c>
      <c r="G1677" s="2">
        <v>46217.75</v>
      </c>
      <c r="H1677" s="2">
        <v>46217.583333333336</v>
      </c>
    </row>
    <row r="1678" spans="1:8" x14ac:dyDescent="0.25">
      <c r="A1678" s="8" t="s">
        <v>5691</v>
      </c>
      <c r="B1678" s="8" t="s">
        <v>14144</v>
      </c>
      <c r="C1678" s="2">
        <v>46217.416666666664</v>
      </c>
      <c r="D1678" s="8" t="s">
        <v>13937</v>
      </c>
      <c r="E1678" s="8" t="s">
        <v>51</v>
      </c>
      <c r="F1678">
        <v>2</v>
      </c>
      <c r="G1678" s="2">
        <v>46217.75</v>
      </c>
      <c r="H1678" s="2">
        <v>46217.583333333336</v>
      </c>
    </row>
    <row r="1679" spans="1:8" x14ac:dyDescent="0.25">
      <c r="A1679" s="8" t="s">
        <v>5694</v>
      </c>
      <c r="B1679" s="8" t="s">
        <v>14144</v>
      </c>
      <c r="C1679" s="2">
        <v>46217.416666666664</v>
      </c>
      <c r="D1679" s="8" t="s">
        <v>13937</v>
      </c>
      <c r="E1679" s="8" t="s">
        <v>67</v>
      </c>
      <c r="F1679">
        <v>4</v>
      </c>
      <c r="G1679" s="2">
        <v>46217.75</v>
      </c>
      <c r="H1679" s="2">
        <v>46217.583333333336</v>
      </c>
    </row>
    <row r="1680" spans="1:8" x14ac:dyDescent="0.25">
      <c r="A1680" s="8" t="s">
        <v>5697</v>
      </c>
      <c r="B1680" s="8" t="s">
        <v>14144</v>
      </c>
      <c r="C1680" s="2">
        <v>46217.416666666664</v>
      </c>
      <c r="D1680" s="8" t="s">
        <v>13937</v>
      </c>
      <c r="E1680" s="8" t="s">
        <v>75</v>
      </c>
      <c r="F1680">
        <v>3</v>
      </c>
      <c r="G1680" s="2">
        <v>46217.75</v>
      </c>
      <c r="H1680" s="2">
        <v>46217.583333333336</v>
      </c>
    </row>
    <row r="1681" spans="1:8" x14ac:dyDescent="0.25">
      <c r="A1681" s="8" t="s">
        <v>5700</v>
      </c>
      <c r="B1681" s="8" t="s">
        <v>14145</v>
      </c>
      <c r="C1681" s="2">
        <v>46218.416666666664</v>
      </c>
      <c r="D1681" s="8" t="s">
        <v>13929</v>
      </c>
      <c r="E1681" s="8" t="s">
        <v>11</v>
      </c>
      <c r="F1681">
        <v>3</v>
      </c>
      <c r="G1681" s="2">
        <v>46218.75</v>
      </c>
      <c r="H1681" s="2">
        <v>46218.583333333336</v>
      </c>
    </row>
    <row r="1682" spans="1:8" x14ac:dyDescent="0.25">
      <c r="A1682" s="8" t="s">
        <v>5703</v>
      </c>
      <c r="B1682" s="8" t="s">
        <v>14145</v>
      </c>
      <c r="C1682" s="2">
        <v>46218.416666666664</v>
      </c>
      <c r="D1682" s="8" t="s">
        <v>13929</v>
      </c>
      <c r="E1682" s="8" t="s">
        <v>18</v>
      </c>
      <c r="F1682">
        <v>3</v>
      </c>
      <c r="G1682" s="2">
        <v>46218.75</v>
      </c>
      <c r="H1682" s="2">
        <v>46218.583333333336</v>
      </c>
    </row>
    <row r="1683" spans="1:8" x14ac:dyDescent="0.25">
      <c r="A1683" s="8" t="s">
        <v>5706</v>
      </c>
      <c r="B1683" s="8" t="s">
        <v>14145</v>
      </c>
      <c r="C1683" s="2">
        <v>46218.416666666664</v>
      </c>
      <c r="D1683" s="8" t="s">
        <v>13929</v>
      </c>
      <c r="E1683" s="8" t="s">
        <v>20</v>
      </c>
      <c r="F1683">
        <v>2</v>
      </c>
      <c r="G1683" s="2">
        <v>46218.75</v>
      </c>
      <c r="H1683" s="2">
        <v>46218.583333333336</v>
      </c>
    </row>
    <row r="1684" spans="1:8" x14ac:dyDescent="0.25">
      <c r="A1684" s="8" t="s">
        <v>5709</v>
      </c>
      <c r="B1684" s="8" t="s">
        <v>14145</v>
      </c>
      <c r="C1684" s="2">
        <v>46218.416666666664</v>
      </c>
      <c r="D1684" s="8" t="s">
        <v>13929</v>
      </c>
      <c r="E1684" s="8" t="s">
        <v>24</v>
      </c>
      <c r="F1684">
        <v>2</v>
      </c>
      <c r="G1684" s="2">
        <v>46218.75</v>
      </c>
      <c r="H1684" s="2">
        <v>46218.583333333336</v>
      </c>
    </row>
    <row r="1685" spans="1:8" x14ac:dyDescent="0.25">
      <c r="A1685" s="8" t="s">
        <v>5712</v>
      </c>
      <c r="B1685" s="8" t="s">
        <v>14145</v>
      </c>
      <c r="C1685" s="2">
        <v>46218.416666666664</v>
      </c>
      <c r="D1685" s="8" t="s">
        <v>13929</v>
      </c>
      <c r="E1685" s="8" t="s">
        <v>26</v>
      </c>
      <c r="F1685">
        <v>4</v>
      </c>
      <c r="G1685" s="2">
        <v>46218.75</v>
      </c>
      <c r="H1685" s="2">
        <v>46218.583333333336</v>
      </c>
    </row>
    <row r="1686" spans="1:8" x14ac:dyDescent="0.25">
      <c r="A1686" s="8" t="s">
        <v>5715</v>
      </c>
      <c r="B1686" s="8" t="s">
        <v>14145</v>
      </c>
      <c r="C1686" s="2">
        <v>46218.416666666664</v>
      </c>
      <c r="D1686" s="8" t="s">
        <v>13929</v>
      </c>
      <c r="E1686" s="8" t="s">
        <v>28</v>
      </c>
      <c r="F1686">
        <v>3</v>
      </c>
      <c r="G1686" s="2">
        <v>46218.75</v>
      </c>
      <c r="H1686" s="2">
        <v>46218.583333333336</v>
      </c>
    </row>
    <row r="1687" spans="1:8" x14ac:dyDescent="0.25">
      <c r="A1687" s="8" t="s">
        <v>5718</v>
      </c>
      <c r="B1687" s="8" t="s">
        <v>14145</v>
      </c>
      <c r="C1687" s="2">
        <v>46218.416666666664</v>
      </c>
      <c r="D1687" s="8" t="s">
        <v>13929</v>
      </c>
      <c r="E1687" s="8" t="s">
        <v>41</v>
      </c>
      <c r="F1687">
        <v>2</v>
      </c>
      <c r="G1687" s="2">
        <v>46218.75</v>
      </c>
      <c r="H1687" s="2">
        <v>46218.583333333336</v>
      </c>
    </row>
    <row r="1688" spans="1:8" x14ac:dyDescent="0.25">
      <c r="A1688" s="8" t="s">
        <v>5721</v>
      </c>
      <c r="B1688" s="8" t="s">
        <v>14145</v>
      </c>
      <c r="C1688" s="2">
        <v>46218.416666666664</v>
      </c>
      <c r="D1688" s="8" t="s">
        <v>13929</v>
      </c>
      <c r="E1688" s="8" t="s">
        <v>43</v>
      </c>
      <c r="F1688">
        <v>2</v>
      </c>
      <c r="G1688" s="2">
        <v>46218.75</v>
      </c>
      <c r="H1688" s="2">
        <v>46218.583333333336</v>
      </c>
    </row>
    <row r="1689" spans="1:8" x14ac:dyDescent="0.25">
      <c r="A1689" s="8" t="s">
        <v>5724</v>
      </c>
      <c r="B1689" s="8" t="s">
        <v>14145</v>
      </c>
      <c r="C1689" s="2">
        <v>46218.416666666664</v>
      </c>
      <c r="D1689" s="8" t="s">
        <v>13929</v>
      </c>
      <c r="E1689" s="8" t="s">
        <v>55</v>
      </c>
      <c r="F1689">
        <v>2</v>
      </c>
      <c r="G1689" s="2">
        <v>46218.75</v>
      </c>
      <c r="H1689" s="2">
        <v>46218.583333333336</v>
      </c>
    </row>
    <row r="1690" spans="1:8" x14ac:dyDescent="0.25">
      <c r="A1690" s="8" t="s">
        <v>5727</v>
      </c>
      <c r="B1690" s="8" t="s">
        <v>14145</v>
      </c>
      <c r="C1690" s="2">
        <v>46218.416666666664</v>
      </c>
      <c r="D1690" s="8" t="s">
        <v>13929</v>
      </c>
      <c r="E1690" s="8" t="s">
        <v>69</v>
      </c>
      <c r="F1690">
        <v>3</v>
      </c>
      <c r="G1690" s="2">
        <v>46218.75</v>
      </c>
      <c r="H1690" s="2">
        <v>46218.583333333336</v>
      </c>
    </row>
    <row r="1691" spans="1:8" x14ac:dyDescent="0.25">
      <c r="A1691" s="8" t="s">
        <v>5730</v>
      </c>
      <c r="B1691" s="8" t="s">
        <v>14145</v>
      </c>
      <c r="C1691" s="2">
        <v>46218.416666666664</v>
      </c>
      <c r="D1691" s="8" t="s">
        <v>13929</v>
      </c>
      <c r="E1691" s="8" t="s">
        <v>73</v>
      </c>
      <c r="F1691">
        <v>2</v>
      </c>
      <c r="G1691" s="2">
        <v>46218.75</v>
      </c>
      <c r="H1691" s="2">
        <v>46218.583333333336</v>
      </c>
    </row>
    <row r="1692" spans="1:8" x14ac:dyDescent="0.25">
      <c r="A1692" s="8" t="s">
        <v>5733</v>
      </c>
      <c r="B1692" s="8" t="s">
        <v>14146</v>
      </c>
      <c r="C1692" s="2">
        <v>46218.416666666664</v>
      </c>
      <c r="D1692" s="8" t="s">
        <v>13931</v>
      </c>
      <c r="E1692" s="8" t="s">
        <v>18</v>
      </c>
      <c r="F1692">
        <v>5</v>
      </c>
      <c r="G1692" s="2">
        <v>46218.75</v>
      </c>
      <c r="H1692" s="2">
        <v>46218.583333333336</v>
      </c>
    </row>
    <row r="1693" spans="1:8" x14ac:dyDescent="0.25">
      <c r="A1693" s="8" t="s">
        <v>5736</v>
      </c>
      <c r="B1693" s="8" t="s">
        <v>14146</v>
      </c>
      <c r="C1693" s="2">
        <v>46218.416666666664</v>
      </c>
      <c r="D1693" s="8" t="s">
        <v>13931</v>
      </c>
      <c r="E1693" s="8" t="s">
        <v>20</v>
      </c>
      <c r="F1693">
        <v>4</v>
      </c>
      <c r="G1693" s="2">
        <v>46218.75</v>
      </c>
      <c r="H1693" s="2">
        <v>46218.583333333336</v>
      </c>
    </row>
    <row r="1694" spans="1:8" x14ac:dyDescent="0.25">
      <c r="A1694" s="8" t="s">
        <v>5739</v>
      </c>
      <c r="B1694" s="8" t="s">
        <v>14146</v>
      </c>
      <c r="C1694" s="2">
        <v>46218.416666666664</v>
      </c>
      <c r="D1694" s="8" t="s">
        <v>13931</v>
      </c>
      <c r="E1694" s="8" t="s">
        <v>24</v>
      </c>
      <c r="F1694">
        <v>3</v>
      </c>
      <c r="G1694" s="2">
        <v>46218.75</v>
      </c>
      <c r="H1694" s="2">
        <v>46218.583333333336</v>
      </c>
    </row>
    <row r="1695" spans="1:8" x14ac:dyDescent="0.25">
      <c r="A1695" s="8" t="s">
        <v>5742</v>
      </c>
      <c r="B1695" s="8" t="s">
        <v>14146</v>
      </c>
      <c r="C1695" s="2">
        <v>46218.416666666664</v>
      </c>
      <c r="D1695" s="8" t="s">
        <v>13931</v>
      </c>
      <c r="E1695" s="8" t="s">
        <v>26</v>
      </c>
      <c r="F1695">
        <v>5</v>
      </c>
      <c r="G1695" s="2">
        <v>46218.75</v>
      </c>
      <c r="H1695" s="2">
        <v>46218.583333333336</v>
      </c>
    </row>
    <row r="1696" spans="1:8" x14ac:dyDescent="0.25">
      <c r="A1696" s="8" t="s">
        <v>5745</v>
      </c>
      <c r="B1696" s="8" t="s">
        <v>14146</v>
      </c>
      <c r="C1696" s="2">
        <v>46218.416666666664</v>
      </c>
      <c r="D1696" s="8" t="s">
        <v>13931</v>
      </c>
      <c r="E1696" s="8" t="s">
        <v>43</v>
      </c>
      <c r="F1696">
        <v>1</v>
      </c>
      <c r="G1696" s="2">
        <v>46218.75</v>
      </c>
      <c r="H1696" s="2">
        <v>46218.583333333336</v>
      </c>
    </row>
    <row r="1697" spans="1:8" x14ac:dyDescent="0.25">
      <c r="A1697" s="8" t="s">
        <v>5748</v>
      </c>
      <c r="B1697" s="8" t="s">
        <v>14146</v>
      </c>
      <c r="C1697" s="2">
        <v>46218.416666666664</v>
      </c>
      <c r="D1697" s="8" t="s">
        <v>13931</v>
      </c>
      <c r="E1697" s="8" t="s">
        <v>49</v>
      </c>
      <c r="F1697">
        <v>1</v>
      </c>
      <c r="G1697" s="2">
        <v>46218.75</v>
      </c>
      <c r="H1697" s="2">
        <v>46218.583333333336</v>
      </c>
    </row>
    <row r="1698" spans="1:8" x14ac:dyDescent="0.25">
      <c r="A1698" s="8" t="s">
        <v>5751</v>
      </c>
      <c r="B1698" s="8" t="s">
        <v>14146</v>
      </c>
      <c r="C1698" s="2">
        <v>46218.416666666664</v>
      </c>
      <c r="D1698" s="8" t="s">
        <v>13931</v>
      </c>
      <c r="E1698" s="8" t="s">
        <v>53</v>
      </c>
      <c r="F1698">
        <v>4</v>
      </c>
      <c r="G1698" s="2">
        <v>46218.75</v>
      </c>
      <c r="H1698" s="2">
        <v>46218.583333333336</v>
      </c>
    </row>
    <row r="1699" spans="1:8" x14ac:dyDescent="0.25">
      <c r="A1699" s="8" t="s">
        <v>5754</v>
      </c>
      <c r="B1699" s="8" t="s">
        <v>14146</v>
      </c>
      <c r="C1699" s="2">
        <v>46218.416666666664</v>
      </c>
      <c r="D1699" s="8" t="s">
        <v>13931</v>
      </c>
      <c r="E1699" s="8" t="s">
        <v>55</v>
      </c>
      <c r="F1699">
        <v>4</v>
      </c>
      <c r="G1699" s="2">
        <v>46218.75</v>
      </c>
      <c r="H1699" s="2">
        <v>46218.583333333336</v>
      </c>
    </row>
    <row r="1700" spans="1:8" x14ac:dyDescent="0.25">
      <c r="A1700" s="8" t="s">
        <v>5757</v>
      </c>
      <c r="B1700" s="8" t="s">
        <v>14146</v>
      </c>
      <c r="C1700" s="2">
        <v>46218.416666666664</v>
      </c>
      <c r="D1700" s="8" t="s">
        <v>13931</v>
      </c>
      <c r="E1700" s="8" t="s">
        <v>59</v>
      </c>
      <c r="F1700">
        <v>2</v>
      </c>
      <c r="G1700" s="2">
        <v>46218.75</v>
      </c>
      <c r="H1700" s="2">
        <v>46218.583333333336</v>
      </c>
    </row>
    <row r="1701" spans="1:8" x14ac:dyDescent="0.25">
      <c r="A1701" s="8" t="s">
        <v>5760</v>
      </c>
      <c r="B1701" s="8" t="s">
        <v>14146</v>
      </c>
      <c r="C1701" s="2">
        <v>46218.416666666664</v>
      </c>
      <c r="D1701" s="8" t="s">
        <v>13931</v>
      </c>
      <c r="E1701" s="8" t="s">
        <v>73</v>
      </c>
      <c r="F1701">
        <v>3</v>
      </c>
      <c r="G1701" s="2">
        <v>46218.75</v>
      </c>
      <c r="H1701" s="2">
        <v>46218.583333333336</v>
      </c>
    </row>
    <row r="1702" spans="1:8" x14ac:dyDescent="0.25">
      <c r="A1702" s="8" t="s">
        <v>5763</v>
      </c>
      <c r="B1702" s="8" t="s">
        <v>14146</v>
      </c>
      <c r="C1702" s="2">
        <v>46218.416666666664</v>
      </c>
      <c r="D1702" s="8" t="s">
        <v>13931</v>
      </c>
      <c r="E1702" s="8" t="s">
        <v>75</v>
      </c>
      <c r="F1702">
        <v>3</v>
      </c>
      <c r="G1702" s="2">
        <v>46218.75</v>
      </c>
      <c r="H1702" s="2">
        <v>46218.583333333336</v>
      </c>
    </row>
    <row r="1703" spans="1:8" x14ac:dyDescent="0.25">
      <c r="A1703" s="8" t="s">
        <v>5766</v>
      </c>
      <c r="B1703" s="8" t="s">
        <v>14147</v>
      </c>
      <c r="C1703" s="2">
        <v>46218.416666666664</v>
      </c>
      <c r="D1703" s="8" t="s">
        <v>13933</v>
      </c>
      <c r="E1703" s="8" t="s">
        <v>11</v>
      </c>
      <c r="F1703">
        <v>2</v>
      </c>
      <c r="G1703" s="2">
        <v>46218.75</v>
      </c>
      <c r="H1703" s="2">
        <v>46218.583333333336</v>
      </c>
    </row>
    <row r="1704" spans="1:8" x14ac:dyDescent="0.25">
      <c r="A1704" s="8" t="s">
        <v>5769</v>
      </c>
      <c r="B1704" s="8" t="s">
        <v>14147</v>
      </c>
      <c r="C1704" s="2">
        <v>46218.416666666664</v>
      </c>
      <c r="D1704" s="8" t="s">
        <v>13933</v>
      </c>
      <c r="E1704" s="8" t="s">
        <v>18</v>
      </c>
      <c r="F1704">
        <v>4</v>
      </c>
      <c r="G1704" s="2">
        <v>46218.75</v>
      </c>
      <c r="H1704" s="2">
        <v>46218.583333333336</v>
      </c>
    </row>
    <row r="1705" spans="1:8" x14ac:dyDescent="0.25">
      <c r="A1705" s="8" t="s">
        <v>5772</v>
      </c>
      <c r="B1705" s="8" t="s">
        <v>14147</v>
      </c>
      <c r="C1705" s="2">
        <v>46218.416666666664</v>
      </c>
      <c r="D1705" s="8" t="s">
        <v>13933</v>
      </c>
      <c r="E1705" s="8" t="s">
        <v>20</v>
      </c>
      <c r="F1705">
        <v>2</v>
      </c>
      <c r="G1705" s="2">
        <v>46218.75</v>
      </c>
      <c r="H1705" s="2">
        <v>46218.583333333336</v>
      </c>
    </row>
    <row r="1706" spans="1:8" x14ac:dyDescent="0.25">
      <c r="A1706" s="8" t="s">
        <v>5775</v>
      </c>
      <c r="B1706" s="8" t="s">
        <v>14147</v>
      </c>
      <c r="C1706" s="2">
        <v>46218.416666666664</v>
      </c>
      <c r="D1706" s="8" t="s">
        <v>13933</v>
      </c>
      <c r="E1706" s="8" t="s">
        <v>24</v>
      </c>
      <c r="F1706">
        <v>4</v>
      </c>
      <c r="G1706" s="2">
        <v>46218.75</v>
      </c>
      <c r="H1706" s="2">
        <v>46218.583333333336</v>
      </c>
    </row>
    <row r="1707" spans="1:8" x14ac:dyDescent="0.25">
      <c r="A1707" s="8" t="s">
        <v>5778</v>
      </c>
      <c r="B1707" s="8" t="s">
        <v>14147</v>
      </c>
      <c r="C1707" s="2">
        <v>46218.416666666664</v>
      </c>
      <c r="D1707" s="8" t="s">
        <v>13933</v>
      </c>
      <c r="E1707" s="8" t="s">
        <v>26</v>
      </c>
      <c r="F1707">
        <v>6</v>
      </c>
      <c r="G1707" s="2">
        <v>46218.75</v>
      </c>
      <c r="H1707" s="2">
        <v>46218.583333333336</v>
      </c>
    </row>
    <row r="1708" spans="1:8" x14ac:dyDescent="0.25">
      <c r="A1708" s="8" t="s">
        <v>5781</v>
      </c>
      <c r="B1708" s="8" t="s">
        <v>14147</v>
      </c>
      <c r="C1708" s="2">
        <v>46218.416666666664</v>
      </c>
      <c r="D1708" s="8" t="s">
        <v>13933</v>
      </c>
      <c r="E1708" s="8" t="s">
        <v>47</v>
      </c>
      <c r="F1708">
        <v>6</v>
      </c>
      <c r="G1708" s="2">
        <v>46218.75</v>
      </c>
      <c r="H1708" s="2">
        <v>46218.583333333336</v>
      </c>
    </row>
    <row r="1709" spans="1:8" x14ac:dyDescent="0.25">
      <c r="A1709" s="8" t="s">
        <v>5784</v>
      </c>
      <c r="B1709" s="8" t="s">
        <v>14147</v>
      </c>
      <c r="C1709" s="2">
        <v>46218.416666666664</v>
      </c>
      <c r="D1709" s="8" t="s">
        <v>13933</v>
      </c>
      <c r="E1709" s="8" t="s">
        <v>55</v>
      </c>
      <c r="F1709">
        <v>4</v>
      </c>
      <c r="G1709" s="2">
        <v>46218.75</v>
      </c>
      <c r="H1709" s="2">
        <v>46218.583333333336</v>
      </c>
    </row>
    <row r="1710" spans="1:8" x14ac:dyDescent="0.25">
      <c r="A1710" s="8" t="s">
        <v>5787</v>
      </c>
      <c r="B1710" s="8" t="s">
        <v>14147</v>
      </c>
      <c r="C1710" s="2">
        <v>46218.416666666664</v>
      </c>
      <c r="D1710" s="8" t="s">
        <v>13933</v>
      </c>
      <c r="E1710" s="8" t="s">
        <v>59</v>
      </c>
      <c r="F1710">
        <v>6</v>
      </c>
      <c r="G1710" s="2">
        <v>46218.75</v>
      </c>
      <c r="H1710" s="2">
        <v>46218.583333333336</v>
      </c>
    </row>
    <row r="1711" spans="1:8" x14ac:dyDescent="0.25">
      <c r="A1711" s="8" t="s">
        <v>5790</v>
      </c>
      <c r="B1711" s="8" t="s">
        <v>14147</v>
      </c>
      <c r="C1711" s="2">
        <v>46218.416666666664</v>
      </c>
      <c r="D1711" s="8" t="s">
        <v>13933</v>
      </c>
      <c r="E1711" s="8" t="s">
        <v>71</v>
      </c>
      <c r="F1711">
        <v>4</v>
      </c>
      <c r="G1711" s="2">
        <v>46218.75</v>
      </c>
      <c r="H1711" s="2">
        <v>46218.583333333336</v>
      </c>
    </row>
    <row r="1712" spans="1:8" x14ac:dyDescent="0.25">
      <c r="A1712" s="8" t="s">
        <v>5793</v>
      </c>
      <c r="B1712" s="8" t="s">
        <v>14148</v>
      </c>
      <c r="C1712" s="2">
        <v>46218.416666666664</v>
      </c>
      <c r="D1712" s="8" t="s">
        <v>13935</v>
      </c>
      <c r="E1712" s="8" t="s">
        <v>11</v>
      </c>
      <c r="F1712">
        <v>4</v>
      </c>
      <c r="G1712" s="2">
        <v>46218.75</v>
      </c>
      <c r="H1712" s="2">
        <v>46218.583333333336</v>
      </c>
    </row>
    <row r="1713" spans="1:8" x14ac:dyDescent="0.25">
      <c r="A1713" s="8" t="s">
        <v>5796</v>
      </c>
      <c r="B1713" s="8" t="s">
        <v>14148</v>
      </c>
      <c r="C1713" s="2">
        <v>46218.416666666664</v>
      </c>
      <c r="D1713" s="8" t="s">
        <v>13935</v>
      </c>
      <c r="E1713" s="8" t="s">
        <v>20</v>
      </c>
      <c r="F1713">
        <v>4</v>
      </c>
      <c r="G1713" s="2">
        <v>46218.75</v>
      </c>
      <c r="H1713" s="2">
        <v>46218.583333333336</v>
      </c>
    </row>
    <row r="1714" spans="1:8" x14ac:dyDescent="0.25">
      <c r="A1714" s="8" t="s">
        <v>5799</v>
      </c>
      <c r="B1714" s="8" t="s">
        <v>14148</v>
      </c>
      <c r="C1714" s="2">
        <v>46218.416666666664</v>
      </c>
      <c r="D1714" s="8" t="s">
        <v>13935</v>
      </c>
      <c r="E1714" s="8" t="s">
        <v>24</v>
      </c>
      <c r="F1714">
        <v>3</v>
      </c>
      <c r="G1714" s="2">
        <v>46218.75</v>
      </c>
      <c r="H1714" s="2">
        <v>46218.583333333336</v>
      </c>
    </row>
    <row r="1715" spans="1:8" x14ac:dyDescent="0.25">
      <c r="A1715" s="8" t="s">
        <v>5802</v>
      </c>
      <c r="B1715" s="8" t="s">
        <v>14148</v>
      </c>
      <c r="C1715" s="2">
        <v>46218.416666666664</v>
      </c>
      <c r="D1715" s="8" t="s">
        <v>13935</v>
      </c>
      <c r="E1715" s="8" t="s">
        <v>26</v>
      </c>
      <c r="F1715">
        <v>3</v>
      </c>
      <c r="G1715" s="2">
        <v>46218.75</v>
      </c>
      <c r="H1715" s="2">
        <v>46218.583333333336</v>
      </c>
    </row>
    <row r="1716" spans="1:8" x14ac:dyDescent="0.25">
      <c r="A1716" s="8" t="s">
        <v>5805</v>
      </c>
      <c r="B1716" s="8" t="s">
        <v>14148</v>
      </c>
      <c r="C1716" s="2">
        <v>46218.416666666664</v>
      </c>
      <c r="D1716" s="8" t="s">
        <v>13935</v>
      </c>
      <c r="E1716" s="8" t="s">
        <v>32</v>
      </c>
      <c r="F1716">
        <v>1</v>
      </c>
      <c r="G1716" s="2">
        <v>46218.75</v>
      </c>
      <c r="H1716" s="2">
        <v>46218.583333333336</v>
      </c>
    </row>
    <row r="1717" spans="1:8" x14ac:dyDescent="0.25">
      <c r="A1717" s="8" t="s">
        <v>5808</v>
      </c>
      <c r="B1717" s="8" t="s">
        <v>14148</v>
      </c>
      <c r="C1717" s="2">
        <v>46218.416666666664</v>
      </c>
      <c r="D1717" s="8" t="s">
        <v>13935</v>
      </c>
      <c r="E1717" s="8" t="s">
        <v>36</v>
      </c>
      <c r="F1717">
        <v>4</v>
      </c>
      <c r="G1717" s="2">
        <v>46218.75</v>
      </c>
      <c r="H1717" s="2">
        <v>46218.583333333336</v>
      </c>
    </row>
    <row r="1718" spans="1:8" x14ac:dyDescent="0.25">
      <c r="A1718" s="8" t="s">
        <v>5811</v>
      </c>
      <c r="B1718" s="8" t="s">
        <v>14148</v>
      </c>
      <c r="C1718" s="2">
        <v>46218.416666666664</v>
      </c>
      <c r="D1718" s="8" t="s">
        <v>13935</v>
      </c>
      <c r="E1718" s="8" t="s">
        <v>43</v>
      </c>
      <c r="F1718">
        <v>1</v>
      </c>
      <c r="G1718" s="2">
        <v>46218.75</v>
      </c>
      <c r="H1718" s="2">
        <v>46218.583333333336</v>
      </c>
    </row>
    <row r="1719" spans="1:8" x14ac:dyDescent="0.25">
      <c r="A1719" s="8" t="s">
        <v>5814</v>
      </c>
      <c r="B1719" s="8" t="s">
        <v>14148</v>
      </c>
      <c r="C1719" s="2">
        <v>46218.416666666664</v>
      </c>
      <c r="D1719" s="8" t="s">
        <v>13935</v>
      </c>
      <c r="E1719" s="8" t="s">
        <v>49</v>
      </c>
      <c r="F1719">
        <v>6</v>
      </c>
      <c r="G1719" s="2">
        <v>46218.75</v>
      </c>
      <c r="H1719" s="2">
        <v>46218.583333333336</v>
      </c>
    </row>
    <row r="1720" spans="1:8" x14ac:dyDescent="0.25">
      <c r="A1720" s="8" t="s">
        <v>5817</v>
      </c>
      <c r="B1720" s="8" t="s">
        <v>14148</v>
      </c>
      <c r="C1720" s="2">
        <v>46218.416666666664</v>
      </c>
      <c r="D1720" s="8" t="s">
        <v>13935</v>
      </c>
      <c r="E1720" s="8" t="s">
        <v>55</v>
      </c>
      <c r="F1720">
        <v>1</v>
      </c>
      <c r="G1720" s="2">
        <v>46218.75</v>
      </c>
      <c r="H1720" s="2">
        <v>46218.583333333336</v>
      </c>
    </row>
    <row r="1721" spans="1:8" x14ac:dyDescent="0.25">
      <c r="A1721" s="8" t="s">
        <v>5820</v>
      </c>
      <c r="B1721" s="8" t="s">
        <v>14148</v>
      </c>
      <c r="C1721" s="2">
        <v>46218.416666666664</v>
      </c>
      <c r="D1721" s="8" t="s">
        <v>13935</v>
      </c>
      <c r="E1721" s="8" t="s">
        <v>59</v>
      </c>
      <c r="F1721">
        <v>1</v>
      </c>
      <c r="G1721" s="2">
        <v>46218.75</v>
      </c>
      <c r="H1721" s="2">
        <v>46218.583333333336</v>
      </c>
    </row>
    <row r="1722" spans="1:8" x14ac:dyDescent="0.25">
      <c r="A1722" s="8" t="s">
        <v>5823</v>
      </c>
      <c r="B1722" s="8" t="s">
        <v>14149</v>
      </c>
      <c r="C1722" s="2">
        <v>46218.416666666664</v>
      </c>
      <c r="D1722" s="8" t="s">
        <v>13937</v>
      </c>
      <c r="E1722" s="8" t="s">
        <v>11</v>
      </c>
      <c r="F1722">
        <v>4</v>
      </c>
      <c r="G1722" s="2">
        <v>46218.75</v>
      </c>
      <c r="H1722" s="2">
        <v>46218.583333333336</v>
      </c>
    </row>
    <row r="1723" spans="1:8" x14ac:dyDescent="0.25">
      <c r="A1723" s="8" t="s">
        <v>5826</v>
      </c>
      <c r="B1723" s="8" t="s">
        <v>14149</v>
      </c>
      <c r="C1723" s="2">
        <v>46218.416666666664</v>
      </c>
      <c r="D1723" s="8" t="s">
        <v>13937</v>
      </c>
      <c r="E1723" s="8" t="s">
        <v>20</v>
      </c>
      <c r="F1723">
        <v>4</v>
      </c>
      <c r="G1723" s="2">
        <v>46218.75</v>
      </c>
      <c r="H1723" s="2">
        <v>46218.583333333336</v>
      </c>
    </row>
    <row r="1724" spans="1:8" x14ac:dyDescent="0.25">
      <c r="A1724" s="8" t="s">
        <v>5829</v>
      </c>
      <c r="B1724" s="8" t="s">
        <v>14149</v>
      </c>
      <c r="C1724" s="2">
        <v>46218.416666666664</v>
      </c>
      <c r="D1724" s="8" t="s">
        <v>13937</v>
      </c>
      <c r="E1724" s="8" t="s">
        <v>24</v>
      </c>
      <c r="F1724">
        <v>3</v>
      </c>
      <c r="G1724" s="2">
        <v>46218.75</v>
      </c>
      <c r="H1724" s="2">
        <v>46218.583333333336</v>
      </c>
    </row>
    <row r="1725" spans="1:8" x14ac:dyDescent="0.25">
      <c r="A1725" s="8" t="s">
        <v>5832</v>
      </c>
      <c r="B1725" s="8" t="s">
        <v>14149</v>
      </c>
      <c r="C1725" s="2">
        <v>46218.416666666664</v>
      </c>
      <c r="D1725" s="8" t="s">
        <v>13937</v>
      </c>
      <c r="E1725" s="8" t="s">
        <v>26</v>
      </c>
      <c r="F1725">
        <v>2</v>
      </c>
      <c r="G1725" s="2">
        <v>46218.75</v>
      </c>
      <c r="H1725" s="2">
        <v>46218.583333333336</v>
      </c>
    </row>
    <row r="1726" spans="1:8" x14ac:dyDescent="0.25">
      <c r="A1726" s="8" t="s">
        <v>5835</v>
      </c>
      <c r="B1726" s="8" t="s">
        <v>14149</v>
      </c>
      <c r="C1726" s="2">
        <v>46218.416666666664</v>
      </c>
      <c r="D1726" s="8" t="s">
        <v>13937</v>
      </c>
      <c r="E1726" s="8" t="s">
        <v>45</v>
      </c>
      <c r="F1726">
        <v>2</v>
      </c>
      <c r="G1726" s="2">
        <v>46218.75</v>
      </c>
      <c r="H1726" s="2">
        <v>46218.583333333336</v>
      </c>
    </row>
    <row r="1727" spans="1:8" x14ac:dyDescent="0.25">
      <c r="A1727" s="8" t="s">
        <v>5838</v>
      </c>
      <c r="B1727" s="8" t="s">
        <v>14149</v>
      </c>
      <c r="C1727" s="2">
        <v>46218.416666666664</v>
      </c>
      <c r="D1727" s="8" t="s">
        <v>13937</v>
      </c>
      <c r="E1727" s="8" t="s">
        <v>49</v>
      </c>
      <c r="F1727">
        <v>4</v>
      </c>
      <c r="G1727" s="2">
        <v>46218.75</v>
      </c>
      <c r="H1727" s="2">
        <v>46218.583333333336</v>
      </c>
    </row>
    <row r="1728" spans="1:8" x14ac:dyDescent="0.25">
      <c r="A1728" s="8" t="s">
        <v>5841</v>
      </c>
      <c r="B1728" s="8" t="s">
        <v>14149</v>
      </c>
      <c r="C1728" s="2">
        <v>46218.416666666664</v>
      </c>
      <c r="D1728" s="8" t="s">
        <v>13937</v>
      </c>
      <c r="E1728" s="8" t="s">
        <v>69</v>
      </c>
      <c r="F1728">
        <v>4</v>
      </c>
      <c r="G1728" s="2">
        <v>46218.75</v>
      </c>
      <c r="H1728" s="2">
        <v>46218.583333333336</v>
      </c>
    </row>
    <row r="1729" spans="1:8" x14ac:dyDescent="0.25">
      <c r="A1729" s="8" t="s">
        <v>5844</v>
      </c>
      <c r="B1729" s="8" t="s">
        <v>14149</v>
      </c>
      <c r="C1729" s="2">
        <v>46218.416666666664</v>
      </c>
      <c r="D1729" s="8" t="s">
        <v>13937</v>
      </c>
      <c r="E1729" s="8" t="s">
        <v>75</v>
      </c>
      <c r="F1729">
        <v>4</v>
      </c>
      <c r="G1729" s="2">
        <v>46218.75</v>
      </c>
      <c r="H1729" s="2">
        <v>46218.583333333336</v>
      </c>
    </row>
    <row r="1730" spans="1:8" x14ac:dyDescent="0.25">
      <c r="A1730" s="8" t="s">
        <v>5847</v>
      </c>
      <c r="B1730" s="8" t="s">
        <v>14149</v>
      </c>
      <c r="C1730" s="2">
        <v>46218.416666666664</v>
      </c>
      <c r="D1730" s="8" t="s">
        <v>13937</v>
      </c>
      <c r="E1730" s="8" t="s">
        <v>77</v>
      </c>
      <c r="F1730">
        <v>1</v>
      </c>
      <c r="G1730" s="2">
        <v>46218.75</v>
      </c>
      <c r="H1730" s="2">
        <v>46218.583333333336</v>
      </c>
    </row>
    <row r="1731" spans="1:8" x14ac:dyDescent="0.25">
      <c r="A1731" s="8" t="s">
        <v>14150</v>
      </c>
      <c r="B1731" s="8" t="s">
        <v>14151</v>
      </c>
      <c r="C1731" s="2">
        <v>46219.416666666664</v>
      </c>
      <c r="D1731" s="8" t="s">
        <v>13929</v>
      </c>
      <c r="E1731" s="8" t="s">
        <v>11</v>
      </c>
      <c r="F1731">
        <v>4</v>
      </c>
      <c r="G1731" s="2">
        <v>46219.75</v>
      </c>
      <c r="H1731" s="2"/>
    </row>
    <row r="1732" spans="1:8" x14ac:dyDescent="0.25">
      <c r="A1732" s="8" t="s">
        <v>5850</v>
      </c>
      <c r="B1732" s="8" t="s">
        <v>14151</v>
      </c>
      <c r="C1732" s="2">
        <v>46219.416666666664</v>
      </c>
      <c r="D1732" s="8" t="s">
        <v>13929</v>
      </c>
      <c r="E1732" s="8" t="s">
        <v>18</v>
      </c>
      <c r="F1732">
        <v>2</v>
      </c>
      <c r="G1732" s="2">
        <v>46219.75</v>
      </c>
      <c r="H1732" s="2">
        <v>46219.583333333336</v>
      </c>
    </row>
    <row r="1733" spans="1:8" x14ac:dyDescent="0.25">
      <c r="A1733" s="8" t="s">
        <v>5853</v>
      </c>
      <c r="B1733" s="8" t="s">
        <v>14151</v>
      </c>
      <c r="C1733" s="2">
        <v>46219.416666666664</v>
      </c>
      <c r="D1733" s="8" t="s">
        <v>13929</v>
      </c>
      <c r="E1733" s="8" t="s">
        <v>22</v>
      </c>
      <c r="F1733">
        <v>4</v>
      </c>
      <c r="G1733" s="2">
        <v>46219.75</v>
      </c>
      <c r="H1733" s="2">
        <v>46219.583333333336</v>
      </c>
    </row>
    <row r="1734" spans="1:8" x14ac:dyDescent="0.25">
      <c r="A1734" s="8" t="s">
        <v>5856</v>
      </c>
      <c r="B1734" s="8" t="s">
        <v>14151</v>
      </c>
      <c r="C1734" s="2">
        <v>46219.416666666664</v>
      </c>
      <c r="D1734" s="8" t="s">
        <v>13929</v>
      </c>
      <c r="E1734" s="8" t="s">
        <v>26</v>
      </c>
      <c r="F1734">
        <v>2</v>
      </c>
      <c r="G1734" s="2">
        <v>46219.75</v>
      </c>
      <c r="H1734" s="2">
        <v>46219.583333333336</v>
      </c>
    </row>
    <row r="1735" spans="1:8" x14ac:dyDescent="0.25">
      <c r="A1735" s="8" t="s">
        <v>5859</v>
      </c>
      <c r="B1735" s="8" t="s">
        <v>14151</v>
      </c>
      <c r="C1735" s="2">
        <v>46219.416666666664</v>
      </c>
      <c r="D1735" s="8" t="s">
        <v>13929</v>
      </c>
      <c r="E1735" s="8" t="s">
        <v>28</v>
      </c>
      <c r="F1735">
        <v>4</v>
      </c>
      <c r="G1735" s="2">
        <v>46219.75</v>
      </c>
      <c r="H1735" s="2">
        <v>46219.583333333336</v>
      </c>
    </row>
    <row r="1736" spans="1:8" x14ac:dyDescent="0.25">
      <c r="A1736" s="8" t="s">
        <v>5862</v>
      </c>
      <c r="B1736" s="8" t="s">
        <v>14151</v>
      </c>
      <c r="C1736" s="2">
        <v>46219.416666666664</v>
      </c>
      <c r="D1736" s="8" t="s">
        <v>13929</v>
      </c>
      <c r="E1736" s="8" t="s">
        <v>30</v>
      </c>
      <c r="F1736">
        <v>3</v>
      </c>
      <c r="G1736" s="2">
        <v>46219.75</v>
      </c>
      <c r="H1736" s="2">
        <v>46219.583333333336</v>
      </c>
    </row>
    <row r="1737" spans="1:8" x14ac:dyDescent="0.25">
      <c r="A1737" s="8" t="s">
        <v>5865</v>
      </c>
      <c r="B1737" s="8" t="s">
        <v>14151</v>
      </c>
      <c r="C1737" s="2">
        <v>46219.416666666664</v>
      </c>
      <c r="D1737" s="8" t="s">
        <v>13929</v>
      </c>
      <c r="E1737" s="8" t="s">
        <v>36</v>
      </c>
      <c r="F1737">
        <v>4</v>
      </c>
      <c r="G1737" s="2">
        <v>46219.75</v>
      </c>
      <c r="H1737" s="2">
        <v>46219.583333333336</v>
      </c>
    </row>
    <row r="1738" spans="1:8" x14ac:dyDescent="0.25">
      <c r="A1738" s="8" t="s">
        <v>5868</v>
      </c>
      <c r="B1738" s="8" t="s">
        <v>14151</v>
      </c>
      <c r="C1738" s="2">
        <v>46219.416666666664</v>
      </c>
      <c r="D1738" s="8" t="s">
        <v>13929</v>
      </c>
      <c r="E1738" s="8" t="s">
        <v>43</v>
      </c>
      <c r="F1738">
        <v>2</v>
      </c>
      <c r="G1738" s="2">
        <v>46219.75</v>
      </c>
      <c r="H1738" s="2">
        <v>46219.583333333336</v>
      </c>
    </row>
    <row r="1739" spans="1:8" x14ac:dyDescent="0.25">
      <c r="A1739" s="8" t="s">
        <v>5871</v>
      </c>
      <c r="B1739" s="8" t="s">
        <v>14151</v>
      </c>
      <c r="C1739" s="2">
        <v>46219.416666666664</v>
      </c>
      <c r="D1739" s="8" t="s">
        <v>13929</v>
      </c>
      <c r="E1739" s="8" t="s">
        <v>45</v>
      </c>
      <c r="F1739">
        <v>2</v>
      </c>
      <c r="G1739" s="2">
        <v>46219.75</v>
      </c>
      <c r="H1739" s="2">
        <v>46219.583333333336</v>
      </c>
    </row>
    <row r="1740" spans="1:8" x14ac:dyDescent="0.25">
      <c r="A1740" s="8" t="s">
        <v>5876</v>
      </c>
      <c r="B1740" s="8" t="s">
        <v>14151</v>
      </c>
      <c r="C1740" s="2">
        <v>46219.416666666664</v>
      </c>
      <c r="D1740" s="8" t="s">
        <v>13929</v>
      </c>
      <c r="E1740" s="8" t="s">
        <v>49</v>
      </c>
      <c r="F1740">
        <v>3</v>
      </c>
      <c r="G1740" s="2">
        <v>46219.75</v>
      </c>
      <c r="H1740" s="2">
        <v>46219.583333333336</v>
      </c>
    </row>
    <row r="1741" spans="1:8" x14ac:dyDescent="0.25">
      <c r="A1741" s="8" t="s">
        <v>5879</v>
      </c>
      <c r="B1741" s="8" t="s">
        <v>14151</v>
      </c>
      <c r="C1741" s="2">
        <v>46219.416666666664</v>
      </c>
      <c r="D1741" s="8" t="s">
        <v>13929</v>
      </c>
      <c r="E1741" s="8" t="s">
        <v>71</v>
      </c>
      <c r="F1741">
        <v>1</v>
      </c>
      <c r="G1741" s="2">
        <v>46219.75</v>
      </c>
      <c r="H1741" s="2">
        <v>46219.583333333336</v>
      </c>
    </row>
    <row r="1742" spans="1:8" x14ac:dyDescent="0.25">
      <c r="A1742" s="8" t="s">
        <v>5882</v>
      </c>
      <c r="B1742" s="8" t="s">
        <v>14151</v>
      </c>
      <c r="C1742" s="2">
        <v>46219.416666666664</v>
      </c>
      <c r="D1742" s="8" t="s">
        <v>13929</v>
      </c>
      <c r="E1742" s="8" t="s">
        <v>77</v>
      </c>
      <c r="F1742">
        <v>1</v>
      </c>
      <c r="G1742" s="2">
        <v>46219.75</v>
      </c>
      <c r="H1742" s="2">
        <v>46219.583333333336</v>
      </c>
    </row>
    <row r="1743" spans="1:8" x14ac:dyDescent="0.25">
      <c r="A1743" s="8" t="s">
        <v>14152</v>
      </c>
      <c r="B1743" s="8" t="s">
        <v>14153</v>
      </c>
      <c r="C1743" s="2">
        <v>46219.416666666664</v>
      </c>
      <c r="D1743" s="8" t="s">
        <v>13931</v>
      </c>
      <c r="E1743" s="8" t="s">
        <v>11</v>
      </c>
      <c r="F1743">
        <v>5</v>
      </c>
      <c r="G1743" s="2">
        <v>46219.75</v>
      </c>
      <c r="H1743" s="2"/>
    </row>
    <row r="1744" spans="1:8" x14ac:dyDescent="0.25">
      <c r="A1744" s="8" t="s">
        <v>5885</v>
      </c>
      <c r="B1744" s="8" t="s">
        <v>14153</v>
      </c>
      <c r="C1744" s="2">
        <v>46219.416666666664</v>
      </c>
      <c r="D1744" s="8" t="s">
        <v>13931</v>
      </c>
      <c r="E1744" s="8" t="s">
        <v>20</v>
      </c>
      <c r="F1744">
        <v>3</v>
      </c>
      <c r="G1744" s="2">
        <v>46219.75</v>
      </c>
      <c r="H1744" s="2">
        <v>46219.583333333336</v>
      </c>
    </row>
    <row r="1745" spans="1:8" x14ac:dyDescent="0.25">
      <c r="A1745" s="8" t="s">
        <v>5888</v>
      </c>
      <c r="B1745" s="8" t="s">
        <v>14153</v>
      </c>
      <c r="C1745" s="2">
        <v>46219.416666666664</v>
      </c>
      <c r="D1745" s="8" t="s">
        <v>13931</v>
      </c>
      <c r="E1745" s="8" t="s">
        <v>26</v>
      </c>
      <c r="F1745">
        <v>5</v>
      </c>
      <c r="G1745" s="2">
        <v>46219.75</v>
      </c>
      <c r="H1745" s="2">
        <v>46219.583333333336</v>
      </c>
    </row>
    <row r="1746" spans="1:8" x14ac:dyDescent="0.25">
      <c r="A1746" s="8" t="s">
        <v>5891</v>
      </c>
      <c r="B1746" s="8" t="s">
        <v>14153</v>
      </c>
      <c r="C1746" s="2">
        <v>46219.416666666664</v>
      </c>
      <c r="D1746" s="8" t="s">
        <v>13931</v>
      </c>
      <c r="E1746" s="8" t="s">
        <v>30</v>
      </c>
      <c r="F1746">
        <v>3</v>
      </c>
      <c r="G1746" s="2">
        <v>46219.75</v>
      </c>
      <c r="H1746" s="2">
        <v>46219.583333333336</v>
      </c>
    </row>
    <row r="1747" spans="1:8" x14ac:dyDescent="0.25">
      <c r="A1747" s="8" t="s">
        <v>5894</v>
      </c>
      <c r="B1747" s="8" t="s">
        <v>14153</v>
      </c>
      <c r="C1747" s="2">
        <v>46219.416666666664</v>
      </c>
      <c r="D1747" s="8" t="s">
        <v>13931</v>
      </c>
      <c r="E1747" s="8" t="s">
        <v>32</v>
      </c>
      <c r="F1747">
        <v>3</v>
      </c>
      <c r="G1747" s="2">
        <v>46219.75</v>
      </c>
      <c r="H1747" s="2">
        <v>46219.583333333336</v>
      </c>
    </row>
    <row r="1748" spans="1:8" x14ac:dyDescent="0.25">
      <c r="A1748" s="8" t="s">
        <v>5897</v>
      </c>
      <c r="B1748" s="8" t="s">
        <v>14153</v>
      </c>
      <c r="C1748" s="2">
        <v>46219.416666666664</v>
      </c>
      <c r="D1748" s="8" t="s">
        <v>13931</v>
      </c>
      <c r="E1748" s="8" t="s">
        <v>49</v>
      </c>
      <c r="F1748">
        <v>2</v>
      </c>
      <c r="G1748" s="2">
        <v>46219.75</v>
      </c>
      <c r="H1748" s="2">
        <v>46219.583333333336</v>
      </c>
    </row>
    <row r="1749" spans="1:8" x14ac:dyDescent="0.25">
      <c r="A1749" s="8" t="s">
        <v>5900</v>
      </c>
      <c r="B1749" s="8" t="s">
        <v>14153</v>
      </c>
      <c r="C1749" s="2">
        <v>46219.416666666664</v>
      </c>
      <c r="D1749" s="8" t="s">
        <v>13931</v>
      </c>
      <c r="E1749" s="8" t="s">
        <v>51</v>
      </c>
      <c r="F1749">
        <v>2</v>
      </c>
      <c r="G1749" s="2">
        <v>46219.75</v>
      </c>
      <c r="H1749" s="2">
        <v>46219.583333333336</v>
      </c>
    </row>
    <row r="1750" spans="1:8" x14ac:dyDescent="0.25">
      <c r="A1750" s="8" t="s">
        <v>5903</v>
      </c>
      <c r="B1750" s="8" t="s">
        <v>14153</v>
      </c>
      <c r="C1750" s="2">
        <v>46219.416666666664</v>
      </c>
      <c r="D1750" s="8" t="s">
        <v>13931</v>
      </c>
      <c r="E1750" s="8" t="s">
        <v>65</v>
      </c>
      <c r="F1750">
        <v>2</v>
      </c>
      <c r="G1750" s="2">
        <v>46219.75</v>
      </c>
      <c r="H1750" s="2">
        <v>46219.583333333336</v>
      </c>
    </row>
    <row r="1751" spans="1:8" x14ac:dyDescent="0.25">
      <c r="A1751" s="8" t="s">
        <v>5906</v>
      </c>
      <c r="B1751" s="8" t="s">
        <v>14153</v>
      </c>
      <c r="C1751" s="2">
        <v>46219.416666666664</v>
      </c>
      <c r="D1751" s="8" t="s">
        <v>13931</v>
      </c>
      <c r="E1751" s="8" t="s">
        <v>67</v>
      </c>
      <c r="F1751">
        <v>5</v>
      </c>
      <c r="G1751" s="2">
        <v>46219.75</v>
      </c>
      <c r="H1751" s="2">
        <v>46219.583333333336</v>
      </c>
    </row>
    <row r="1752" spans="1:8" x14ac:dyDescent="0.25">
      <c r="A1752" s="8" t="s">
        <v>5909</v>
      </c>
      <c r="B1752" s="8" t="s">
        <v>14153</v>
      </c>
      <c r="C1752" s="2">
        <v>46219.416666666664</v>
      </c>
      <c r="D1752" s="8" t="s">
        <v>13931</v>
      </c>
      <c r="E1752" s="8" t="s">
        <v>69</v>
      </c>
      <c r="F1752">
        <v>4</v>
      </c>
      <c r="G1752" s="2">
        <v>46219.75</v>
      </c>
      <c r="H1752" s="2">
        <v>46219.583333333336</v>
      </c>
    </row>
    <row r="1753" spans="1:8" x14ac:dyDescent="0.25">
      <c r="A1753" s="8" t="s">
        <v>5912</v>
      </c>
      <c r="B1753" s="8" t="s">
        <v>14153</v>
      </c>
      <c r="C1753" s="2">
        <v>46219.416666666664</v>
      </c>
      <c r="D1753" s="8" t="s">
        <v>13931</v>
      </c>
      <c r="E1753" s="8" t="s">
        <v>75</v>
      </c>
      <c r="F1753">
        <v>5</v>
      </c>
      <c r="G1753" s="2">
        <v>46219.75</v>
      </c>
      <c r="H1753" s="2">
        <v>46219.583333333336</v>
      </c>
    </row>
    <row r="1754" spans="1:8" x14ac:dyDescent="0.25">
      <c r="A1754" s="8" t="s">
        <v>14154</v>
      </c>
      <c r="B1754" s="8" t="s">
        <v>14155</v>
      </c>
      <c r="C1754" s="2">
        <v>46219.416666666664</v>
      </c>
      <c r="D1754" s="8" t="s">
        <v>13933</v>
      </c>
      <c r="E1754" s="8" t="s">
        <v>11</v>
      </c>
      <c r="F1754">
        <v>6</v>
      </c>
      <c r="G1754" s="2">
        <v>46219.75</v>
      </c>
      <c r="H1754" s="2"/>
    </row>
    <row r="1755" spans="1:8" x14ac:dyDescent="0.25">
      <c r="A1755" s="8" t="s">
        <v>5915</v>
      </c>
      <c r="B1755" s="8" t="s">
        <v>14155</v>
      </c>
      <c r="C1755" s="2">
        <v>46219.416666666664</v>
      </c>
      <c r="D1755" s="8" t="s">
        <v>13933</v>
      </c>
      <c r="E1755" s="8" t="s">
        <v>18</v>
      </c>
      <c r="F1755">
        <v>4</v>
      </c>
      <c r="G1755" s="2">
        <v>46219.75</v>
      </c>
      <c r="H1755" s="2">
        <v>46219.583333333336</v>
      </c>
    </row>
    <row r="1756" spans="1:8" x14ac:dyDescent="0.25">
      <c r="A1756" s="8" t="s">
        <v>5918</v>
      </c>
      <c r="B1756" s="8" t="s">
        <v>14155</v>
      </c>
      <c r="C1756" s="2">
        <v>46219.416666666664</v>
      </c>
      <c r="D1756" s="8" t="s">
        <v>13933</v>
      </c>
      <c r="E1756" s="8" t="s">
        <v>20</v>
      </c>
      <c r="F1756">
        <v>2</v>
      </c>
      <c r="G1756" s="2">
        <v>46219.75</v>
      </c>
      <c r="H1756" s="2">
        <v>46219.583333333336</v>
      </c>
    </row>
    <row r="1757" spans="1:8" x14ac:dyDescent="0.25">
      <c r="A1757" s="8" t="s">
        <v>5921</v>
      </c>
      <c r="B1757" s="8" t="s">
        <v>14155</v>
      </c>
      <c r="C1757" s="2">
        <v>46219.416666666664</v>
      </c>
      <c r="D1757" s="8" t="s">
        <v>13933</v>
      </c>
      <c r="E1757" s="8" t="s">
        <v>22</v>
      </c>
      <c r="F1757">
        <v>1</v>
      </c>
      <c r="G1757" s="2">
        <v>46219.75</v>
      </c>
      <c r="H1757" s="2">
        <v>46219.583333333336</v>
      </c>
    </row>
    <row r="1758" spans="1:8" x14ac:dyDescent="0.25">
      <c r="A1758" s="8" t="s">
        <v>5924</v>
      </c>
      <c r="B1758" s="8" t="s">
        <v>14155</v>
      </c>
      <c r="C1758" s="2">
        <v>46219.416666666664</v>
      </c>
      <c r="D1758" s="8" t="s">
        <v>13933</v>
      </c>
      <c r="E1758" s="8" t="s">
        <v>24</v>
      </c>
      <c r="F1758">
        <v>1</v>
      </c>
      <c r="G1758" s="2">
        <v>46219.75</v>
      </c>
      <c r="H1758" s="2">
        <v>46219.583333333336</v>
      </c>
    </row>
    <row r="1759" spans="1:8" x14ac:dyDescent="0.25">
      <c r="A1759" s="8" t="s">
        <v>5927</v>
      </c>
      <c r="B1759" s="8" t="s">
        <v>14155</v>
      </c>
      <c r="C1759" s="2">
        <v>46219.416666666664</v>
      </c>
      <c r="D1759" s="8" t="s">
        <v>13933</v>
      </c>
      <c r="E1759" s="8" t="s">
        <v>26</v>
      </c>
      <c r="F1759">
        <v>1</v>
      </c>
      <c r="G1759" s="2">
        <v>46219.75</v>
      </c>
      <c r="H1759" s="2">
        <v>46219.583333333336</v>
      </c>
    </row>
    <row r="1760" spans="1:8" x14ac:dyDescent="0.25">
      <c r="A1760" s="8" t="s">
        <v>5930</v>
      </c>
      <c r="B1760" s="8" t="s">
        <v>14155</v>
      </c>
      <c r="C1760" s="2">
        <v>46219.416666666664</v>
      </c>
      <c r="D1760" s="8" t="s">
        <v>13933</v>
      </c>
      <c r="E1760" s="8" t="s">
        <v>32</v>
      </c>
      <c r="F1760">
        <v>5</v>
      </c>
      <c r="G1760" s="2">
        <v>46219.75</v>
      </c>
      <c r="H1760" s="2">
        <v>46219.583333333336</v>
      </c>
    </row>
    <row r="1761" spans="1:8" x14ac:dyDescent="0.25">
      <c r="A1761" s="8" t="s">
        <v>5933</v>
      </c>
      <c r="B1761" s="8" t="s">
        <v>14155</v>
      </c>
      <c r="C1761" s="2">
        <v>46219.416666666664</v>
      </c>
      <c r="D1761" s="8" t="s">
        <v>13933</v>
      </c>
      <c r="E1761" s="8" t="s">
        <v>43</v>
      </c>
      <c r="F1761">
        <v>5</v>
      </c>
      <c r="G1761" s="2">
        <v>46219.75</v>
      </c>
      <c r="H1761" s="2">
        <v>46219.583333333336</v>
      </c>
    </row>
    <row r="1762" spans="1:8" x14ac:dyDescent="0.25">
      <c r="A1762" s="8" t="s">
        <v>5936</v>
      </c>
      <c r="B1762" s="8" t="s">
        <v>14155</v>
      </c>
      <c r="C1762" s="2">
        <v>46219.416666666664</v>
      </c>
      <c r="D1762" s="8" t="s">
        <v>13933</v>
      </c>
      <c r="E1762" s="8" t="s">
        <v>65</v>
      </c>
      <c r="F1762">
        <v>5</v>
      </c>
      <c r="G1762" s="2">
        <v>46219.75</v>
      </c>
      <c r="H1762" s="2">
        <v>46219.583333333336</v>
      </c>
    </row>
    <row r="1763" spans="1:8" x14ac:dyDescent="0.25">
      <c r="A1763" s="8" t="s">
        <v>5939</v>
      </c>
      <c r="B1763" s="8" t="s">
        <v>14155</v>
      </c>
      <c r="C1763" s="2">
        <v>46219.416666666664</v>
      </c>
      <c r="D1763" s="8" t="s">
        <v>13933</v>
      </c>
      <c r="E1763" s="8" t="s">
        <v>75</v>
      </c>
      <c r="F1763">
        <v>2</v>
      </c>
      <c r="G1763" s="2">
        <v>46219.75</v>
      </c>
      <c r="H1763" s="2">
        <v>46219.583333333336</v>
      </c>
    </row>
    <row r="1764" spans="1:8" x14ac:dyDescent="0.25">
      <c r="A1764" s="8" t="s">
        <v>14156</v>
      </c>
      <c r="B1764" s="8" t="s">
        <v>14157</v>
      </c>
      <c r="C1764" s="2">
        <v>46219.416666666664</v>
      </c>
      <c r="D1764" s="8" t="s">
        <v>13935</v>
      </c>
      <c r="E1764" s="8" t="s">
        <v>11</v>
      </c>
      <c r="F1764">
        <v>1</v>
      </c>
      <c r="G1764" s="2">
        <v>46219.75</v>
      </c>
      <c r="H1764" s="2"/>
    </row>
    <row r="1765" spans="1:8" x14ac:dyDescent="0.25">
      <c r="A1765" s="8" t="s">
        <v>5942</v>
      </c>
      <c r="B1765" s="8" t="s">
        <v>14157</v>
      </c>
      <c r="C1765" s="2">
        <v>46219.416666666664</v>
      </c>
      <c r="D1765" s="8" t="s">
        <v>13935</v>
      </c>
      <c r="E1765" s="8" t="s">
        <v>18</v>
      </c>
      <c r="F1765">
        <v>1</v>
      </c>
      <c r="G1765" s="2">
        <v>46219.75</v>
      </c>
      <c r="H1765" s="2">
        <v>46219.583333333336</v>
      </c>
    </row>
    <row r="1766" spans="1:8" x14ac:dyDescent="0.25">
      <c r="A1766" s="8" t="s">
        <v>5945</v>
      </c>
      <c r="B1766" s="8" t="s">
        <v>14157</v>
      </c>
      <c r="C1766" s="2">
        <v>46219.416666666664</v>
      </c>
      <c r="D1766" s="8" t="s">
        <v>13935</v>
      </c>
      <c r="E1766" s="8" t="s">
        <v>26</v>
      </c>
      <c r="F1766">
        <v>4</v>
      </c>
      <c r="G1766" s="2">
        <v>46219.75</v>
      </c>
      <c r="H1766" s="2">
        <v>46219.583333333336</v>
      </c>
    </row>
    <row r="1767" spans="1:8" x14ac:dyDescent="0.25">
      <c r="A1767" s="8" t="s">
        <v>5948</v>
      </c>
      <c r="B1767" s="8" t="s">
        <v>14157</v>
      </c>
      <c r="C1767" s="2">
        <v>46219.416666666664</v>
      </c>
      <c r="D1767" s="8" t="s">
        <v>13935</v>
      </c>
      <c r="E1767" s="8" t="s">
        <v>28</v>
      </c>
      <c r="F1767">
        <v>3</v>
      </c>
      <c r="G1767" s="2">
        <v>46219.75</v>
      </c>
      <c r="H1767" s="2">
        <v>46219.583333333336</v>
      </c>
    </row>
    <row r="1768" spans="1:8" x14ac:dyDescent="0.25">
      <c r="A1768" s="8" t="s">
        <v>5953</v>
      </c>
      <c r="B1768" s="8" t="s">
        <v>14157</v>
      </c>
      <c r="C1768" s="2">
        <v>46219.416666666664</v>
      </c>
      <c r="D1768" s="8" t="s">
        <v>13935</v>
      </c>
      <c r="E1768" s="8" t="s">
        <v>32</v>
      </c>
      <c r="F1768">
        <v>3</v>
      </c>
      <c r="G1768" s="2">
        <v>46219.75</v>
      </c>
      <c r="H1768" s="2">
        <v>46219.583333333336</v>
      </c>
    </row>
    <row r="1769" spans="1:8" x14ac:dyDescent="0.25">
      <c r="A1769" s="8" t="s">
        <v>5956</v>
      </c>
      <c r="B1769" s="8" t="s">
        <v>14157</v>
      </c>
      <c r="C1769" s="2">
        <v>46219.416666666664</v>
      </c>
      <c r="D1769" s="8" t="s">
        <v>13935</v>
      </c>
      <c r="E1769" s="8" t="s">
        <v>41</v>
      </c>
      <c r="F1769">
        <v>6</v>
      </c>
      <c r="G1769" s="2">
        <v>46219.75</v>
      </c>
      <c r="H1769" s="2">
        <v>46219.583333333336</v>
      </c>
    </row>
    <row r="1770" spans="1:8" x14ac:dyDescent="0.25">
      <c r="A1770" s="8" t="s">
        <v>5961</v>
      </c>
      <c r="B1770" s="8" t="s">
        <v>14157</v>
      </c>
      <c r="C1770" s="2">
        <v>46219.416666666664</v>
      </c>
      <c r="D1770" s="8" t="s">
        <v>13935</v>
      </c>
      <c r="E1770" s="8" t="s">
        <v>49</v>
      </c>
      <c r="F1770">
        <v>7</v>
      </c>
      <c r="G1770" s="2">
        <v>46219.75</v>
      </c>
      <c r="H1770" s="2">
        <v>46219.583333333336</v>
      </c>
    </row>
    <row r="1771" spans="1:8" x14ac:dyDescent="0.25">
      <c r="A1771" s="8" t="s">
        <v>5964</v>
      </c>
      <c r="B1771" s="8" t="s">
        <v>14157</v>
      </c>
      <c r="C1771" s="2">
        <v>46219.416666666664</v>
      </c>
      <c r="D1771" s="8" t="s">
        <v>13935</v>
      </c>
      <c r="E1771" s="8" t="s">
        <v>69</v>
      </c>
      <c r="F1771">
        <v>3</v>
      </c>
      <c r="G1771" s="2">
        <v>46219.75</v>
      </c>
      <c r="H1771" s="2">
        <v>46219.583333333336</v>
      </c>
    </row>
    <row r="1772" spans="1:8" x14ac:dyDescent="0.25">
      <c r="A1772" s="8" t="s">
        <v>5967</v>
      </c>
      <c r="B1772" s="8" t="s">
        <v>14157</v>
      </c>
      <c r="C1772" s="2">
        <v>46219.416666666664</v>
      </c>
      <c r="D1772" s="8" t="s">
        <v>13935</v>
      </c>
      <c r="E1772" s="8" t="s">
        <v>75</v>
      </c>
      <c r="F1772">
        <v>6</v>
      </c>
      <c r="G1772" s="2">
        <v>46219.75</v>
      </c>
      <c r="H1772" s="2">
        <v>46219.583333333336</v>
      </c>
    </row>
    <row r="1773" spans="1:8" x14ac:dyDescent="0.25">
      <c r="A1773" s="8" t="s">
        <v>5970</v>
      </c>
      <c r="B1773" s="8" t="s">
        <v>14158</v>
      </c>
      <c r="C1773" s="2">
        <v>46219.416666666664</v>
      </c>
      <c r="D1773" s="8" t="s">
        <v>13937</v>
      </c>
      <c r="E1773" s="8" t="s">
        <v>18</v>
      </c>
      <c r="F1773">
        <v>3</v>
      </c>
      <c r="G1773" s="2">
        <v>46219.75</v>
      </c>
      <c r="H1773" s="2">
        <v>46219.583333333336</v>
      </c>
    </row>
    <row r="1774" spans="1:8" x14ac:dyDescent="0.25">
      <c r="A1774" s="8" t="s">
        <v>5975</v>
      </c>
      <c r="B1774" s="8" t="s">
        <v>14158</v>
      </c>
      <c r="C1774" s="2">
        <v>46219.416666666664</v>
      </c>
      <c r="D1774" s="8" t="s">
        <v>13937</v>
      </c>
      <c r="E1774" s="8" t="s">
        <v>20</v>
      </c>
      <c r="F1774">
        <v>3</v>
      </c>
      <c r="G1774" s="2">
        <v>46219.75</v>
      </c>
      <c r="H1774" s="2">
        <v>46219.583333333336</v>
      </c>
    </row>
    <row r="1775" spans="1:8" x14ac:dyDescent="0.25">
      <c r="A1775" s="8" t="s">
        <v>5978</v>
      </c>
      <c r="B1775" s="8" t="s">
        <v>14158</v>
      </c>
      <c r="C1775" s="2">
        <v>46219.416666666664</v>
      </c>
      <c r="D1775" s="8" t="s">
        <v>13937</v>
      </c>
      <c r="E1775" s="8" t="s">
        <v>26</v>
      </c>
      <c r="F1775">
        <v>4</v>
      </c>
      <c r="G1775" s="2">
        <v>46219.75</v>
      </c>
      <c r="H1775" s="2">
        <v>46219.583333333336</v>
      </c>
    </row>
    <row r="1776" spans="1:8" x14ac:dyDescent="0.25">
      <c r="A1776" s="8" t="s">
        <v>5981</v>
      </c>
      <c r="B1776" s="8" t="s">
        <v>14158</v>
      </c>
      <c r="C1776" s="2">
        <v>46219.416666666664</v>
      </c>
      <c r="D1776" s="8" t="s">
        <v>13937</v>
      </c>
      <c r="E1776" s="8" t="s">
        <v>32</v>
      </c>
      <c r="F1776">
        <v>4</v>
      </c>
      <c r="G1776" s="2">
        <v>46219.75</v>
      </c>
      <c r="H1776" s="2">
        <v>46219.583333333336</v>
      </c>
    </row>
    <row r="1777" spans="1:8" x14ac:dyDescent="0.25">
      <c r="A1777" s="8" t="s">
        <v>5984</v>
      </c>
      <c r="B1777" s="8" t="s">
        <v>14158</v>
      </c>
      <c r="C1777" s="2">
        <v>46219.416666666664</v>
      </c>
      <c r="D1777" s="8" t="s">
        <v>13937</v>
      </c>
      <c r="E1777" s="8" t="s">
        <v>45</v>
      </c>
      <c r="F1777">
        <v>1</v>
      </c>
      <c r="G1777" s="2">
        <v>46219.75</v>
      </c>
      <c r="H1777" s="2">
        <v>46219.583333333336</v>
      </c>
    </row>
    <row r="1778" spans="1:8" x14ac:dyDescent="0.25">
      <c r="A1778" s="8" t="s">
        <v>5987</v>
      </c>
      <c r="B1778" s="8" t="s">
        <v>14158</v>
      </c>
      <c r="C1778" s="2">
        <v>46219.416666666664</v>
      </c>
      <c r="D1778" s="8" t="s">
        <v>13937</v>
      </c>
      <c r="E1778" s="8" t="s">
        <v>65</v>
      </c>
      <c r="F1778">
        <v>2</v>
      </c>
      <c r="G1778" s="2">
        <v>46219.75</v>
      </c>
      <c r="H1778" s="2">
        <v>46219.583333333336</v>
      </c>
    </row>
    <row r="1779" spans="1:8" x14ac:dyDescent="0.25">
      <c r="A1779" s="8" t="s">
        <v>5990</v>
      </c>
      <c r="B1779" s="8" t="s">
        <v>14158</v>
      </c>
      <c r="C1779" s="2">
        <v>46219.416666666664</v>
      </c>
      <c r="D1779" s="8" t="s">
        <v>13937</v>
      </c>
      <c r="E1779" s="8" t="s">
        <v>69</v>
      </c>
      <c r="F1779">
        <v>3</v>
      </c>
      <c r="G1779" s="2">
        <v>46219.75</v>
      </c>
      <c r="H1779" s="2">
        <v>46219.583333333336</v>
      </c>
    </row>
    <row r="1780" spans="1:8" x14ac:dyDescent="0.25">
      <c r="A1780" s="8" t="s">
        <v>5993</v>
      </c>
      <c r="B1780" s="8" t="s">
        <v>14158</v>
      </c>
      <c r="C1780" s="2">
        <v>46219.416666666664</v>
      </c>
      <c r="D1780" s="8" t="s">
        <v>13937</v>
      </c>
      <c r="E1780" s="8" t="s">
        <v>73</v>
      </c>
      <c r="F1780">
        <v>4</v>
      </c>
      <c r="G1780" s="2">
        <v>46219.75</v>
      </c>
      <c r="H1780" s="2">
        <v>46219.583333333336</v>
      </c>
    </row>
    <row r="1781" spans="1:8" x14ac:dyDescent="0.25">
      <c r="A1781" s="8" t="s">
        <v>14159</v>
      </c>
      <c r="B1781" s="8" t="s">
        <v>14160</v>
      </c>
      <c r="C1781" s="2">
        <v>46220.416666666664</v>
      </c>
      <c r="D1781" s="8" t="s">
        <v>13929</v>
      </c>
      <c r="E1781" s="8" t="s">
        <v>11</v>
      </c>
      <c r="F1781">
        <v>1</v>
      </c>
      <c r="G1781" s="2">
        <v>46220.75</v>
      </c>
      <c r="H1781" s="2"/>
    </row>
    <row r="1782" spans="1:8" x14ac:dyDescent="0.25">
      <c r="A1782" s="8" t="s">
        <v>5996</v>
      </c>
      <c r="B1782" s="8" t="s">
        <v>14160</v>
      </c>
      <c r="C1782" s="2">
        <v>46220.416666666664</v>
      </c>
      <c r="D1782" s="8" t="s">
        <v>13929</v>
      </c>
      <c r="E1782" s="8" t="s">
        <v>18</v>
      </c>
      <c r="F1782">
        <v>2</v>
      </c>
      <c r="G1782" s="2">
        <v>46220.75</v>
      </c>
      <c r="H1782" s="2">
        <v>46220.583333333336</v>
      </c>
    </row>
    <row r="1783" spans="1:8" x14ac:dyDescent="0.25">
      <c r="A1783" s="8" t="s">
        <v>5999</v>
      </c>
      <c r="B1783" s="8" t="s">
        <v>14160</v>
      </c>
      <c r="C1783" s="2">
        <v>46220.416666666664</v>
      </c>
      <c r="D1783" s="8" t="s">
        <v>13929</v>
      </c>
      <c r="E1783" s="8" t="s">
        <v>20</v>
      </c>
      <c r="F1783">
        <v>3</v>
      </c>
      <c r="G1783" s="2">
        <v>46220.75</v>
      </c>
      <c r="H1783" s="2">
        <v>46220.583333333336</v>
      </c>
    </row>
    <row r="1784" spans="1:8" x14ac:dyDescent="0.25">
      <c r="A1784" s="8" t="s">
        <v>6002</v>
      </c>
      <c r="B1784" s="8" t="s">
        <v>14160</v>
      </c>
      <c r="C1784" s="2">
        <v>46220.416666666664</v>
      </c>
      <c r="D1784" s="8" t="s">
        <v>13929</v>
      </c>
      <c r="E1784" s="8" t="s">
        <v>22</v>
      </c>
      <c r="F1784">
        <v>2</v>
      </c>
      <c r="G1784" s="2">
        <v>46220.75</v>
      </c>
      <c r="H1784" s="2">
        <v>46220.583333333336</v>
      </c>
    </row>
    <row r="1785" spans="1:8" x14ac:dyDescent="0.25">
      <c r="A1785" s="8" t="s">
        <v>6005</v>
      </c>
      <c r="B1785" s="8" t="s">
        <v>14160</v>
      </c>
      <c r="C1785" s="2">
        <v>46220.416666666664</v>
      </c>
      <c r="D1785" s="8" t="s">
        <v>13929</v>
      </c>
      <c r="E1785" s="8" t="s">
        <v>24</v>
      </c>
      <c r="F1785">
        <v>1</v>
      </c>
      <c r="G1785" s="2">
        <v>46220.75</v>
      </c>
      <c r="H1785" s="2">
        <v>46220.583333333336</v>
      </c>
    </row>
    <row r="1786" spans="1:8" x14ac:dyDescent="0.25">
      <c r="A1786" s="8" t="s">
        <v>6008</v>
      </c>
      <c r="B1786" s="8" t="s">
        <v>14160</v>
      </c>
      <c r="C1786" s="2">
        <v>46220.416666666664</v>
      </c>
      <c r="D1786" s="8" t="s">
        <v>13929</v>
      </c>
      <c r="E1786" s="8" t="s">
        <v>26</v>
      </c>
      <c r="F1786">
        <v>2</v>
      </c>
      <c r="G1786" s="2">
        <v>46220.75</v>
      </c>
      <c r="H1786" s="2">
        <v>46220.583333333336</v>
      </c>
    </row>
    <row r="1787" spans="1:8" x14ac:dyDescent="0.25">
      <c r="A1787" s="8" t="s">
        <v>6011</v>
      </c>
      <c r="B1787" s="8" t="s">
        <v>14160</v>
      </c>
      <c r="C1787" s="2">
        <v>46220.416666666664</v>
      </c>
      <c r="D1787" s="8" t="s">
        <v>13929</v>
      </c>
      <c r="E1787" s="8" t="s">
        <v>28</v>
      </c>
      <c r="F1787">
        <v>2</v>
      </c>
      <c r="G1787" s="2">
        <v>46220.75</v>
      </c>
      <c r="H1787" s="2">
        <v>46220.583333333336</v>
      </c>
    </row>
    <row r="1788" spans="1:8" x14ac:dyDescent="0.25">
      <c r="A1788" s="8" t="s">
        <v>6014</v>
      </c>
      <c r="B1788" s="8" t="s">
        <v>14160</v>
      </c>
      <c r="C1788" s="2">
        <v>46220.416666666664</v>
      </c>
      <c r="D1788" s="8" t="s">
        <v>13929</v>
      </c>
      <c r="E1788" s="8" t="s">
        <v>41</v>
      </c>
      <c r="F1788">
        <v>4</v>
      </c>
      <c r="G1788" s="2">
        <v>46220.75</v>
      </c>
      <c r="H1788" s="2">
        <v>46220.583333333336</v>
      </c>
    </row>
    <row r="1789" spans="1:8" x14ac:dyDescent="0.25">
      <c r="A1789" s="8" t="s">
        <v>6017</v>
      </c>
      <c r="B1789" s="8" t="s">
        <v>14160</v>
      </c>
      <c r="C1789" s="2">
        <v>46220.416666666664</v>
      </c>
      <c r="D1789" s="8" t="s">
        <v>13929</v>
      </c>
      <c r="E1789" s="8" t="s">
        <v>43</v>
      </c>
      <c r="F1789">
        <v>2</v>
      </c>
      <c r="G1789" s="2">
        <v>46220.75</v>
      </c>
      <c r="H1789" s="2">
        <v>46220.583333333336</v>
      </c>
    </row>
    <row r="1790" spans="1:8" x14ac:dyDescent="0.25">
      <c r="A1790" s="8" t="s">
        <v>6020</v>
      </c>
      <c r="B1790" s="8" t="s">
        <v>14160</v>
      </c>
      <c r="C1790" s="2">
        <v>46220.416666666664</v>
      </c>
      <c r="D1790" s="8" t="s">
        <v>13929</v>
      </c>
      <c r="E1790" s="8" t="s">
        <v>53</v>
      </c>
      <c r="F1790">
        <v>2</v>
      </c>
      <c r="G1790" s="2">
        <v>46220.75</v>
      </c>
      <c r="H1790" s="2">
        <v>46220.583333333336</v>
      </c>
    </row>
    <row r="1791" spans="1:8" x14ac:dyDescent="0.25">
      <c r="A1791" s="8" t="s">
        <v>6023</v>
      </c>
      <c r="B1791" s="8" t="s">
        <v>14160</v>
      </c>
      <c r="C1791" s="2">
        <v>46220.416666666664</v>
      </c>
      <c r="D1791" s="8" t="s">
        <v>13929</v>
      </c>
      <c r="E1791" s="8" t="s">
        <v>55</v>
      </c>
      <c r="F1791">
        <v>1</v>
      </c>
      <c r="G1791" s="2">
        <v>46220.75</v>
      </c>
      <c r="H1791" s="2">
        <v>46220.583333333336</v>
      </c>
    </row>
    <row r="1792" spans="1:8" x14ac:dyDescent="0.25">
      <c r="A1792" s="8" t="s">
        <v>6026</v>
      </c>
      <c r="B1792" s="8" t="s">
        <v>14160</v>
      </c>
      <c r="C1792" s="2">
        <v>46220.416666666664</v>
      </c>
      <c r="D1792" s="8" t="s">
        <v>13929</v>
      </c>
      <c r="E1792" s="8" t="s">
        <v>59</v>
      </c>
      <c r="F1792">
        <v>4</v>
      </c>
      <c r="G1792" s="2">
        <v>46220.75</v>
      </c>
      <c r="H1792" s="2">
        <v>46220.583333333336</v>
      </c>
    </row>
    <row r="1793" spans="1:8" x14ac:dyDescent="0.25">
      <c r="A1793" s="8" t="s">
        <v>6029</v>
      </c>
      <c r="B1793" s="8" t="s">
        <v>14160</v>
      </c>
      <c r="C1793" s="2">
        <v>46220.416666666664</v>
      </c>
      <c r="D1793" s="8" t="s">
        <v>13929</v>
      </c>
      <c r="E1793" s="8" t="s">
        <v>77</v>
      </c>
      <c r="F1793">
        <v>2</v>
      </c>
      <c r="G1793" s="2">
        <v>46220.75</v>
      </c>
      <c r="H1793" s="2">
        <v>46220.583333333336</v>
      </c>
    </row>
    <row r="1794" spans="1:8" x14ac:dyDescent="0.25">
      <c r="A1794" s="8" t="s">
        <v>14161</v>
      </c>
      <c r="B1794" s="8" t="s">
        <v>14162</v>
      </c>
      <c r="C1794" s="2">
        <v>46220.416666666664</v>
      </c>
      <c r="D1794" s="8" t="s">
        <v>13931</v>
      </c>
      <c r="E1794" s="8" t="s">
        <v>11</v>
      </c>
      <c r="F1794">
        <v>3</v>
      </c>
      <c r="G1794" s="2">
        <v>46220.75</v>
      </c>
      <c r="H1794" s="2"/>
    </row>
    <row r="1795" spans="1:8" x14ac:dyDescent="0.25">
      <c r="A1795" s="8" t="s">
        <v>6032</v>
      </c>
      <c r="B1795" s="8" t="s">
        <v>14162</v>
      </c>
      <c r="C1795" s="2">
        <v>46220.416666666664</v>
      </c>
      <c r="D1795" s="8" t="s">
        <v>13931</v>
      </c>
      <c r="E1795" s="8" t="s">
        <v>18</v>
      </c>
      <c r="F1795">
        <v>5</v>
      </c>
      <c r="G1795" s="2">
        <v>46220.75</v>
      </c>
      <c r="H1795" s="2">
        <v>46220.583333333336</v>
      </c>
    </row>
    <row r="1796" spans="1:8" x14ac:dyDescent="0.25">
      <c r="A1796" s="8" t="s">
        <v>6035</v>
      </c>
      <c r="B1796" s="8" t="s">
        <v>14162</v>
      </c>
      <c r="C1796" s="2">
        <v>46220.416666666664</v>
      </c>
      <c r="D1796" s="8" t="s">
        <v>13931</v>
      </c>
      <c r="E1796" s="8" t="s">
        <v>20</v>
      </c>
      <c r="F1796">
        <v>3</v>
      </c>
      <c r="G1796" s="2">
        <v>46220.75</v>
      </c>
      <c r="H1796" s="2">
        <v>46220.583333333336</v>
      </c>
    </row>
    <row r="1797" spans="1:8" x14ac:dyDescent="0.25">
      <c r="A1797" s="8" t="s">
        <v>6038</v>
      </c>
      <c r="B1797" s="8" t="s">
        <v>14162</v>
      </c>
      <c r="C1797" s="2">
        <v>46220.416666666664</v>
      </c>
      <c r="D1797" s="8" t="s">
        <v>13931</v>
      </c>
      <c r="E1797" s="8" t="s">
        <v>22</v>
      </c>
      <c r="F1797">
        <v>5</v>
      </c>
      <c r="G1797" s="2">
        <v>46220.75</v>
      </c>
      <c r="H1797" s="2">
        <v>46220.583333333336</v>
      </c>
    </row>
    <row r="1798" spans="1:8" x14ac:dyDescent="0.25">
      <c r="A1798" s="8" t="s">
        <v>6043</v>
      </c>
      <c r="B1798" s="8" t="s">
        <v>14162</v>
      </c>
      <c r="C1798" s="2">
        <v>46220.416666666664</v>
      </c>
      <c r="D1798" s="8" t="s">
        <v>13931</v>
      </c>
      <c r="E1798" s="8" t="s">
        <v>24</v>
      </c>
      <c r="F1798">
        <v>4</v>
      </c>
      <c r="G1798" s="2">
        <v>46220.75</v>
      </c>
      <c r="H1798" s="2">
        <v>46220.583333333336</v>
      </c>
    </row>
    <row r="1799" spans="1:8" x14ac:dyDescent="0.25">
      <c r="A1799" s="8" t="s">
        <v>6046</v>
      </c>
      <c r="B1799" s="8" t="s">
        <v>14162</v>
      </c>
      <c r="C1799" s="2">
        <v>46220.416666666664</v>
      </c>
      <c r="D1799" s="8" t="s">
        <v>13931</v>
      </c>
      <c r="E1799" s="8" t="s">
        <v>26</v>
      </c>
      <c r="F1799">
        <v>1</v>
      </c>
      <c r="G1799" s="2">
        <v>46220.75</v>
      </c>
      <c r="H1799" s="2">
        <v>46220.583333333336</v>
      </c>
    </row>
    <row r="1800" spans="1:8" x14ac:dyDescent="0.25">
      <c r="A1800" s="8" t="s">
        <v>6049</v>
      </c>
      <c r="B1800" s="8" t="s">
        <v>14162</v>
      </c>
      <c r="C1800" s="2">
        <v>46220.416666666664</v>
      </c>
      <c r="D1800" s="8" t="s">
        <v>13931</v>
      </c>
      <c r="E1800" s="8" t="s">
        <v>43</v>
      </c>
      <c r="F1800">
        <v>1</v>
      </c>
      <c r="G1800" s="2">
        <v>46220.75</v>
      </c>
      <c r="H1800" s="2">
        <v>46220.583333333336</v>
      </c>
    </row>
    <row r="1801" spans="1:8" x14ac:dyDescent="0.25">
      <c r="A1801" s="8" t="s">
        <v>6052</v>
      </c>
      <c r="B1801" s="8" t="s">
        <v>14162</v>
      </c>
      <c r="C1801" s="2">
        <v>46220.416666666664</v>
      </c>
      <c r="D1801" s="8" t="s">
        <v>13931</v>
      </c>
      <c r="E1801" s="8" t="s">
        <v>49</v>
      </c>
      <c r="F1801">
        <v>2</v>
      </c>
      <c r="G1801" s="2">
        <v>46220.75</v>
      </c>
      <c r="H1801" s="2">
        <v>46220.583333333336</v>
      </c>
    </row>
    <row r="1802" spans="1:8" x14ac:dyDescent="0.25">
      <c r="A1802" s="8" t="s">
        <v>6055</v>
      </c>
      <c r="B1802" s="8" t="s">
        <v>14162</v>
      </c>
      <c r="C1802" s="2">
        <v>46220.416666666664</v>
      </c>
      <c r="D1802" s="8" t="s">
        <v>13931</v>
      </c>
      <c r="E1802" s="8" t="s">
        <v>55</v>
      </c>
      <c r="F1802">
        <v>1</v>
      </c>
      <c r="G1802" s="2">
        <v>46220.75</v>
      </c>
      <c r="H1802" s="2">
        <v>46220.583333333336</v>
      </c>
    </row>
    <row r="1803" spans="1:8" x14ac:dyDescent="0.25">
      <c r="A1803" s="8" t="s">
        <v>6058</v>
      </c>
      <c r="B1803" s="8" t="s">
        <v>14163</v>
      </c>
      <c r="C1803" s="2">
        <v>46220.416666666664</v>
      </c>
      <c r="D1803" s="8" t="s">
        <v>13933</v>
      </c>
      <c r="E1803" s="8" t="s">
        <v>18</v>
      </c>
      <c r="F1803">
        <v>6</v>
      </c>
      <c r="G1803" s="2">
        <v>46220.75</v>
      </c>
      <c r="H1803" s="2">
        <v>46220.583333333336</v>
      </c>
    </row>
    <row r="1804" spans="1:8" x14ac:dyDescent="0.25">
      <c r="A1804" s="8" t="s">
        <v>6061</v>
      </c>
      <c r="B1804" s="8" t="s">
        <v>14163</v>
      </c>
      <c r="C1804" s="2">
        <v>46220.416666666664</v>
      </c>
      <c r="D1804" s="8" t="s">
        <v>13933</v>
      </c>
      <c r="E1804" s="8" t="s">
        <v>20</v>
      </c>
      <c r="F1804">
        <v>4</v>
      </c>
      <c r="G1804" s="2">
        <v>46220.75</v>
      </c>
      <c r="H1804" s="2">
        <v>46220.583333333336</v>
      </c>
    </row>
    <row r="1805" spans="1:8" x14ac:dyDescent="0.25">
      <c r="A1805" s="8" t="s">
        <v>6064</v>
      </c>
      <c r="B1805" s="8" t="s">
        <v>14163</v>
      </c>
      <c r="C1805" s="2">
        <v>46220.416666666664</v>
      </c>
      <c r="D1805" s="8" t="s">
        <v>13933</v>
      </c>
      <c r="E1805" s="8" t="s">
        <v>22</v>
      </c>
      <c r="F1805">
        <v>1</v>
      </c>
      <c r="G1805" s="2">
        <v>46220.75</v>
      </c>
      <c r="H1805" s="2">
        <v>46220.583333333336</v>
      </c>
    </row>
    <row r="1806" spans="1:8" x14ac:dyDescent="0.25">
      <c r="A1806" s="8" t="s">
        <v>6067</v>
      </c>
      <c r="B1806" s="8" t="s">
        <v>14163</v>
      </c>
      <c r="C1806" s="2">
        <v>46220.416666666664</v>
      </c>
      <c r="D1806" s="8" t="s">
        <v>13933</v>
      </c>
      <c r="E1806" s="8" t="s">
        <v>24</v>
      </c>
      <c r="F1806">
        <v>1</v>
      </c>
      <c r="G1806" s="2">
        <v>46220.75</v>
      </c>
      <c r="H1806" s="2">
        <v>46220.583333333336</v>
      </c>
    </row>
    <row r="1807" spans="1:8" x14ac:dyDescent="0.25">
      <c r="A1807" s="8" t="s">
        <v>6070</v>
      </c>
      <c r="B1807" s="8" t="s">
        <v>14163</v>
      </c>
      <c r="C1807" s="2">
        <v>46220.416666666664</v>
      </c>
      <c r="D1807" s="8" t="s">
        <v>13933</v>
      </c>
      <c r="E1807" s="8" t="s">
        <v>36</v>
      </c>
      <c r="F1807">
        <v>2</v>
      </c>
      <c r="G1807" s="2">
        <v>46220.75</v>
      </c>
      <c r="H1807" s="2">
        <v>46220.583333333336</v>
      </c>
    </row>
    <row r="1808" spans="1:8" x14ac:dyDescent="0.25">
      <c r="A1808" s="8" t="s">
        <v>6073</v>
      </c>
      <c r="B1808" s="8" t="s">
        <v>14163</v>
      </c>
      <c r="C1808" s="2">
        <v>46220.416666666664</v>
      </c>
      <c r="D1808" s="8" t="s">
        <v>13933</v>
      </c>
      <c r="E1808" s="8" t="s">
        <v>51</v>
      </c>
      <c r="F1808">
        <v>6</v>
      </c>
      <c r="G1808" s="2">
        <v>46220.75</v>
      </c>
      <c r="H1808" s="2">
        <v>46220.583333333336</v>
      </c>
    </row>
    <row r="1809" spans="1:8" x14ac:dyDescent="0.25">
      <c r="A1809" s="8" t="s">
        <v>6076</v>
      </c>
      <c r="B1809" s="8" t="s">
        <v>14163</v>
      </c>
      <c r="C1809" s="2">
        <v>46220.416666666664</v>
      </c>
      <c r="D1809" s="8" t="s">
        <v>13933</v>
      </c>
      <c r="E1809" s="8" t="s">
        <v>55</v>
      </c>
      <c r="F1809">
        <v>2</v>
      </c>
      <c r="G1809" s="2">
        <v>46220.75</v>
      </c>
      <c r="H1809" s="2">
        <v>46220.583333333336</v>
      </c>
    </row>
    <row r="1810" spans="1:8" x14ac:dyDescent="0.25">
      <c r="A1810" s="8" t="s">
        <v>6079</v>
      </c>
      <c r="B1810" s="8" t="s">
        <v>14163</v>
      </c>
      <c r="C1810" s="2">
        <v>46220.416666666664</v>
      </c>
      <c r="D1810" s="8" t="s">
        <v>13933</v>
      </c>
      <c r="E1810" s="8" t="s">
        <v>57</v>
      </c>
      <c r="F1810">
        <v>6</v>
      </c>
      <c r="G1810" s="2">
        <v>46220.75</v>
      </c>
      <c r="H1810" s="2">
        <v>46220.583333333336</v>
      </c>
    </row>
    <row r="1811" spans="1:8" x14ac:dyDescent="0.25">
      <c r="A1811" s="8" t="s">
        <v>6082</v>
      </c>
      <c r="B1811" s="8" t="s">
        <v>14163</v>
      </c>
      <c r="C1811" s="2">
        <v>46220.416666666664</v>
      </c>
      <c r="D1811" s="8" t="s">
        <v>13933</v>
      </c>
      <c r="E1811" s="8" t="s">
        <v>65</v>
      </c>
      <c r="F1811">
        <v>1</v>
      </c>
      <c r="G1811" s="2">
        <v>46220.75</v>
      </c>
      <c r="H1811" s="2">
        <v>46220.583333333336</v>
      </c>
    </row>
    <row r="1812" spans="1:8" x14ac:dyDescent="0.25">
      <c r="A1812" s="8" t="s">
        <v>6085</v>
      </c>
      <c r="B1812" s="8" t="s">
        <v>14163</v>
      </c>
      <c r="C1812" s="2">
        <v>46220.416666666664</v>
      </c>
      <c r="D1812" s="8" t="s">
        <v>13933</v>
      </c>
      <c r="E1812" s="8" t="s">
        <v>71</v>
      </c>
      <c r="F1812">
        <v>2</v>
      </c>
      <c r="G1812" s="2">
        <v>46220.75</v>
      </c>
      <c r="H1812" s="2">
        <v>46220.583333333336</v>
      </c>
    </row>
    <row r="1813" spans="1:8" x14ac:dyDescent="0.25">
      <c r="A1813" s="8" t="s">
        <v>6088</v>
      </c>
      <c r="B1813" s="8" t="s">
        <v>14163</v>
      </c>
      <c r="C1813" s="2">
        <v>46220.416666666664</v>
      </c>
      <c r="D1813" s="8" t="s">
        <v>13933</v>
      </c>
      <c r="E1813" s="8" t="s">
        <v>73</v>
      </c>
      <c r="F1813">
        <v>2</v>
      </c>
      <c r="G1813" s="2">
        <v>46220.75</v>
      </c>
      <c r="H1813" s="2">
        <v>46220.583333333336</v>
      </c>
    </row>
    <row r="1814" spans="1:8" x14ac:dyDescent="0.25">
      <c r="A1814" s="8" t="s">
        <v>14164</v>
      </c>
      <c r="B1814" s="8" t="s">
        <v>14165</v>
      </c>
      <c r="C1814" s="2">
        <v>46220.416666666664</v>
      </c>
      <c r="D1814" s="8" t="s">
        <v>13935</v>
      </c>
      <c r="E1814" s="8" t="s">
        <v>11</v>
      </c>
      <c r="F1814">
        <v>6</v>
      </c>
      <c r="G1814" s="2">
        <v>46220.75</v>
      </c>
      <c r="H1814" s="2"/>
    </row>
    <row r="1815" spans="1:8" x14ac:dyDescent="0.25">
      <c r="A1815" s="8" t="s">
        <v>6091</v>
      </c>
      <c r="B1815" s="8" t="s">
        <v>14165</v>
      </c>
      <c r="C1815" s="2">
        <v>46220.416666666664</v>
      </c>
      <c r="D1815" s="8" t="s">
        <v>13935</v>
      </c>
      <c r="E1815" s="8" t="s">
        <v>18</v>
      </c>
      <c r="F1815">
        <v>6</v>
      </c>
      <c r="G1815" s="2">
        <v>46220.75</v>
      </c>
      <c r="H1815" s="2">
        <v>46220.583333333336</v>
      </c>
    </row>
    <row r="1816" spans="1:8" x14ac:dyDescent="0.25">
      <c r="A1816" s="8" t="s">
        <v>6094</v>
      </c>
      <c r="B1816" s="8" t="s">
        <v>14165</v>
      </c>
      <c r="C1816" s="2">
        <v>46220.416666666664</v>
      </c>
      <c r="D1816" s="8" t="s">
        <v>13935</v>
      </c>
      <c r="E1816" s="8" t="s">
        <v>20</v>
      </c>
      <c r="F1816">
        <v>7</v>
      </c>
      <c r="G1816" s="2">
        <v>46220.75</v>
      </c>
      <c r="H1816" s="2">
        <v>46220.583333333336</v>
      </c>
    </row>
    <row r="1817" spans="1:8" x14ac:dyDescent="0.25">
      <c r="A1817" s="8" t="s">
        <v>6097</v>
      </c>
      <c r="B1817" s="8" t="s">
        <v>14165</v>
      </c>
      <c r="C1817" s="2">
        <v>46220.416666666664</v>
      </c>
      <c r="D1817" s="8" t="s">
        <v>13935</v>
      </c>
      <c r="E1817" s="8" t="s">
        <v>24</v>
      </c>
      <c r="F1817">
        <v>1</v>
      </c>
      <c r="G1817" s="2">
        <v>46220.75</v>
      </c>
      <c r="H1817" s="2">
        <v>46220.583333333336</v>
      </c>
    </row>
    <row r="1818" spans="1:8" x14ac:dyDescent="0.25">
      <c r="A1818" s="8" t="s">
        <v>6100</v>
      </c>
      <c r="B1818" s="8" t="s">
        <v>14165</v>
      </c>
      <c r="C1818" s="2">
        <v>46220.416666666664</v>
      </c>
      <c r="D1818" s="8" t="s">
        <v>13935</v>
      </c>
      <c r="E1818" s="8" t="s">
        <v>26</v>
      </c>
      <c r="F1818">
        <v>1</v>
      </c>
      <c r="G1818" s="2">
        <v>46220.75</v>
      </c>
      <c r="H1818" s="2">
        <v>46220.583333333336</v>
      </c>
    </row>
    <row r="1819" spans="1:8" x14ac:dyDescent="0.25">
      <c r="A1819" s="8" t="s">
        <v>6103</v>
      </c>
      <c r="B1819" s="8" t="s">
        <v>14165</v>
      </c>
      <c r="C1819" s="2">
        <v>46220.416666666664</v>
      </c>
      <c r="D1819" s="8" t="s">
        <v>13935</v>
      </c>
      <c r="E1819" s="8" t="s">
        <v>32</v>
      </c>
      <c r="F1819">
        <v>3</v>
      </c>
      <c r="G1819" s="2">
        <v>46220.75</v>
      </c>
      <c r="H1819" s="2">
        <v>46220.583333333336</v>
      </c>
    </row>
    <row r="1820" spans="1:8" x14ac:dyDescent="0.25">
      <c r="A1820" s="8" t="s">
        <v>6106</v>
      </c>
      <c r="B1820" s="8" t="s">
        <v>14165</v>
      </c>
      <c r="C1820" s="2">
        <v>46220.416666666664</v>
      </c>
      <c r="D1820" s="8" t="s">
        <v>13935</v>
      </c>
      <c r="E1820" s="8" t="s">
        <v>45</v>
      </c>
      <c r="F1820">
        <v>1</v>
      </c>
      <c r="G1820" s="2">
        <v>46220.75</v>
      </c>
      <c r="H1820" s="2">
        <v>46220.583333333336</v>
      </c>
    </row>
    <row r="1821" spans="1:8" x14ac:dyDescent="0.25">
      <c r="A1821" s="8" t="s">
        <v>6109</v>
      </c>
      <c r="B1821" s="8" t="s">
        <v>14165</v>
      </c>
      <c r="C1821" s="2">
        <v>46220.416666666664</v>
      </c>
      <c r="D1821" s="8" t="s">
        <v>13935</v>
      </c>
      <c r="E1821" s="8" t="s">
        <v>47</v>
      </c>
      <c r="F1821">
        <v>4</v>
      </c>
      <c r="G1821" s="2">
        <v>46220.75</v>
      </c>
      <c r="H1821" s="2">
        <v>46220.583333333336</v>
      </c>
    </row>
    <row r="1822" spans="1:8" x14ac:dyDescent="0.25">
      <c r="A1822" s="8" t="s">
        <v>6114</v>
      </c>
      <c r="B1822" s="8" t="s">
        <v>14165</v>
      </c>
      <c r="C1822" s="2">
        <v>46220.416666666664</v>
      </c>
      <c r="D1822" s="8" t="s">
        <v>13935</v>
      </c>
      <c r="E1822" s="8" t="s">
        <v>55</v>
      </c>
      <c r="F1822">
        <v>1</v>
      </c>
      <c r="G1822" s="2">
        <v>46220.75</v>
      </c>
      <c r="H1822" s="2">
        <v>46220.583333333336</v>
      </c>
    </row>
    <row r="1823" spans="1:8" x14ac:dyDescent="0.25">
      <c r="A1823" s="8" t="s">
        <v>6117</v>
      </c>
      <c r="B1823" s="8" t="s">
        <v>14165</v>
      </c>
      <c r="C1823" s="2">
        <v>46220.416666666664</v>
      </c>
      <c r="D1823" s="8" t="s">
        <v>13935</v>
      </c>
      <c r="E1823" s="8" t="s">
        <v>67</v>
      </c>
      <c r="F1823">
        <v>3</v>
      </c>
      <c r="G1823" s="2">
        <v>46220.75</v>
      </c>
      <c r="H1823" s="2">
        <v>46220.583333333336</v>
      </c>
    </row>
    <row r="1824" spans="1:8" x14ac:dyDescent="0.25">
      <c r="A1824" s="8" t="s">
        <v>6120</v>
      </c>
      <c r="B1824" s="8" t="s">
        <v>14165</v>
      </c>
      <c r="C1824" s="2">
        <v>46220.416666666664</v>
      </c>
      <c r="D1824" s="8" t="s">
        <v>13935</v>
      </c>
      <c r="E1824" s="8" t="s">
        <v>71</v>
      </c>
      <c r="F1824">
        <v>1</v>
      </c>
      <c r="G1824" s="2">
        <v>46220.75</v>
      </c>
      <c r="H1824" s="2">
        <v>46220.583333333336</v>
      </c>
    </row>
    <row r="1825" spans="1:8" x14ac:dyDescent="0.25">
      <c r="A1825" s="8" t="s">
        <v>6123</v>
      </c>
      <c r="B1825" s="8" t="s">
        <v>14165</v>
      </c>
      <c r="C1825" s="2">
        <v>46220.416666666664</v>
      </c>
      <c r="D1825" s="8" t="s">
        <v>13935</v>
      </c>
      <c r="E1825" s="8" t="s">
        <v>77</v>
      </c>
      <c r="F1825">
        <v>7</v>
      </c>
      <c r="G1825" s="2">
        <v>46220.75</v>
      </c>
      <c r="H1825" s="2">
        <v>46220.583333333336</v>
      </c>
    </row>
    <row r="1826" spans="1:8" x14ac:dyDescent="0.25">
      <c r="A1826" s="8" t="s">
        <v>6126</v>
      </c>
      <c r="B1826" s="8" t="s">
        <v>14166</v>
      </c>
      <c r="C1826" s="2">
        <v>46220.416666666664</v>
      </c>
      <c r="D1826" s="8" t="s">
        <v>13937</v>
      </c>
      <c r="E1826" s="8" t="s">
        <v>18</v>
      </c>
      <c r="F1826">
        <v>1</v>
      </c>
      <c r="G1826" s="2">
        <v>46220.75</v>
      </c>
      <c r="H1826" s="2">
        <v>46220.583333333336</v>
      </c>
    </row>
    <row r="1827" spans="1:8" x14ac:dyDescent="0.25">
      <c r="A1827" s="8" t="s">
        <v>6129</v>
      </c>
      <c r="B1827" s="8" t="s">
        <v>14166</v>
      </c>
      <c r="C1827" s="2">
        <v>46220.416666666664</v>
      </c>
      <c r="D1827" s="8" t="s">
        <v>13937</v>
      </c>
      <c r="E1827" s="8" t="s">
        <v>20</v>
      </c>
      <c r="F1827">
        <v>4</v>
      </c>
      <c r="G1827" s="2">
        <v>46220.75</v>
      </c>
      <c r="H1827" s="2">
        <v>46220.583333333336</v>
      </c>
    </row>
    <row r="1828" spans="1:8" x14ac:dyDescent="0.25">
      <c r="A1828" s="8" t="s">
        <v>6132</v>
      </c>
      <c r="B1828" s="8" t="s">
        <v>14166</v>
      </c>
      <c r="C1828" s="2">
        <v>46220.416666666664</v>
      </c>
      <c r="D1828" s="8" t="s">
        <v>13937</v>
      </c>
      <c r="E1828" s="8" t="s">
        <v>22</v>
      </c>
      <c r="F1828">
        <v>4</v>
      </c>
      <c r="G1828" s="2">
        <v>46220.75</v>
      </c>
      <c r="H1828" s="2">
        <v>46220.583333333336</v>
      </c>
    </row>
    <row r="1829" spans="1:8" x14ac:dyDescent="0.25">
      <c r="A1829" s="8" t="s">
        <v>6135</v>
      </c>
      <c r="B1829" s="8" t="s">
        <v>14166</v>
      </c>
      <c r="C1829" s="2">
        <v>46220.416666666664</v>
      </c>
      <c r="D1829" s="8" t="s">
        <v>13937</v>
      </c>
      <c r="E1829" s="8" t="s">
        <v>24</v>
      </c>
      <c r="F1829">
        <v>2</v>
      </c>
      <c r="G1829" s="2">
        <v>46220.75</v>
      </c>
      <c r="H1829" s="2">
        <v>46220.583333333336</v>
      </c>
    </row>
    <row r="1830" spans="1:8" x14ac:dyDescent="0.25">
      <c r="A1830" s="8" t="s">
        <v>6138</v>
      </c>
      <c r="B1830" s="8" t="s">
        <v>14166</v>
      </c>
      <c r="C1830" s="2">
        <v>46220.416666666664</v>
      </c>
      <c r="D1830" s="8" t="s">
        <v>13937</v>
      </c>
      <c r="E1830" s="8" t="s">
        <v>26</v>
      </c>
      <c r="F1830">
        <v>1</v>
      </c>
      <c r="G1830" s="2">
        <v>46220.75</v>
      </c>
      <c r="H1830" s="2">
        <v>46220.583333333336</v>
      </c>
    </row>
    <row r="1831" spans="1:8" x14ac:dyDescent="0.25">
      <c r="A1831" s="8" t="s">
        <v>6141</v>
      </c>
      <c r="B1831" s="8" t="s">
        <v>14166</v>
      </c>
      <c r="C1831" s="2">
        <v>46220.416666666664</v>
      </c>
      <c r="D1831" s="8" t="s">
        <v>13937</v>
      </c>
      <c r="E1831" s="8" t="s">
        <v>30</v>
      </c>
      <c r="F1831">
        <v>2</v>
      </c>
      <c r="G1831" s="2">
        <v>46220.75</v>
      </c>
      <c r="H1831" s="2">
        <v>46220.583333333336</v>
      </c>
    </row>
    <row r="1832" spans="1:8" x14ac:dyDescent="0.25">
      <c r="A1832" s="8" t="s">
        <v>6144</v>
      </c>
      <c r="B1832" s="8" t="s">
        <v>14166</v>
      </c>
      <c r="C1832" s="2">
        <v>46220.416666666664</v>
      </c>
      <c r="D1832" s="8" t="s">
        <v>13937</v>
      </c>
      <c r="E1832" s="8" t="s">
        <v>47</v>
      </c>
      <c r="F1832">
        <v>4</v>
      </c>
      <c r="G1832" s="2">
        <v>46220.75</v>
      </c>
      <c r="H1832" s="2">
        <v>46220.583333333336</v>
      </c>
    </row>
    <row r="1833" spans="1:8" x14ac:dyDescent="0.25">
      <c r="A1833" s="8" t="s">
        <v>6147</v>
      </c>
      <c r="B1833" s="8" t="s">
        <v>14166</v>
      </c>
      <c r="C1833" s="2">
        <v>46220.416666666664</v>
      </c>
      <c r="D1833" s="8" t="s">
        <v>13937</v>
      </c>
      <c r="E1833" s="8" t="s">
        <v>49</v>
      </c>
      <c r="F1833">
        <v>1</v>
      </c>
      <c r="G1833" s="2">
        <v>46220.75</v>
      </c>
      <c r="H1833" s="2">
        <v>46220.583333333336</v>
      </c>
    </row>
    <row r="1834" spans="1:8" x14ac:dyDescent="0.25">
      <c r="A1834" s="8" t="s">
        <v>6150</v>
      </c>
      <c r="B1834" s="8" t="s">
        <v>14166</v>
      </c>
      <c r="C1834" s="2">
        <v>46220.416666666664</v>
      </c>
      <c r="D1834" s="8" t="s">
        <v>13937</v>
      </c>
      <c r="E1834" s="8" t="s">
        <v>57</v>
      </c>
      <c r="F1834">
        <v>3</v>
      </c>
      <c r="G1834" s="2">
        <v>46220.75</v>
      </c>
      <c r="H1834" s="2">
        <v>46220.583333333336</v>
      </c>
    </row>
    <row r="1835" spans="1:8" x14ac:dyDescent="0.25">
      <c r="A1835" s="8" t="s">
        <v>14167</v>
      </c>
      <c r="B1835" s="8" t="s">
        <v>14168</v>
      </c>
      <c r="C1835" s="2">
        <v>46221.416666666664</v>
      </c>
      <c r="D1835" s="8" t="s">
        <v>13929</v>
      </c>
      <c r="E1835" s="8" t="s">
        <v>11</v>
      </c>
      <c r="F1835">
        <v>4</v>
      </c>
      <c r="G1835" s="2">
        <v>46221.75</v>
      </c>
      <c r="H1835" s="2"/>
    </row>
    <row r="1836" spans="1:8" x14ac:dyDescent="0.25">
      <c r="A1836" s="8" t="s">
        <v>6153</v>
      </c>
      <c r="B1836" s="8" t="s">
        <v>14168</v>
      </c>
      <c r="C1836" s="2">
        <v>46221.416666666664</v>
      </c>
      <c r="D1836" s="8" t="s">
        <v>13929</v>
      </c>
      <c r="E1836" s="8" t="s">
        <v>18</v>
      </c>
      <c r="F1836">
        <v>5</v>
      </c>
      <c r="G1836" s="2">
        <v>46221.75</v>
      </c>
      <c r="H1836" s="2">
        <v>46221.583333333336</v>
      </c>
    </row>
    <row r="1837" spans="1:8" x14ac:dyDescent="0.25">
      <c r="A1837" s="8" t="s">
        <v>6156</v>
      </c>
      <c r="B1837" s="8" t="s">
        <v>14168</v>
      </c>
      <c r="C1837" s="2">
        <v>46221.416666666664</v>
      </c>
      <c r="D1837" s="8" t="s">
        <v>13929</v>
      </c>
      <c r="E1837" s="8" t="s">
        <v>26</v>
      </c>
      <c r="F1837">
        <v>1</v>
      </c>
      <c r="G1837" s="2">
        <v>46221.75</v>
      </c>
      <c r="H1837" s="2">
        <v>46221.583333333336</v>
      </c>
    </row>
    <row r="1838" spans="1:8" x14ac:dyDescent="0.25">
      <c r="A1838" s="8" t="s">
        <v>6159</v>
      </c>
      <c r="B1838" s="8" t="s">
        <v>14168</v>
      </c>
      <c r="C1838" s="2">
        <v>46221.416666666664</v>
      </c>
      <c r="D1838" s="8" t="s">
        <v>13929</v>
      </c>
      <c r="E1838" s="8" t="s">
        <v>36</v>
      </c>
      <c r="F1838">
        <v>5</v>
      </c>
      <c r="G1838" s="2">
        <v>46221.75</v>
      </c>
      <c r="H1838" s="2">
        <v>46221.583333333336</v>
      </c>
    </row>
    <row r="1839" spans="1:8" x14ac:dyDescent="0.25">
      <c r="A1839" s="8" t="s">
        <v>6162</v>
      </c>
      <c r="B1839" s="8" t="s">
        <v>14168</v>
      </c>
      <c r="C1839" s="2">
        <v>46221.416666666664</v>
      </c>
      <c r="D1839" s="8" t="s">
        <v>13929</v>
      </c>
      <c r="E1839" s="8" t="s">
        <v>43</v>
      </c>
      <c r="F1839">
        <v>2</v>
      </c>
      <c r="G1839" s="2">
        <v>46221.75</v>
      </c>
      <c r="H1839" s="2">
        <v>46221.583333333336</v>
      </c>
    </row>
    <row r="1840" spans="1:8" x14ac:dyDescent="0.25">
      <c r="A1840" s="8" t="s">
        <v>6165</v>
      </c>
      <c r="B1840" s="8" t="s">
        <v>14168</v>
      </c>
      <c r="C1840" s="2">
        <v>46221.416666666664</v>
      </c>
      <c r="D1840" s="8" t="s">
        <v>13929</v>
      </c>
      <c r="E1840" s="8" t="s">
        <v>49</v>
      </c>
      <c r="F1840">
        <v>5</v>
      </c>
      <c r="G1840" s="2">
        <v>46221.75</v>
      </c>
      <c r="H1840" s="2">
        <v>46221.583333333336</v>
      </c>
    </row>
    <row r="1841" spans="1:8" x14ac:dyDescent="0.25">
      <c r="A1841" s="8" t="s">
        <v>6170</v>
      </c>
      <c r="B1841" s="8" t="s">
        <v>14168</v>
      </c>
      <c r="C1841" s="2">
        <v>46221.416666666664</v>
      </c>
      <c r="D1841" s="8" t="s">
        <v>13929</v>
      </c>
      <c r="E1841" s="8" t="s">
        <v>53</v>
      </c>
      <c r="F1841">
        <v>3</v>
      </c>
      <c r="G1841" s="2">
        <v>46221.75</v>
      </c>
      <c r="H1841" s="2">
        <v>46221.583333333336</v>
      </c>
    </row>
    <row r="1842" spans="1:8" x14ac:dyDescent="0.25">
      <c r="A1842" s="8" t="s">
        <v>6173</v>
      </c>
      <c r="B1842" s="8" t="s">
        <v>14168</v>
      </c>
      <c r="C1842" s="2">
        <v>46221.416666666664</v>
      </c>
      <c r="D1842" s="8" t="s">
        <v>13929</v>
      </c>
      <c r="E1842" s="8" t="s">
        <v>57</v>
      </c>
      <c r="F1842">
        <v>2</v>
      </c>
      <c r="G1842" s="2">
        <v>46221.75</v>
      </c>
      <c r="H1842" s="2">
        <v>46221.583333333336</v>
      </c>
    </row>
    <row r="1843" spans="1:8" x14ac:dyDescent="0.25">
      <c r="A1843" s="8" t="s">
        <v>6176</v>
      </c>
      <c r="B1843" s="8" t="s">
        <v>14168</v>
      </c>
      <c r="C1843" s="2">
        <v>46221.416666666664</v>
      </c>
      <c r="D1843" s="8" t="s">
        <v>13929</v>
      </c>
      <c r="E1843" s="8" t="s">
        <v>73</v>
      </c>
      <c r="F1843">
        <v>4</v>
      </c>
      <c r="G1843" s="2">
        <v>46221.75</v>
      </c>
      <c r="H1843" s="2">
        <v>46221.583333333336</v>
      </c>
    </row>
    <row r="1844" spans="1:8" x14ac:dyDescent="0.25">
      <c r="A1844" s="8" t="s">
        <v>14169</v>
      </c>
      <c r="B1844" s="8" t="s">
        <v>14170</v>
      </c>
      <c r="C1844" s="2">
        <v>46221.416666666664</v>
      </c>
      <c r="D1844" s="8" t="s">
        <v>13931</v>
      </c>
      <c r="E1844" s="8" t="s">
        <v>11</v>
      </c>
      <c r="F1844">
        <v>3</v>
      </c>
      <c r="G1844" s="2">
        <v>46221.75</v>
      </c>
      <c r="H1844" s="2"/>
    </row>
    <row r="1845" spans="1:8" x14ac:dyDescent="0.25">
      <c r="A1845" s="8" t="s">
        <v>6179</v>
      </c>
      <c r="B1845" s="8" t="s">
        <v>14170</v>
      </c>
      <c r="C1845" s="2">
        <v>46221.416666666664</v>
      </c>
      <c r="D1845" s="8" t="s">
        <v>13931</v>
      </c>
      <c r="E1845" s="8" t="s">
        <v>18</v>
      </c>
      <c r="F1845">
        <v>3</v>
      </c>
      <c r="G1845" s="2">
        <v>46221.75</v>
      </c>
      <c r="H1845" s="2">
        <v>46221.583333333336</v>
      </c>
    </row>
    <row r="1846" spans="1:8" x14ac:dyDescent="0.25">
      <c r="A1846" s="8" t="s">
        <v>6182</v>
      </c>
      <c r="B1846" s="8" t="s">
        <v>14170</v>
      </c>
      <c r="C1846" s="2">
        <v>46221.416666666664</v>
      </c>
      <c r="D1846" s="8" t="s">
        <v>13931</v>
      </c>
      <c r="E1846" s="8" t="s">
        <v>22</v>
      </c>
      <c r="F1846">
        <v>1</v>
      </c>
      <c r="G1846" s="2">
        <v>46221.75</v>
      </c>
      <c r="H1846" s="2">
        <v>46221.583333333336</v>
      </c>
    </row>
    <row r="1847" spans="1:8" x14ac:dyDescent="0.25">
      <c r="A1847" s="8" t="s">
        <v>6185</v>
      </c>
      <c r="B1847" s="8" t="s">
        <v>14170</v>
      </c>
      <c r="C1847" s="2">
        <v>46221.416666666664</v>
      </c>
      <c r="D1847" s="8" t="s">
        <v>13931</v>
      </c>
      <c r="E1847" s="8" t="s">
        <v>26</v>
      </c>
      <c r="F1847">
        <v>6</v>
      </c>
      <c r="G1847" s="2">
        <v>46221.75</v>
      </c>
      <c r="H1847" s="2">
        <v>46221.583333333336</v>
      </c>
    </row>
    <row r="1848" spans="1:8" x14ac:dyDescent="0.25">
      <c r="A1848" s="8" t="s">
        <v>6188</v>
      </c>
      <c r="B1848" s="8" t="s">
        <v>14170</v>
      </c>
      <c r="C1848" s="2">
        <v>46221.416666666664</v>
      </c>
      <c r="D1848" s="8" t="s">
        <v>13931</v>
      </c>
      <c r="E1848" s="8" t="s">
        <v>32</v>
      </c>
      <c r="F1848">
        <v>4</v>
      </c>
      <c r="G1848" s="2">
        <v>46221.75</v>
      </c>
      <c r="H1848" s="2">
        <v>46221.583333333336</v>
      </c>
    </row>
    <row r="1849" spans="1:8" x14ac:dyDescent="0.25">
      <c r="A1849" s="8" t="s">
        <v>6191</v>
      </c>
      <c r="B1849" s="8" t="s">
        <v>14170</v>
      </c>
      <c r="C1849" s="2">
        <v>46221.416666666664</v>
      </c>
      <c r="D1849" s="8" t="s">
        <v>13931</v>
      </c>
      <c r="E1849" s="8" t="s">
        <v>43</v>
      </c>
      <c r="F1849">
        <v>3</v>
      </c>
      <c r="G1849" s="2">
        <v>46221.75</v>
      </c>
      <c r="H1849" s="2">
        <v>46221.583333333336</v>
      </c>
    </row>
    <row r="1850" spans="1:8" x14ac:dyDescent="0.25">
      <c r="A1850" s="8" t="s">
        <v>6194</v>
      </c>
      <c r="B1850" s="8" t="s">
        <v>14170</v>
      </c>
      <c r="C1850" s="2">
        <v>46221.416666666664</v>
      </c>
      <c r="D1850" s="8" t="s">
        <v>13931</v>
      </c>
      <c r="E1850" s="8" t="s">
        <v>55</v>
      </c>
      <c r="F1850">
        <v>4</v>
      </c>
      <c r="G1850" s="2">
        <v>46221.75</v>
      </c>
      <c r="H1850" s="2">
        <v>46221.583333333336</v>
      </c>
    </row>
    <row r="1851" spans="1:8" x14ac:dyDescent="0.25">
      <c r="A1851" s="8" t="s">
        <v>6197</v>
      </c>
      <c r="B1851" s="8" t="s">
        <v>14170</v>
      </c>
      <c r="C1851" s="2">
        <v>46221.416666666664</v>
      </c>
      <c r="D1851" s="8" t="s">
        <v>13931</v>
      </c>
      <c r="E1851" s="8" t="s">
        <v>69</v>
      </c>
      <c r="F1851">
        <v>6</v>
      </c>
      <c r="G1851" s="2">
        <v>46221.75</v>
      </c>
      <c r="H1851" s="2">
        <v>46221.583333333336</v>
      </c>
    </row>
    <row r="1852" spans="1:8" x14ac:dyDescent="0.25">
      <c r="A1852" s="8" t="s">
        <v>6200</v>
      </c>
      <c r="B1852" s="8" t="s">
        <v>14170</v>
      </c>
      <c r="C1852" s="2">
        <v>46221.416666666664</v>
      </c>
      <c r="D1852" s="8" t="s">
        <v>13931</v>
      </c>
      <c r="E1852" s="8" t="s">
        <v>75</v>
      </c>
      <c r="F1852">
        <v>6</v>
      </c>
      <c r="G1852" s="2">
        <v>46221.75</v>
      </c>
      <c r="H1852" s="2">
        <v>46221.583333333336</v>
      </c>
    </row>
    <row r="1853" spans="1:8" x14ac:dyDescent="0.25">
      <c r="A1853" s="8" t="s">
        <v>6203</v>
      </c>
      <c r="B1853" s="8" t="s">
        <v>14170</v>
      </c>
      <c r="C1853" s="2">
        <v>46221.416666666664</v>
      </c>
      <c r="D1853" s="8" t="s">
        <v>13931</v>
      </c>
      <c r="E1853" s="8" t="s">
        <v>77</v>
      </c>
      <c r="F1853">
        <v>3</v>
      </c>
      <c r="G1853" s="2">
        <v>46221.75</v>
      </c>
      <c r="H1853" s="2">
        <v>46221.583333333336</v>
      </c>
    </row>
    <row r="1854" spans="1:8" x14ac:dyDescent="0.25">
      <c r="A1854" s="8" t="s">
        <v>6206</v>
      </c>
      <c r="B1854" s="8" t="s">
        <v>14171</v>
      </c>
      <c r="C1854" s="2">
        <v>46221.416666666664</v>
      </c>
      <c r="D1854" s="8" t="s">
        <v>13933</v>
      </c>
      <c r="E1854" s="8" t="s">
        <v>18</v>
      </c>
      <c r="F1854">
        <v>8</v>
      </c>
      <c r="G1854" s="2">
        <v>46221.75</v>
      </c>
      <c r="H1854" s="2">
        <v>46221.583333333336</v>
      </c>
    </row>
    <row r="1855" spans="1:8" x14ac:dyDescent="0.25">
      <c r="A1855" s="8" t="s">
        <v>6209</v>
      </c>
      <c r="B1855" s="8" t="s">
        <v>14171</v>
      </c>
      <c r="C1855" s="2">
        <v>46221.416666666664</v>
      </c>
      <c r="D1855" s="8" t="s">
        <v>13933</v>
      </c>
      <c r="E1855" s="8" t="s">
        <v>20</v>
      </c>
      <c r="F1855">
        <v>2</v>
      </c>
      <c r="G1855" s="2">
        <v>46221.75</v>
      </c>
      <c r="H1855" s="2">
        <v>46221.583333333336</v>
      </c>
    </row>
    <row r="1856" spans="1:8" x14ac:dyDescent="0.25">
      <c r="A1856" s="8" t="s">
        <v>6212</v>
      </c>
      <c r="B1856" s="8" t="s">
        <v>14171</v>
      </c>
      <c r="C1856" s="2">
        <v>46221.416666666664</v>
      </c>
      <c r="D1856" s="8" t="s">
        <v>13933</v>
      </c>
      <c r="E1856" s="8" t="s">
        <v>22</v>
      </c>
      <c r="F1856">
        <v>6</v>
      </c>
      <c r="G1856" s="2">
        <v>46221.75</v>
      </c>
      <c r="H1856" s="2">
        <v>46221.583333333336</v>
      </c>
    </row>
    <row r="1857" spans="1:8" x14ac:dyDescent="0.25">
      <c r="A1857" s="8" t="s">
        <v>6215</v>
      </c>
      <c r="B1857" s="8" t="s">
        <v>14171</v>
      </c>
      <c r="C1857" s="2">
        <v>46221.416666666664</v>
      </c>
      <c r="D1857" s="8" t="s">
        <v>13933</v>
      </c>
      <c r="E1857" s="8" t="s">
        <v>24</v>
      </c>
      <c r="F1857">
        <v>8</v>
      </c>
      <c r="G1857" s="2">
        <v>46221.75</v>
      </c>
      <c r="H1857" s="2">
        <v>46221.583333333336</v>
      </c>
    </row>
    <row r="1858" spans="1:8" x14ac:dyDescent="0.25">
      <c r="A1858" s="8" t="s">
        <v>6218</v>
      </c>
      <c r="B1858" s="8" t="s">
        <v>14171</v>
      </c>
      <c r="C1858" s="2">
        <v>46221.416666666664</v>
      </c>
      <c r="D1858" s="8" t="s">
        <v>13933</v>
      </c>
      <c r="E1858" s="8" t="s">
        <v>32</v>
      </c>
      <c r="F1858">
        <v>3</v>
      </c>
      <c r="G1858" s="2">
        <v>46221.75</v>
      </c>
      <c r="H1858" s="2">
        <v>46221.583333333336</v>
      </c>
    </row>
    <row r="1859" spans="1:8" x14ac:dyDescent="0.25">
      <c r="A1859" s="8" t="s">
        <v>6221</v>
      </c>
      <c r="B1859" s="8" t="s">
        <v>14171</v>
      </c>
      <c r="C1859" s="2">
        <v>46221.416666666664</v>
      </c>
      <c r="D1859" s="8" t="s">
        <v>13933</v>
      </c>
      <c r="E1859" s="8" t="s">
        <v>47</v>
      </c>
      <c r="F1859">
        <v>5</v>
      </c>
      <c r="G1859" s="2">
        <v>46221.75</v>
      </c>
      <c r="H1859" s="2">
        <v>46221.583333333336</v>
      </c>
    </row>
    <row r="1860" spans="1:8" x14ac:dyDescent="0.25">
      <c r="A1860" s="8" t="s">
        <v>6224</v>
      </c>
      <c r="B1860" s="8" t="s">
        <v>14171</v>
      </c>
      <c r="C1860" s="2">
        <v>46221.416666666664</v>
      </c>
      <c r="D1860" s="8" t="s">
        <v>13933</v>
      </c>
      <c r="E1860" s="8" t="s">
        <v>51</v>
      </c>
      <c r="F1860">
        <v>2</v>
      </c>
      <c r="G1860" s="2">
        <v>46221.75</v>
      </c>
      <c r="H1860" s="2">
        <v>46221.583333333336</v>
      </c>
    </row>
    <row r="1861" spans="1:8" x14ac:dyDescent="0.25">
      <c r="A1861" s="8" t="s">
        <v>6227</v>
      </c>
      <c r="B1861" s="8" t="s">
        <v>14171</v>
      </c>
      <c r="C1861" s="2">
        <v>46221.416666666664</v>
      </c>
      <c r="D1861" s="8" t="s">
        <v>13933</v>
      </c>
      <c r="E1861" s="8" t="s">
        <v>69</v>
      </c>
      <c r="F1861">
        <v>3</v>
      </c>
      <c r="G1861" s="2">
        <v>46221.75</v>
      </c>
      <c r="H1861" s="2">
        <v>46221.583333333336</v>
      </c>
    </row>
    <row r="1862" spans="1:8" x14ac:dyDescent="0.25">
      <c r="A1862" s="8" t="s">
        <v>14172</v>
      </c>
      <c r="B1862" s="8" t="s">
        <v>14173</v>
      </c>
      <c r="C1862" s="2">
        <v>46221.416666666664</v>
      </c>
      <c r="D1862" s="8" t="s">
        <v>13935</v>
      </c>
      <c r="E1862" s="8" t="s">
        <v>11</v>
      </c>
      <c r="F1862">
        <v>5</v>
      </c>
      <c r="G1862" s="2">
        <v>46221.75</v>
      </c>
      <c r="H1862" s="2"/>
    </row>
    <row r="1863" spans="1:8" x14ac:dyDescent="0.25">
      <c r="A1863" s="8" t="s">
        <v>6230</v>
      </c>
      <c r="B1863" s="8" t="s">
        <v>14173</v>
      </c>
      <c r="C1863" s="2">
        <v>46221.416666666664</v>
      </c>
      <c r="D1863" s="8" t="s">
        <v>13935</v>
      </c>
      <c r="E1863" s="8" t="s">
        <v>18</v>
      </c>
      <c r="F1863">
        <v>5</v>
      </c>
      <c r="G1863" s="2">
        <v>46221.75</v>
      </c>
      <c r="H1863" s="2">
        <v>46221.583333333336</v>
      </c>
    </row>
    <row r="1864" spans="1:8" x14ac:dyDescent="0.25">
      <c r="A1864" s="8" t="s">
        <v>6233</v>
      </c>
      <c r="B1864" s="8" t="s">
        <v>14173</v>
      </c>
      <c r="C1864" s="2">
        <v>46221.416666666664</v>
      </c>
      <c r="D1864" s="8" t="s">
        <v>13935</v>
      </c>
      <c r="E1864" s="8" t="s">
        <v>24</v>
      </c>
      <c r="F1864">
        <v>7</v>
      </c>
      <c r="G1864" s="2">
        <v>46221.75</v>
      </c>
      <c r="H1864" s="2">
        <v>46221.583333333336</v>
      </c>
    </row>
    <row r="1865" spans="1:8" x14ac:dyDescent="0.25">
      <c r="A1865" s="8" t="s">
        <v>6236</v>
      </c>
      <c r="B1865" s="8" t="s">
        <v>14173</v>
      </c>
      <c r="C1865" s="2">
        <v>46221.416666666664</v>
      </c>
      <c r="D1865" s="8" t="s">
        <v>13935</v>
      </c>
      <c r="E1865" s="8" t="s">
        <v>26</v>
      </c>
      <c r="F1865">
        <v>9</v>
      </c>
      <c r="G1865" s="2">
        <v>46221.75</v>
      </c>
      <c r="H1865" s="2">
        <v>46221.583333333336</v>
      </c>
    </row>
    <row r="1866" spans="1:8" x14ac:dyDescent="0.25">
      <c r="A1866" s="8" t="s">
        <v>6239</v>
      </c>
      <c r="B1866" s="8" t="s">
        <v>14173</v>
      </c>
      <c r="C1866" s="2">
        <v>46221.416666666664</v>
      </c>
      <c r="D1866" s="8" t="s">
        <v>13935</v>
      </c>
      <c r="E1866" s="8" t="s">
        <v>41</v>
      </c>
      <c r="F1866">
        <v>2</v>
      </c>
      <c r="G1866" s="2">
        <v>46221.75</v>
      </c>
      <c r="H1866" s="2">
        <v>46221.583333333336</v>
      </c>
    </row>
    <row r="1867" spans="1:8" x14ac:dyDescent="0.25">
      <c r="A1867" s="8" t="s">
        <v>6242</v>
      </c>
      <c r="B1867" s="8" t="s">
        <v>14173</v>
      </c>
      <c r="C1867" s="2">
        <v>46221.416666666664</v>
      </c>
      <c r="D1867" s="8" t="s">
        <v>13935</v>
      </c>
      <c r="E1867" s="8" t="s">
        <v>45</v>
      </c>
      <c r="F1867">
        <v>5</v>
      </c>
      <c r="G1867" s="2">
        <v>46221.75</v>
      </c>
      <c r="H1867" s="2">
        <v>46221.583333333336</v>
      </c>
    </row>
    <row r="1868" spans="1:8" x14ac:dyDescent="0.25">
      <c r="A1868" s="8" t="s">
        <v>6245</v>
      </c>
      <c r="B1868" s="8" t="s">
        <v>14173</v>
      </c>
      <c r="C1868" s="2">
        <v>46221.416666666664</v>
      </c>
      <c r="D1868" s="8" t="s">
        <v>13935</v>
      </c>
      <c r="E1868" s="8" t="s">
        <v>51</v>
      </c>
      <c r="F1868">
        <v>5</v>
      </c>
      <c r="G1868" s="2">
        <v>46221.75</v>
      </c>
      <c r="H1868" s="2">
        <v>46221.583333333336</v>
      </c>
    </row>
    <row r="1869" spans="1:8" x14ac:dyDescent="0.25">
      <c r="A1869" s="8" t="s">
        <v>6248</v>
      </c>
      <c r="B1869" s="8" t="s">
        <v>14173</v>
      </c>
      <c r="C1869" s="2">
        <v>46221.416666666664</v>
      </c>
      <c r="D1869" s="8" t="s">
        <v>13935</v>
      </c>
      <c r="E1869" s="8" t="s">
        <v>59</v>
      </c>
      <c r="F1869">
        <v>5</v>
      </c>
      <c r="G1869" s="2">
        <v>46221.75</v>
      </c>
      <c r="H1869" s="2">
        <v>46221.583333333336</v>
      </c>
    </row>
    <row r="1870" spans="1:8" x14ac:dyDescent="0.25">
      <c r="A1870" s="8" t="s">
        <v>6251</v>
      </c>
      <c r="B1870" s="8" t="s">
        <v>14173</v>
      </c>
      <c r="C1870" s="2">
        <v>46221.416666666664</v>
      </c>
      <c r="D1870" s="8" t="s">
        <v>13935</v>
      </c>
      <c r="E1870" s="8" t="s">
        <v>67</v>
      </c>
      <c r="F1870">
        <v>7</v>
      </c>
      <c r="G1870" s="2">
        <v>46221.75</v>
      </c>
      <c r="H1870" s="2">
        <v>46221.583333333336</v>
      </c>
    </row>
    <row r="1871" spans="1:8" x14ac:dyDescent="0.25">
      <c r="A1871" s="8" t="s">
        <v>6254</v>
      </c>
      <c r="B1871" s="8" t="s">
        <v>14174</v>
      </c>
      <c r="C1871" s="2">
        <v>46221.416666666664</v>
      </c>
      <c r="D1871" s="8" t="s">
        <v>13937</v>
      </c>
      <c r="E1871" s="8" t="s">
        <v>18</v>
      </c>
      <c r="F1871">
        <v>4</v>
      </c>
      <c r="G1871" s="2">
        <v>46221.75</v>
      </c>
      <c r="H1871" s="2">
        <v>46221.583333333336</v>
      </c>
    </row>
    <row r="1872" spans="1:8" x14ac:dyDescent="0.25">
      <c r="A1872" s="8" t="s">
        <v>6257</v>
      </c>
      <c r="B1872" s="8" t="s">
        <v>14174</v>
      </c>
      <c r="C1872" s="2">
        <v>46221.416666666664</v>
      </c>
      <c r="D1872" s="8" t="s">
        <v>13937</v>
      </c>
      <c r="E1872" s="8" t="s">
        <v>20</v>
      </c>
      <c r="F1872">
        <v>4</v>
      </c>
      <c r="G1872" s="2">
        <v>46221.75</v>
      </c>
      <c r="H1872" s="2">
        <v>46221.583333333336</v>
      </c>
    </row>
    <row r="1873" spans="1:8" x14ac:dyDescent="0.25">
      <c r="A1873" s="8" t="s">
        <v>6260</v>
      </c>
      <c r="B1873" s="8" t="s">
        <v>14174</v>
      </c>
      <c r="C1873" s="2">
        <v>46221.416666666664</v>
      </c>
      <c r="D1873" s="8" t="s">
        <v>13937</v>
      </c>
      <c r="E1873" s="8" t="s">
        <v>26</v>
      </c>
      <c r="F1873">
        <v>6</v>
      </c>
      <c r="G1873" s="2">
        <v>46221.75</v>
      </c>
      <c r="H1873" s="2">
        <v>46221.583333333336</v>
      </c>
    </row>
    <row r="1874" spans="1:8" x14ac:dyDescent="0.25">
      <c r="A1874" s="8" t="s">
        <v>6263</v>
      </c>
      <c r="B1874" s="8" t="s">
        <v>14174</v>
      </c>
      <c r="C1874" s="2">
        <v>46221.416666666664</v>
      </c>
      <c r="D1874" s="8" t="s">
        <v>13937</v>
      </c>
      <c r="E1874" s="8" t="s">
        <v>32</v>
      </c>
      <c r="F1874">
        <v>6</v>
      </c>
      <c r="G1874" s="2">
        <v>46221.75</v>
      </c>
      <c r="H1874" s="2">
        <v>46221.583333333336</v>
      </c>
    </row>
    <row r="1875" spans="1:8" x14ac:dyDescent="0.25">
      <c r="A1875" s="8" t="s">
        <v>6266</v>
      </c>
      <c r="B1875" s="8" t="s">
        <v>14174</v>
      </c>
      <c r="C1875" s="2">
        <v>46221.416666666664</v>
      </c>
      <c r="D1875" s="8" t="s">
        <v>13937</v>
      </c>
      <c r="E1875" s="8" t="s">
        <v>36</v>
      </c>
      <c r="F1875">
        <v>1</v>
      </c>
      <c r="G1875" s="2">
        <v>46221.75</v>
      </c>
      <c r="H1875" s="2">
        <v>46221.583333333336</v>
      </c>
    </row>
    <row r="1876" spans="1:8" x14ac:dyDescent="0.25">
      <c r="A1876" s="8" t="s">
        <v>6269</v>
      </c>
      <c r="B1876" s="8" t="s">
        <v>14174</v>
      </c>
      <c r="C1876" s="2">
        <v>46221.416666666664</v>
      </c>
      <c r="D1876" s="8" t="s">
        <v>13937</v>
      </c>
      <c r="E1876" s="8" t="s">
        <v>51</v>
      </c>
      <c r="F1876">
        <v>4</v>
      </c>
      <c r="G1876" s="2">
        <v>46221.75</v>
      </c>
      <c r="H1876" s="2">
        <v>46221.583333333336</v>
      </c>
    </row>
    <row r="1877" spans="1:8" x14ac:dyDescent="0.25">
      <c r="A1877" s="8" t="s">
        <v>6272</v>
      </c>
      <c r="B1877" s="8" t="s">
        <v>14174</v>
      </c>
      <c r="C1877" s="2">
        <v>46221.416666666664</v>
      </c>
      <c r="D1877" s="8" t="s">
        <v>13937</v>
      </c>
      <c r="E1877" s="8" t="s">
        <v>71</v>
      </c>
      <c r="F1877">
        <v>6</v>
      </c>
      <c r="G1877" s="2">
        <v>46221.75</v>
      </c>
      <c r="H1877" s="2">
        <v>46221.583333333336</v>
      </c>
    </row>
    <row r="1878" spans="1:8" x14ac:dyDescent="0.25">
      <c r="A1878" s="8" t="s">
        <v>14175</v>
      </c>
      <c r="B1878" s="8" t="s">
        <v>14176</v>
      </c>
      <c r="C1878" s="2">
        <v>46222.416666666664</v>
      </c>
      <c r="D1878" s="8" t="s">
        <v>13929</v>
      </c>
      <c r="E1878" s="8" t="s">
        <v>11</v>
      </c>
      <c r="F1878">
        <v>120</v>
      </c>
      <c r="G1878" s="2">
        <v>46222.75</v>
      </c>
      <c r="H1878" s="2"/>
    </row>
    <row r="1879" spans="1:8" x14ac:dyDescent="0.25">
      <c r="A1879" s="8" t="s">
        <v>6275</v>
      </c>
      <c r="B1879" s="8" t="s">
        <v>14176</v>
      </c>
      <c r="C1879" s="2">
        <v>46222.416666666664</v>
      </c>
      <c r="D1879" s="8" t="s">
        <v>13929</v>
      </c>
      <c r="E1879" s="8" t="s">
        <v>20</v>
      </c>
      <c r="F1879">
        <v>1</v>
      </c>
      <c r="G1879" s="2">
        <v>46222.75</v>
      </c>
      <c r="H1879" s="2">
        <v>46222.583333333336</v>
      </c>
    </row>
    <row r="1880" spans="1:8" x14ac:dyDescent="0.25">
      <c r="A1880" s="8" t="s">
        <v>6278</v>
      </c>
      <c r="B1880" s="8" t="s">
        <v>14176</v>
      </c>
      <c r="C1880" s="2">
        <v>46222.416666666664</v>
      </c>
      <c r="D1880" s="8" t="s">
        <v>13929</v>
      </c>
      <c r="E1880" s="8" t="s">
        <v>22</v>
      </c>
      <c r="F1880">
        <v>2</v>
      </c>
      <c r="G1880" s="2">
        <v>46222.75</v>
      </c>
      <c r="H1880" s="2">
        <v>46222.583333333336</v>
      </c>
    </row>
    <row r="1881" spans="1:8" x14ac:dyDescent="0.25">
      <c r="A1881" s="8" t="s">
        <v>6281</v>
      </c>
      <c r="B1881" s="8" t="s">
        <v>14176</v>
      </c>
      <c r="C1881" s="2">
        <v>46222.416666666664</v>
      </c>
      <c r="D1881" s="8" t="s">
        <v>13929</v>
      </c>
      <c r="E1881" s="8" t="s">
        <v>24</v>
      </c>
      <c r="F1881">
        <v>3</v>
      </c>
      <c r="G1881" s="2">
        <v>46222.75</v>
      </c>
      <c r="H1881" s="2">
        <v>46222.583333333336</v>
      </c>
    </row>
    <row r="1882" spans="1:8" x14ac:dyDescent="0.25">
      <c r="A1882" s="8" t="s">
        <v>6284</v>
      </c>
      <c r="B1882" s="8" t="s">
        <v>14176</v>
      </c>
      <c r="C1882" s="2">
        <v>46222.416666666664</v>
      </c>
      <c r="D1882" s="8" t="s">
        <v>13929</v>
      </c>
      <c r="E1882" s="8" t="s">
        <v>26</v>
      </c>
      <c r="F1882">
        <v>5</v>
      </c>
      <c r="G1882" s="2">
        <v>46222.75</v>
      </c>
      <c r="H1882" s="2">
        <v>46222.583333333336</v>
      </c>
    </row>
    <row r="1883" spans="1:8" x14ac:dyDescent="0.25">
      <c r="A1883" s="8" t="s">
        <v>6287</v>
      </c>
      <c r="B1883" s="8" t="s">
        <v>14176</v>
      </c>
      <c r="C1883" s="2">
        <v>46222.416666666664</v>
      </c>
      <c r="D1883" s="8" t="s">
        <v>13929</v>
      </c>
      <c r="E1883" s="8" t="s">
        <v>30</v>
      </c>
      <c r="F1883">
        <v>2</v>
      </c>
      <c r="G1883" s="2">
        <v>46222.75</v>
      </c>
      <c r="H1883" s="2">
        <v>46222.583333333336</v>
      </c>
    </row>
    <row r="1884" spans="1:8" x14ac:dyDescent="0.25">
      <c r="A1884" s="8" t="s">
        <v>6290</v>
      </c>
      <c r="B1884" s="8" t="s">
        <v>14176</v>
      </c>
      <c r="C1884" s="2">
        <v>46222.416666666664</v>
      </c>
      <c r="D1884" s="8" t="s">
        <v>13929</v>
      </c>
      <c r="E1884" s="8" t="s">
        <v>45</v>
      </c>
      <c r="F1884">
        <v>3</v>
      </c>
      <c r="G1884" s="2">
        <v>46222.75</v>
      </c>
      <c r="H1884" s="2">
        <v>46222.583333333336</v>
      </c>
    </row>
    <row r="1885" spans="1:8" x14ac:dyDescent="0.25">
      <c r="A1885" s="8" t="s">
        <v>14177</v>
      </c>
      <c r="B1885" s="8" t="s">
        <v>14178</v>
      </c>
      <c r="C1885" s="2">
        <v>46222.416666666664</v>
      </c>
      <c r="D1885" s="8" t="s">
        <v>13931</v>
      </c>
      <c r="E1885" s="8" t="s">
        <v>11</v>
      </c>
      <c r="F1885">
        <v>6</v>
      </c>
      <c r="G1885" s="2">
        <v>46222.75</v>
      </c>
      <c r="H1885" s="2"/>
    </row>
    <row r="1886" spans="1:8" x14ac:dyDescent="0.25">
      <c r="A1886" s="8" t="s">
        <v>6293</v>
      </c>
      <c r="B1886" s="8" t="s">
        <v>14178</v>
      </c>
      <c r="C1886" s="2">
        <v>46222.416666666664</v>
      </c>
      <c r="D1886" s="8" t="s">
        <v>13931</v>
      </c>
      <c r="E1886" s="8" t="s">
        <v>18</v>
      </c>
      <c r="F1886">
        <v>3</v>
      </c>
      <c r="G1886" s="2">
        <v>46222.75</v>
      </c>
      <c r="H1886" s="2">
        <v>46222.583333333336</v>
      </c>
    </row>
    <row r="1887" spans="1:8" x14ac:dyDescent="0.25">
      <c r="A1887" s="8" t="s">
        <v>6296</v>
      </c>
      <c r="B1887" s="8" t="s">
        <v>14178</v>
      </c>
      <c r="C1887" s="2">
        <v>46222.416666666664</v>
      </c>
      <c r="D1887" s="8" t="s">
        <v>13931</v>
      </c>
      <c r="E1887" s="8" t="s">
        <v>24</v>
      </c>
      <c r="F1887">
        <v>4</v>
      </c>
      <c r="G1887" s="2">
        <v>46222.75</v>
      </c>
      <c r="H1887" s="2">
        <v>46222.583333333336</v>
      </c>
    </row>
    <row r="1888" spans="1:8" x14ac:dyDescent="0.25">
      <c r="A1888" s="8" t="s">
        <v>6299</v>
      </c>
      <c r="B1888" s="8" t="s">
        <v>14178</v>
      </c>
      <c r="C1888" s="2">
        <v>46222.416666666664</v>
      </c>
      <c r="D1888" s="8" t="s">
        <v>13931</v>
      </c>
      <c r="E1888" s="8" t="s">
        <v>26</v>
      </c>
      <c r="F1888">
        <v>6</v>
      </c>
      <c r="G1888" s="2">
        <v>46222.75</v>
      </c>
      <c r="H1888" s="2">
        <v>46222.583333333336</v>
      </c>
    </row>
    <row r="1889" spans="1:8" x14ac:dyDescent="0.25">
      <c r="A1889" s="8" t="s">
        <v>6302</v>
      </c>
      <c r="B1889" s="8" t="s">
        <v>14178</v>
      </c>
      <c r="C1889" s="2">
        <v>46222.416666666664</v>
      </c>
      <c r="D1889" s="8" t="s">
        <v>13931</v>
      </c>
      <c r="E1889" s="8" t="s">
        <v>47</v>
      </c>
      <c r="F1889">
        <v>5</v>
      </c>
      <c r="G1889" s="2">
        <v>46222.75</v>
      </c>
      <c r="H1889" s="2">
        <v>46222.583333333336</v>
      </c>
    </row>
    <row r="1890" spans="1:8" x14ac:dyDescent="0.25">
      <c r="A1890" s="8" t="s">
        <v>6305</v>
      </c>
      <c r="B1890" s="8" t="s">
        <v>14178</v>
      </c>
      <c r="C1890" s="2">
        <v>46222.416666666664</v>
      </c>
      <c r="D1890" s="8" t="s">
        <v>13931</v>
      </c>
      <c r="E1890" s="8" t="s">
        <v>59</v>
      </c>
      <c r="F1890">
        <v>5</v>
      </c>
      <c r="G1890" s="2">
        <v>46222.75</v>
      </c>
      <c r="H1890" s="2">
        <v>46222.583333333336</v>
      </c>
    </row>
    <row r="1891" spans="1:8" x14ac:dyDescent="0.25">
      <c r="A1891" s="8" t="s">
        <v>6308</v>
      </c>
      <c r="B1891" s="8" t="s">
        <v>14178</v>
      </c>
      <c r="C1891" s="2">
        <v>46222.416666666664</v>
      </c>
      <c r="D1891" s="8" t="s">
        <v>13931</v>
      </c>
      <c r="E1891" s="8" t="s">
        <v>75</v>
      </c>
      <c r="F1891">
        <v>4</v>
      </c>
      <c r="G1891" s="2">
        <v>46222.75</v>
      </c>
      <c r="H1891" s="2">
        <v>46222.583333333336</v>
      </c>
    </row>
    <row r="1892" spans="1:8" x14ac:dyDescent="0.25">
      <c r="A1892" s="8" t="s">
        <v>6311</v>
      </c>
      <c r="B1892" s="8" t="s">
        <v>14179</v>
      </c>
      <c r="C1892" s="2">
        <v>46222.416666666664</v>
      </c>
      <c r="D1892" s="8" t="s">
        <v>13933</v>
      </c>
      <c r="E1892" s="8" t="s">
        <v>20</v>
      </c>
      <c r="F1892">
        <v>8</v>
      </c>
      <c r="G1892" s="2">
        <v>46222.75</v>
      </c>
      <c r="H1892" s="2">
        <v>46222.583333333336</v>
      </c>
    </row>
    <row r="1893" spans="1:8" x14ac:dyDescent="0.25">
      <c r="A1893" s="8" t="s">
        <v>6314</v>
      </c>
      <c r="B1893" s="8" t="s">
        <v>14179</v>
      </c>
      <c r="C1893" s="2">
        <v>46222.416666666664</v>
      </c>
      <c r="D1893" s="8" t="s">
        <v>13933</v>
      </c>
      <c r="E1893" s="8" t="s">
        <v>22</v>
      </c>
      <c r="F1893">
        <v>5</v>
      </c>
      <c r="G1893" s="2">
        <v>46222.75</v>
      </c>
      <c r="H1893" s="2">
        <v>46222.583333333336</v>
      </c>
    </row>
    <row r="1894" spans="1:8" x14ac:dyDescent="0.25">
      <c r="A1894" s="8" t="s">
        <v>6317</v>
      </c>
      <c r="B1894" s="8" t="s">
        <v>14179</v>
      </c>
      <c r="C1894" s="2">
        <v>46222.416666666664</v>
      </c>
      <c r="D1894" s="8" t="s">
        <v>13933</v>
      </c>
      <c r="E1894" s="8" t="s">
        <v>24</v>
      </c>
      <c r="F1894">
        <v>5</v>
      </c>
      <c r="G1894" s="2">
        <v>46222.75</v>
      </c>
      <c r="H1894" s="2">
        <v>46222.583333333336</v>
      </c>
    </row>
    <row r="1895" spans="1:8" x14ac:dyDescent="0.25">
      <c r="A1895" s="8" t="s">
        <v>14180</v>
      </c>
      <c r="B1895" s="8" t="s">
        <v>14179</v>
      </c>
      <c r="C1895" s="2">
        <v>46222.416666666664</v>
      </c>
      <c r="D1895" s="8" t="s">
        <v>13933</v>
      </c>
      <c r="E1895" s="8" t="s">
        <v>26</v>
      </c>
      <c r="F1895">
        <v>2</v>
      </c>
      <c r="G1895" s="2">
        <v>46222.75</v>
      </c>
      <c r="H1895" s="2"/>
    </row>
    <row r="1896" spans="1:8" x14ac:dyDescent="0.25">
      <c r="A1896" s="8" t="s">
        <v>6320</v>
      </c>
      <c r="B1896" s="8" t="s">
        <v>14179</v>
      </c>
      <c r="C1896" s="2">
        <v>46222.416666666664</v>
      </c>
      <c r="D1896" s="8" t="s">
        <v>13933</v>
      </c>
      <c r="E1896" s="8" t="s">
        <v>28</v>
      </c>
      <c r="F1896">
        <v>2</v>
      </c>
      <c r="G1896" s="2">
        <v>46222.75</v>
      </c>
      <c r="H1896" s="2">
        <v>46222.583333333336</v>
      </c>
    </row>
    <row r="1897" spans="1:8" x14ac:dyDescent="0.25">
      <c r="A1897" s="8" t="s">
        <v>6323</v>
      </c>
      <c r="B1897" s="8" t="s">
        <v>14179</v>
      </c>
      <c r="C1897" s="2">
        <v>46222.416666666664</v>
      </c>
      <c r="D1897" s="8" t="s">
        <v>13933</v>
      </c>
      <c r="E1897" s="8" t="s">
        <v>43</v>
      </c>
      <c r="F1897">
        <v>3</v>
      </c>
      <c r="G1897" s="2">
        <v>46222.75</v>
      </c>
      <c r="H1897" s="2">
        <v>46222.583333333336</v>
      </c>
    </row>
    <row r="1898" spans="1:8" x14ac:dyDescent="0.25">
      <c r="A1898" s="8" t="s">
        <v>6326</v>
      </c>
      <c r="B1898" s="8" t="s">
        <v>14179</v>
      </c>
      <c r="C1898" s="2">
        <v>46222.416666666664</v>
      </c>
      <c r="D1898" s="8" t="s">
        <v>13933</v>
      </c>
      <c r="E1898" s="8" t="s">
        <v>65</v>
      </c>
      <c r="F1898">
        <v>2</v>
      </c>
      <c r="G1898" s="2">
        <v>46222.75</v>
      </c>
      <c r="H1898" s="2">
        <v>46222.583333333336</v>
      </c>
    </row>
    <row r="1899" spans="1:8" x14ac:dyDescent="0.25">
      <c r="A1899" s="8" t="s">
        <v>6329</v>
      </c>
      <c r="B1899" s="8" t="s">
        <v>14179</v>
      </c>
      <c r="C1899" s="2">
        <v>46222.416666666664</v>
      </c>
      <c r="D1899" s="8" t="s">
        <v>13933</v>
      </c>
      <c r="E1899" s="8" t="s">
        <v>69</v>
      </c>
      <c r="F1899">
        <v>2</v>
      </c>
      <c r="G1899" s="2">
        <v>46222.75</v>
      </c>
      <c r="H1899" s="2">
        <v>46222.583333333336</v>
      </c>
    </row>
    <row r="1900" spans="1:8" x14ac:dyDescent="0.25">
      <c r="A1900" s="8" t="s">
        <v>6332</v>
      </c>
      <c r="B1900" s="8" t="s">
        <v>14179</v>
      </c>
      <c r="C1900" s="2">
        <v>46222.416666666664</v>
      </c>
      <c r="D1900" s="8" t="s">
        <v>13933</v>
      </c>
      <c r="E1900" s="8" t="s">
        <v>71</v>
      </c>
      <c r="F1900">
        <v>8</v>
      </c>
      <c r="G1900" s="2">
        <v>46222.75</v>
      </c>
      <c r="H1900" s="2">
        <v>46222.583333333336</v>
      </c>
    </row>
    <row r="1901" spans="1:8" x14ac:dyDescent="0.25">
      <c r="A1901" s="8" t="s">
        <v>6335</v>
      </c>
      <c r="B1901" s="8" t="s">
        <v>14181</v>
      </c>
      <c r="C1901" s="2">
        <v>46222.416666666664</v>
      </c>
      <c r="D1901" s="8" t="s">
        <v>13935</v>
      </c>
      <c r="E1901" s="8" t="s">
        <v>18</v>
      </c>
      <c r="F1901">
        <v>9</v>
      </c>
      <c r="G1901" s="2">
        <v>46222.75</v>
      </c>
      <c r="H1901" s="2">
        <v>46222.583333333336</v>
      </c>
    </row>
    <row r="1902" spans="1:8" x14ac:dyDescent="0.25">
      <c r="A1902" s="8" t="s">
        <v>6338</v>
      </c>
      <c r="B1902" s="8" t="s">
        <v>14181</v>
      </c>
      <c r="C1902" s="2">
        <v>46222.416666666664</v>
      </c>
      <c r="D1902" s="8" t="s">
        <v>13935</v>
      </c>
      <c r="E1902" s="8" t="s">
        <v>22</v>
      </c>
      <c r="F1902">
        <v>7</v>
      </c>
      <c r="G1902" s="2">
        <v>46222.75</v>
      </c>
      <c r="H1902" s="2">
        <v>46222.583333333336</v>
      </c>
    </row>
    <row r="1903" spans="1:8" x14ac:dyDescent="0.25">
      <c r="A1903" s="8" t="s">
        <v>6343</v>
      </c>
      <c r="B1903" s="8" t="s">
        <v>14181</v>
      </c>
      <c r="C1903" s="2">
        <v>46222.416666666664</v>
      </c>
      <c r="D1903" s="8" t="s">
        <v>13935</v>
      </c>
      <c r="E1903" s="8" t="s">
        <v>24</v>
      </c>
      <c r="F1903">
        <v>9</v>
      </c>
      <c r="G1903" s="2">
        <v>46222.75</v>
      </c>
      <c r="H1903" s="2">
        <v>46222.583333333336</v>
      </c>
    </row>
    <row r="1904" spans="1:8" x14ac:dyDescent="0.25">
      <c r="A1904" s="8" t="s">
        <v>6346</v>
      </c>
      <c r="B1904" s="8" t="s">
        <v>14181</v>
      </c>
      <c r="C1904" s="2">
        <v>46222.416666666664</v>
      </c>
      <c r="D1904" s="8" t="s">
        <v>13935</v>
      </c>
      <c r="E1904" s="8" t="s">
        <v>30</v>
      </c>
      <c r="F1904">
        <v>4</v>
      </c>
      <c r="G1904" s="2">
        <v>46222.75</v>
      </c>
      <c r="H1904" s="2">
        <v>46222.583333333336</v>
      </c>
    </row>
    <row r="1905" spans="1:8" x14ac:dyDescent="0.25">
      <c r="A1905" s="8" t="s">
        <v>6349</v>
      </c>
      <c r="B1905" s="8" t="s">
        <v>14181</v>
      </c>
      <c r="C1905" s="2">
        <v>46222.416666666664</v>
      </c>
      <c r="D1905" s="8" t="s">
        <v>13935</v>
      </c>
      <c r="E1905" s="8" t="s">
        <v>45</v>
      </c>
      <c r="F1905">
        <v>7</v>
      </c>
      <c r="G1905" s="2">
        <v>46222.75</v>
      </c>
      <c r="H1905" s="2">
        <v>46222.583333333336</v>
      </c>
    </row>
    <row r="1906" spans="1:8" x14ac:dyDescent="0.25">
      <c r="A1906" s="8" t="s">
        <v>6352</v>
      </c>
      <c r="B1906" s="8" t="s">
        <v>14181</v>
      </c>
      <c r="C1906" s="2">
        <v>46222.416666666664</v>
      </c>
      <c r="D1906" s="8" t="s">
        <v>13935</v>
      </c>
      <c r="E1906" s="8" t="s">
        <v>51</v>
      </c>
      <c r="F1906">
        <v>4</v>
      </c>
      <c r="G1906" s="2">
        <v>46222.75</v>
      </c>
      <c r="H1906" s="2">
        <v>46222.583333333336</v>
      </c>
    </row>
    <row r="1907" spans="1:8" x14ac:dyDescent="0.25">
      <c r="A1907" s="8" t="s">
        <v>6355</v>
      </c>
      <c r="B1907" s="8" t="s">
        <v>14181</v>
      </c>
      <c r="C1907" s="2">
        <v>46222.416666666664</v>
      </c>
      <c r="D1907" s="8" t="s">
        <v>13935</v>
      </c>
      <c r="E1907" s="8" t="s">
        <v>55</v>
      </c>
      <c r="F1907">
        <v>9</v>
      </c>
      <c r="G1907" s="2">
        <v>46222.75</v>
      </c>
      <c r="H1907" s="2">
        <v>46222.583333333336</v>
      </c>
    </row>
    <row r="1908" spans="1:8" x14ac:dyDescent="0.25">
      <c r="A1908" s="8" t="s">
        <v>6358</v>
      </c>
      <c r="B1908" s="8" t="s">
        <v>14181</v>
      </c>
      <c r="C1908" s="2">
        <v>46222.416666666664</v>
      </c>
      <c r="D1908" s="8" t="s">
        <v>13935</v>
      </c>
      <c r="E1908" s="8" t="s">
        <v>57</v>
      </c>
      <c r="F1908">
        <v>9</v>
      </c>
      <c r="G1908" s="2">
        <v>46222.75</v>
      </c>
      <c r="H1908" s="2">
        <v>46222.583333333336</v>
      </c>
    </row>
    <row r="1909" spans="1:8" x14ac:dyDescent="0.25">
      <c r="A1909" s="8" t="s">
        <v>6361</v>
      </c>
      <c r="B1909" s="8" t="s">
        <v>14181</v>
      </c>
      <c r="C1909" s="2">
        <v>46222.416666666664</v>
      </c>
      <c r="D1909" s="8" t="s">
        <v>13935</v>
      </c>
      <c r="E1909" s="8" t="s">
        <v>67</v>
      </c>
      <c r="F1909">
        <v>2</v>
      </c>
      <c r="G1909" s="2">
        <v>46222.75</v>
      </c>
      <c r="H1909" s="2">
        <v>46222.583333333336</v>
      </c>
    </row>
    <row r="1910" spans="1:8" x14ac:dyDescent="0.25">
      <c r="A1910" s="8" t="s">
        <v>6364</v>
      </c>
      <c r="B1910" s="8" t="s">
        <v>14181</v>
      </c>
      <c r="C1910" s="2">
        <v>46222.416666666664</v>
      </c>
      <c r="D1910" s="8" t="s">
        <v>13935</v>
      </c>
      <c r="E1910" s="8" t="s">
        <v>69</v>
      </c>
      <c r="F1910">
        <v>9</v>
      </c>
      <c r="G1910" s="2">
        <v>46222.75</v>
      </c>
      <c r="H1910" s="2">
        <v>46222.583333333336</v>
      </c>
    </row>
    <row r="1911" spans="1:8" x14ac:dyDescent="0.25">
      <c r="A1911" s="8" t="s">
        <v>14182</v>
      </c>
      <c r="B1911" s="8" t="s">
        <v>14183</v>
      </c>
      <c r="C1911" s="2">
        <v>46222.416666666664</v>
      </c>
      <c r="D1911" s="8" t="s">
        <v>13937</v>
      </c>
      <c r="E1911" s="8" t="s">
        <v>11</v>
      </c>
      <c r="F1911">
        <v>1</v>
      </c>
      <c r="G1911" s="2">
        <v>46222.75</v>
      </c>
      <c r="H1911" s="2"/>
    </row>
    <row r="1912" spans="1:8" x14ac:dyDescent="0.25">
      <c r="A1912" s="8" t="s">
        <v>6367</v>
      </c>
      <c r="B1912" s="8" t="s">
        <v>14183</v>
      </c>
      <c r="C1912" s="2">
        <v>46222.416666666664</v>
      </c>
      <c r="D1912" s="8" t="s">
        <v>13937</v>
      </c>
      <c r="E1912" s="8" t="s">
        <v>20</v>
      </c>
      <c r="F1912">
        <v>5</v>
      </c>
      <c r="G1912" s="2">
        <v>46222.75</v>
      </c>
      <c r="H1912" s="2">
        <v>46222.583333333336</v>
      </c>
    </row>
    <row r="1913" spans="1:8" x14ac:dyDescent="0.25">
      <c r="A1913" s="8" t="s">
        <v>6370</v>
      </c>
      <c r="B1913" s="8" t="s">
        <v>14183</v>
      </c>
      <c r="C1913" s="2">
        <v>46222.416666666664</v>
      </c>
      <c r="D1913" s="8" t="s">
        <v>13937</v>
      </c>
      <c r="E1913" s="8" t="s">
        <v>22</v>
      </c>
      <c r="F1913">
        <v>6</v>
      </c>
      <c r="G1913" s="2">
        <v>46222.75</v>
      </c>
      <c r="H1913" s="2">
        <v>46222.583333333336</v>
      </c>
    </row>
    <row r="1914" spans="1:8" x14ac:dyDescent="0.25">
      <c r="A1914" s="8" t="s">
        <v>6373</v>
      </c>
      <c r="B1914" s="8" t="s">
        <v>14183</v>
      </c>
      <c r="C1914" s="2">
        <v>46222.416666666664</v>
      </c>
      <c r="D1914" s="8" t="s">
        <v>13937</v>
      </c>
      <c r="E1914" s="8" t="s">
        <v>24</v>
      </c>
      <c r="F1914">
        <v>1</v>
      </c>
      <c r="G1914" s="2">
        <v>46222.75</v>
      </c>
      <c r="H1914" s="2">
        <v>46222.583333333336</v>
      </c>
    </row>
    <row r="1915" spans="1:8" x14ac:dyDescent="0.25">
      <c r="A1915" s="8" t="s">
        <v>6376</v>
      </c>
      <c r="B1915" s="8" t="s">
        <v>14183</v>
      </c>
      <c r="C1915" s="2">
        <v>46222.416666666664</v>
      </c>
      <c r="D1915" s="8" t="s">
        <v>13937</v>
      </c>
      <c r="E1915" s="8" t="s">
        <v>43</v>
      </c>
      <c r="F1915">
        <v>4</v>
      </c>
      <c r="G1915" s="2">
        <v>46222.75</v>
      </c>
      <c r="H1915" s="2">
        <v>46222.583333333336</v>
      </c>
    </row>
    <row r="1916" spans="1:8" x14ac:dyDescent="0.25">
      <c r="A1916" s="8" t="s">
        <v>6379</v>
      </c>
      <c r="B1916" s="8" t="s">
        <v>14183</v>
      </c>
      <c r="C1916" s="2">
        <v>46222.416666666664</v>
      </c>
      <c r="D1916" s="8" t="s">
        <v>13937</v>
      </c>
      <c r="E1916" s="8" t="s">
        <v>57</v>
      </c>
      <c r="F1916">
        <v>1</v>
      </c>
      <c r="G1916" s="2">
        <v>46222.75</v>
      </c>
      <c r="H1916" s="2">
        <v>46222.583333333336</v>
      </c>
    </row>
    <row r="1917" spans="1:8" x14ac:dyDescent="0.25">
      <c r="A1917" s="8" t="s">
        <v>6382</v>
      </c>
      <c r="B1917" s="8" t="s">
        <v>14183</v>
      </c>
      <c r="C1917" s="2">
        <v>46222.416666666664</v>
      </c>
      <c r="D1917" s="8" t="s">
        <v>13937</v>
      </c>
      <c r="E1917" s="8" t="s">
        <v>65</v>
      </c>
      <c r="F1917">
        <v>6</v>
      </c>
      <c r="G1917" s="2">
        <v>46222.75</v>
      </c>
      <c r="H1917" s="2">
        <v>46222.583333333336</v>
      </c>
    </row>
    <row r="1918" spans="1:8" x14ac:dyDescent="0.25">
      <c r="A1918" s="8" t="s">
        <v>6385</v>
      </c>
      <c r="B1918" s="8" t="s">
        <v>14183</v>
      </c>
      <c r="C1918" s="2">
        <v>46222.416666666664</v>
      </c>
      <c r="D1918" s="8" t="s">
        <v>13937</v>
      </c>
      <c r="E1918" s="8" t="s">
        <v>67</v>
      </c>
      <c r="F1918">
        <v>4</v>
      </c>
      <c r="G1918" s="2">
        <v>46222.75</v>
      </c>
      <c r="H1918" s="2">
        <v>46222.583333333336</v>
      </c>
    </row>
    <row r="1919" spans="1:8" x14ac:dyDescent="0.25">
      <c r="A1919" s="8" t="s">
        <v>14184</v>
      </c>
      <c r="B1919" s="8" t="s">
        <v>14185</v>
      </c>
      <c r="C1919" s="2">
        <v>46223.416666666664</v>
      </c>
      <c r="D1919" s="8" t="s">
        <v>13929</v>
      </c>
      <c r="E1919" s="8" t="s">
        <v>11</v>
      </c>
      <c r="F1919">
        <v>3</v>
      </c>
      <c r="G1919" s="2">
        <v>46223.75</v>
      </c>
      <c r="H1919" s="2"/>
    </row>
    <row r="1920" spans="1:8" x14ac:dyDescent="0.25">
      <c r="A1920" s="8" t="s">
        <v>6388</v>
      </c>
      <c r="B1920" s="8" t="s">
        <v>14185</v>
      </c>
      <c r="C1920" s="2">
        <v>46223.416666666664</v>
      </c>
      <c r="D1920" s="8" t="s">
        <v>13929</v>
      </c>
      <c r="E1920" s="8" t="s">
        <v>18</v>
      </c>
      <c r="F1920">
        <v>2</v>
      </c>
      <c r="G1920" s="2">
        <v>46223.75</v>
      </c>
      <c r="H1920" s="2">
        <v>46223.583333333336</v>
      </c>
    </row>
    <row r="1921" spans="1:8" x14ac:dyDescent="0.25">
      <c r="A1921" s="8" t="s">
        <v>14186</v>
      </c>
      <c r="B1921" s="8" t="s">
        <v>14185</v>
      </c>
      <c r="C1921" s="2">
        <v>46223.416666666664</v>
      </c>
      <c r="D1921" s="8" t="s">
        <v>13929</v>
      </c>
      <c r="E1921" s="8" t="s">
        <v>20</v>
      </c>
      <c r="F1921">
        <v>2</v>
      </c>
      <c r="G1921" s="2">
        <v>46223.75</v>
      </c>
      <c r="H1921" s="2"/>
    </row>
    <row r="1922" spans="1:8" x14ac:dyDescent="0.25">
      <c r="A1922" s="8" t="s">
        <v>6391</v>
      </c>
      <c r="B1922" s="8" t="s">
        <v>14185</v>
      </c>
      <c r="C1922" s="2">
        <v>46223.416666666664</v>
      </c>
      <c r="D1922" s="8" t="s">
        <v>13929</v>
      </c>
      <c r="E1922" s="8" t="s">
        <v>22</v>
      </c>
      <c r="F1922">
        <v>1</v>
      </c>
      <c r="G1922" s="2">
        <v>46223.75</v>
      </c>
      <c r="H1922" s="2">
        <v>46223.583333333336</v>
      </c>
    </row>
    <row r="1923" spans="1:8" x14ac:dyDescent="0.25">
      <c r="A1923" s="8" t="s">
        <v>6394</v>
      </c>
      <c r="B1923" s="8" t="s">
        <v>14185</v>
      </c>
      <c r="C1923" s="2">
        <v>46223.416666666664</v>
      </c>
      <c r="D1923" s="8" t="s">
        <v>13929</v>
      </c>
      <c r="E1923" s="8" t="s">
        <v>75</v>
      </c>
      <c r="F1923">
        <v>4</v>
      </c>
      <c r="G1923" s="2">
        <v>46223.75</v>
      </c>
      <c r="H1923" s="2">
        <v>46223.583333333336</v>
      </c>
    </row>
    <row r="1924" spans="1:8" x14ac:dyDescent="0.25">
      <c r="A1924" s="8" t="s">
        <v>14187</v>
      </c>
      <c r="B1924" s="8" t="s">
        <v>14188</v>
      </c>
      <c r="C1924" s="2">
        <v>46223.416666666664</v>
      </c>
      <c r="D1924" s="8" t="s">
        <v>13931</v>
      </c>
      <c r="E1924" s="8" t="s">
        <v>20</v>
      </c>
      <c r="F1924">
        <v>5</v>
      </c>
      <c r="G1924" s="2">
        <v>46223.75</v>
      </c>
      <c r="H1924" s="2"/>
    </row>
    <row r="1925" spans="1:8" x14ac:dyDescent="0.25">
      <c r="A1925" s="8" t="s">
        <v>6397</v>
      </c>
      <c r="B1925" s="8" t="s">
        <v>14188</v>
      </c>
      <c r="C1925" s="2">
        <v>46223.416666666664</v>
      </c>
      <c r="D1925" s="8" t="s">
        <v>13931</v>
      </c>
      <c r="E1925" s="8" t="s">
        <v>22</v>
      </c>
      <c r="F1925">
        <v>2</v>
      </c>
      <c r="G1925" s="2">
        <v>46223.75</v>
      </c>
      <c r="H1925" s="2">
        <v>46223.583333333336</v>
      </c>
    </row>
    <row r="1926" spans="1:8" x14ac:dyDescent="0.25">
      <c r="A1926" s="8" t="s">
        <v>6400</v>
      </c>
      <c r="B1926" s="8" t="s">
        <v>14188</v>
      </c>
      <c r="C1926" s="2">
        <v>46223.416666666664</v>
      </c>
      <c r="D1926" s="8" t="s">
        <v>13931</v>
      </c>
      <c r="E1926" s="8" t="s">
        <v>24</v>
      </c>
      <c r="F1926">
        <v>1</v>
      </c>
      <c r="G1926" s="2">
        <v>46223.75</v>
      </c>
      <c r="H1926" s="2">
        <v>46223.583333333336</v>
      </c>
    </row>
    <row r="1927" spans="1:8" x14ac:dyDescent="0.25">
      <c r="A1927" s="8" t="s">
        <v>14189</v>
      </c>
      <c r="B1927" s="8" t="s">
        <v>14188</v>
      </c>
      <c r="C1927" s="2">
        <v>46223.416666666664</v>
      </c>
      <c r="D1927" s="8" t="s">
        <v>13931</v>
      </c>
      <c r="E1927" s="8" t="s">
        <v>26</v>
      </c>
      <c r="F1927">
        <v>4</v>
      </c>
      <c r="G1927" s="2">
        <v>46223.75</v>
      </c>
      <c r="H1927" s="2"/>
    </row>
    <row r="1928" spans="1:8" x14ac:dyDescent="0.25">
      <c r="A1928" s="8" t="s">
        <v>6403</v>
      </c>
      <c r="B1928" s="8" t="s">
        <v>14188</v>
      </c>
      <c r="C1928" s="2">
        <v>46223.416666666664</v>
      </c>
      <c r="D1928" s="8" t="s">
        <v>13931</v>
      </c>
      <c r="E1928" s="8" t="s">
        <v>36</v>
      </c>
      <c r="F1928">
        <v>2</v>
      </c>
      <c r="G1928" s="2">
        <v>46223.75</v>
      </c>
      <c r="H1928" s="2">
        <v>46223.583333333336</v>
      </c>
    </row>
    <row r="1929" spans="1:8" x14ac:dyDescent="0.25">
      <c r="A1929" s="8" t="s">
        <v>6406</v>
      </c>
      <c r="B1929" s="8" t="s">
        <v>14188</v>
      </c>
      <c r="C1929" s="2">
        <v>46223.416666666664</v>
      </c>
      <c r="D1929" s="8" t="s">
        <v>13931</v>
      </c>
      <c r="E1929" s="8" t="s">
        <v>45</v>
      </c>
      <c r="F1929">
        <v>1</v>
      </c>
      <c r="G1929" s="2">
        <v>46223.75</v>
      </c>
      <c r="H1929" s="2">
        <v>46223.583333333336</v>
      </c>
    </row>
    <row r="1930" spans="1:8" x14ac:dyDescent="0.25">
      <c r="A1930" s="8" t="s">
        <v>6409</v>
      </c>
      <c r="B1930" s="8" t="s">
        <v>14188</v>
      </c>
      <c r="C1930" s="2">
        <v>46223.416666666664</v>
      </c>
      <c r="D1930" s="8" t="s">
        <v>13931</v>
      </c>
      <c r="E1930" s="8" t="s">
        <v>47</v>
      </c>
      <c r="F1930">
        <v>1</v>
      </c>
      <c r="G1930" s="2">
        <v>46223.75</v>
      </c>
      <c r="H1930" s="2">
        <v>46223.583333333336</v>
      </c>
    </row>
    <row r="1931" spans="1:8" x14ac:dyDescent="0.25">
      <c r="A1931" s="8" t="s">
        <v>6412</v>
      </c>
      <c r="B1931" s="8" t="s">
        <v>14188</v>
      </c>
      <c r="C1931" s="2">
        <v>46223.416666666664</v>
      </c>
      <c r="D1931" s="8" t="s">
        <v>13931</v>
      </c>
      <c r="E1931" s="8" t="s">
        <v>65</v>
      </c>
      <c r="F1931">
        <v>2</v>
      </c>
      <c r="G1931" s="2">
        <v>46223.75</v>
      </c>
      <c r="H1931" s="2">
        <v>46223.583333333336</v>
      </c>
    </row>
    <row r="1932" spans="1:8" x14ac:dyDescent="0.25">
      <c r="A1932" s="8" t="s">
        <v>6415</v>
      </c>
      <c r="B1932" s="8" t="s">
        <v>14188</v>
      </c>
      <c r="C1932" s="2">
        <v>46223.416666666664</v>
      </c>
      <c r="D1932" s="8" t="s">
        <v>13931</v>
      </c>
      <c r="E1932" s="8" t="s">
        <v>69</v>
      </c>
      <c r="F1932">
        <v>3</v>
      </c>
      <c r="G1932" s="2">
        <v>46223.75</v>
      </c>
      <c r="H1932" s="2">
        <v>46223.583333333336</v>
      </c>
    </row>
    <row r="1933" spans="1:8" x14ac:dyDescent="0.25">
      <c r="A1933" s="8" t="s">
        <v>6418</v>
      </c>
      <c r="B1933" s="8" t="s">
        <v>14188</v>
      </c>
      <c r="C1933" s="2">
        <v>46223.416666666664</v>
      </c>
      <c r="D1933" s="8" t="s">
        <v>13931</v>
      </c>
      <c r="E1933" s="8" t="s">
        <v>73</v>
      </c>
      <c r="F1933">
        <v>1</v>
      </c>
      <c r="G1933" s="2">
        <v>46223.75</v>
      </c>
      <c r="H1933" s="2">
        <v>46223.583333333336</v>
      </c>
    </row>
    <row r="1934" spans="1:8" x14ac:dyDescent="0.25">
      <c r="A1934" s="8" t="s">
        <v>6421</v>
      </c>
      <c r="B1934" s="8" t="s">
        <v>14188</v>
      </c>
      <c r="C1934" s="2">
        <v>46223.416666666664</v>
      </c>
      <c r="D1934" s="8" t="s">
        <v>13931</v>
      </c>
      <c r="E1934" s="8" t="s">
        <v>77</v>
      </c>
      <c r="F1934">
        <v>4</v>
      </c>
      <c r="G1934" s="2">
        <v>46223.75</v>
      </c>
      <c r="H1934" s="2">
        <v>46223.583333333336</v>
      </c>
    </row>
    <row r="1935" spans="1:8" x14ac:dyDescent="0.25">
      <c r="A1935" s="8" t="s">
        <v>6424</v>
      </c>
      <c r="B1935" s="8" t="s">
        <v>14188</v>
      </c>
      <c r="C1935" s="2">
        <v>46223.416666666664</v>
      </c>
      <c r="D1935" s="8" t="s">
        <v>13931</v>
      </c>
      <c r="E1935" s="8" t="s">
        <v>79</v>
      </c>
      <c r="F1935">
        <v>4</v>
      </c>
      <c r="G1935" s="2">
        <v>46223.75</v>
      </c>
      <c r="H1935" s="2">
        <v>46223.583333333336</v>
      </c>
    </row>
    <row r="1936" spans="1:8" x14ac:dyDescent="0.25">
      <c r="A1936" s="8" t="s">
        <v>14190</v>
      </c>
      <c r="B1936" s="8" t="s">
        <v>14191</v>
      </c>
      <c r="C1936" s="2">
        <v>46223.416666666664</v>
      </c>
      <c r="D1936" s="8" t="s">
        <v>13933</v>
      </c>
      <c r="E1936" s="8" t="s">
        <v>11</v>
      </c>
      <c r="F1936">
        <v>4</v>
      </c>
      <c r="G1936" s="2">
        <v>46223.75</v>
      </c>
      <c r="H1936" s="2"/>
    </row>
    <row r="1937" spans="1:8" x14ac:dyDescent="0.25">
      <c r="A1937" s="8" t="s">
        <v>14192</v>
      </c>
      <c r="B1937" s="8" t="s">
        <v>14191</v>
      </c>
      <c r="C1937" s="2">
        <v>46223.416666666664</v>
      </c>
      <c r="D1937" s="8" t="s">
        <v>13933</v>
      </c>
      <c r="E1937" s="8" t="s">
        <v>26</v>
      </c>
      <c r="F1937">
        <v>4</v>
      </c>
      <c r="G1937" s="2">
        <v>46223.75</v>
      </c>
      <c r="H1937" s="2"/>
    </row>
    <row r="1938" spans="1:8" x14ac:dyDescent="0.25">
      <c r="A1938" s="8" t="s">
        <v>6427</v>
      </c>
      <c r="B1938" s="8" t="s">
        <v>14191</v>
      </c>
      <c r="C1938" s="2">
        <v>46223.416666666664</v>
      </c>
      <c r="D1938" s="8" t="s">
        <v>13933</v>
      </c>
      <c r="E1938" s="8" t="s">
        <v>28</v>
      </c>
      <c r="F1938">
        <v>4</v>
      </c>
      <c r="G1938" s="2">
        <v>46223.75</v>
      </c>
      <c r="H1938" s="2">
        <v>46223.583333333336</v>
      </c>
    </row>
    <row r="1939" spans="1:8" x14ac:dyDescent="0.25">
      <c r="A1939" s="8" t="s">
        <v>6430</v>
      </c>
      <c r="B1939" s="8" t="s">
        <v>14191</v>
      </c>
      <c r="C1939" s="2">
        <v>46223.416666666664</v>
      </c>
      <c r="D1939" s="8" t="s">
        <v>13933</v>
      </c>
      <c r="E1939" s="8" t="s">
        <v>32</v>
      </c>
      <c r="F1939">
        <v>4</v>
      </c>
      <c r="G1939" s="2">
        <v>46223.75</v>
      </c>
      <c r="H1939" s="2">
        <v>46223.583333333336</v>
      </c>
    </row>
    <row r="1940" spans="1:8" x14ac:dyDescent="0.25">
      <c r="A1940" s="8" t="s">
        <v>6433</v>
      </c>
      <c r="B1940" s="8" t="s">
        <v>14191</v>
      </c>
      <c r="C1940" s="2">
        <v>46223.416666666664</v>
      </c>
      <c r="D1940" s="8" t="s">
        <v>13933</v>
      </c>
      <c r="E1940" s="8" t="s">
        <v>43</v>
      </c>
      <c r="F1940">
        <v>5</v>
      </c>
      <c r="G1940" s="2">
        <v>46223.75</v>
      </c>
      <c r="H1940" s="2">
        <v>46223.583333333336</v>
      </c>
    </row>
    <row r="1941" spans="1:8" x14ac:dyDescent="0.25">
      <c r="A1941" s="8" t="s">
        <v>6436</v>
      </c>
      <c r="B1941" s="8" t="s">
        <v>14191</v>
      </c>
      <c r="C1941" s="2">
        <v>46223.416666666664</v>
      </c>
      <c r="D1941" s="8" t="s">
        <v>13933</v>
      </c>
      <c r="E1941" s="8" t="s">
        <v>45</v>
      </c>
      <c r="F1941">
        <v>2</v>
      </c>
      <c r="G1941" s="2">
        <v>46223.75</v>
      </c>
      <c r="H1941" s="2">
        <v>46223.583333333336</v>
      </c>
    </row>
    <row r="1942" spans="1:8" x14ac:dyDescent="0.25">
      <c r="A1942" s="8" t="s">
        <v>6439</v>
      </c>
      <c r="B1942" s="8" t="s">
        <v>14191</v>
      </c>
      <c r="C1942" s="2">
        <v>46223.416666666664</v>
      </c>
      <c r="D1942" s="8" t="s">
        <v>13933</v>
      </c>
      <c r="E1942" s="8" t="s">
        <v>55</v>
      </c>
      <c r="F1942">
        <v>2</v>
      </c>
      <c r="G1942" s="2">
        <v>46223.75</v>
      </c>
      <c r="H1942" s="2">
        <v>46223.583333333336</v>
      </c>
    </row>
    <row r="1943" spans="1:8" x14ac:dyDescent="0.25">
      <c r="A1943" s="8" t="s">
        <v>6442</v>
      </c>
      <c r="B1943" s="8" t="s">
        <v>14191</v>
      </c>
      <c r="C1943" s="2">
        <v>46223.416666666664</v>
      </c>
      <c r="D1943" s="8" t="s">
        <v>13933</v>
      </c>
      <c r="E1943" s="8" t="s">
        <v>57</v>
      </c>
      <c r="F1943">
        <v>6</v>
      </c>
      <c r="G1943" s="2">
        <v>46223.75</v>
      </c>
      <c r="H1943" s="2">
        <v>46223.583333333336</v>
      </c>
    </row>
    <row r="1944" spans="1:8" x14ac:dyDescent="0.25">
      <c r="A1944" s="8" t="s">
        <v>6445</v>
      </c>
      <c r="B1944" s="8" t="s">
        <v>14191</v>
      </c>
      <c r="C1944" s="2">
        <v>46223.416666666664</v>
      </c>
      <c r="D1944" s="8" t="s">
        <v>13933</v>
      </c>
      <c r="E1944" s="8" t="s">
        <v>59</v>
      </c>
      <c r="F1944">
        <v>1</v>
      </c>
      <c r="G1944" s="2">
        <v>46223.75</v>
      </c>
      <c r="H1944" s="2">
        <v>46223.583333333336</v>
      </c>
    </row>
    <row r="1945" spans="1:8" x14ac:dyDescent="0.25">
      <c r="A1945" s="8" t="s">
        <v>6448</v>
      </c>
      <c r="B1945" s="8" t="s">
        <v>14191</v>
      </c>
      <c r="C1945" s="2">
        <v>46223.416666666664</v>
      </c>
      <c r="D1945" s="8" t="s">
        <v>13933</v>
      </c>
      <c r="E1945" s="8" t="s">
        <v>65</v>
      </c>
      <c r="F1945">
        <v>5</v>
      </c>
      <c r="G1945" s="2">
        <v>46223.75</v>
      </c>
      <c r="H1945" s="2">
        <v>46223.583333333336</v>
      </c>
    </row>
    <row r="1946" spans="1:8" x14ac:dyDescent="0.25">
      <c r="A1946" s="8" t="s">
        <v>6453</v>
      </c>
      <c r="B1946" s="8" t="s">
        <v>14191</v>
      </c>
      <c r="C1946" s="2">
        <v>46223.416666666664</v>
      </c>
      <c r="D1946" s="8" t="s">
        <v>13933</v>
      </c>
      <c r="E1946" s="8" t="s">
        <v>71</v>
      </c>
      <c r="F1946">
        <v>5</v>
      </c>
      <c r="G1946" s="2">
        <v>46223.75</v>
      </c>
      <c r="H1946" s="2">
        <v>46223.583333333336</v>
      </c>
    </row>
    <row r="1947" spans="1:8" x14ac:dyDescent="0.25">
      <c r="A1947" s="8" t="s">
        <v>14193</v>
      </c>
      <c r="B1947" s="8" t="s">
        <v>14194</v>
      </c>
      <c r="C1947" s="2">
        <v>46223.416666666664</v>
      </c>
      <c r="D1947" s="8" t="s">
        <v>13935</v>
      </c>
      <c r="E1947" s="8" t="s">
        <v>11</v>
      </c>
      <c r="F1947">
        <v>3</v>
      </c>
      <c r="G1947" s="2">
        <v>46223.75</v>
      </c>
      <c r="H1947" s="2"/>
    </row>
    <row r="1948" spans="1:8" x14ac:dyDescent="0.25">
      <c r="A1948" s="8" t="s">
        <v>6458</v>
      </c>
      <c r="B1948" s="8" t="s">
        <v>14194</v>
      </c>
      <c r="C1948" s="2">
        <v>46223.416666666664</v>
      </c>
      <c r="D1948" s="8" t="s">
        <v>13935</v>
      </c>
      <c r="E1948" s="8" t="s">
        <v>22</v>
      </c>
      <c r="F1948">
        <v>4</v>
      </c>
      <c r="G1948" s="2">
        <v>46223.75</v>
      </c>
      <c r="H1948" s="2">
        <v>46223.583333333336</v>
      </c>
    </row>
    <row r="1949" spans="1:8" x14ac:dyDescent="0.25">
      <c r="A1949" s="8" t="s">
        <v>6461</v>
      </c>
      <c r="B1949" s="8" t="s">
        <v>14194</v>
      </c>
      <c r="C1949" s="2">
        <v>46223.416666666664</v>
      </c>
      <c r="D1949" s="8" t="s">
        <v>13935</v>
      </c>
      <c r="E1949" s="8" t="s">
        <v>28</v>
      </c>
      <c r="F1949">
        <v>3</v>
      </c>
      <c r="G1949" s="2">
        <v>46223.75</v>
      </c>
      <c r="H1949" s="2">
        <v>46223.583333333336</v>
      </c>
    </row>
    <row r="1950" spans="1:8" x14ac:dyDescent="0.25">
      <c r="A1950" s="8" t="s">
        <v>6464</v>
      </c>
      <c r="B1950" s="8" t="s">
        <v>14194</v>
      </c>
      <c r="C1950" s="2">
        <v>46223.416666666664</v>
      </c>
      <c r="D1950" s="8" t="s">
        <v>13935</v>
      </c>
      <c r="E1950" s="8" t="s">
        <v>32</v>
      </c>
      <c r="F1950">
        <v>6</v>
      </c>
      <c r="G1950" s="2">
        <v>46223.75</v>
      </c>
      <c r="H1950" s="2">
        <v>46223.583333333336</v>
      </c>
    </row>
    <row r="1951" spans="1:8" x14ac:dyDescent="0.25">
      <c r="A1951" s="8" t="s">
        <v>6467</v>
      </c>
      <c r="B1951" s="8" t="s">
        <v>14194</v>
      </c>
      <c r="C1951" s="2">
        <v>46223.416666666664</v>
      </c>
      <c r="D1951" s="8" t="s">
        <v>13935</v>
      </c>
      <c r="E1951" s="8" t="s">
        <v>47</v>
      </c>
      <c r="F1951">
        <v>6</v>
      </c>
      <c r="G1951" s="2">
        <v>46223.75</v>
      </c>
      <c r="H1951" s="2">
        <v>46223.583333333336</v>
      </c>
    </row>
    <row r="1952" spans="1:8" x14ac:dyDescent="0.25">
      <c r="A1952" s="8" t="s">
        <v>6470</v>
      </c>
      <c r="B1952" s="8" t="s">
        <v>14194</v>
      </c>
      <c r="C1952" s="2">
        <v>46223.416666666664</v>
      </c>
      <c r="D1952" s="8" t="s">
        <v>13935</v>
      </c>
      <c r="E1952" s="8" t="s">
        <v>51</v>
      </c>
      <c r="F1952">
        <v>1</v>
      </c>
      <c r="G1952" s="2">
        <v>46223.75</v>
      </c>
      <c r="H1952" s="2">
        <v>46223.583333333336</v>
      </c>
    </row>
    <row r="1953" spans="1:8" x14ac:dyDescent="0.25">
      <c r="A1953" s="8" t="s">
        <v>6473</v>
      </c>
      <c r="B1953" s="8" t="s">
        <v>14194</v>
      </c>
      <c r="C1953" s="2">
        <v>46223.416666666664</v>
      </c>
      <c r="D1953" s="8" t="s">
        <v>13935</v>
      </c>
      <c r="E1953" s="8" t="s">
        <v>53</v>
      </c>
      <c r="F1953">
        <v>6</v>
      </c>
      <c r="G1953" s="2">
        <v>46223.75</v>
      </c>
      <c r="H1953" s="2">
        <v>46223.583333333336</v>
      </c>
    </row>
    <row r="1954" spans="1:8" x14ac:dyDescent="0.25">
      <c r="A1954" s="8" t="s">
        <v>6476</v>
      </c>
      <c r="B1954" s="8" t="s">
        <v>14194</v>
      </c>
      <c r="C1954" s="2">
        <v>46223.416666666664</v>
      </c>
      <c r="D1954" s="8" t="s">
        <v>13935</v>
      </c>
      <c r="E1954" s="8" t="s">
        <v>57</v>
      </c>
      <c r="F1954">
        <v>7</v>
      </c>
      <c r="G1954" s="2">
        <v>46223.75</v>
      </c>
      <c r="H1954" s="2">
        <v>46223.583333333336</v>
      </c>
    </row>
    <row r="1955" spans="1:8" x14ac:dyDescent="0.25">
      <c r="A1955" s="8" t="s">
        <v>6479</v>
      </c>
      <c r="B1955" s="8" t="s">
        <v>14194</v>
      </c>
      <c r="C1955" s="2">
        <v>46223.416666666664</v>
      </c>
      <c r="D1955" s="8" t="s">
        <v>13935</v>
      </c>
      <c r="E1955" s="8" t="s">
        <v>67</v>
      </c>
      <c r="F1955">
        <v>7</v>
      </c>
      <c r="G1955" s="2">
        <v>46223.75</v>
      </c>
      <c r="H1955" s="2">
        <v>46223.583333333336</v>
      </c>
    </row>
    <row r="1956" spans="1:8" x14ac:dyDescent="0.25">
      <c r="A1956" s="8" t="s">
        <v>6482</v>
      </c>
      <c r="B1956" s="8" t="s">
        <v>14194</v>
      </c>
      <c r="C1956" s="2">
        <v>46223.416666666664</v>
      </c>
      <c r="D1956" s="8" t="s">
        <v>13935</v>
      </c>
      <c r="E1956" s="8" t="s">
        <v>75</v>
      </c>
      <c r="F1956">
        <v>3</v>
      </c>
      <c r="G1956" s="2">
        <v>46223.75</v>
      </c>
      <c r="H1956" s="2">
        <v>46223.583333333336</v>
      </c>
    </row>
    <row r="1957" spans="1:8" x14ac:dyDescent="0.25">
      <c r="A1957" s="8" t="s">
        <v>6485</v>
      </c>
      <c r="B1957" s="8" t="s">
        <v>14195</v>
      </c>
      <c r="C1957" s="2">
        <v>46223.416666666664</v>
      </c>
      <c r="D1957" s="8" t="s">
        <v>13937</v>
      </c>
      <c r="E1957" s="8" t="s">
        <v>18</v>
      </c>
      <c r="F1957">
        <v>2</v>
      </c>
      <c r="G1957" s="2">
        <v>46223.75</v>
      </c>
      <c r="H1957" s="2">
        <v>46223.583333333336</v>
      </c>
    </row>
    <row r="1958" spans="1:8" x14ac:dyDescent="0.25">
      <c r="A1958" s="8" t="s">
        <v>6488</v>
      </c>
      <c r="B1958" s="8" t="s">
        <v>14195</v>
      </c>
      <c r="C1958" s="2">
        <v>46223.416666666664</v>
      </c>
      <c r="D1958" s="8" t="s">
        <v>13937</v>
      </c>
      <c r="E1958" s="8" t="s">
        <v>22</v>
      </c>
      <c r="F1958">
        <v>1</v>
      </c>
      <c r="G1958" s="2">
        <v>46223.75</v>
      </c>
      <c r="H1958" s="2">
        <v>46223.583333333336</v>
      </c>
    </row>
    <row r="1959" spans="1:8" x14ac:dyDescent="0.25">
      <c r="A1959" s="8" t="s">
        <v>14196</v>
      </c>
      <c r="B1959" s="8" t="s">
        <v>14195</v>
      </c>
      <c r="C1959" s="2">
        <v>46223.416666666664</v>
      </c>
      <c r="D1959" s="8" t="s">
        <v>13937</v>
      </c>
      <c r="E1959" s="8" t="s">
        <v>26</v>
      </c>
      <c r="F1959">
        <v>3</v>
      </c>
      <c r="G1959" s="2">
        <v>46223.75</v>
      </c>
      <c r="H1959" s="2"/>
    </row>
    <row r="1960" spans="1:8" x14ac:dyDescent="0.25">
      <c r="A1960" s="8" t="s">
        <v>6491</v>
      </c>
      <c r="B1960" s="8" t="s">
        <v>14195</v>
      </c>
      <c r="C1960" s="2">
        <v>46223.416666666664</v>
      </c>
      <c r="D1960" s="8" t="s">
        <v>13937</v>
      </c>
      <c r="E1960" s="8" t="s">
        <v>36</v>
      </c>
      <c r="F1960">
        <v>1</v>
      </c>
      <c r="G1960" s="2">
        <v>46223.75</v>
      </c>
      <c r="H1960" s="2">
        <v>46223.583333333336</v>
      </c>
    </row>
    <row r="1961" spans="1:8" x14ac:dyDescent="0.25">
      <c r="A1961" s="8" t="s">
        <v>6494</v>
      </c>
      <c r="B1961" s="8" t="s">
        <v>14195</v>
      </c>
      <c r="C1961" s="2">
        <v>46223.416666666664</v>
      </c>
      <c r="D1961" s="8" t="s">
        <v>13937</v>
      </c>
      <c r="E1961" s="8" t="s">
        <v>51</v>
      </c>
      <c r="F1961">
        <v>4</v>
      </c>
      <c r="G1961" s="2">
        <v>46223.75</v>
      </c>
      <c r="H1961" s="2">
        <v>46223.583333333336</v>
      </c>
    </row>
    <row r="1962" spans="1:8" x14ac:dyDescent="0.25">
      <c r="A1962" s="8" t="s">
        <v>6497</v>
      </c>
      <c r="B1962" s="8" t="s">
        <v>14195</v>
      </c>
      <c r="C1962" s="2">
        <v>46223.416666666664</v>
      </c>
      <c r="D1962" s="8" t="s">
        <v>13937</v>
      </c>
      <c r="E1962" s="8" t="s">
        <v>55</v>
      </c>
      <c r="F1962">
        <v>4</v>
      </c>
      <c r="G1962" s="2">
        <v>46223.75</v>
      </c>
      <c r="H1962" s="2">
        <v>46223.583333333336</v>
      </c>
    </row>
    <row r="1963" spans="1:8" x14ac:dyDescent="0.25">
      <c r="A1963" s="8" t="s">
        <v>6500</v>
      </c>
      <c r="B1963" s="8" t="s">
        <v>14195</v>
      </c>
      <c r="C1963" s="2">
        <v>46223.416666666664</v>
      </c>
      <c r="D1963" s="8" t="s">
        <v>13937</v>
      </c>
      <c r="E1963" s="8" t="s">
        <v>71</v>
      </c>
      <c r="F1963">
        <v>3</v>
      </c>
      <c r="G1963" s="2">
        <v>46223.75</v>
      </c>
      <c r="H1963" s="2">
        <v>46223.583333333336</v>
      </c>
    </row>
    <row r="1964" spans="1:8" x14ac:dyDescent="0.25">
      <c r="A1964" s="8" t="s">
        <v>6503</v>
      </c>
      <c r="B1964" s="8" t="s">
        <v>14195</v>
      </c>
      <c r="C1964" s="2">
        <v>46223.416666666664</v>
      </c>
      <c r="D1964" s="8" t="s">
        <v>13937</v>
      </c>
      <c r="E1964" s="8" t="s">
        <v>75</v>
      </c>
      <c r="F1964">
        <v>2</v>
      </c>
      <c r="G1964" s="2">
        <v>46223.75</v>
      </c>
      <c r="H1964" s="2">
        <v>46223.583333333336</v>
      </c>
    </row>
    <row r="1965" spans="1:8" x14ac:dyDescent="0.25">
      <c r="A1965" s="8" t="s">
        <v>6554</v>
      </c>
      <c r="B1965" s="8" t="s">
        <v>14197</v>
      </c>
      <c r="C1965" s="2">
        <v>46224.416666666664</v>
      </c>
      <c r="D1965" s="8" t="s">
        <v>13929</v>
      </c>
      <c r="E1965" s="8" t="s">
        <v>20</v>
      </c>
      <c r="F1965">
        <v>1</v>
      </c>
      <c r="G1965" s="2">
        <v>46224.75</v>
      </c>
      <c r="H1965" s="2">
        <v>46224.583333333336</v>
      </c>
    </row>
    <row r="1966" spans="1:8" x14ac:dyDescent="0.25">
      <c r="A1966" s="8" t="s">
        <v>6557</v>
      </c>
      <c r="B1966" s="8" t="s">
        <v>14197</v>
      </c>
      <c r="C1966" s="2">
        <v>46224.416666666664</v>
      </c>
      <c r="D1966" s="8" t="s">
        <v>13929</v>
      </c>
      <c r="E1966" s="8" t="s">
        <v>22</v>
      </c>
      <c r="F1966">
        <v>1</v>
      </c>
      <c r="G1966" s="2">
        <v>46224.75</v>
      </c>
      <c r="H1966" s="2">
        <v>46224.583333333336</v>
      </c>
    </row>
    <row r="1967" spans="1:8" x14ac:dyDescent="0.25">
      <c r="A1967" s="8" t="s">
        <v>6560</v>
      </c>
      <c r="B1967" s="8" t="s">
        <v>14197</v>
      </c>
      <c r="C1967" s="2">
        <v>46224.416666666664</v>
      </c>
      <c r="D1967" s="8" t="s">
        <v>13929</v>
      </c>
      <c r="E1967" s="8" t="s">
        <v>24</v>
      </c>
      <c r="F1967">
        <v>3</v>
      </c>
      <c r="G1967" s="2">
        <v>46224.75</v>
      </c>
      <c r="H1967" s="2">
        <v>46224.583333333336</v>
      </c>
    </row>
    <row r="1968" spans="1:8" x14ac:dyDescent="0.25">
      <c r="A1968" s="8" t="s">
        <v>6563</v>
      </c>
      <c r="B1968" s="8" t="s">
        <v>14197</v>
      </c>
      <c r="C1968" s="2">
        <v>46224.416666666664</v>
      </c>
      <c r="D1968" s="8" t="s">
        <v>13929</v>
      </c>
      <c r="E1968" s="8" t="s">
        <v>26</v>
      </c>
      <c r="F1968">
        <v>4</v>
      </c>
      <c r="G1968" s="2">
        <v>46224.75</v>
      </c>
      <c r="H1968" s="2">
        <v>46224.583333333336</v>
      </c>
    </row>
    <row r="1969" spans="1:8" x14ac:dyDescent="0.25">
      <c r="A1969" s="8" t="s">
        <v>6566</v>
      </c>
      <c r="B1969" s="8" t="s">
        <v>14197</v>
      </c>
      <c r="C1969" s="2">
        <v>46224.416666666664</v>
      </c>
      <c r="D1969" s="8" t="s">
        <v>13929</v>
      </c>
      <c r="E1969" s="8" t="s">
        <v>51</v>
      </c>
      <c r="F1969">
        <v>2</v>
      </c>
      <c r="G1969" s="2">
        <v>46224.75</v>
      </c>
      <c r="H1969" s="2">
        <v>46224.583333333336</v>
      </c>
    </row>
    <row r="1970" spans="1:8" x14ac:dyDescent="0.25">
      <c r="A1970" s="8" t="s">
        <v>6569</v>
      </c>
      <c r="B1970" s="8" t="s">
        <v>14197</v>
      </c>
      <c r="C1970" s="2">
        <v>46224.416666666664</v>
      </c>
      <c r="D1970" s="8" t="s">
        <v>13929</v>
      </c>
      <c r="E1970" s="8" t="s">
        <v>59</v>
      </c>
      <c r="F1970">
        <v>2</v>
      </c>
      <c r="G1970" s="2">
        <v>46224.75</v>
      </c>
      <c r="H1970" s="2">
        <v>46224.583333333336</v>
      </c>
    </row>
    <row r="1971" spans="1:8" x14ac:dyDescent="0.25">
      <c r="A1971" s="8" t="s">
        <v>6572</v>
      </c>
      <c r="B1971" s="8" t="s">
        <v>14197</v>
      </c>
      <c r="C1971" s="2">
        <v>46224.416666666664</v>
      </c>
      <c r="D1971" s="8" t="s">
        <v>13929</v>
      </c>
      <c r="E1971" s="8" t="s">
        <v>65</v>
      </c>
      <c r="F1971">
        <v>2</v>
      </c>
      <c r="G1971" s="2">
        <v>46224.75</v>
      </c>
      <c r="H1971" s="2">
        <v>46224.583333333336</v>
      </c>
    </row>
    <row r="1972" spans="1:8" x14ac:dyDescent="0.25">
      <c r="A1972" s="8" t="s">
        <v>6575</v>
      </c>
      <c r="B1972" s="8" t="s">
        <v>14198</v>
      </c>
      <c r="C1972" s="2">
        <v>46224.416666666664</v>
      </c>
      <c r="D1972" s="8" t="s">
        <v>13931</v>
      </c>
      <c r="E1972" s="8" t="s">
        <v>22</v>
      </c>
      <c r="F1972">
        <v>4</v>
      </c>
      <c r="G1972" s="2">
        <v>46224.75</v>
      </c>
      <c r="H1972" s="2">
        <v>46224.583333333336</v>
      </c>
    </row>
    <row r="1973" spans="1:8" x14ac:dyDescent="0.25">
      <c r="A1973" s="8" t="s">
        <v>6578</v>
      </c>
      <c r="B1973" s="8" t="s">
        <v>14198</v>
      </c>
      <c r="C1973" s="2">
        <v>46224.416666666664</v>
      </c>
      <c r="D1973" s="8" t="s">
        <v>13931</v>
      </c>
      <c r="E1973" s="8" t="s">
        <v>24</v>
      </c>
      <c r="F1973">
        <v>4</v>
      </c>
      <c r="G1973" s="2">
        <v>46224.75</v>
      </c>
      <c r="H1973" s="2">
        <v>46224.583333333336</v>
      </c>
    </row>
    <row r="1974" spans="1:8" x14ac:dyDescent="0.25">
      <c r="A1974" s="8" t="s">
        <v>6581</v>
      </c>
      <c r="B1974" s="8" t="s">
        <v>14198</v>
      </c>
      <c r="C1974" s="2">
        <v>46224.416666666664</v>
      </c>
      <c r="D1974" s="8" t="s">
        <v>13931</v>
      </c>
      <c r="E1974" s="8" t="s">
        <v>26</v>
      </c>
      <c r="F1974">
        <v>2</v>
      </c>
      <c r="G1974" s="2">
        <v>46224.75</v>
      </c>
      <c r="H1974" s="2">
        <v>46224.583333333336</v>
      </c>
    </row>
    <row r="1975" spans="1:8" x14ac:dyDescent="0.25">
      <c r="A1975" s="8" t="s">
        <v>6584</v>
      </c>
      <c r="B1975" s="8" t="s">
        <v>14198</v>
      </c>
      <c r="C1975" s="2">
        <v>46224.416666666664</v>
      </c>
      <c r="D1975" s="8" t="s">
        <v>13931</v>
      </c>
      <c r="E1975" s="8" t="s">
        <v>30</v>
      </c>
      <c r="F1975">
        <v>2</v>
      </c>
      <c r="G1975" s="2">
        <v>46224.75</v>
      </c>
      <c r="H1975" s="2">
        <v>46224.583333333336</v>
      </c>
    </row>
    <row r="1976" spans="1:8" x14ac:dyDescent="0.25">
      <c r="A1976" s="8" t="s">
        <v>6587</v>
      </c>
      <c r="B1976" s="8" t="s">
        <v>14198</v>
      </c>
      <c r="C1976" s="2">
        <v>46224.416666666664</v>
      </c>
      <c r="D1976" s="8" t="s">
        <v>13931</v>
      </c>
      <c r="E1976" s="8" t="s">
        <v>43</v>
      </c>
      <c r="F1976">
        <v>4</v>
      </c>
      <c r="G1976" s="2">
        <v>46224.75</v>
      </c>
      <c r="H1976" s="2">
        <v>46224.583333333336</v>
      </c>
    </row>
    <row r="1977" spans="1:8" x14ac:dyDescent="0.25">
      <c r="A1977" s="8" t="s">
        <v>6590</v>
      </c>
      <c r="B1977" s="8" t="s">
        <v>14198</v>
      </c>
      <c r="C1977" s="2">
        <v>46224.416666666664</v>
      </c>
      <c r="D1977" s="8" t="s">
        <v>13931</v>
      </c>
      <c r="E1977" s="8" t="s">
        <v>67</v>
      </c>
      <c r="F1977">
        <v>4</v>
      </c>
      <c r="G1977" s="2">
        <v>46224.75</v>
      </c>
      <c r="H1977" s="2">
        <v>46224.583333333336</v>
      </c>
    </row>
    <row r="1978" spans="1:8" x14ac:dyDescent="0.25">
      <c r="A1978" s="8" t="s">
        <v>6593</v>
      </c>
      <c r="B1978" s="8" t="s">
        <v>14198</v>
      </c>
      <c r="C1978" s="2">
        <v>46224.416666666664</v>
      </c>
      <c r="D1978" s="8" t="s">
        <v>13931</v>
      </c>
      <c r="E1978" s="8" t="s">
        <v>77</v>
      </c>
      <c r="F1978">
        <v>3</v>
      </c>
      <c r="G1978" s="2">
        <v>46224.75</v>
      </c>
      <c r="H1978" s="2">
        <v>46224.583333333336</v>
      </c>
    </row>
    <row r="1979" spans="1:8" x14ac:dyDescent="0.25">
      <c r="A1979" s="8" t="s">
        <v>14199</v>
      </c>
      <c r="B1979" s="8" t="s">
        <v>14200</v>
      </c>
      <c r="C1979" s="2">
        <v>46224.416666666664</v>
      </c>
      <c r="D1979" s="8" t="s">
        <v>13933</v>
      </c>
      <c r="E1979" s="8" t="s">
        <v>11</v>
      </c>
      <c r="F1979">
        <v>2</v>
      </c>
      <c r="G1979" s="2">
        <v>46224.75</v>
      </c>
      <c r="H1979" s="2"/>
    </row>
    <row r="1980" spans="1:8" x14ac:dyDescent="0.25">
      <c r="A1980" s="8" t="s">
        <v>6596</v>
      </c>
      <c r="B1980" s="8" t="s">
        <v>14200</v>
      </c>
      <c r="C1980" s="2">
        <v>46224.416666666664</v>
      </c>
      <c r="D1980" s="8" t="s">
        <v>13933</v>
      </c>
      <c r="E1980" s="8" t="s">
        <v>18</v>
      </c>
      <c r="F1980">
        <v>6</v>
      </c>
      <c r="G1980" s="2">
        <v>46224.75</v>
      </c>
      <c r="H1980" s="2">
        <v>46224.583333333336</v>
      </c>
    </row>
    <row r="1981" spans="1:8" x14ac:dyDescent="0.25">
      <c r="A1981" s="8" t="s">
        <v>6599</v>
      </c>
      <c r="B1981" s="8" t="s">
        <v>14200</v>
      </c>
      <c r="C1981" s="2">
        <v>46224.416666666664</v>
      </c>
      <c r="D1981" s="8" t="s">
        <v>13933</v>
      </c>
      <c r="E1981" s="8" t="s">
        <v>22</v>
      </c>
      <c r="F1981">
        <v>5</v>
      </c>
      <c r="G1981" s="2">
        <v>46224.75</v>
      </c>
      <c r="H1981" s="2">
        <v>46224.583333333336</v>
      </c>
    </row>
    <row r="1982" spans="1:8" x14ac:dyDescent="0.25">
      <c r="A1982" s="8" t="s">
        <v>6602</v>
      </c>
      <c r="B1982" s="8" t="s">
        <v>14200</v>
      </c>
      <c r="C1982" s="2">
        <v>46224.416666666664</v>
      </c>
      <c r="D1982" s="8" t="s">
        <v>13933</v>
      </c>
      <c r="E1982" s="8" t="s">
        <v>32</v>
      </c>
      <c r="F1982">
        <v>1</v>
      </c>
      <c r="G1982" s="2">
        <v>46224.75</v>
      </c>
      <c r="H1982" s="2">
        <v>46224.583333333336</v>
      </c>
    </row>
    <row r="1983" spans="1:8" x14ac:dyDescent="0.25">
      <c r="A1983" s="8" t="s">
        <v>6605</v>
      </c>
      <c r="B1983" s="8" t="s">
        <v>14200</v>
      </c>
      <c r="C1983" s="2">
        <v>46224.416666666664</v>
      </c>
      <c r="D1983" s="8" t="s">
        <v>13933</v>
      </c>
      <c r="E1983" s="8" t="s">
        <v>55</v>
      </c>
      <c r="F1983">
        <v>2</v>
      </c>
      <c r="G1983" s="2">
        <v>46224.75</v>
      </c>
      <c r="H1983" s="2">
        <v>46224.583333333336</v>
      </c>
    </row>
    <row r="1984" spans="1:8" x14ac:dyDescent="0.25">
      <c r="A1984" s="8" t="s">
        <v>6608</v>
      </c>
      <c r="B1984" s="8" t="s">
        <v>14200</v>
      </c>
      <c r="C1984" s="2">
        <v>46224.416666666664</v>
      </c>
      <c r="D1984" s="8" t="s">
        <v>13933</v>
      </c>
      <c r="E1984" s="8" t="s">
        <v>59</v>
      </c>
      <c r="F1984">
        <v>4</v>
      </c>
      <c r="G1984" s="2">
        <v>46224.75</v>
      </c>
      <c r="H1984" s="2">
        <v>46224.583333333336</v>
      </c>
    </row>
    <row r="1985" spans="1:8" x14ac:dyDescent="0.25">
      <c r="A1985" s="8" t="s">
        <v>6611</v>
      </c>
      <c r="B1985" s="8" t="s">
        <v>14200</v>
      </c>
      <c r="C1985" s="2">
        <v>46224.416666666664</v>
      </c>
      <c r="D1985" s="8" t="s">
        <v>13933</v>
      </c>
      <c r="E1985" s="8" t="s">
        <v>65</v>
      </c>
      <c r="F1985">
        <v>2</v>
      </c>
      <c r="G1985" s="2">
        <v>46224.75</v>
      </c>
      <c r="H1985" s="2">
        <v>46224.583333333336</v>
      </c>
    </row>
    <row r="1986" spans="1:8" x14ac:dyDescent="0.25">
      <c r="A1986" s="8" t="s">
        <v>6614</v>
      </c>
      <c r="B1986" s="8" t="s">
        <v>14200</v>
      </c>
      <c r="C1986" s="2">
        <v>46224.416666666664</v>
      </c>
      <c r="D1986" s="8" t="s">
        <v>13933</v>
      </c>
      <c r="E1986" s="8" t="s">
        <v>77</v>
      </c>
      <c r="F1986">
        <v>1</v>
      </c>
      <c r="G1986" s="2">
        <v>46224.75</v>
      </c>
      <c r="H1986" s="2">
        <v>46224.583333333336</v>
      </c>
    </row>
    <row r="1987" spans="1:8" x14ac:dyDescent="0.25">
      <c r="A1987" s="8" t="s">
        <v>6617</v>
      </c>
      <c r="B1987" s="8" t="s">
        <v>14201</v>
      </c>
      <c r="C1987" s="2">
        <v>46224.416666666664</v>
      </c>
      <c r="D1987" s="8" t="s">
        <v>13935</v>
      </c>
      <c r="E1987" s="8" t="s">
        <v>18</v>
      </c>
      <c r="F1987">
        <v>6</v>
      </c>
      <c r="G1987" s="2">
        <v>46224.75</v>
      </c>
      <c r="H1987" s="2">
        <v>46224.583333333336</v>
      </c>
    </row>
    <row r="1988" spans="1:8" x14ac:dyDescent="0.25">
      <c r="A1988" s="8" t="s">
        <v>6620</v>
      </c>
      <c r="B1988" s="8" t="s">
        <v>14201</v>
      </c>
      <c r="C1988" s="2">
        <v>46224.416666666664</v>
      </c>
      <c r="D1988" s="8" t="s">
        <v>13935</v>
      </c>
      <c r="E1988" s="8" t="s">
        <v>20</v>
      </c>
      <c r="F1988">
        <v>7</v>
      </c>
      <c r="G1988" s="2">
        <v>46224.75</v>
      </c>
      <c r="H1988" s="2">
        <v>46224.583333333336</v>
      </c>
    </row>
    <row r="1989" spans="1:8" x14ac:dyDescent="0.25">
      <c r="A1989" s="8" t="s">
        <v>6623</v>
      </c>
      <c r="B1989" s="8" t="s">
        <v>14201</v>
      </c>
      <c r="C1989" s="2">
        <v>46224.416666666664</v>
      </c>
      <c r="D1989" s="8" t="s">
        <v>13935</v>
      </c>
      <c r="E1989" s="8" t="s">
        <v>22</v>
      </c>
      <c r="F1989">
        <v>7</v>
      </c>
      <c r="G1989" s="2">
        <v>46224.75</v>
      </c>
      <c r="H1989" s="2">
        <v>46224.583333333336</v>
      </c>
    </row>
    <row r="1990" spans="1:8" x14ac:dyDescent="0.25">
      <c r="A1990" s="8" t="s">
        <v>6626</v>
      </c>
      <c r="B1990" s="8" t="s">
        <v>14201</v>
      </c>
      <c r="C1990" s="2">
        <v>46224.416666666664</v>
      </c>
      <c r="D1990" s="8" t="s">
        <v>13935</v>
      </c>
      <c r="E1990" s="8" t="s">
        <v>26</v>
      </c>
      <c r="F1990">
        <v>4</v>
      </c>
      <c r="G1990" s="2">
        <v>46224.75</v>
      </c>
      <c r="H1990" s="2">
        <v>46224.583333333336</v>
      </c>
    </row>
    <row r="1991" spans="1:8" x14ac:dyDescent="0.25">
      <c r="A1991" s="8" t="s">
        <v>6629</v>
      </c>
      <c r="B1991" s="8" t="s">
        <v>14201</v>
      </c>
      <c r="C1991" s="2">
        <v>46224.416666666664</v>
      </c>
      <c r="D1991" s="8" t="s">
        <v>13935</v>
      </c>
      <c r="E1991" s="8" t="s">
        <v>47</v>
      </c>
      <c r="F1991">
        <v>1</v>
      </c>
      <c r="G1991" s="2">
        <v>46224.75</v>
      </c>
      <c r="H1991" s="2">
        <v>46224.583333333336</v>
      </c>
    </row>
    <row r="1992" spans="1:8" x14ac:dyDescent="0.25">
      <c r="A1992" s="8" t="s">
        <v>6632</v>
      </c>
      <c r="B1992" s="8" t="s">
        <v>14201</v>
      </c>
      <c r="C1992" s="2">
        <v>46224.416666666664</v>
      </c>
      <c r="D1992" s="8" t="s">
        <v>13935</v>
      </c>
      <c r="E1992" s="8" t="s">
        <v>49</v>
      </c>
      <c r="F1992">
        <v>7</v>
      </c>
      <c r="G1992" s="2">
        <v>46224.75</v>
      </c>
      <c r="H1992" s="2">
        <v>46224.583333333336</v>
      </c>
    </row>
    <row r="1993" spans="1:8" x14ac:dyDescent="0.25">
      <c r="A1993" s="8" t="s">
        <v>6635</v>
      </c>
      <c r="B1993" s="8" t="s">
        <v>14201</v>
      </c>
      <c r="C1993" s="2">
        <v>46224.416666666664</v>
      </c>
      <c r="D1993" s="8" t="s">
        <v>13935</v>
      </c>
      <c r="E1993" s="8" t="s">
        <v>73</v>
      </c>
      <c r="F1993">
        <v>3</v>
      </c>
      <c r="G1993" s="2">
        <v>46224.75</v>
      </c>
      <c r="H1993" s="2">
        <v>46224.583333333336</v>
      </c>
    </row>
    <row r="1994" spans="1:8" x14ac:dyDescent="0.25">
      <c r="A1994" s="8" t="s">
        <v>14202</v>
      </c>
      <c r="B1994" s="8" t="s">
        <v>14203</v>
      </c>
      <c r="C1994" s="2">
        <v>46224.416666666664</v>
      </c>
      <c r="D1994" s="8" t="s">
        <v>13937</v>
      </c>
      <c r="E1994" s="8" t="s">
        <v>11</v>
      </c>
      <c r="F1994">
        <v>1</v>
      </c>
      <c r="G1994" s="2">
        <v>46224.75</v>
      </c>
      <c r="H1994" s="2"/>
    </row>
    <row r="1995" spans="1:8" x14ac:dyDescent="0.25">
      <c r="A1995" s="8" t="s">
        <v>6638</v>
      </c>
      <c r="B1995" s="8" t="s">
        <v>14203</v>
      </c>
      <c r="C1995" s="2">
        <v>46224.416666666664</v>
      </c>
      <c r="D1995" s="8" t="s">
        <v>13937</v>
      </c>
      <c r="E1995" s="8" t="s">
        <v>18</v>
      </c>
      <c r="F1995">
        <v>4</v>
      </c>
      <c r="G1995" s="2">
        <v>46224.75</v>
      </c>
      <c r="H1995" s="2">
        <v>46224.583333333336</v>
      </c>
    </row>
    <row r="1996" spans="1:8" x14ac:dyDescent="0.25">
      <c r="A1996" s="8" t="s">
        <v>6641</v>
      </c>
      <c r="B1996" s="8" t="s">
        <v>14203</v>
      </c>
      <c r="C1996" s="2">
        <v>46224.416666666664</v>
      </c>
      <c r="D1996" s="8" t="s">
        <v>13937</v>
      </c>
      <c r="E1996" s="8" t="s">
        <v>20</v>
      </c>
      <c r="F1996">
        <v>2</v>
      </c>
      <c r="G1996" s="2">
        <v>46224.75</v>
      </c>
      <c r="H1996" s="2">
        <v>46224.583333333336</v>
      </c>
    </row>
    <row r="1997" spans="1:8" x14ac:dyDescent="0.25">
      <c r="A1997" s="8" t="s">
        <v>6644</v>
      </c>
      <c r="B1997" s="8" t="s">
        <v>14203</v>
      </c>
      <c r="C1997" s="2">
        <v>46224.416666666664</v>
      </c>
      <c r="D1997" s="8" t="s">
        <v>13937</v>
      </c>
      <c r="E1997" s="8" t="s">
        <v>24</v>
      </c>
      <c r="F1997">
        <v>1</v>
      </c>
      <c r="G1997" s="2">
        <v>46224.75</v>
      </c>
      <c r="H1997" s="2">
        <v>46224.583333333336</v>
      </c>
    </row>
    <row r="1998" spans="1:8" x14ac:dyDescent="0.25">
      <c r="A1998" s="8" t="s">
        <v>6647</v>
      </c>
      <c r="B1998" s="8" t="s">
        <v>14203</v>
      </c>
      <c r="C1998" s="2">
        <v>46224.416666666664</v>
      </c>
      <c r="D1998" s="8" t="s">
        <v>13937</v>
      </c>
      <c r="E1998" s="8" t="s">
        <v>26</v>
      </c>
      <c r="F1998">
        <v>3</v>
      </c>
      <c r="G1998" s="2">
        <v>46224.75</v>
      </c>
      <c r="H1998" s="2">
        <v>46224.583333333336</v>
      </c>
    </row>
    <row r="1999" spans="1:8" x14ac:dyDescent="0.25">
      <c r="A1999" s="8" t="s">
        <v>6650</v>
      </c>
      <c r="B1999" s="8" t="s">
        <v>14203</v>
      </c>
      <c r="C1999" s="2">
        <v>46224.416666666664</v>
      </c>
      <c r="D1999" s="8" t="s">
        <v>13937</v>
      </c>
      <c r="E1999" s="8" t="s">
        <v>30</v>
      </c>
      <c r="F1999">
        <v>3</v>
      </c>
      <c r="G1999" s="2">
        <v>46224.75</v>
      </c>
      <c r="H1999" s="2">
        <v>46224.583333333336</v>
      </c>
    </row>
    <row r="2000" spans="1:8" x14ac:dyDescent="0.25">
      <c r="A2000" s="8" t="s">
        <v>6653</v>
      </c>
      <c r="B2000" s="8" t="s">
        <v>14203</v>
      </c>
      <c r="C2000" s="2">
        <v>46224.416666666664</v>
      </c>
      <c r="D2000" s="8" t="s">
        <v>13937</v>
      </c>
      <c r="E2000" s="8" t="s">
        <v>41</v>
      </c>
      <c r="F2000">
        <v>4</v>
      </c>
      <c r="G2000" s="2">
        <v>46224.75</v>
      </c>
      <c r="H2000" s="2">
        <v>46224.583333333336</v>
      </c>
    </row>
    <row r="2001" spans="1:8" x14ac:dyDescent="0.25">
      <c r="A2001" s="8" t="s">
        <v>6656</v>
      </c>
      <c r="B2001" s="8" t="s">
        <v>14203</v>
      </c>
      <c r="C2001" s="2">
        <v>46224.416666666664</v>
      </c>
      <c r="D2001" s="8" t="s">
        <v>13937</v>
      </c>
      <c r="E2001" s="8" t="s">
        <v>55</v>
      </c>
      <c r="F2001">
        <v>1</v>
      </c>
      <c r="G2001" s="2">
        <v>46224.75</v>
      </c>
      <c r="H2001" s="2">
        <v>46224.583333333336</v>
      </c>
    </row>
    <row r="2002" spans="1:8" x14ac:dyDescent="0.25">
      <c r="A2002" s="8" t="s">
        <v>6659</v>
      </c>
      <c r="B2002" s="8" t="s">
        <v>14203</v>
      </c>
      <c r="C2002" s="2">
        <v>46224.416666666664</v>
      </c>
      <c r="D2002" s="8" t="s">
        <v>13937</v>
      </c>
      <c r="E2002" s="8" t="s">
        <v>57</v>
      </c>
      <c r="F2002">
        <v>1</v>
      </c>
      <c r="G2002" s="2">
        <v>46224.75</v>
      </c>
      <c r="H2002" s="2">
        <v>46224.583333333336</v>
      </c>
    </row>
    <row r="2003" spans="1:8" x14ac:dyDescent="0.25">
      <c r="A2003" s="8" t="s">
        <v>6662</v>
      </c>
      <c r="B2003" s="8" t="s">
        <v>14203</v>
      </c>
      <c r="C2003" s="2">
        <v>46224.416666666664</v>
      </c>
      <c r="D2003" s="8" t="s">
        <v>13937</v>
      </c>
      <c r="E2003" s="8" t="s">
        <v>59</v>
      </c>
      <c r="F2003">
        <v>2</v>
      </c>
      <c r="G2003" s="2">
        <v>46224.75</v>
      </c>
      <c r="H2003" s="2">
        <v>46224.583333333336</v>
      </c>
    </row>
    <row r="2004" spans="1:8" x14ac:dyDescent="0.25">
      <c r="A2004" s="8" t="s">
        <v>6665</v>
      </c>
      <c r="B2004" s="8" t="s">
        <v>14203</v>
      </c>
      <c r="C2004" s="2">
        <v>46224.416666666664</v>
      </c>
      <c r="D2004" s="8" t="s">
        <v>13937</v>
      </c>
      <c r="E2004" s="8" t="s">
        <v>67</v>
      </c>
      <c r="F2004">
        <v>1</v>
      </c>
      <c r="G2004" s="2">
        <v>46224.75</v>
      </c>
      <c r="H2004" s="2">
        <v>46224.583333333336</v>
      </c>
    </row>
    <row r="2005" spans="1:8" x14ac:dyDescent="0.25">
      <c r="A2005" s="8" t="s">
        <v>6668</v>
      </c>
      <c r="B2005" s="8" t="s">
        <v>14203</v>
      </c>
      <c r="C2005" s="2">
        <v>46224.416666666664</v>
      </c>
      <c r="D2005" s="8" t="s">
        <v>13937</v>
      </c>
      <c r="E2005" s="8" t="s">
        <v>77</v>
      </c>
      <c r="F2005">
        <v>4</v>
      </c>
      <c r="G2005" s="2">
        <v>46224.75</v>
      </c>
      <c r="H2005" s="2">
        <v>46224.583333333336</v>
      </c>
    </row>
    <row r="2006" spans="1:8" x14ac:dyDescent="0.25">
      <c r="A2006" s="8" t="s">
        <v>14204</v>
      </c>
      <c r="B2006" s="8" t="s">
        <v>14205</v>
      </c>
      <c r="C2006" s="2">
        <v>46225.416666666664</v>
      </c>
      <c r="D2006" s="8" t="s">
        <v>13929</v>
      </c>
      <c r="E2006" s="8" t="s">
        <v>11</v>
      </c>
      <c r="F2006">
        <v>2</v>
      </c>
      <c r="G2006" s="2">
        <v>46225.75</v>
      </c>
      <c r="H2006" s="2"/>
    </row>
    <row r="2007" spans="1:8" x14ac:dyDescent="0.25">
      <c r="A2007" s="8" t="s">
        <v>6671</v>
      </c>
      <c r="B2007" s="8" t="s">
        <v>14205</v>
      </c>
      <c r="C2007" s="2">
        <v>46225.416666666664</v>
      </c>
      <c r="D2007" s="8" t="s">
        <v>13929</v>
      </c>
      <c r="E2007" s="8" t="s">
        <v>18</v>
      </c>
      <c r="F2007">
        <v>2</v>
      </c>
      <c r="G2007" s="2">
        <v>46225.75</v>
      </c>
      <c r="H2007" s="2">
        <v>46225.583333333336</v>
      </c>
    </row>
    <row r="2008" spans="1:8" x14ac:dyDescent="0.25">
      <c r="A2008" s="8" t="s">
        <v>6674</v>
      </c>
      <c r="B2008" s="8" t="s">
        <v>14205</v>
      </c>
      <c r="C2008" s="2">
        <v>46225.416666666664</v>
      </c>
      <c r="D2008" s="8" t="s">
        <v>13929</v>
      </c>
      <c r="E2008" s="8" t="s">
        <v>20</v>
      </c>
      <c r="F2008">
        <v>4</v>
      </c>
      <c r="G2008" s="2">
        <v>46225.75</v>
      </c>
      <c r="H2008" s="2">
        <v>46225.583333333336</v>
      </c>
    </row>
    <row r="2009" spans="1:8" x14ac:dyDescent="0.25">
      <c r="A2009" s="8" t="s">
        <v>6677</v>
      </c>
      <c r="B2009" s="8" t="s">
        <v>14205</v>
      </c>
      <c r="C2009" s="2">
        <v>46225.416666666664</v>
      </c>
      <c r="D2009" s="8" t="s">
        <v>13929</v>
      </c>
      <c r="E2009" s="8" t="s">
        <v>22</v>
      </c>
      <c r="F2009">
        <v>2</v>
      </c>
      <c r="G2009" s="2">
        <v>46225.75</v>
      </c>
      <c r="H2009" s="2">
        <v>46225.583333333336</v>
      </c>
    </row>
    <row r="2010" spans="1:8" x14ac:dyDescent="0.25">
      <c r="A2010" s="8" t="s">
        <v>6680</v>
      </c>
      <c r="B2010" s="8" t="s">
        <v>14205</v>
      </c>
      <c r="C2010" s="2">
        <v>46225.416666666664</v>
      </c>
      <c r="D2010" s="8" t="s">
        <v>13929</v>
      </c>
      <c r="E2010" s="8" t="s">
        <v>24</v>
      </c>
      <c r="F2010">
        <v>3</v>
      </c>
      <c r="G2010" s="2">
        <v>46225.75</v>
      </c>
      <c r="H2010" s="2">
        <v>46225.583333333336</v>
      </c>
    </row>
    <row r="2011" spans="1:8" x14ac:dyDescent="0.25">
      <c r="A2011" s="8" t="s">
        <v>6683</v>
      </c>
      <c r="B2011" s="8" t="s">
        <v>14205</v>
      </c>
      <c r="C2011" s="2">
        <v>46225.416666666664</v>
      </c>
      <c r="D2011" s="8" t="s">
        <v>13929</v>
      </c>
      <c r="E2011" s="8" t="s">
        <v>41</v>
      </c>
      <c r="F2011">
        <v>1</v>
      </c>
      <c r="G2011" s="2">
        <v>46225.75</v>
      </c>
      <c r="H2011" s="2">
        <v>46225.583333333336</v>
      </c>
    </row>
    <row r="2012" spans="1:8" x14ac:dyDescent="0.25">
      <c r="A2012" s="8" t="s">
        <v>6686</v>
      </c>
      <c r="B2012" s="8" t="s">
        <v>14205</v>
      </c>
      <c r="C2012" s="2">
        <v>46225.416666666664</v>
      </c>
      <c r="D2012" s="8" t="s">
        <v>13929</v>
      </c>
      <c r="E2012" s="8" t="s">
        <v>55</v>
      </c>
      <c r="F2012">
        <v>4</v>
      </c>
      <c r="G2012" s="2">
        <v>46225.75</v>
      </c>
      <c r="H2012" s="2">
        <v>46225.583333333336</v>
      </c>
    </row>
    <row r="2013" spans="1:8" x14ac:dyDescent="0.25">
      <c r="A2013" s="8" t="s">
        <v>6689</v>
      </c>
      <c r="B2013" s="8" t="s">
        <v>14205</v>
      </c>
      <c r="C2013" s="2">
        <v>46225.416666666664</v>
      </c>
      <c r="D2013" s="8" t="s">
        <v>13929</v>
      </c>
      <c r="E2013" s="8" t="s">
        <v>69</v>
      </c>
      <c r="F2013">
        <v>4</v>
      </c>
      <c r="G2013" s="2">
        <v>46225.75</v>
      </c>
      <c r="H2013" s="2">
        <v>46225.583333333336</v>
      </c>
    </row>
    <row r="2014" spans="1:8" x14ac:dyDescent="0.25">
      <c r="A2014" s="8" t="s">
        <v>14206</v>
      </c>
      <c r="B2014" s="8" t="s">
        <v>14207</v>
      </c>
      <c r="C2014" s="2">
        <v>46225.416666666664</v>
      </c>
      <c r="D2014" s="8" t="s">
        <v>13931</v>
      </c>
      <c r="E2014" s="8" t="s">
        <v>11</v>
      </c>
      <c r="F2014">
        <v>5</v>
      </c>
      <c r="G2014" s="2">
        <v>46225.75</v>
      </c>
      <c r="H2014" s="2"/>
    </row>
    <row r="2015" spans="1:8" x14ac:dyDescent="0.25">
      <c r="A2015" s="8" t="s">
        <v>6692</v>
      </c>
      <c r="B2015" s="8" t="s">
        <v>14207</v>
      </c>
      <c r="C2015" s="2">
        <v>46225.416666666664</v>
      </c>
      <c r="D2015" s="8" t="s">
        <v>13931</v>
      </c>
      <c r="E2015" s="8" t="s">
        <v>18</v>
      </c>
      <c r="F2015">
        <v>3</v>
      </c>
      <c r="G2015" s="2">
        <v>46225.75</v>
      </c>
      <c r="H2015" s="2">
        <v>46225.583333333336</v>
      </c>
    </row>
    <row r="2016" spans="1:8" x14ac:dyDescent="0.25">
      <c r="A2016" s="8" t="s">
        <v>6695</v>
      </c>
      <c r="B2016" s="8" t="s">
        <v>14207</v>
      </c>
      <c r="C2016" s="2">
        <v>46225.416666666664</v>
      </c>
      <c r="D2016" s="8" t="s">
        <v>13931</v>
      </c>
      <c r="E2016" s="8" t="s">
        <v>20</v>
      </c>
      <c r="F2016">
        <v>2</v>
      </c>
      <c r="G2016" s="2">
        <v>46225.75</v>
      </c>
      <c r="H2016" s="2">
        <v>46225.583333333336</v>
      </c>
    </row>
    <row r="2017" spans="1:8" x14ac:dyDescent="0.25">
      <c r="A2017" s="8" t="s">
        <v>6698</v>
      </c>
      <c r="B2017" s="8" t="s">
        <v>14207</v>
      </c>
      <c r="C2017" s="2">
        <v>46225.416666666664</v>
      </c>
      <c r="D2017" s="8" t="s">
        <v>13931</v>
      </c>
      <c r="E2017" s="8" t="s">
        <v>22</v>
      </c>
      <c r="F2017">
        <v>4</v>
      </c>
      <c r="G2017" s="2">
        <v>46225.75</v>
      </c>
      <c r="H2017" s="2">
        <v>46225.583333333336</v>
      </c>
    </row>
    <row r="2018" spans="1:8" x14ac:dyDescent="0.25">
      <c r="A2018" s="8" t="s">
        <v>6701</v>
      </c>
      <c r="B2018" s="8" t="s">
        <v>14207</v>
      </c>
      <c r="C2018" s="2">
        <v>46225.416666666664</v>
      </c>
      <c r="D2018" s="8" t="s">
        <v>13931</v>
      </c>
      <c r="E2018" s="8" t="s">
        <v>24</v>
      </c>
      <c r="F2018">
        <v>1</v>
      </c>
      <c r="G2018" s="2">
        <v>46225.75</v>
      </c>
      <c r="H2018" s="2">
        <v>46225.583333333336</v>
      </c>
    </row>
    <row r="2019" spans="1:8" x14ac:dyDescent="0.25">
      <c r="A2019" s="8" t="s">
        <v>6704</v>
      </c>
      <c r="B2019" s="8" t="s">
        <v>14207</v>
      </c>
      <c r="C2019" s="2">
        <v>46225.416666666664</v>
      </c>
      <c r="D2019" s="8" t="s">
        <v>13931</v>
      </c>
      <c r="E2019" s="8" t="s">
        <v>26</v>
      </c>
      <c r="F2019">
        <v>5</v>
      </c>
      <c r="G2019" s="2">
        <v>46225.75</v>
      </c>
      <c r="H2019" s="2">
        <v>46225.583333333336</v>
      </c>
    </row>
    <row r="2020" spans="1:8" x14ac:dyDescent="0.25">
      <c r="A2020" s="8" t="s">
        <v>6707</v>
      </c>
      <c r="B2020" s="8" t="s">
        <v>14207</v>
      </c>
      <c r="C2020" s="2">
        <v>46225.416666666664</v>
      </c>
      <c r="D2020" s="8" t="s">
        <v>13931</v>
      </c>
      <c r="E2020" s="8" t="s">
        <v>45</v>
      </c>
      <c r="F2020">
        <v>3</v>
      </c>
      <c r="G2020" s="2">
        <v>46225.75</v>
      </c>
      <c r="H2020" s="2">
        <v>46225.583333333336</v>
      </c>
    </row>
    <row r="2021" spans="1:8" x14ac:dyDescent="0.25">
      <c r="A2021" s="8" t="s">
        <v>6710</v>
      </c>
      <c r="B2021" s="8" t="s">
        <v>14207</v>
      </c>
      <c r="C2021" s="2">
        <v>46225.416666666664</v>
      </c>
      <c r="D2021" s="8" t="s">
        <v>13931</v>
      </c>
      <c r="E2021" s="8" t="s">
        <v>47</v>
      </c>
      <c r="F2021">
        <v>2</v>
      </c>
      <c r="G2021" s="2">
        <v>46225.75</v>
      </c>
      <c r="H2021" s="2">
        <v>46225.583333333336</v>
      </c>
    </row>
    <row r="2022" spans="1:8" x14ac:dyDescent="0.25">
      <c r="A2022" s="8" t="s">
        <v>6713</v>
      </c>
      <c r="B2022" s="8" t="s">
        <v>14207</v>
      </c>
      <c r="C2022" s="2">
        <v>46225.416666666664</v>
      </c>
      <c r="D2022" s="8" t="s">
        <v>13931</v>
      </c>
      <c r="E2022" s="8" t="s">
        <v>49</v>
      </c>
      <c r="F2022">
        <v>2</v>
      </c>
      <c r="G2022" s="2">
        <v>46225.75</v>
      </c>
      <c r="H2022" s="2">
        <v>46225.583333333336</v>
      </c>
    </row>
    <row r="2023" spans="1:8" x14ac:dyDescent="0.25">
      <c r="A2023" s="8" t="s">
        <v>6716</v>
      </c>
      <c r="B2023" s="8" t="s">
        <v>14207</v>
      </c>
      <c r="C2023" s="2">
        <v>46225.416666666664</v>
      </c>
      <c r="D2023" s="8" t="s">
        <v>13931</v>
      </c>
      <c r="E2023" s="8" t="s">
        <v>59</v>
      </c>
      <c r="F2023">
        <v>3</v>
      </c>
      <c r="G2023" s="2">
        <v>46225.75</v>
      </c>
      <c r="H2023" s="2">
        <v>46225.583333333336</v>
      </c>
    </row>
    <row r="2024" spans="1:8" x14ac:dyDescent="0.25">
      <c r="A2024" s="8" t="s">
        <v>6719</v>
      </c>
      <c r="B2024" s="8" t="s">
        <v>14207</v>
      </c>
      <c r="C2024" s="2">
        <v>46225.416666666664</v>
      </c>
      <c r="D2024" s="8" t="s">
        <v>13931</v>
      </c>
      <c r="E2024" s="8" t="s">
        <v>67</v>
      </c>
      <c r="F2024">
        <v>1</v>
      </c>
      <c r="G2024" s="2">
        <v>46225.75</v>
      </c>
      <c r="H2024" s="2">
        <v>46225.583333333336</v>
      </c>
    </row>
    <row r="2025" spans="1:8" x14ac:dyDescent="0.25">
      <c r="A2025" s="8" t="s">
        <v>14208</v>
      </c>
      <c r="B2025" s="8" t="s">
        <v>14209</v>
      </c>
      <c r="C2025" s="2">
        <v>46225.416666666664</v>
      </c>
      <c r="D2025" s="8" t="s">
        <v>13933</v>
      </c>
      <c r="E2025" s="8" t="s">
        <v>11</v>
      </c>
      <c r="F2025">
        <v>5</v>
      </c>
      <c r="G2025" s="2">
        <v>46225.75</v>
      </c>
      <c r="H2025" s="2"/>
    </row>
    <row r="2026" spans="1:8" x14ac:dyDescent="0.25">
      <c r="A2026" s="8" t="s">
        <v>6722</v>
      </c>
      <c r="B2026" s="8" t="s">
        <v>14209</v>
      </c>
      <c r="C2026" s="2">
        <v>46225.416666666664</v>
      </c>
      <c r="D2026" s="8" t="s">
        <v>13933</v>
      </c>
      <c r="E2026" s="8" t="s">
        <v>20</v>
      </c>
      <c r="F2026">
        <v>4</v>
      </c>
      <c r="G2026" s="2">
        <v>46225.75</v>
      </c>
      <c r="H2026" s="2">
        <v>46225.583333333336</v>
      </c>
    </row>
    <row r="2027" spans="1:8" x14ac:dyDescent="0.25">
      <c r="A2027" s="8" t="s">
        <v>6725</v>
      </c>
      <c r="B2027" s="8" t="s">
        <v>14209</v>
      </c>
      <c r="C2027" s="2">
        <v>46225.416666666664</v>
      </c>
      <c r="D2027" s="8" t="s">
        <v>13933</v>
      </c>
      <c r="E2027" s="8" t="s">
        <v>22</v>
      </c>
      <c r="F2027">
        <v>2</v>
      </c>
      <c r="G2027" s="2">
        <v>46225.75</v>
      </c>
      <c r="H2027" s="2">
        <v>46225.583333333336</v>
      </c>
    </row>
    <row r="2028" spans="1:8" x14ac:dyDescent="0.25">
      <c r="A2028" s="8" t="s">
        <v>6728</v>
      </c>
      <c r="B2028" s="8" t="s">
        <v>14209</v>
      </c>
      <c r="C2028" s="2">
        <v>46225.416666666664</v>
      </c>
      <c r="D2028" s="8" t="s">
        <v>13933</v>
      </c>
      <c r="E2028" s="8" t="s">
        <v>24</v>
      </c>
      <c r="F2028">
        <v>5</v>
      </c>
      <c r="G2028" s="2">
        <v>46225.75</v>
      </c>
      <c r="H2028" s="2">
        <v>46225.583333333336</v>
      </c>
    </row>
    <row r="2029" spans="1:8" x14ac:dyDescent="0.25">
      <c r="A2029" s="8" t="s">
        <v>6731</v>
      </c>
      <c r="B2029" s="8" t="s">
        <v>14209</v>
      </c>
      <c r="C2029" s="2">
        <v>46225.416666666664</v>
      </c>
      <c r="D2029" s="8" t="s">
        <v>13933</v>
      </c>
      <c r="E2029" s="8" t="s">
        <v>26</v>
      </c>
      <c r="F2029">
        <v>6</v>
      </c>
      <c r="G2029" s="2">
        <v>46225.75</v>
      </c>
      <c r="H2029" s="2">
        <v>46225.583333333336</v>
      </c>
    </row>
    <row r="2030" spans="1:8" x14ac:dyDescent="0.25">
      <c r="A2030" s="8" t="s">
        <v>6734</v>
      </c>
      <c r="B2030" s="8" t="s">
        <v>14209</v>
      </c>
      <c r="C2030" s="2">
        <v>46225.416666666664</v>
      </c>
      <c r="D2030" s="8" t="s">
        <v>13933</v>
      </c>
      <c r="E2030" s="8" t="s">
        <v>45</v>
      </c>
      <c r="F2030">
        <v>2</v>
      </c>
      <c r="G2030" s="2">
        <v>46225.75</v>
      </c>
      <c r="H2030" s="2">
        <v>46225.583333333336</v>
      </c>
    </row>
    <row r="2031" spans="1:8" x14ac:dyDescent="0.25">
      <c r="A2031" s="8" t="s">
        <v>6737</v>
      </c>
      <c r="B2031" s="8" t="s">
        <v>14209</v>
      </c>
      <c r="C2031" s="2">
        <v>46225.416666666664</v>
      </c>
      <c r="D2031" s="8" t="s">
        <v>13933</v>
      </c>
      <c r="E2031" s="8" t="s">
        <v>51</v>
      </c>
      <c r="F2031">
        <v>6</v>
      </c>
      <c r="G2031" s="2">
        <v>46225.75</v>
      </c>
      <c r="H2031" s="2">
        <v>46225.583333333336</v>
      </c>
    </row>
    <row r="2032" spans="1:8" x14ac:dyDescent="0.25">
      <c r="A2032" s="8" t="s">
        <v>6740</v>
      </c>
      <c r="B2032" s="8" t="s">
        <v>14209</v>
      </c>
      <c r="C2032" s="2">
        <v>46225.416666666664</v>
      </c>
      <c r="D2032" s="8" t="s">
        <v>13933</v>
      </c>
      <c r="E2032" s="8" t="s">
        <v>53</v>
      </c>
      <c r="F2032">
        <v>2</v>
      </c>
      <c r="G2032" s="2">
        <v>46225.75</v>
      </c>
      <c r="H2032" s="2">
        <v>46225.583333333336</v>
      </c>
    </row>
    <row r="2033" spans="1:8" x14ac:dyDescent="0.25">
      <c r="A2033" s="8" t="s">
        <v>6743</v>
      </c>
      <c r="B2033" s="8" t="s">
        <v>14209</v>
      </c>
      <c r="C2033" s="2">
        <v>46225.416666666664</v>
      </c>
      <c r="D2033" s="8" t="s">
        <v>13933</v>
      </c>
      <c r="E2033" s="8" t="s">
        <v>59</v>
      </c>
      <c r="F2033">
        <v>1</v>
      </c>
      <c r="G2033" s="2">
        <v>46225.75</v>
      </c>
      <c r="H2033" s="2">
        <v>46225.583333333336</v>
      </c>
    </row>
    <row r="2034" spans="1:8" x14ac:dyDescent="0.25">
      <c r="A2034" s="8" t="s">
        <v>6746</v>
      </c>
      <c r="B2034" s="8" t="s">
        <v>14209</v>
      </c>
      <c r="C2034" s="2">
        <v>46225.416666666664</v>
      </c>
      <c r="D2034" s="8" t="s">
        <v>13933</v>
      </c>
      <c r="E2034" s="8" t="s">
        <v>67</v>
      </c>
      <c r="F2034">
        <v>6</v>
      </c>
      <c r="G2034" s="2">
        <v>46225.75</v>
      </c>
      <c r="H2034" s="2">
        <v>46225.583333333336</v>
      </c>
    </row>
    <row r="2035" spans="1:8" x14ac:dyDescent="0.25">
      <c r="A2035" s="8" t="s">
        <v>6749</v>
      </c>
      <c r="B2035" s="8" t="s">
        <v>14209</v>
      </c>
      <c r="C2035" s="2">
        <v>46225.416666666664</v>
      </c>
      <c r="D2035" s="8" t="s">
        <v>13933</v>
      </c>
      <c r="E2035" s="8" t="s">
        <v>77</v>
      </c>
      <c r="F2035">
        <v>6</v>
      </c>
      <c r="G2035" s="2">
        <v>46225.75</v>
      </c>
      <c r="H2035" s="2">
        <v>46225.583333333336</v>
      </c>
    </row>
    <row r="2036" spans="1:8" x14ac:dyDescent="0.25">
      <c r="A2036" s="8" t="s">
        <v>6752</v>
      </c>
      <c r="B2036" s="8" t="s">
        <v>14210</v>
      </c>
      <c r="C2036" s="2">
        <v>46225.416666666664</v>
      </c>
      <c r="D2036" s="8" t="s">
        <v>13935</v>
      </c>
      <c r="E2036" s="8" t="s">
        <v>18</v>
      </c>
      <c r="F2036">
        <v>3</v>
      </c>
      <c r="G2036" s="2">
        <v>46225.75</v>
      </c>
      <c r="H2036" s="2">
        <v>46225.583333333336</v>
      </c>
    </row>
    <row r="2037" spans="1:8" x14ac:dyDescent="0.25">
      <c r="A2037" s="8" t="s">
        <v>6755</v>
      </c>
      <c r="B2037" s="8" t="s">
        <v>14210</v>
      </c>
      <c r="C2037" s="2">
        <v>46225.416666666664</v>
      </c>
      <c r="D2037" s="8" t="s">
        <v>13935</v>
      </c>
      <c r="E2037" s="8" t="s">
        <v>20</v>
      </c>
      <c r="F2037">
        <v>6</v>
      </c>
      <c r="G2037" s="2">
        <v>46225.75</v>
      </c>
      <c r="H2037" s="2">
        <v>46225.583333333336</v>
      </c>
    </row>
    <row r="2038" spans="1:8" x14ac:dyDescent="0.25">
      <c r="A2038" s="8" t="s">
        <v>6758</v>
      </c>
      <c r="B2038" s="8" t="s">
        <v>14210</v>
      </c>
      <c r="C2038" s="2">
        <v>46225.416666666664</v>
      </c>
      <c r="D2038" s="8" t="s">
        <v>13935</v>
      </c>
      <c r="E2038" s="8" t="s">
        <v>22</v>
      </c>
      <c r="F2038">
        <v>7</v>
      </c>
      <c r="G2038" s="2">
        <v>46225.75</v>
      </c>
      <c r="H2038" s="2">
        <v>46225.583333333336</v>
      </c>
    </row>
    <row r="2039" spans="1:8" x14ac:dyDescent="0.25">
      <c r="A2039" s="8" t="s">
        <v>6761</v>
      </c>
      <c r="B2039" s="8" t="s">
        <v>14210</v>
      </c>
      <c r="C2039" s="2">
        <v>46225.416666666664</v>
      </c>
      <c r="D2039" s="8" t="s">
        <v>13935</v>
      </c>
      <c r="E2039" s="8" t="s">
        <v>24</v>
      </c>
      <c r="F2039">
        <v>3</v>
      </c>
      <c r="G2039" s="2">
        <v>46225.75</v>
      </c>
      <c r="H2039" s="2">
        <v>46225.583333333336</v>
      </c>
    </row>
    <row r="2040" spans="1:8" x14ac:dyDescent="0.25">
      <c r="A2040" s="8" t="s">
        <v>6764</v>
      </c>
      <c r="B2040" s="8" t="s">
        <v>14210</v>
      </c>
      <c r="C2040" s="2">
        <v>46225.416666666664</v>
      </c>
      <c r="D2040" s="8" t="s">
        <v>13935</v>
      </c>
      <c r="E2040" s="8" t="s">
        <v>26</v>
      </c>
      <c r="F2040">
        <v>6</v>
      </c>
      <c r="G2040" s="2">
        <v>46225.75</v>
      </c>
      <c r="H2040" s="2">
        <v>46225.583333333336</v>
      </c>
    </row>
    <row r="2041" spans="1:8" x14ac:dyDescent="0.25">
      <c r="A2041" s="8" t="s">
        <v>6767</v>
      </c>
      <c r="B2041" s="8" t="s">
        <v>14210</v>
      </c>
      <c r="C2041" s="2">
        <v>46225.416666666664</v>
      </c>
      <c r="D2041" s="8" t="s">
        <v>13935</v>
      </c>
      <c r="E2041" s="8" t="s">
        <v>32</v>
      </c>
      <c r="F2041">
        <v>6</v>
      </c>
      <c r="G2041" s="2">
        <v>46225.75</v>
      </c>
      <c r="H2041" s="2">
        <v>46225.583333333336</v>
      </c>
    </row>
    <row r="2042" spans="1:8" x14ac:dyDescent="0.25">
      <c r="A2042" s="8" t="s">
        <v>6770</v>
      </c>
      <c r="B2042" s="8" t="s">
        <v>14210</v>
      </c>
      <c r="C2042" s="2">
        <v>46225.416666666664</v>
      </c>
      <c r="D2042" s="8" t="s">
        <v>13935</v>
      </c>
      <c r="E2042" s="8" t="s">
        <v>45</v>
      </c>
      <c r="F2042">
        <v>4</v>
      </c>
      <c r="G2042" s="2">
        <v>46225.75</v>
      </c>
      <c r="H2042" s="2">
        <v>46225.583333333336</v>
      </c>
    </row>
    <row r="2043" spans="1:8" x14ac:dyDescent="0.25">
      <c r="A2043" s="8" t="s">
        <v>6773</v>
      </c>
      <c r="B2043" s="8" t="s">
        <v>14210</v>
      </c>
      <c r="C2043" s="2">
        <v>46225.416666666664</v>
      </c>
      <c r="D2043" s="8" t="s">
        <v>13935</v>
      </c>
      <c r="E2043" s="8" t="s">
        <v>47</v>
      </c>
      <c r="F2043">
        <v>6</v>
      </c>
      <c r="G2043" s="2">
        <v>46225.75</v>
      </c>
      <c r="H2043" s="2">
        <v>46225.583333333336</v>
      </c>
    </row>
    <row r="2044" spans="1:8" x14ac:dyDescent="0.25">
      <c r="A2044" s="8" t="s">
        <v>6776</v>
      </c>
      <c r="B2044" s="8" t="s">
        <v>14210</v>
      </c>
      <c r="C2044" s="2">
        <v>46225.416666666664</v>
      </c>
      <c r="D2044" s="8" t="s">
        <v>13935</v>
      </c>
      <c r="E2044" s="8" t="s">
        <v>65</v>
      </c>
      <c r="F2044">
        <v>7</v>
      </c>
      <c r="G2044" s="2">
        <v>46225.75</v>
      </c>
      <c r="H2044" s="2">
        <v>46225.583333333336</v>
      </c>
    </row>
    <row r="2045" spans="1:8" x14ac:dyDescent="0.25">
      <c r="A2045" s="8" t="s">
        <v>6779</v>
      </c>
      <c r="B2045" s="8" t="s">
        <v>14211</v>
      </c>
      <c r="C2045" s="2">
        <v>46225.416666666664</v>
      </c>
      <c r="D2045" s="8" t="s">
        <v>13937</v>
      </c>
      <c r="E2045" s="8" t="s">
        <v>18</v>
      </c>
      <c r="F2045">
        <v>4</v>
      </c>
      <c r="G2045" s="2">
        <v>46225.75</v>
      </c>
      <c r="H2045" s="2">
        <v>46225.583333333336</v>
      </c>
    </row>
    <row r="2046" spans="1:8" x14ac:dyDescent="0.25">
      <c r="A2046" s="8" t="s">
        <v>6782</v>
      </c>
      <c r="B2046" s="8" t="s">
        <v>14211</v>
      </c>
      <c r="C2046" s="2">
        <v>46225.416666666664</v>
      </c>
      <c r="D2046" s="8" t="s">
        <v>13937</v>
      </c>
      <c r="E2046" s="8" t="s">
        <v>20</v>
      </c>
      <c r="F2046">
        <v>4</v>
      </c>
      <c r="G2046" s="2">
        <v>46225.75</v>
      </c>
      <c r="H2046" s="2">
        <v>46225.583333333336</v>
      </c>
    </row>
    <row r="2047" spans="1:8" x14ac:dyDescent="0.25">
      <c r="A2047" s="8" t="s">
        <v>6785</v>
      </c>
      <c r="B2047" s="8" t="s">
        <v>14211</v>
      </c>
      <c r="C2047" s="2">
        <v>46225.416666666664</v>
      </c>
      <c r="D2047" s="8" t="s">
        <v>13937</v>
      </c>
      <c r="E2047" s="8" t="s">
        <v>22</v>
      </c>
      <c r="F2047">
        <v>4</v>
      </c>
      <c r="G2047" s="2">
        <v>46225.75</v>
      </c>
      <c r="H2047" s="2">
        <v>46225.583333333336</v>
      </c>
    </row>
    <row r="2048" spans="1:8" x14ac:dyDescent="0.25">
      <c r="A2048" s="8" t="s">
        <v>6788</v>
      </c>
      <c r="B2048" s="8" t="s">
        <v>14211</v>
      </c>
      <c r="C2048" s="2">
        <v>46225.416666666664</v>
      </c>
      <c r="D2048" s="8" t="s">
        <v>13937</v>
      </c>
      <c r="E2048" s="8" t="s">
        <v>24</v>
      </c>
      <c r="F2048">
        <v>2</v>
      </c>
      <c r="G2048" s="2">
        <v>46225.75</v>
      </c>
      <c r="H2048" s="2">
        <v>46225.583333333336</v>
      </c>
    </row>
    <row r="2049" spans="1:8" x14ac:dyDescent="0.25">
      <c r="A2049" s="8" t="s">
        <v>6791</v>
      </c>
      <c r="B2049" s="8" t="s">
        <v>14211</v>
      </c>
      <c r="C2049" s="2">
        <v>46225.416666666664</v>
      </c>
      <c r="D2049" s="8" t="s">
        <v>13937</v>
      </c>
      <c r="E2049" s="8" t="s">
        <v>26</v>
      </c>
      <c r="F2049">
        <v>4</v>
      </c>
      <c r="G2049" s="2">
        <v>46225.75</v>
      </c>
      <c r="H2049" s="2">
        <v>46225.583333333336</v>
      </c>
    </row>
    <row r="2050" spans="1:8" x14ac:dyDescent="0.25">
      <c r="A2050" s="8" t="s">
        <v>6794</v>
      </c>
      <c r="B2050" s="8" t="s">
        <v>14211</v>
      </c>
      <c r="C2050" s="2">
        <v>46225.416666666664</v>
      </c>
      <c r="D2050" s="8" t="s">
        <v>13937</v>
      </c>
      <c r="E2050" s="8" t="s">
        <v>36</v>
      </c>
      <c r="F2050">
        <v>1</v>
      </c>
      <c r="G2050" s="2">
        <v>46225.75</v>
      </c>
      <c r="H2050" s="2">
        <v>46225.583333333336</v>
      </c>
    </row>
    <row r="2051" spans="1:8" x14ac:dyDescent="0.25">
      <c r="A2051" s="8" t="s">
        <v>6797</v>
      </c>
      <c r="B2051" s="8" t="s">
        <v>14211</v>
      </c>
      <c r="C2051" s="2">
        <v>46225.416666666664</v>
      </c>
      <c r="D2051" s="8" t="s">
        <v>13937</v>
      </c>
      <c r="E2051" s="8" t="s">
        <v>49</v>
      </c>
      <c r="F2051">
        <v>1</v>
      </c>
      <c r="G2051" s="2">
        <v>46225.75</v>
      </c>
      <c r="H2051" s="2">
        <v>46225.583333333336</v>
      </c>
    </row>
    <row r="2052" spans="1:8" x14ac:dyDescent="0.25">
      <c r="A2052" s="8" t="s">
        <v>6800</v>
      </c>
      <c r="B2052" s="8" t="s">
        <v>14211</v>
      </c>
      <c r="C2052" s="2">
        <v>46225.416666666664</v>
      </c>
      <c r="D2052" s="8" t="s">
        <v>13937</v>
      </c>
      <c r="E2052" s="8" t="s">
        <v>77</v>
      </c>
      <c r="F2052">
        <v>4</v>
      </c>
      <c r="G2052" s="2">
        <v>46225.75</v>
      </c>
      <c r="H2052" s="2">
        <v>46225.583333333336</v>
      </c>
    </row>
    <row r="2053" spans="1:8" x14ac:dyDescent="0.25">
      <c r="A2053" s="8" t="s">
        <v>14212</v>
      </c>
      <c r="B2053" s="8" t="s">
        <v>14213</v>
      </c>
      <c r="C2053" s="2">
        <v>46226.416666666664</v>
      </c>
      <c r="D2053" s="8" t="s">
        <v>13929</v>
      </c>
      <c r="E2053" s="8" t="s">
        <v>11</v>
      </c>
      <c r="F2053">
        <v>4</v>
      </c>
      <c r="G2053" s="2">
        <v>46226.75</v>
      </c>
      <c r="H2053" s="2"/>
    </row>
    <row r="2054" spans="1:8" x14ac:dyDescent="0.25">
      <c r="A2054" s="8" t="s">
        <v>6803</v>
      </c>
      <c r="B2054" s="8" t="s">
        <v>14213</v>
      </c>
      <c r="C2054" s="2">
        <v>46226.416666666664</v>
      </c>
      <c r="D2054" s="8" t="s">
        <v>13929</v>
      </c>
      <c r="E2054" s="8" t="s">
        <v>22</v>
      </c>
      <c r="F2054">
        <v>1</v>
      </c>
      <c r="G2054" s="2">
        <v>46226.75</v>
      </c>
      <c r="H2054" s="2">
        <v>46226.583333333336</v>
      </c>
    </row>
    <row r="2055" spans="1:8" x14ac:dyDescent="0.25">
      <c r="A2055" s="8" t="s">
        <v>6806</v>
      </c>
      <c r="B2055" s="8" t="s">
        <v>14213</v>
      </c>
      <c r="C2055" s="2">
        <v>46226.416666666664</v>
      </c>
      <c r="D2055" s="8" t="s">
        <v>13929</v>
      </c>
      <c r="E2055" s="8" t="s">
        <v>24</v>
      </c>
      <c r="F2055">
        <v>2</v>
      </c>
      <c r="G2055" s="2">
        <v>46226.75</v>
      </c>
      <c r="H2055" s="2">
        <v>46226.583333333336</v>
      </c>
    </row>
    <row r="2056" spans="1:8" x14ac:dyDescent="0.25">
      <c r="A2056" s="8" t="s">
        <v>6809</v>
      </c>
      <c r="B2056" s="8" t="s">
        <v>14213</v>
      </c>
      <c r="C2056" s="2">
        <v>46226.416666666664</v>
      </c>
      <c r="D2056" s="8" t="s">
        <v>13929</v>
      </c>
      <c r="E2056" s="8" t="s">
        <v>26</v>
      </c>
      <c r="F2056">
        <v>2</v>
      </c>
      <c r="G2056" s="2">
        <v>46226.75</v>
      </c>
      <c r="H2056" s="2">
        <v>46226.583333333336</v>
      </c>
    </row>
    <row r="2057" spans="1:8" x14ac:dyDescent="0.25">
      <c r="A2057" s="8" t="s">
        <v>6812</v>
      </c>
      <c r="B2057" s="8" t="s">
        <v>14213</v>
      </c>
      <c r="C2057" s="2">
        <v>46226.416666666664</v>
      </c>
      <c r="D2057" s="8" t="s">
        <v>13929</v>
      </c>
      <c r="E2057" s="8" t="s">
        <v>30</v>
      </c>
      <c r="F2057">
        <v>2</v>
      </c>
      <c r="G2057" s="2">
        <v>46226.75</v>
      </c>
      <c r="H2057" s="2">
        <v>46226.583333333336</v>
      </c>
    </row>
    <row r="2058" spans="1:8" x14ac:dyDescent="0.25">
      <c r="A2058" s="8" t="s">
        <v>6815</v>
      </c>
      <c r="B2058" s="8" t="s">
        <v>14213</v>
      </c>
      <c r="C2058" s="2">
        <v>46226.416666666664</v>
      </c>
      <c r="D2058" s="8" t="s">
        <v>13929</v>
      </c>
      <c r="E2058" s="8" t="s">
        <v>32</v>
      </c>
      <c r="F2058">
        <v>3</v>
      </c>
      <c r="G2058" s="2">
        <v>46226.75</v>
      </c>
      <c r="H2058" s="2">
        <v>46226.583333333336</v>
      </c>
    </row>
    <row r="2059" spans="1:8" x14ac:dyDescent="0.25">
      <c r="A2059" s="8" t="s">
        <v>6818</v>
      </c>
      <c r="B2059" s="8" t="s">
        <v>14213</v>
      </c>
      <c r="C2059" s="2">
        <v>46226.416666666664</v>
      </c>
      <c r="D2059" s="8" t="s">
        <v>13929</v>
      </c>
      <c r="E2059" s="8" t="s">
        <v>36</v>
      </c>
      <c r="F2059">
        <v>3</v>
      </c>
      <c r="G2059" s="2">
        <v>46226.75</v>
      </c>
      <c r="H2059" s="2">
        <v>46226.583333333336</v>
      </c>
    </row>
    <row r="2060" spans="1:8" x14ac:dyDescent="0.25">
      <c r="A2060" s="8" t="s">
        <v>6821</v>
      </c>
      <c r="B2060" s="8" t="s">
        <v>14213</v>
      </c>
      <c r="C2060" s="2">
        <v>46226.416666666664</v>
      </c>
      <c r="D2060" s="8" t="s">
        <v>13929</v>
      </c>
      <c r="E2060" s="8" t="s">
        <v>41</v>
      </c>
      <c r="F2060">
        <v>3</v>
      </c>
      <c r="G2060" s="2">
        <v>46226.75</v>
      </c>
      <c r="H2060" s="2">
        <v>46226.583333333336</v>
      </c>
    </row>
    <row r="2061" spans="1:8" x14ac:dyDescent="0.25">
      <c r="A2061" s="8" t="s">
        <v>6824</v>
      </c>
      <c r="B2061" s="8" t="s">
        <v>14213</v>
      </c>
      <c r="C2061" s="2">
        <v>46226.416666666664</v>
      </c>
      <c r="D2061" s="8" t="s">
        <v>13929</v>
      </c>
      <c r="E2061" s="8" t="s">
        <v>71</v>
      </c>
      <c r="F2061">
        <v>2</v>
      </c>
      <c r="G2061" s="2">
        <v>46226.75</v>
      </c>
      <c r="H2061" s="2">
        <v>46226.583333333336</v>
      </c>
    </row>
    <row r="2062" spans="1:8" x14ac:dyDescent="0.25">
      <c r="A2062" s="8" t="s">
        <v>6827</v>
      </c>
      <c r="B2062" s="8" t="s">
        <v>14213</v>
      </c>
      <c r="C2062" s="2">
        <v>46226.416666666664</v>
      </c>
      <c r="D2062" s="8" t="s">
        <v>13929</v>
      </c>
      <c r="E2062" s="8" t="s">
        <v>73</v>
      </c>
      <c r="F2062">
        <v>1</v>
      </c>
      <c r="G2062" s="2">
        <v>46226.75</v>
      </c>
      <c r="H2062" s="2">
        <v>46226.583333333336</v>
      </c>
    </row>
    <row r="2063" spans="1:8" x14ac:dyDescent="0.25">
      <c r="A2063" s="8" t="s">
        <v>6830</v>
      </c>
      <c r="B2063" s="8" t="s">
        <v>14213</v>
      </c>
      <c r="C2063" s="2">
        <v>46226.416666666664</v>
      </c>
      <c r="D2063" s="8" t="s">
        <v>13929</v>
      </c>
      <c r="E2063" s="8" t="s">
        <v>77</v>
      </c>
      <c r="F2063">
        <v>2</v>
      </c>
      <c r="G2063" s="2">
        <v>46226.75</v>
      </c>
      <c r="H2063" s="2">
        <v>46226.583333333336</v>
      </c>
    </row>
    <row r="2064" spans="1:8" x14ac:dyDescent="0.25">
      <c r="A2064" s="8" t="s">
        <v>14214</v>
      </c>
      <c r="B2064" s="8" t="s">
        <v>14215</v>
      </c>
      <c r="C2064" s="2">
        <v>46226.416666666664</v>
      </c>
      <c r="D2064" s="8" t="s">
        <v>13931</v>
      </c>
      <c r="E2064" s="8" t="s">
        <v>11</v>
      </c>
      <c r="F2064">
        <v>2</v>
      </c>
      <c r="G2064" s="2">
        <v>46226.75</v>
      </c>
      <c r="H2064" s="2"/>
    </row>
    <row r="2065" spans="1:8" x14ac:dyDescent="0.25">
      <c r="A2065" s="8" t="s">
        <v>6833</v>
      </c>
      <c r="B2065" s="8" t="s">
        <v>14215</v>
      </c>
      <c r="C2065" s="2">
        <v>46226.416666666664</v>
      </c>
      <c r="D2065" s="8" t="s">
        <v>13931</v>
      </c>
      <c r="E2065" s="8" t="s">
        <v>18</v>
      </c>
      <c r="F2065">
        <v>5</v>
      </c>
      <c r="G2065" s="2">
        <v>46226.75</v>
      </c>
      <c r="H2065" s="2">
        <v>46226.583333333336</v>
      </c>
    </row>
    <row r="2066" spans="1:8" x14ac:dyDescent="0.25">
      <c r="A2066" s="8" t="s">
        <v>6836</v>
      </c>
      <c r="B2066" s="8" t="s">
        <v>14215</v>
      </c>
      <c r="C2066" s="2">
        <v>46226.416666666664</v>
      </c>
      <c r="D2066" s="8" t="s">
        <v>13931</v>
      </c>
      <c r="E2066" s="8" t="s">
        <v>20</v>
      </c>
      <c r="F2066">
        <v>3</v>
      </c>
      <c r="G2066" s="2">
        <v>46226.75</v>
      </c>
      <c r="H2066" s="2">
        <v>46226.583333333336</v>
      </c>
    </row>
    <row r="2067" spans="1:8" x14ac:dyDescent="0.25">
      <c r="A2067" s="8" t="s">
        <v>6839</v>
      </c>
      <c r="B2067" s="8" t="s">
        <v>14215</v>
      </c>
      <c r="C2067" s="2">
        <v>46226.416666666664</v>
      </c>
      <c r="D2067" s="8" t="s">
        <v>13931</v>
      </c>
      <c r="E2067" s="8" t="s">
        <v>22</v>
      </c>
      <c r="F2067">
        <v>4</v>
      </c>
      <c r="G2067" s="2">
        <v>46226.75</v>
      </c>
      <c r="H2067" s="2">
        <v>46226.583333333336</v>
      </c>
    </row>
    <row r="2068" spans="1:8" x14ac:dyDescent="0.25">
      <c r="A2068" s="8" t="s">
        <v>6842</v>
      </c>
      <c r="B2068" s="8" t="s">
        <v>14215</v>
      </c>
      <c r="C2068" s="2">
        <v>46226.416666666664</v>
      </c>
      <c r="D2068" s="8" t="s">
        <v>13931</v>
      </c>
      <c r="E2068" s="8" t="s">
        <v>24</v>
      </c>
      <c r="F2068">
        <v>1</v>
      </c>
      <c r="G2068" s="2">
        <v>46226.75</v>
      </c>
      <c r="H2068" s="2">
        <v>46226.583333333336</v>
      </c>
    </row>
    <row r="2069" spans="1:8" x14ac:dyDescent="0.25">
      <c r="A2069" s="8" t="s">
        <v>6845</v>
      </c>
      <c r="B2069" s="8" t="s">
        <v>14215</v>
      </c>
      <c r="C2069" s="2">
        <v>46226.416666666664</v>
      </c>
      <c r="D2069" s="8" t="s">
        <v>13931</v>
      </c>
      <c r="E2069" s="8" t="s">
        <v>26</v>
      </c>
      <c r="F2069">
        <v>5</v>
      </c>
      <c r="G2069" s="2">
        <v>46226.75</v>
      </c>
      <c r="H2069" s="2">
        <v>46226.583333333336</v>
      </c>
    </row>
    <row r="2070" spans="1:8" x14ac:dyDescent="0.25">
      <c r="A2070" s="8" t="s">
        <v>6848</v>
      </c>
      <c r="B2070" s="8" t="s">
        <v>14215</v>
      </c>
      <c r="C2070" s="2">
        <v>46226.416666666664</v>
      </c>
      <c r="D2070" s="8" t="s">
        <v>13931</v>
      </c>
      <c r="E2070" s="8" t="s">
        <v>28</v>
      </c>
      <c r="F2070">
        <v>5</v>
      </c>
      <c r="G2070" s="2">
        <v>46226.75</v>
      </c>
      <c r="H2070" s="2">
        <v>46226.583333333336</v>
      </c>
    </row>
    <row r="2071" spans="1:8" x14ac:dyDescent="0.25">
      <c r="A2071" s="8" t="s">
        <v>6851</v>
      </c>
      <c r="B2071" s="8" t="s">
        <v>14215</v>
      </c>
      <c r="C2071" s="2">
        <v>46226.416666666664</v>
      </c>
      <c r="D2071" s="8" t="s">
        <v>13931</v>
      </c>
      <c r="E2071" s="8" t="s">
        <v>43</v>
      </c>
      <c r="F2071">
        <v>2</v>
      </c>
      <c r="G2071" s="2">
        <v>46226.75</v>
      </c>
      <c r="H2071" s="2">
        <v>46226.583333333336</v>
      </c>
    </row>
    <row r="2072" spans="1:8" x14ac:dyDescent="0.25">
      <c r="A2072" s="8" t="s">
        <v>6854</v>
      </c>
      <c r="B2072" s="8" t="s">
        <v>14215</v>
      </c>
      <c r="C2072" s="2">
        <v>46226.416666666664</v>
      </c>
      <c r="D2072" s="8" t="s">
        <v>13931</v>
      </c>
      <c r="E2072" s="8" t="s">
        <v>45</v>
      </c>
      <c r="F2072">
        <v>1</v>
      </c>
      <c r="G2072" s="2">
        <v>46226.75</v>
      </c>
      <c r="H2072" s="2">
        <v>46226.583333333336</v>
      </c>
    </row>
    <row r="2073" spans="1:8" x14ac:dyDescent="0.25">
      <c r="A2073" s="8" t="s">
        <v>6857</v>
      </c>
      <c r="B2073" s="8" t="s">
        <v>14215</v>
      </c>
      <c r="C2073" s="2">
        <v>46226.416666666664</v>
      </c>
      <c r="D2073" s="8" t="s">
        <v>13931</v>
      </c>
      <c r="E2073" s="8" t="s">
        <v>69</v>
      </c>
      <c r="F2073">
        <v>5</v>
      </c>
      <c r="G2073" s="2">
        <v>46226.75</v>
      </c>
      <c r="H2073" s="2">
        <v>46226.583333333336</v>
      </c>
    </row>
    <row r="2074" spans="1:8" x14ac:dyDescent="0.25">
      <c r="A2074" s="8" t="s">
        <v>6862</v>
      </c>
      <c r="B2074" s="8" t="s">
        <v>14216</v>
      </c>
      <c r="C2074" s="2">
        <v>46226.416666666664</v>
      </c>
      <c r="D2074" s="8" t="s">
        <v>13933</v>
      </c>
      <c r="E2074" s="8" t="s">
        <v>18</v>
      </c>
      <c r="F2074">
        <v>5</v>
      </c>
      <c r="G2074" s="2">
        <v>46226.75</v>
      </c>
      <c r="H2074" s="2">
        <v>46226.583333333336</v>
      </c>
    </row>
    <row r="2075" spans="1:8" x14ac:dyDescent="0.25">
      <c r="A2075" s="8" t="s">
        <v>6867</v>
      </c>
      <c r="B2075" s="8" t="s">
        <v>14216</v>
      </c>
      <c r="C2075" s="2">
        <v>46226.416666666664</v>
      </c>
      <c r="D2075" s="8" t="s">
        <v>13933</v>
      </c>
      <c r="E2075" s="8" t="s">
        <v>20</v>
      </c>
      <c r="F2075">
        <v>5</v>
      </c>
      <c r="G2075" s="2">
        <v>46226.75</v>
      </c>
      <c r="H2075" s="2">
        <v>46226.583333333336</v>
      </c>
    </row>
    <row r="2076" spans="1:8" x14ac:dyDescent="0.25">
      <c r="A2076" s="8" t="s">
        <v>6870</v>
      </c>
      <c r="B2076" s="8" t="s">
        <v>14216</v>
      </c>
      <c r="C2076" s="2">
        <v>46226.416666666664</v>
      </c>
      <c r="D2076" s="8" t="s">
        <v>13933</v>
      </c>
      <c r="E2076" s="8" t="s">
        <v>22</v>
      </c>
      <c r="F2076">
        <v>1</v>
      </c>
      <c r="G2076" s="2">
        <v>46226.75</v>
      </c>
      <c r="H2076" s="2">
        <v>46226.583333333336</v>
      </c>
    </row>
    <row r="2077" spans="1:8" x14ac:dyDescent="0.25">
      <c r="A2077" s="8" t="s">
        <v>6873</v>
      </c>
      <c r="B2077" s="8" t="s">
        <v>14216</v>
      </c>
      <c r="C2077" s="2">
        <v>46226.416666666664</v>
      </c>
      <c r="D2077" s="8" t="s">
        <v>13933</v>
      </c>
      <c r="E2077" s="8" t="s">
        <v>24</v>
      </c>
      <c r="F2077">
        <v>2</v>
      </c>
      <c r="G2077" s="2">
        <v>46226.75</v>
      </c>
      <c r="H2077" s="2">
        <v>46226.583333333336</v>
      </c>
    </row>
    <row r="2078" spans="1:8" x14ac:dyDescent="0.25">
      <c r="A2078" s="8" t="s">
        <v>6876</v>
      </c>
      <c r="B2078" s="8" t="s">
        <v>14216</v>
      </c>
      <c r="C2078" s="2">
        <v>46226.416666666664</v>
      </c>
      <c r="D2078" s="8" t="s">
        <v>13933</v>
      </c>
      <c r="E2078" s="8" t="s">
        <v>26</v>
      </c>
      <c r="F2078">
        <v>4</v>
      </c>
      <c r="G2078" s="2">
        <v>46226.75</v>
      </c>
      <c r="H2078" s="2">
        <v>46226.583333333336</v>
      </c>
    </row>
    <row r="2079" spans="1:8" x14ac:dyDescent="0.25">
      <c r="A2079" s="8" t="s">
        <v>6879</v>
      </c>
      <c r="B2079" s="8" t="s">
        <v>14216</v>
      </c>
      <c r="C2079" s="2">
        <v>46226.416666666664</v>
      </c>
      <c r="D2079" s="8" t="s">
        <v>13933</v>
      </c>
      <c r="E2079" s="8" t="s">
        <v>30</v>
      </c>
      <c r="F2079">
        <v>1</v>
      </c>
      <c r="G2079" s="2">
        <v>46226.75</v>
      </c>
      <c r="H2079" s="2">
        <v>46226.583333333336</v>
      </c>
    </row>
    <row r="2080" spans="1:8" x14ac:dyDescent="0.25">
      <c r="A2080" s="8" t="s">
        <v>6882</v>
      </c>
      <c r="B2080" s="8" t="s">
        <v>14216</v>
      </c>
      <c r="C2080" s="2">
        <v>46226.416666666664</v>
      </c>
      <c r="D2080" s="8" t="s">
        <v>13933</v>
      </c>
      <c r="E2080" s="8" t="s">
        <v>45</v>
      </c>
      <c r="F2080">
        <v>4</v>
      </c>
      <c r="G2080" s="2">
        <v>46226.75</v>
      </c>
      <c r="H2080" s="2">
        <v>46226.583333333336</v>
      </c>
    </row>
    <row r="2081" spans="1:8" x14ac:dyDescent="0.25">
      <c r="A2081" s="8" t="s">
        <v>6885</v>
      </c>
      <c r="B2081" s="8" t="s">
        <v>14216</v>
      </c>
      <c r="C2081" s="2">
        <v>46226.416666666664</v>
      </c>
      <c r="D2081" s="8" t="s">
        <v>13933</v>
      </c>
      <c r="E2081" s="8" t="s">
        <v>71</v>
      </c>
      <c r="F2081">
        <v>4</v>
      </c>
      <c r="G2081" s="2">
        <v>46226.75</v>
      </c>
      <c r="H2081" s="2">
        <v>46226.583333333336</v>
      </c>
    </row>
    <row r="2082" spans="1:8" x14ac:dyDescent="0.25">
      <c r="A2082" s="8" t="s">
        <v>6888</v>
      </c>
      <c r="B2082" s="8" t="s">
        <v>14216</v>
      </c>
      <c r="C2082" s="2">
        <v>46226.416666666664</v>
      </c>
      <c r="D2082" s="8" t="s">
        <v>13933</v>
      </c>
      <c r="E2082" s="8" t="s">
        <v>73</v>
      </c>
      <c r="F2082">
        <v>2</v>
      </c>
      <c r="G2082" s="2">
        <v>46226.75</v>
      </c>
      <c r="H2082" s="2">
        <v>46226.583333333336</v>
      </c>
    </row>
    <row r="2083" spans="1:8" x14ac:dyDescent="0.25">
      <c r="A2083" s="8" t="s">
        <v>14217</v>
      </c>
      <c r="B2083" s="8" t="s">
        <v>14218</v>
      </c>
      <c r="C2083" s="2">
        <v>46226.416666666664</v>
      </c>
      <c r="D2083" s="8" t="s">
        <v>13935</v>
      </c>
      <c r="E2083" s="8" t="s">
        <v>11</v>
      </c>
      <c r="F2083">
        <v>3</v>
      </c>
      <c r="G2083" s="2">
        <v>46226.75</v>
      </c>
      <c r="H2083" s="2"/>
    </row>
    <row r="2084" spans="1:8" x14ac:dyDescent="0.25">
      <c r="A2084" s="8" t="s">
        <v>6891</v>
      </c>
      <c r="B2084" s="8" t="s">
        <v>14218</v>
      </c>
      <c r="C2084" s="2">
        <v>46226.416666666664</v>
      </c>
      <c r="D2084" s="8" t="s">
        <v>13935</v>
      </c>
      <c r="E2084" s="8" t="s">
        <v>18</v>
      </c>
      <c r="F2084">
        <v>3</v>
      </c>
      <c r="G2084" s="2">
        <v>46226.75</v>
      </c>
      <c r="H2084" s="2">
        <v>46226.583333333336</v>
      </c>
    </row>
    <row r="2085" spans="1:8" x14ac:dyDescent="0.25">
      <c r="A2085" s="8" t="s">
        <v>6894</v>
      </c>
      <c r="B2085" s="8" t="s">
        <v>14218</v>
      </c>
      <c r="C2085" s="2">
        <v>46226.416666666664</v>
      </c>
      <c r="D2085" s="8" t="s">
        <v>13935</v>
      </c>
      <c r="E2085" s="8" t="s">
        <v>22</v>
      </c>
      <c r="F2085">
        <v>7</v>
      </c>
      <c r="G2085" s="2">
        <v>46226.75</v>
      </c>
      <c r="H2085" s="2">
        <v>46226.583333333336</v>
      </c>
    </row>
    <row r="2086" spans="1:8" x14ac:dyDescent="0.25">
      <c r="A2086" s="8" t="s">
        <v>6897</v>
      </c>
      <c r="B2086" s="8" t="s">
        <v>14218</v>
      </c>
      <c r="C2086" s="2">
        <v>46226.416666666664</v>
      </c>
      <c r="D2086" s="8" t="s">
        <v>13935</v>
      </c>
      <c r="E2086" s="8" t="s">
        <v>24</v>
      </c>
      <c r="F2086">
        <v>6</v>
      </c>
      <c r="G2086" s="2">
        <v>46226.75</v>
      </c>
      <c r="H2086" s="2">
        <v>46226.583333333336</v>
      </c>
    </row>
    <row r="2087" spans="1:8" x14ac:dyDescent="0.25">
      <c r="A2087" s="8" t="s">
        <v>6900</v>
      </c>
      <c r="B2087" s="8" t="s">
        <v>14218</v>
      </c>
      <c r="C2087" s="2">
        <v>46226.416666666664</v>
      </c>
      <c r="D2087" s="8" t="s">
        <v>13935</v>
      </c>
      <c r="E2087" s="8" t="s">
        <v>26</v>
      </c>
      <c r="F2087">
        <v>4</v>
      </c>
      <c r="G2087" s="2">
        <v>46226.75</v>
      </c>
      <c r="H2087" s="2">
        <v>46226.583333333336</v>
      </c>
    </row>
    <row r="2088" spans="1:8" x14ac:dyDescent="0.25">
      <c r="A2088" s="8" t="s">
        <v>6903</v>
      </c>
      <c r="B2088" s="8" t="s">
        <v>14218</v>
      </c>
      <c r="C2088" s="2">
        <v>46226.416666666664</v>
      </c>
      <c r="D2088" s="8" t="s">
        <v>13935</v>
      </c>
      <c r="E2088" s="8" t="s">
        <v>36</v>
      </c>
      <c r="F2088">
        <v>4</v>
      </c>
      <c r="G2088" s="2">
        <v>46226.75</v>
      </c>
      <c r="H2088" s="2">
        <v>46226.583333333336</v>
      </c>
    </row>
    <row r="2089" spans="1:8" x14ac:dyDescent="0.25">
      <c r="A2089" s="8" t="s">
        <v>6906</v>
      </c>
      <c r="B2089" s="8" t="s">
        <v>14218</v>
      </c>
      <c r="C2089" s="2">
        <v>46226.416666666664</v>
      </c>
      <c r="D2089" s="8" t="s">
        <v>13935</v>
      </c>
      <c r="E2089" s="8" t="s">
        <v>47</v>
      </c>
      <c r="F2089">
        <v>7</v>
      </c>
      <c r="G2089" s="2">
        <v>46226.75</v>
      </c>
      <c r="H2089" s="2">
        <v>46226.583333333336</v>
      </c>
    </row>
    <row r="2090" spans="1:8" x14ac:dyDescent="0.25">
      <c r="A2090" s="8" t="s">
        <v>6909</v>
      </c>
      <c r="B2090" s="8" t="s">
        <v>14218</v>
      </c>
      <c r="C2090" s="2">
        <v>46226.416666666664</v>
      </c>
      <c r="D2090" s="8" t="s">
        <v>13935</v>
      </c>
      <c r="E2090" s="8" t="s">
        <v>55</v>
      </c>
      <c r="F2090">
        <v>4</v>
      </c>
      <c r="G2090" s="2">
        <v>46226.75</v>
      </c>
      <c r="H2090" s="2">
        <v>46226.583333333336</v>
      </c>
    </row>
    <row r="2091" spans="1:8" x14ac:dyDescent="0.25">
      <c r="A2091" s="8" t="s">
        <v>6912</v>
      </c>
      <c r="B2091" s="8" t="s">
        <v>14218</v>
      </c>
      <c r="C2091" s="2">
        <v>46226.416666666664</v>
      </c>
      <c r="D2091" s="8" t="s">
        <v>13935</v>
      </c>
      <c r="E2091" s="8" t="s">
        <v>59</v>
      </c>
      <c r="F2091">
        <v>3</v>
      </c>
      <c r="G2091" s="2">
        <v>46226.75</v>
      </c>
      <c r="H2091" s="2">
        <v>46226.583333333336</v>
      </c>
    </row>
    <row r="2092" spans="1:8" x14ac:dyDescent="0.25">
      <c r="A2092" s="8" t="s">
        <v>6915</v>
      </c>
      <c r="B2092" s="8" t="s">
        <v>14218</v>
      </c>
      <c r="C2092" s="2">
        <v>46226.416666666664</v>
      </c>
      <c r="D2092" s="8" t="s">
        <v>13935</v>
      </c>
      <c r="E2092" s="8" t="s">
        <v>65</v>
      </c>
      <c r="F2092">
        <v>1</v>
      </c>
      <c r="G2092" s="2">
        <v>46226.75</v>
      </c>
      <c r="H2092" s="2">
        <v>46226.583333333336</v>
      </c>
    </row>
    <row r="2093" spans="1:8" x14ac:dyDescent="0.25">
      <c r="A2093" s="8" t="s">
        <v>6918</v>
      </c>
      <c r="B2093" s="8" t="s">
        <v>14218</v>
      </c>
      <c r="C2093" s="2">
        <v>46226.416666666664</v>
      </c>
      <c r="D2093" s="8" t="s">
        <v>13935</v>
      </c>
      <c r="E2093" s="8" t="s">
        <v>71</v>
      </c>
      <c r="F2093">
        <v>1</v>
      </c>
      <c r="G2093" s="2">
        <v>46226.75</v>
      </c>
      <c r="H2093" s="2">
        <v>46226.583333333336</v>
      </c>
    </row>
    <row r="2094" spans="1:8" x14ac:dyDescent="0.25">
      <c r="A2094" s="8" t="s">
        <v>6921</v>
      </c>
      <c r="B2094" s="8" t="s">
        <v>14218</v>
      </c>
      <c r="C2094" s="2">
        <v>46226.416666666664</v>
      </c>
      <c r="D2094" s="8" t="s">
        <v>13935</v>
      </c>
      <c r="E2094" s="8" t="s">
        <v>75</v>
      </c>
      <c r="F2094">
        <v>4</v>
      </c>
      <c r="G2094" s="2">
        <v>46226.75</v>
      </c>
      <c r="H2094" s="2">
        <v>46226.583333333336</v>
      </c>
    </row>
    <row r="2095" spans="1:8" x14ac:dyDescent="0.25">
      <c r="A2095" s="8" t="s">
        <v>14219</v>
      </c>
      <c r="B2095" s="8" t="s">
        <v>14220</v>
      </c>
      <c r="C2095" s="2">
        <v>46226.416666666664</v>
      </c>
      <c r="D2095" s="8" t="s">
        <v>13937</v>
      </c>
      <c r="E2095" s="8" t="s">
        <v>11</v>
      </c>
      <c r="F2095">
        <v>3</v>
      </c>
      <c r="G2095" s="2">
        <v>46226.75</v>
      </c>
      <c r="H2095" s="2"/>
    </row>
    <row r="2096" spans="1:8" x14ac:dyDescent="0.25">
      <c r="A2096" s="8" t="s">
        <v>6924</v>
      </c>
      <c r="B2096" s="8" t="s">
        <v>14220</v>
      </c>
      <c r="C2096" s="2">
        <v>46226.416666666664</v>
      </c>
      <c r="D2096" s="8" t="s">
        <v>13937</v>
      </c>
      <c r="E2096" s="8" t="s">
        <v>18</v>
      </c>
      <c r="F2096">
        <v>4</v>
      </c>
      <c r="G2096" s="2">
        <v>46226.75</v>
      </c>
      <c r="H2096" s="2">
        <v>46226.583333333336</v>
      </c>
    </row>
    <row r="2097" spans="1:8" x14ac:dyDescent="0.25">
      <c r="A2097" s="8" t="s">
        <v>6927</v>
      </c>
      <c r="B2097" s="8" t="s">
        <v>14220</v>
      </c>
      <c r="C2097" s="2">
        <v>46226.416666666664</v>
      </c>
      <c r="D2097" s="8" t="s">
        <v>13937</v>
      </c>
      <c r="E2097" s="8" t="s">
        <v>20</v>
      </c>
      <c r="F2097">
        <v>2</v>
      </c>
      <c r="G2097" s="2">
        <v>46226.75</v>
      </c>
      <c r="H2097" s="2">
        <v>46226.583333333336</v>
      </c>
    </row>
    <row r="2098" spans="1:8" x14ac:dyDescent="0.25">
      <c r="A2098" s="8" t="s">
        <v>6930</v>
      </c>
      <c r="B2098" s="8" t="s">
        <v>14220</v>
      </c>
      <c r="C2098" s="2">
        <v>46226.416666666664</v>
      </c>
      <c r="D2098" s="8" t="s">
        <v>13937</v>
      </c>
      <c r="E2098" s="8" t="s">
        <v>24</v>
      </c>
      <c r="F2098">
        <v>4</v>
      </c>
      <c r="G2098" s="2">
        <v>46226.75</v>
      </c>
      <c r="H2098" s="2">
        <v>46226.583333333336</v>
      </c>
    </row>
    <row r="2099" spans="1:8" x14ac:dyDescent="0.25">
      <c r="A2099" s="8" t="s">
        <v>6933</v>
      </c>
      <c r="B2099" s="8" t="s">
        <v>14220</v>
      </c>
      <c r="C2099" s="2">
        <v>46226.416666666664</v>
      </c>
      <c r="D2099" s="8" t="s">
        <v>13937</v>
      </c>
      <c r="E2099" s="8" t="s">
        <v>26</v>
      </c>
      <c r="F2099">
        <v>3</v>
      </c>
      <c r="G2099" s="2">
        <v>46226.75</v>
      </c>
      <c r="H2099" s="2">
        <v>46226.583333333336</v>
      </c>
    </row>
    <row r="2100" spans="1:8" x14ac:dyDescent="0.25">
      <c r="A2100" s="8" t="s">
        <v>6936</v>
      </c>
      <c r="B2100" s="8" t="s">
        <v>14220</v>
      </c>
      <c r="C2100" s="2">
        <v>46226.416666666664</v>
      </c>
      <c r="D2100" s="8" t="s">
        <v>13937</v>
      </c>
      <c r="E2100" s="8" t="s">
        <v>32</v>
      </c>
      <c r="F2100">
        <v>4</v>
      </c>
      <c r="G2100" s="2">
        <v>46226.75</v>
      </c>
      <c r="H2100" s="2">
        <v>46226.583333333336</v>
      </c>
    </row>
    <row r="2101" spans="1:8" x14ac:dyDescent="0.25">
      <c r="A2101" s="8" t="s">
        <v>6939</v>
      </c>
      <c r="B2101" s="8" t="s">
        <v>14220</v>
      </c>
      <c r="C2101" s="2">
        <v>46226.416666666664</v>
      </c>
      <c r="D2101" s="8" t="s">
        <v>13937</v>
      </c>
      <c r="E2101" s="8" t="s">
        <v>41</v>
      </c>
      <c r="F2101">
        <v>4</v>
      </c>
      <c r="G2101" s="2">
        <v>46226.75</v>
      </c>
      <c r="H2101" s="2">
        <v>46226.583333333336</v>
      </c>
    </row>
    <row r="2102" spans="1:8" x14ac:dyDescent="0.25">
      <c r="A2102" s="8" t="s">
        <v>6942</v>
      </c>
      <c r="B2102" s="8" t="s">
        <v>14220</v>
      </c>
      <c r="C2102" s="2">
        <v>46226.416666666664</v>
      </c>
      <c r="D2102" s="8" t="s">
        <v>13937</v>
      </c>
      <c r="E2102" s="8" t="s">
        <v>43</v>
      </c>
      <c r="F2102">
        <v>3</v>
      </c>
      <c r="G2102" s="2">
        <v>46226.75</v>
      </c>
      <c r="H2102" s="2">
        <v>46226.583333333336</v>
      </c>
    </row>
    <row r="2103" spans="1:8" x14ac:dyDescent="0.25">
      <c r="A2103" s="8" t="s">
        <v>6945</v>
      </c>
      <c r="B2103" s="8" t="s">
        <v>14220</v>
      </c>
      <c r="C2103" s="2">
        <v>46226.416666666664</v>
      </c>
      <c r="D2103" s="8" t="s">
        <v>13937</v>
      </c>
      <c r="E2103" s="8" t="s">
        <v>47</v>
      </c>
      <c r="F2103">
        <v>3</v>
      </c>
      <c r="G2103" s="2">
        <v>46226.75</v>
      </c>
      <c r="H2103" s="2">
        <v>46226.583333333336</v>
      </c>
    </row>
    <row r="2104" spans="1:8" x14ac:dyDescent="0.25">
      <c r="A2104" s="8" t="s">
        <v>6948</v>
      </c>
      <c r="B2104" s="8" t="s">
        <v>14220</v>
      </c>
      <c r="C2104" s="2">
        <v>46226.416666666664</v>
      </c>
      <c r="D2104" s="8" t="s">
        <v>13937</v>
      </c>
      <c r="E2104" s="8" t="s">
        <v>49</v>
      </c>
      <c r="F2104">
        <v>4</v>
      </c>
      <c r="G2104" s="2">
        <v>46226.75</v>
      </c>
      <c r="H2104" s="2">
        <v>46226.583333333336</v>
      </c>
    </row>
    <row r="2105" spans="1:8" x14ac:dyDescent="0.25">
      <c r="A2105" s="8" t="s">
        <v>6951</v>
      </c>
      <c r="B2105" s="8" t="s">
        <v>14220</v>
      </c>
      <c r="C2105" s="2">
        <v>46226.416666666664</v>
      </c>
      <c r="D2105" s="8" t="s">
        <v>13937</v>
      </c>
      <c r="E2105" s="8" t="s">
        <v>53</v>
      </c>
      <c r="F2105">
        <v>4</v>
      </c>
      <c r="G2105" s="2">
        <v>46226.75</v>
      </c>
      <c r="H2105" s="2">
        <v>46226.583333333336</v>
      </c>
    </row>
    <row r="2106" spans="1:8" x14ac:dyDescent="0.25">
      <c r="A2106" s="8" t="s">
        <v>6954</v>
      </c>
      <c r="B2106" s="8" t="s">
        <v>14220</v>
      </c>
      <c r="C2106" s="2">
        <v>46226.416666666664</v>
      </c>
      <c r="D2106" s="8" t="s">
        <v>13937</v>
      </c>
      <c r="E2106" s="8" t="s">
        <v>59</v>
      </c>
      <c r="F2106">
        <v>4</v>
      </c>
      <c r="G2106" s="2">
        <v>46226.75</v>
      </c>
      <c r="H2106" s="2">
        <v>46226.583333333336</v>
      </c>
    </row>
    <row r="2107" spans="1:8" x14ac:dyDescent="0.25">
      <c r="A2107" s="8" t="s">
        <v>6957</v>
      </c>
      <c r="B2107" s="8" t="s">
        <v>14220</v>
      </c>
      <c r="C2107" s="2">
        <v>46226.416666666664</v>
      </c>
      <c r="D2107" s="8" t="s">
        <v>13937</v>
      </c>
      <c r="E2107" s="8" t="s">
        <v>67</v>
      </c>
      <c r="F2107">
        <v>3</v>
      </c>
      <c r="G2107" s="2">
        <v>46226.75</v>
      </c>
      <c r="H2107" s="2">
        <v>46226.583333333336</v>
      </c>
    </row>
    <row r="2108" spans="1:8" x14ac:dyDescent="0.25">
      <c r="A2108" s="8" t="s">
        <v>6960</v>
      </c>
      <c r="B2108" s="8" t="s">
        <v>14220</v>
      </c>
      <c r="C2108" s="2">
        <v>46226.416666666664</v>
      </c>
      <c r="D2108" s="8" t="s">
        <v>13937</v>
      </c>
      <c r="E2108" s="8" t="s">
        <v>75</v>
      </c>
      <c r="F2108">
        <v>3</v>
      </c>
      <c r="G2108" s="2">
        <v>46226.75</v>
      </c>
      <c r="H2108" s="2">
        <v>46226.583333333336</v>
      </c>
    </row>
    <row r="2109" spans="1:8" x14ac:dyDescent="0.25">
      <c r="A2109" s="8" t="s">
        <v>6963</v>
      </c>
      <c r="B2109" s="8" t="s">
        <v>14221</v>
      </c>
      <c r="C2109" s="2">
        <v>46227.416666666664</v>
      </c>
      <c r="D2109" s="8" t="s">
        <v>13929</v>
      </c>
      <c r="E2109" s="8" t="s">
        <v>18</v>
      </c>
      <c r="F2109">
        <v>1</v>
      </c>
      <c r="G2109" s="2">
        <v>46227.75</v>
      </c>
      <c r="H2109" s="2">
        <v>46227.583333333336</v>
      </c>
    </row>
    <row r="2110" spans="1:8" x14ac:dyDescent="0.25">
      <c r="A2110" s="8" t="s">
        <v>6966</v>
      </c>
      <c r="B2110" s="8" t="s">
        <v>14221</v>
      </c>
      <c r="C2110" s="2">
        <v>46227.416666666664</v>
      </c>
      <c r="D2110" s="8" t="s">
        <v>13929</v>
      </c>
      <c r="E2110" s="8" t="s">
        <v>20</v>
      </c>
      <c r="F2110">
        <v>2</v>
      </c>
      <c r="G2110" s="2">
        <v>46227.75</v>
      </c>
      <c r="H2110" s="2">
        <v>46227.583333333336</v>
      </c>
    </row>
    <row r="2111" spans="1:8" x14ac:dyDescent="0.25">
      <c r="A2111" s="8" t="s">
        <v>6969</v>
      </c>
      <c r="B2111" s="8" t="s">
        <v>14221</v>
      </c>
      <c r="C2111" s="2">
        <v>46227.416666666664</v>
      </c>
      <c r="D2111" s="8" t="s">
        <v>13929</v>
      </c>
      <c r="E2111" s="8" t="s">
        <v>22</v>
      </c>
      <c r="F2111">
        <v>3</v>
      </c>
      <c r="G2111" s="2">
        <v>46227.75</v>
      </c>
      <c r="H2111" s="2">
        <v>46227.583333333336</v>
      </c>
    </row>
    <row r="2112" spans="1:8" x14ac:dyDescent="0.25">
      <c r="A2112" s="8" t="s">
        <v>6972</v>
      </c>
      <c r="B2112" s="8" t="s">
        <v>14221</v>
      </c>
      <c r="C2112" s="2">
        <v>46227.416666666664</v>
      </c>
      <c r="D2112" s="8" t="s">
        <v>13929</v>
      </c>
      <c r="E2112" s="8" t="s">
        <v>28</v>
      </c>
      <c r="F2112">
        <v>2</v>
      </c>
      <c r="G2112" s="2">
        <v>46227.75</v>
      </c>
      <c r="H2112" s="2">
        <v>46227.583333333336</v>
      </c>
    </row>
    <row r="2113" spans="1:8" x14ac:dyDescent="0.25">
      <c r="A2113" s="8" t="s">
        <v>6975</v>
      </c>
      <c r="B2113" s="8" t="s">
        <v>14221</v>
      </c>
      <c r="C2113" s="2">
        <v>46227.416666666664</v>
      </c>
      <c r="D2113" s="8" t="s">
        <v>13929</v>
      </c>
      <c r="E2113" s="8" t="s">
        <v>36</v>
      </c>
      <c r="F2113">
        <v>2</v>
      </c>
      <c r="G2113" s="2">
        <v>46227.75</v>
      </c>
      <c r="H2113" s="2">
        <v>46227.583333333336</v>
      </c>
    </row>
    <row r="2114" spans="1:8" x14ac:dyDescent="0.25">
      <c r="A2114" s="8" t="s">
        <v>6978</v>
      </c>
      <c r="B2114" s="8" t="s">
        <v>14221</v>
      </c>
      <c r="C2114" s="2">
        <v>46227.416666666664</v>
      </c>
      <c r="D2114" s="8" t="s">
        <v>13929</v>
      </c>
      <c r="E2114" s="8" t="s">
        <v>41</v>
      </c>
      <c r="F2114">
        <v>3</v>
      </c>
      <c r="G2114" s="2">
        <v>46227.75</v>
      </c>
      <c r="H2114" s="2">
        <v>46227.583333333336</v>
      </c>
    </row>
    <row r="2115" spans="1:8" x14ac:dyDescent="0.25">
      <c r="A2115" s="8" t="s">
        <v>6981</v>
      </c>
      <c r="B2115" s="8" t="s">
        <v>14221</v>
      </c>
      <c r="C2115" s="2">
        <v>46227.416666666664</v>
      </c>
      <c r="D2115" s="8" t="s">
        <v>13929</v>
      </c>
      <c r="E2115" s="8" t="s">
        <v>49</v>
      </c>
      <c r="F2115">
        <v>1</v>
      </c>
      <c r="G2115" s="2">
        <v>46227.75</v>
      </c>
      <c r="H2115" s="2">
        <v>46227.583333333336</v>
      </c>
    </row>
    <row r="2116" spans="1:8" x14ac:dyDescent="0.25">
      <c r="A2116" s="8" t="s">
        <v>6984</v>
      </c>
      <c r="B2116" s="8" t="s">
        <v>14221</v>
      </c>
      <c r="C2116" s="2">
        <v>46227.416666666664</v>
      </c>
      <c r="D2116" s="8" t="s">
        <v>13929</v>
      </c>
      <c r="E2116" s="8" t="s">
        <v>67</v>
      </c>
      <c r="F2116">
        <v>4</v>
      </c>
      <c r="G2116" s="2">
        <v>46227.75</v>
      </c>
      <c r="H2116" s="2">
        <v>46227.583333333336</v>
      </c>
    </row>
    <row r="2117" spans="1:8" x14ac:dyDescent="0.25">
      <c r="A2117" s="8" t="s">
        <v>6987</v>
      </c>
      <c r="B2117" s="8" t="s">
        <v>14221</v>
      </c>
      <c r="C2117" s="2">
        <v>46227.416666666664</v>
      </c>
      <c r="D2117" s="8" t="s">
        <v>13929</v>
      </c>
      <c r="E2117" s="8" t="s">
        <v>75</v>
      </c>
      <c r="F2117">
        <v>3</v>
      </c>
      <c r="G2117" s="2">
        <v>46227.75</v>
      </c>
      <c r="H2117" s="2">
        <v>46227.583333333336</v>
      </c>
    </row>
    <row r="2118" spans="1:8" x14ac:dyDescent="0.25">
      <c r="A2118" s="8" t="s">
        <v>14222</v>
      </c>
      <c r="B2118" s="8" t="s">
        <v>14223</v>
      </c>
      <c r="C2118" s="2">
        <v>46227.416666666664</v>
      </c>
      <c r="D2118" s="8" t="s">
        <v>13931</v>
      </c>
      <c r="E2118" s="8" t="s">
        <v>11</v>
      </c>
      <c r="F2118">
        <v>5</v>
      </c>
      <c r="G2118" s="2">
        <v>46227.75</v>
      </c>
      <c r="H2118" s="2"/>
    </row>
    <row r="2119" spans="1:8" x14ac:dyDescent="0.25">
      <c r="A2119" s="8" t="s">
        <v>6990</v>
      </c>
      <c r="B2119" s="8" t="s">
        <v>14223</v>
      </c>
      <c r="C2119" s="2">
        <v>46227.416666666664</v>
      </c>
      <c r="D2119" s="8" t="s">
        <v>13931</v>
      </c>
      <c r="E2119" s="8" t="s">
        <v>18</v>
      </c>
      <c r="F2119">
        <v>1</v>
      </c>
      <c r="G2119" s="2">
        <v>46227.75</v>
      </c>
      <c r="H2119" s="2">
        <v>46227.583333333336</v>
      </c>
    </row>
    <row r="2120" spans="1:8" x14ac:dyDescent="0.25">
      <c r="A2120" s="8" t="s">
        <v>6993</v>
      </c>
      <c r="B2120" s="8" t="s">
        <v>14223</v>
      </c>
      <c r="C2120" s="2">
        <v>46227.416666666664</v>
      </c>
      <c r="D2120" s="8" t="s">
        <v>13931</v>
      </c>
      <c r="E2120" s="8" t="s">
        <v>20</v>
      </c>
      <c r="F2120">
        <v>4</v>
      </c>
      <c r="G2120" s="2">
        <v>46227.75</v>
      </c>
      <c r="H2120" s="2">
        <v>46227.583333333336</v>
      </c>
    </row>
    <row r="2121" spans="1:8" x14ac:dyDescent="0.25">
      <c r="A2121" s="8" t="s">
        <v>6996</v>
      </c>
      <c r="B2121" s="8" t="s">
        <v>14223</v>
      </c>
      <c r="C2121" s="2">
        <v>46227.416666666664</v>
      </c>
      <c r="D2121" s="8" t="s">
        <v>13931</v>
      </c>
      <c r="E2121" s="8" t="s">
        <v>22</v>
      </c>
      <c r="F2121">
        <v>4</v>
      </c>
      <c r="G2121" s="2">
        <v>46227.75</v>
      </c>
      <c r="H2121" s="2">
        <v>46227.583333333336</v>
      </c>
    </row>
    <row r="2122" spans="1:8" x14ac:dyDescent="0.25">
      <c r="A2122" s="8" t="s">
        <v>6999</v>
      </c>
      <c r="B2122" s="8" t="s">
        <v>14223</v>
      </c>
      <c r="C2122" s="2">
        <v>46227.416666666664</v>
      </c>
      <c r="D2122" s="8" t="s">
        <v>13931</v>
      </c>
      <c r="E2122" s="8" t="s">
        <v>36</v>
      </c>
      <c r="F2122">
        <v>1</v>
      </c>
      <c r="G2122" s="2">
        <v>46227.75</v>
      </c>
      <c r="H2122" s="2">
        <v>46227.583333333336</v>
      </c>
    </row>
    <row r="2123" spans="1:8" x14ac:dyDescent="0.25">
      <c r="A2123" s="8" t="s">
        <v>7002</v>
      </c>
      <c r="B2123" s="8" t="s">
        <v>14223</v>
      </c>
      <c r="C2123" s="2">
        <v>46227.416666666664</v>
      </c>
      <c r="D2123" s="8" t="s">
        <v>13931</v>
      </c>
      <c r="E2123" s="8" t="s">
        <v>45</v>
      </c>
      <c r="F2123">
        <v>1</v>
      </c>
      <c r="G2123" s="2">
        <v>46227.75</v>
      </c>
      <c r="H2123" s="2">
        <v>46227.583333333336</v>
      </c>
    </row>
    <row r="2124" spans="1:8" x14ac:dyDescent="0.25">
      <c r="A2124" s="8" t="s">
        <v>7005</v>
      </c>
      <c r="B2124" s="8" t="s">
        <v>14223</v>
      </c>
      <c r="C2124" s="2">
        <v>46227.416666666664</v>
      </c>
      <c r="D2124" s="8" t="s">
        <v>13931</v>
      </c>
      <c r="E2124" s="8" t="s">
        <v>47</v>
      </c>
      <c r="F2124">
        <v>5</v>
      </c>
      <c r="G2124" s="2">
        <v>46227.75</v>
      </c>
      <c r="H2124" s="2">
        <v>46227.583333333336</v>
      </c>
    </row>
    <row r="2125" spans="1:8" x14ac:dyDescent="0.25">
      <c r="A2125" s="8" t="s">
        <v>7008</v>
      </c>
      <c r="B2125" s="8" t="s">
        <v>14223</v>
      </c>
      <c r="C2125" s="2">
        <v>46227.416666666664</v>
      </c>
      <c r="D2125" s="8" t="s">
        <v>13931</v>
      </c>
      <c r="E2125" s="8" t="s">
        <v>49</v>
      </c>
      <c r="F2125">
        <v>3</v>
      </c>
      <c r="G2125" s="2">
        <v>46227.75</v>
      </c>
      <c r="H2125" s="2">
        <v>46227.583333333336</v>
      </c>
    </row>
    <row r="2126" spans="1:8" x14ac:dyDescent="0.25">
      <c r="A2126" s="8" t="s">
        <v>7011</v>
      </c>
      <c r="B2126" s="8" t="s">
        <v>14223</v>
      </c>
      <c r="C2126" s="2">
        <v>46227.416666666664</v>
      </c>
      <c r="D2126" s="8" t="s">
        <v>13931</v>
      </c>
      <c r="E2126" s="8" t="s">
        <v>53</v>
      </c>
      <c r="F2126">
        <v>3</v>
      </c>
      <c r="G2126" s="2">
        <v>46227.75</v>
      </c>
      <c r="H2126" s="2">
        <v>46227.583333333336</v>
      </c>
    </row>
    <row r="2127" spans="1:8" x14ac:dyDescent="0.25">
      <c r="A2127" s="8" t="s">
        <v>7014</v>
      </c>
      <c r="B2127" s="8" t="s">
        <v>14223</v>
      </c>
      <c r="C2127" s="2">
        <v>46227.416666666664</v>
      </c>
      <c r="D2127" s="8" t="s">
        <v>13931</v>
      </c>
      <c r="E2127" s="8" t="s">
        <v>59</v>
      </c>
      <c r="F2127">
        <v>3</v>
      </c>
      <c r="G2127" s="2">
        <v>46227.75</v>
      </c>
      <c r="H2127" s="2">
        <v>46227.583333333336</v>
      </c>
    </row>
    <row r="2128" spans="1:8" x14ac:dyDescent="0.25">
      <c r="A2128" s="8" t="s">
        <v>7019</v>
      </c>
      <c r="B2128" s="8" t="s">
        <v>14223</v>
      </c>
      <c r="C2128" s="2">
        <v>46227.416666666664</v>
      </c>
      <c r="D2128" s="8" t="s">
        <v>13931</v>
      </c>
      <c r="E2128" s="8" t="s">
        <v>65</v>
      </c>
      <c r="F2128">
        <v>3</v>
      </c>
      <c r="G2128" s="2">
        <v>46227.75</v>
      </c>
      <c r="H2128" s="2">
        <v>46227.583333333336</v>
      </c>
    </row>
    <row r="2129" spans="1:8" x14ac:dyDescent="0.25">
      <c r="A2129" s="8" t="s">
        <v>7022</v>
      </c>
      <c r="B2129" s="8" t="s">
        <v>14223</v>
      </c>
      <c r="C2129" s="2">
        <v>46227.416666666664</v>
      </c>
      <c r="D2129" s="8" t="s">
        <v>13931</v>
      </c>
      <c r="E2129" s="8" t="s">
        <v>69</v>
      </c>
      <c r="F2129">
        <v>2</v>
      </c>
      <c r="G2129" s="2">
        <v>46227.75</v>
      </c>
      <c r="H2129" s="2">
        <v>46227.583333333336</v>
      </c>
    </row>
    <row r="2130" spans="1:8" x14ac:dyDescent="0.25">
      <c r="A2130" s="8" t="s">
        <v>7025</v>
      </c>
      <c r="B2130" s="8" t="s">
        <v>14223</v>
      </c>
      <c r="C2130" s="2">
        <v>46227.416666666664</v>
      </c>
      <c r="D2130" s="8" t="s">
        <v>13931</v>
      </c>
      <c r="E2130" s="8" t="s">
        <v>75</v>
      </c>
      <c r="F2130">
        <v>1</v>
      </c>
      <c r="G2130" s="2">
        <v>46227.75</v>
      </c>
      <c r="H2130" s="2">
        <v>46227.583333333336</v>
      </c>
    </row>
    <row r="2131" spans="1:8" x14ac:dyDescent="0.25">
      <c r="A2131" s="8" t="s">
        <v>7028</v>
      </c>
      <c r="B2131" s="8" t="s">
        <v>14223</v>
      </c>
      <c r="C2131" s="2">
        <v>46227.416666666664</v>
      </c>
      <c r="D2131" s="8" t="s">
        <v>13931</v>
      </c>
      <c r="E2131" s="8" t="s">
        <v>77</v>
      </c>
      <c r="F2131">
        <v>4</v>
      </c>
      <c r="G2131" s="2">
        <v>46227.75</v>
      </c>
      <c r="H2131" s="2">
        <v>46227.583333333336</v>
      </c>
    </row>
    <row r="2132" spans="1:8" x14ac:dyDescent="0.25">
      <c r="A2132" s="8" t="s">
        <v>14224</v>
      </c>
      <c r="B2132" s="8" t="s">
        <v>14225</v>
      </c>
      <c r="C2132" s="2">
        <v>46227.416666666664</v>
      </c>
      <c r="D2132" s="8" t="s">
        <v>13933</v>
      </c>
      <c r="E2132" s="8" t="s">
        <v>11</v>
      </c>
      <c r="F2132">
        <v>6</v>
      </c>
      <c r="G2132" s="2">
        <v>46227.75</v>
      </c>
      <c r="H2132" s="2"/>
    </row>
    <row r="2133" spans="1:8" x14ac:dyDescent="0.25">
      <c r="A2133" s="8" t="s">
        <v>7031</v>
      </c>
      <c r="B2133" s="8" t="s">
        <v>14225</v>
      </c>
      <c r="C2133" s="2">
        <v>46227.416666666664</v>
      </c>
      <c r="D2133" s="8" t="s">
        <v>13933</v>
      </c>
      <c r="E2133" s="8" t="s">
        <v>18</v>
      </c>
      <c r="F2133">
        <v>1</v>
      </c>
      <c r="G2133" s="2">
        <v>46227.75</v>
      </c>
      <c r="H2133" s="2">
        <v>46227.583333333336</v>
      </c>
    </row>
    <row r="2134" spans="1:8" x14ac:dyDescent="0.25">
      <c r="A2134" s="8" t="s">
        <v>7034</v>
      </c>
      <c r="B2134" s="8" t="s">
        <v>14225</v>
      </c>
      <c r="C2134" s="2">
        <v>46227.416666666664</v>
      </c>
      <c r="D2134" s="8" t="s">
        <v>13933</v>
      </c>
      <c r="E2134" s="8" t="s">
        <v>22</v>
      </c>
      <c r="F2134">
        <v>4</v>
      </c>
      <c r="G2134" s="2">
        <v>46227.75</v>
      </c>
      <c r="H2134" s="2">
        <v>46227.583333333336</v>
      </c>
    </row>
    <row r="2135" spans="1:8" x14ac:dyDescent="0.25">
      <c r="A2135" s="8" t="s">
        <v>7037</v>
      </c>
      <c r="B2135" s="8" t="s">
        <v>14225</v>
      </c>
      <c r="C2135" s="2">
        <v>46227.416666666664</v>
      </c>
      <c r="D2135" s="8" t="s">
        <v>13933</v>
      </c>
      <c r="E2135" s="8" t="s">
        <v>24</v>
      </c>
      <c r="F2135">
        <v>6</v>
      </c>
      <c r="G2135" s="2">
        <v>46227.75</v>
      </c>
      <c r="H2135" s="2">
        <v>46227.583333333336</v>
      </c>
    </row>
    <row r="2136" spans="1:8" x14ac:dyDescent="0.25">
      <c r="A2136" s="8" t="s">
        <v>7040</v>
      </c>
      <c r="B2136" s="8" t="s">
        <v>14225</v>
      </c>
      <c r="C2136" s="2">
        <v>46227.416666666664</v>
      </c>
      <c r="D2136" s="8" t="s">
        <v>13933</v>
      </c>
      <c r="E2136" s="8" t="s">
        <v>32</v>
      </c>
      <c r="F2136">
        <v>4</v>
      </c>
      <c r="G2136" s="2">
        <v>46227.75</v>
      </c>
      <c r="H2136" s="2">
        <v>46227.583333333336</v>
      </c>
    </row>
    <row r="2137" spans="1:8" x14ac:dyDescent="0.25">
      <c r="A2137" s="8" t="s">
        <v>7043</v>
      </c>
      <c r="B2137" s="8" t="s">
        <v>14225</v>
      </c>
      <c r="C2137" s="2">
        <v>46227.416666666664</v>
      </c>
      <c r="D2137" s="8" t="s">
        <v>13933</v>
      </c>
      <c r="E2137" s="8" t="s">
        <v>36</v>
      </c>
      <c r="F2137">
        <v>5</v>
      </c>
      <c r="G2137" s="2">
        <v>46227.75</v>
      </c>
      <c r="H2137" s="2">
        <v>46227.583333333336</v>
      </c>
    </row>
    <row r="2138" spans="1:8" x14ac:dyDescent="0.25">
      <c r="A2138" s="8" t="s">
        <v>7046</v>
      </c>
      <c r="B2138" s="8" t="s">
        <v>14225</v>
      </c>
      <c r="C2138" s="2">
        <v>46227.416666666664</v>
      </c>
      <c r="D2138" s="8" t="s">
        <v>13933</v>
      </c>
      <c r="E2138" s="8" t="s">
        <v>57</v>
      </c>
      <c r="F2138">
        <v>1</v>
      </c>
      <c r="G2138" s="2">
        <v>46227.75</v>
      </c>
      <c r="H2138" s="2">
        <v>46227.583333333336</v>
      </c>
    </row>
    <row r="2139" spans="1:8" x14ac:dyDescent="0.25">
      <c r="A2139" s="8" t="s">
        <v>7049</v>
      </c>
      <c r="B2139" s="8" t="s">
        <v>14225</v>
      </c>
      <c r="C2139" s="2">
        <v>46227.416666666664</v>
      </c>
      <c r="D2139" s="8" t="s">
        <v>13933</v>
      </c>
      <c r="E2139" s="8" t="s">
        <v>73</v>
      </c>
      <c r="F2139">
        <v>1</v>
      </c>
      <c r="G2139" s="2">
        <v>46227.75</v>
      </c>
      <c r="H2139" s="2">
        <v>46227.583333333336</v>
      </c>
    </row>
    <row r="2140" spans="1:8" x14ac:dyDescent="0.25">
      <c r="A2140" s="8" t="s">
        <v>7052</v>
      </c>
      <c r="B2140" s="8" t="s">
        <v>14225</v>
      </c>
      <c r="C2140" s="2">
        <v>46227.416666666664</v>
      </c>
      <c r="D2140" s="8" t="s">
        <v>13933</v>
      </c>
      <c r="E2140" s="8" t="s">
        <v>75</v>
      </c>
      <c r="F2140">
        <v>4</v>
      </c>
      <c r="G2140" s="2">
        <v>46227.75</v>
      </c>
      <c r="H2140" s="2">
        <v>46227.583333333336</v>
      </c>
    </row>
    <row r="2141" spans="1:8" x14ac:dyDescent="0.25">
      <c r="A2141" s="8" t="s">
        <v>7057</v>
      </c>
      <c r="B2141" s="8" t="s">
        <v>14225</v>
      </c>
      <c r="C2141" s="2">
        <v>46227.416666666664</v>
      </c>
      <c r="D2141" s="8" t="s">
        <v>13933</v>
      </c>
      <c r="E2141" s="8" t="s">
        <v>77</v>
      </c>
      <c r="F2141">
        <v>6</v>
      </c>
      <c r="G2141" s="2">
        <v>46227.75</v>
      </c>
      <c r="H2141" s="2">
        <v>46227.583333333336</v>
      </c>
    </row>
    <row r="2142" spans="1:8" x14ac:dyDescent="0.25">
      <c r="A2142" s="8" t="s">
        <v>7060</v>
      </c>
      <c r="B2142" s="8" t="s">
        <v>14226</v>
      </c>
      <c r="C2142" s="2">
        <v>46227.416666666664</v>
      </c>
      <c r="D2142" s="8" t="s">
        <v>13935</v>
      </c>
      <c r="E2142" s="8" t="s">
        <v>20</v>
      </c>
      <c r="F2142">
        <v>3</v>
      </c>
      <c r="G2142" s="2">
        <v>46227.75</v>
      </c>
      <c r="H2142" s="2">
        <v>46227.583333333336</v>
      </c>
    </row>
    <row r="2143" spans="1:8" x14ac:dyDescent="0.25">
      <c r="A2143" s="8" t="s">
        <v>7063</v>
      </c>
      <c r="B2143" s="8" t="s">
        <v>14226</v>
      </c>
      <c r="C2143" s="2">
        <v>46227.416666666664</v>
      </c>
      <c r="D2143" s="8" t="s">
        <v>13935</v>
      </c>
      <c r="E2143" s="8" t="s">
        <v>22</v>
      </c>
      <c r="F2143">
        <v>4</v>
      </c>
      <c r="G2143" s="2">
        <v>46227.75</v>
      </c>
      <c r="H2143" s="2">
        <v>46227.583333333336</v>
      </c>
    </row>
    <row r="2144" spans="1:8" x14ac:dyDescent="0.25">
      <c r="A2144" s="8" t="s">
        <v>7066</v>
      </c>
      <c r="B2144" s="8" t="s">
        <v>14226</v>
      </c>
      <c r="C2144" s="2">
        <v>46227.416666666664</v>
      </c>
      <c r="D2144" s="8" t="s">
        <v>13935</v>
      </c>
      <c r="E2144" s="8" t="s">
        <v>24</v>
      </c>
      <c r="F2144">
        <v>3</v>
      </c>
      <c r="G2144" s="2">
        <v>46227.75</v>
      </c>
      <c r="H2144" s="2">
        <v>46227.583333333336</v>
      </c>
    </row>
    <row r="2145" spans="1:8" x14ac:dyDescent="0.25">
      <c r="A2145" s="8" t="s">
        <v>7069</v>
      </c>
      <c r="B2145" s="8" t="s">
        <v>14226</v>
      </c>
      <c r="C2145" s="2">
        <v>46227.416666666664</v>
      </c>
      <c r="D2145" s="8" t="s">
        <v>13935</v>
      </c>
      <c r="E2145" s="8" t="s">
        <v>26</v>
      </c>
      <c r="F2145">
        <v>3</v>
      </c>
      <c r="G2145" s="2">
        <v>46227.75</v>
      </c>
      <c r="H2145" s="2">
        <v>46227.583333333336</v>
      </c>
    </row>
    <row r="2146" spans="1:8" x14ac:dyDescent="0.25">
      <c r="A2146" s="8" t="s">
        <v>7072</v>
      </c>
      <c r="B2146" s="8" t="s">
        <v>14226</v>
      </c>
      <c r="C2146" s="2">
        <v>46227.416666666664</v>
      </c>
      <c r="D2146" s="8" t="s">
        <v>13935</v>
      </c>
      <c r="E2146" s="8" t="s">
        <v>30</v>
      </c>
      <c r="F2146">
        <v>4</v>
      </c>
      <c r="G2146" s="2">
        <v>46227.75</v>
      </c>
      <c r="H2146" s="2">
        <v>46227.583333333336</v>
      </c>
    </row>
    <row r="2147" spans="1:8" x14ac:dyDescent="0.25">
      <c r="A2147" s="8" t="s">
        <v>7077</v>
      </c>
      <c r="B2147" s="8" t="s">
        <v>14226</v>
      </c>
      <c r="C2147" s="2">
        <v>46227.416666666664</v>
      </c>
      <c r="D2147" s="8" t="s">
        <v>13935</v>
      </c>
      <c r="E2147" s="8" t="s">
        <v>32</v>
      </c>
      <c r="F2147">
        <v>4</v>
      </c>
      <c r="G2147" s="2">
        <v>46227.75</v>
      </c>
      <c r="H2147" s="2">
        <v>46227.583333333336</v>
      </c>
    </row>
    <row r="2148" spans="1:8" x14ac:dyDescent="0.25">
      <c r="A2148" s="8" t="s">
        <v>7080</v>
      </c>
      <c r="B2148" s="8" t="s">
        <v>14226</v>
      </c>
      <c r="C2148" s="2">
        <v>46227.416666666664</v>
      </c>
      <c r="D2148" s="8" t="s">
        <v>13935</v>
      </c>
      <c r="E2148" s="8" t="s">
        <v>36</v>
      </c>
      <c r="F2148">
        <v>7</v>
      </c>
      <c r="G2148" s="2">
        <v>46227.75</v>
      </c>
      <c r="H2148" s="2">
        <v>46227.583333333336</v>
      </c>
    </row>
    <row r="2149" spans="1:8" x14ac:dyDescent="0.25">
      <c r="A2149" s="8" t="s">
        <v>7085</v>
      </c>
      <c r="B2149" s="8" t="s">
        <v>14226</v>
      </c>
      <c r="C2149" s="2">
        <v>46227.416666666664</v>
      </c>
      <c r="D2149" s="8" t="s">
        <v>13935</v>
      </c>
      <c r="E2149" s="8" t="s">
        <v>55</v>
      </c>
      <c r="F2149">
        <v>6</v>
      </c>
      <c r="G2149" s="2">
        <v>46227.75</v>
      </c>
      <c r="H2149" s="2">
        <v>46227.583333333336</v>
      </c>
    </row>
    <row r="2150" spans="1:8" x14ac:dyDescent="0.25">
      <c r="A2150" s="8" t="s">
        <v>7088</v>
      </c>
      <c r="B2150" s="8" t="s">
        <v>14226</v>
      </c>
      <c r="C2150" s="2">
        <v>46227.416666666664</v>
      </c>
      <c r="D2150" s="8" t="s">
        <v>13935</v>
      </c>
      <c r="E2150" s="8" t="s">
        <v>67</v>
      </c>
      <c r="F2150">
        <v>7</v>
      </c>
      <c r="G2150" s="2">
        <v>46227.75</v>
      </c>
      <c r="H2150" s="2">
        <v>46227.583333333336</v>
      </c>
    </row>
    <row r="2151" spans="1:8" x14ac:dyDescent="0.25">
      <c r="A2151" s="8" t="s">
        <v>7091</v>
      </c>
      <c r="B2151" s="8" t="s">
        <v>14226</v>
      </c>
      <c r="C2151" s="2">
        <v>46227.416666666664</v>
      </c>
      <c r="D2151" s="8" t="s">
        <v>13935</v>
      </c>
      <c r="E2151" s="8" t="s">
        <v>69</v>
      </c>
      <c r="F2151">
        <v>4</v>
      </c>
      <c r="G2151" s="2">
        <v>46227.75</v>
      </c>
      <c r="H2151" s="2">
        <v>46227.583333333336</v>
      </c>
    </row>
    <row r="2152" spans="1:8" x14ac:dyDescent="0.25">
      <c r="A2152" s="8" t="s">
        <v>7094</v>
      </c>
      <c r="B2152" s="8" t="s">
        <v>14227</v>
      </c>
      <c r="C2152" s="2">
        <v>46227.416666666664</v>
      </c>
      <c r="D2152" s="8" t="s">
        <v>13937</v>
      </c>
      <c r="E2152" s="8" t="s">
        <v>18</v>
      </c>
      <c r="F2152">
        <v>1</v>
      </c>
      <c r="G2152" s="2">
        <v>46227.75</v>
      </c>
      <c r="H2152" s="2">
        <v>46227.583333333336</v>
      </c>
    </row>
    <row r="2153" spans="1:8" x14ac:dyDescent="0.25">
      <c r="A2153" s="8" t="s">
        <v>7097</v>
      </c>
      <c r="B2153" s="8" t="s">
        <v>14227</v>
      </c>
      <c r="C2153" s="2">
        <v>46227.416666666664</v>
      </c>
      <c r="D2153" s="8" t="s">
        <v>13937</v>
      </c>
      <c r="E2153" s="8" t="s">
        <v>22</v>
      </c>
      <c r="F2153">
        <v>2</v>
      </c>
      <c r="G2153" s="2">
        <v>46227.75</v>
      </c>
      <c r="H2153" s="2">
        <v>46227.583333333336</v>
      </c>
    </row>
    <row r="2154" spans="1:8" x14ac:dyDescent="0.25">
      <c r="A2154" s="8" t="s">
        <v>7100</v>
      </c>
      <c r="B2154" s="8" t="s">
        <v>14227</v>
      </c>
      <c r="C2154" s="2">
        <v>46227.416666666664</v>
      </c>
      <c r="D2154" s="8" t="s">
        <v>13937</v>
      </c>
      <c r="E2154" s="8" t="s">
        <v>26</v>
      </c>
      <c r="F2154">
        <v>2</v>
      </c>
      <c r="G2154" s="2">
        <v>46227.75</v>
      </c>
      <c r="H2154" s="2">
        <v>46227.583333333336</v>
      </c>
    </row>
    <row r="2155" spans="1:8" x14ac:dyDescent="0.25">
      <c r="A2155" s="8" t="s">
        <v>7103</v>
      </c>
      <c r="B2155" s="8" t="s">
        <v>14227</v>
      </c>
      <c r="C2155" s="2">
        <v>46227.416666666664</v>
      </c>
      <c r="D2155" s="8" t="s">
        <v>13937</v>
      </c>
      <c r="E2155" s="8" t="s">
        <v>30</v>
      </c>
      <c r="F2155">
        <v>4</v>
      </c>
      <c r="G2155" s="2">
        <v>46227.75</v>
      </c>
      <c r="H2155" s="2">
        <v>46227.583333333336</v>
      </c>
    </row>
    <row r="2156" spans="1:8" x14ac:dyDescent="0.25">
      <c r="A2156" s="8" t="s">
        <v>7106</v>
      </c>
      <c r="B2156" s="8" t="s">
        <v>14227</v>
      </c>
      <c r="C2156" s="2">
        <v>46227.416666666664</v>
      </c>
      <c r="D2156" s="8" t="s">
        <v>13937</v>
      </c>
      <c r="E2156" s="8" t="s">
        <v>45</v>
      </c>
      <c r="F2156">
        <v>4</v>
      </c>
      <c r="G2156" s="2">
        <v>46227.75</v>
      </c>
      <c r="H2156" s="2">
        <v>46227.583333333336</v>
      </c>
    </row>
    <row r="2157" spans="1:8" x14ac:dyDescent="0.25">
      <c r="A2157" s="8" t="s">
        <v>7109</v>
      </c>
      <c r="B2157" s="8" t="s">
        <v>14227</v>
      </c>
      <c r="C2157" s="2">
        <v>46227.416666666664</v>
      </c>
      <c r="D2157" s="8" t="s">
        <v>13937</v>
      </c>
      <c r="E2157" s="8" t="s">
        <v>47</v>
      </c>
      <c r="F2157">
        <v>3</v>
      </c>
      <c r="G2157" s="2">
        <v>46227.75</v>
      </c>
      <c r="H2157" s="2">
        <v>46227.583333333336</v>
      </c>
    </row>
    <row r="2158" spans="1:8" x14ac:dyDescent="0.25">
      <c r="A2158" s="8" t="s">
        <v>7112</v>
      </c>
      <c r="B2158" s="8" t="s">
        <v>14227</v>
      </c>
      <c r="C2158" s="2">
        <v>46227.416666666664</v>
      </c>
      <c r="D2158" s="8" t="s">
        <v>13937</v>
      </c>
      <c r="E2158" s="8" t="s">
        <v>65</v>
      </c>
      <c r="F2158">
        <v>1</v>
      </c>
      <c r="G2158" s="2">
        <v>46227.75</v>
      </c>
      <c r="H2158" s="2">
        <v>46227.583333333336</v>
      </c>
    </row>
    <row r="2159" spans="1:8" x14ac:dyDescent="0.25">
      <c r="A2159" s="8" t="s">
        <v>7115</v>
      </c>
      <c r="B2159" s="8" t="s">
        <v>14227</v>
      </c>
      <c r="C2159" s="2">
        <v>46227.416666666664</v>
      </c>
      <c r="D2159" s="8" t="s">
        <v>13937</v>
      </c>
      <c r="E2159" s="8" t="s">
        <v>67</v>
      </c>
      <c r="F2159">
        <v>4</v>
      </c>
      <c r="G2159" s="2">
        <v>46227.75</v>
      </c>
      <c r="H2159" s="2">
        <v>46227.583333333336</v>
      </c>
    </row>
    <row r="2160" spans="1:8" x14ac:dyDescent="0.25">
      <c r="A2160" s="8" t="s">
        <v>7118</v>
      </c>
      <c r="B2160" s="8" t="s">
        <v>14227</v>
      </c>
      <c r="C2160" s="2">
        <v>46227.416666666664</v>
      </c>
      <c r="D2160" s="8" t="s">
        <v>13937</v>
      </c>
      <c r="E2160" s="8" t="s">
        <v>71</v>
      </c>
      <c r="F2160">
        <v>4</v>
      </c>
      <c r="G2160" s="2">
        <v>46227.75</v>
      </c>
      <c r="H2160" s="2">
        <v>46227.583333333336</v>
      </c>
    </row>
    <row r="2161" spans="1:8" x14ac:dyDescent="0.25">
      <c r="A2161" s="8" t="s">
        <v>7121</v>
      </c>
      <c r="B2161" s="8" t="s">
        <v>14227</v>
      </c>
      <c r="C2161" s="2">
        <v>46227.416666666664</v>
      </c>
      <c r="D2161" s="8" t="s">
        <v>13937</v>
      </c>
      <c r="E2161" s="8" t="s">
        <v>77</v>
      </c>
      <c r="F2161">
        <v>1</v>
      </c>
      <c r="G2161" s="2">
        <v>46227.75</v>
      </c>
      <c r="H2161" s="2">
        <v>46227.583333333336</v>
      </c>
    </row>
    <row r="2162" spans="1:8" x14ac:dyDescent="0.25">
      <c r="A2162" s="8" t="s">
        <v>7124</v>
      </c>
      <c r="B2162" s="8" t="s">
        <v>14228</v>
      </c>
      <c r="C2162" s="2">
        <v>46228.416666666664</v>
      </c>
      <c r="D2162" s="8" t="s">
        <v>13929</v>
      </c>
      <c r="E2162" s="8" t="s">
        <v>18</v>
      </c>
      <c r="F2162">
        <v>1</v>
      </c>
      <c r="G2162" s="2">
        <v>46228.75</v>
      </c>
      <c r="H2162" s="2">
        <v>46228.583333333336</v>
      </c>
    </row>
    <row r="2163" spans="1:8" x14ac:dyDescent="0.25">
      <c r="A2163" s="8" t="s">
        <v>7127</v>
      </c>
      <c r="B2163" s="8" t="s">
        <v>14228</v>
      </c>
      <c r="C2163" s="2">
        <v>46228.416666666664</v>
      </c>
      <c r="D2163" s="8" t="s">
        <v>13929</v>
      </c>
      <c r="E2163" s="8" t="s">
        <v>22</v>
      </c>
      <c r="F2163">
        <v>5</v>
      </c>
      <c r="G2163" s="2">
        <v>46228.75</v>
      </c>
      <c r="H2163" s="2">
        <v>46228.583333333336</v>
      </c>
    </row>
    <row r="2164" spans="1:8" x14ac:dyDescent="0.25">
      <c r="A2164" s="8" t="s">
        <v>7130</v>
      </c>
      <c r="B2164" s="8" t="s">
        <v>14228</v>
      </c>
      <c r="C2164" s="2">
        <v>46228.416666666664</v>
      </c>
      <c r="D2164" s="8" t="s">
        <v>13929</v>
      </c>
      <c r="E2164" s="8" t="s">
        <v>24</v>
      </c>
      <c r="F2164">
        <v>5</v>
      </c>
      <c r="G2164" s="2">
        <v>46228.75</v>
      </c>
      <c r="H2164" s="2">
        <v>46228.583333333336</v>
      </c>
    </row>
    <row r="2165" spans="1:8" x14ac:dyDescent="0.25">
      <c r="A2165" s="8" t="s">
        <v>7133</v>
      </c>
      <c r="B2165" s="8" t="s">
        <v>14228</v>
      </c>
      <c r="C2165" s="2">
        <v>46228.416666666664</v>
      </c>
      <c r="D2165" s="8" t="s">
        <v>13929</v>
      </c>
      <c r="E2165" s="8" t="s">
        <v>26</v>
      </c>
      <c r="F2165">
        <v>1</v>
      </c>
      <c r="G2165" s="2">
        <v>46228.75</v>
      </c>
      <c r="H2165" s="2">
        <v>46228.583333333336</v>
      </c>
    </row>
    <row r="2166" spans="1:8" x14ac:dyDescent="0.25">
      <c r="A2166" s="8" t="s">
        <v>7136</v>
      </c>
      <c r="B2166" s="8" t="s">
        <v>14228</v>
      </c>
      <c r="C2166" s="2">
        <v>46228.416666666664</v>
      </c>
      <c r="D2166" s="8" t="s">
        <v>13929</v>
      </c>
      <c r="E2166" s="8" t="s">
        <v>28</v>
      </c>
      <c r="F2166">
        <v>2</v>
      </c>
      <c r="G2166" s="2">
        <v>46228.75</v>
      </c>
      <c r="H2166" s="2">
        <v>46228.583333333336</v>
      </c>
    </row>
    <row r="2167" spans="1:8" x14ac:dyDescent="0.25">
      <c r="A2167" s="8" t="s">
        <v>7139</v>
      </c>
      <c r="B2167" s="8" t="s">
        <v>14228</v>
      </c>
      <c r="C2167" s="2">
        <v>46228.416666666664</v>
      </c>
      <c r="D2167" s="8" t="s">
        <v>13929</v>
      </c>
      <c r="E2167" s="8" t="s">
        <v>41</v>
      </c>
      <c r="F2167">
        <v>2</v>
      </c>
      <c r="G2167" s="2">
        <v>46228.75</v>
      </c>
      <c r="H2167" s="2">
        <v>46228.583333333336</v>
      </c>
    </row>
    <row r="2168" spans="1:8" x14ac:dyDescent="0.25">
      <c r="A2168" s="8" t="s">
        <v>7142</v>
      </c>
      <c r="B2168" s="8" t="s">
        <v>14228</v>
      </c>
      <c r="C2168" s="2">
        <v>46228.416666666664</v>
      </c>
      <c r="D2168" s="8" t="s">
        <v>13929</v>
      </c>
      <c r="E2168" s="8" t="s">
        <v>45</v>
      </c>
      <c r="F2168">
        <v>2</v>
      </c>
      <c r="G2168" s="2">
        <v>46228.75</v>
      </c>
      <c r="H2168" s="2">
        <v>46228.583333333336</v>
      </c>
    </row>
    <row r="2169" spans="1:8" x14ac:dyDescent="0.25">
      <c r="A2169" s="8" t="s">
        <v>7145</v>
      </c>
      <c r="B2169" s="8" t="s">
        <v>14228</v>
      </c>
      <c r="C2169" s="2">
        <v>46228.416666666664</v>
      </c>
      <c r="D2169" s="8" t="s">
        <v>13929</v>
      </c>
      <c r="E2169" s="8" t="s">
        <v>47</v>
      </c>
      <c r="F2169">
        <v>4</v>
      </c>
      <c r="G2169" s="2">
        <v>46228.75</v>
      </c>
      <c r="H2169" s="2">
        <v>46228.583333333336</v>
      </c>
    </row>
    <row r="2170" spans="1:8" x14ac:dyDescent="0.25">
      <c r="A2170" s="8" t="s">
        <v>7148</v>
      </c>
      <c r="B2170" s="8" t="s">
        <v>14228</v>
      </c>
      <c r="C2170" s="2">
        <v>46228.416666666664</v>
      </c>
      <c r="D2170" s="8" t="s">
        <v>13929</v>
      </c>
      <c r="E2170" s="8" t="s">
        <v>51</v>
      </c>
      <c r="F2170">
        <v>2</v>
      </c>
      <c r="G2170" s="2">
        <v>46228.75</v>
      </c>
      <c r="H2170" s="2">
        <v>46228.583333333336</v>
      </c>
    </row>
    <row r="2171" spans="1:8" x14ac:dyDescent="0.25">
      <c r="A2171" s="8" t="s">
        <v>7151</v>
      </c>
      <c r="B2171" s="8" t="s">
        <v>14228</v>
      </c>
      <c r="C2171" s="2">
        <v>46228.416666666664</v>
      </c>
      <c r="D2171" s="8" t="s">
        <v>13929</v>
      </c>
      <c r="E2171" s="8" t="s">
        <v>55</v>
      </c>
      <c r="F2171">
        <v>5</v>
      </c>
      <c r="G2171" s="2">
        <v>46228.75</v>
      </c>
      <c r="H2171" s="2">
        <v>46228.583333333336</v>
      </c>
    </row>
    <row r="2172" spans="1:8" x14ac:dyDescent="0.25">
      <c r="A2172" s="8" t="s">
        <v>7154</v>
      </c>
      <c r="B2172" s="8" t="s">
        <v>14228</v>
      </c>
      <c r="C2172" s="2">
        <v>46228.416666666664</v>
      </c>
      <c r="D2172" s="8" t="s">
        <v>13929</v>
      </c>
      <c r="E2172" s="8" t="s">
        <v>57</v>
      </c>
      <c r="F2172">
        <v>5</v>
      </c>
      <c r="G2172" s="2">
        <v>46228.75</v>
      </c>
      <c r="H2172" s="2">
        <v>46228.583333333336</v>
      </c>
    </row>
    <row r="2173" spans="1:8" x14ac:dyDescent="0.25">
      <c r="A2173" s="8" t="s">
        <v>7157</v>
      </c>
      <c r="B2173" s="8" t="s">
        <v>14228</v>
      </c>
      <c r="C2173" s="2">
        <v>46228.416666666664</v>
      </c>
      <c r="D2173" s="8" t="s">
        <v>13929</v>
      </c>
      <c r="E2173" s="8" t="s">
        <v>65</v>
      </c>
      <c r="F2173">
        <v>4</v>
      </c>
      <c r="G2173" s="2">
        <v>46228.75</v>
      </c>
      <c r="H2173" s="2">
        <v>46228.583333333336</v>
      </c>
    </row>
    <row r="2174" spans="1:8" x14ac:dyDescent="0.25">
      <c r="A2174" s="8" t="s">
        <v>14229</v>
      </c>
      <c r="B2174" s="8" t="s">
        <v>14230</v>
      </c>
      <c r="C2174" s="2">
        <v>46228.416666666664</v>
      </c>
      <c r="D2174" s="8" t="s">
        <v>13931</v>
      </c>
      <c r="E2174" s="8" t="s">
        <v>11</v>
      </c>
      <c r="F2174">
        <v>5</v>
      </c>
      <c r="G2174" s="2">
        <v>46228.75</v>
      </c>
      <c r="H2174" s="2"/>
    </row>
    <row r="2175" spans="1:8" x14ac:dyDescent="0.25">
      <c r="A2175" s="8" t="s">
        <v>7160</v>
      </c>
      <c r="B2175" s="8" t="s">
        <v>14230</v>
      </c>
      <c r="C2175" s="2">
        <v>46228.416666666664</v>
      </c>
      <c r="D2175" s="8" t="s">
        <v>13931</v>
      </c>
      <c r="E2175" s="8" t="s">
        <v>18</v>
      </c>
      <c r="F2175">
        <v>5</v>
      </c>
      <c r="G2175" s="2">
        <v>46228.75</v>
      </c>
      <c r="H2175" s="2">
        <v>46228.583333333336</v>
      </c>
    </row>
    <row r="2176" spans="1:8" x14ac:dyDescent="0.25">
      <c r="A2176" s="8" t="s">
        <v>7163</v>
      </c>
      <c r="B2176" s="8" t="s">
        <v>14230</v>
      </c>
      <c r="C2176" s="2">
        <v>46228.416666666664</v>
      </c>
      <c r="D2176" s="8" t="s">
        <v>13931</v>
      </c>
      <c r="E2176" s="8" t="s">
        <v>20</v>
      </c>
      <c r="F2176">
        <v>6</v>
      </c>
      <c r="G2176" s="2">
        <v>46228.75</v>
      </c>
      <c r="H2176" s="2">
        <v>46228.583333333336</v>
      </c>
    </row>
    <row r="2177" spans="1:8" x14ac:dyDescent="0.25">
      <c r="A2177" s="8" t="s">
        <v>7166</v>
      </c>
      <c r="B2177" s="8" t="s">
        <v>14230</v>
      </c>
      <c r="C2177" s="2">
        <v>46228.416666666664</v>
      </c>
      <c r="D2177" s="8" t="s">
        <v>13931</v>
      </c>
      <c r="E2177" s="8" t="s">
        <v>22</v>
      </c>
      <c r="F2177">
        <v>3</v>
      </c>
      <c r="G2177" s="2">
        <v>46228.75</v>
      </c>
      <c r="H2177" s="2">
        <v>46228.583333333336</v>
      </c>
    </row>
    <row r="2178" spans="1:8" x14ac:dyDescent="0.25">
      <c r="A2178" s="8" t="s">
        <v>7169</v>
      </c>
      <c r="B2178" s="8" t="s">
        <v>14230</v>
      </c>
      <c r="C2178" s="2">
        <v>46228.416666666664</v>
      </c>
      <c r="D2178" s="8" t="s">
        <v>13931</v>
      </c>
      <c r="E2178" s="8" t="s">
        <v>24</v>
      </c>
      <c r="F2178">
        <v>4</v>
      </c>
      <c r="G2178" s="2">
        <v>46228.75</v>
      </c>
      <c r="H2178" s="2">
        <v>46228.583333333336</v>
      </c>
    </row>
    <row r="2179" spans="1:8" x14ac:dyDescent="0.25">
      <c r="A2179" s="8" t="s">
        <v>7172</v>
      </c>
      <c r="B2179" s="8" t="s">
        <v>14230</v>
      </c>
      <c r="C2179" s="2">
        <v>46228.416666666664</v>
      </c>
      <c r="D2179" s="8" t="s">
        <v>13931</v>
      </c>
      <c r="E2179" s="8" t="s">
        <v>26</v>
      </c>
      <c r="F2179">
        <v>4</v>
      </c>
      <c r="G2179" s="2">
        <v>46228.75</v>
      </c>
      <c r="H2179" s="2">
        <v>46228.583333333336</v>
      </c>
    </row>
    <row r="2180" spans="1:8" x14ac:dyDescent="0.25">
      <c r="A2180" s="8" t="s">
        <v>7175</v>
      </c>
      <c r="B2180" s="8" t="s">
        <v>14230</v>
      </c>
      <c r="C2180" s="2">
        <v>46228.416666666664</v>
      </c>
      <c r="D2180" s="8" t="s">
        <v>13931</v>
      </c>
      <c r="E2180" s="8" t="s">
        <v>30</v>
      </c>
      <c r="F2180">
        <v>6</v>
      </c>
      <c r="G2180" s="2">
        <v>46228.75</v>
      </c>
      <c r="H2180" s="2">
        <v>46228.583333333336</v>
      </c>
    </row>
    <row r="2181" spans="1:8" x14ac:dyDescent="0.25">
      <c r="A2181" s="8" t="s">
        <v>7178</v>
      </c>
      <c r="B2181" s="8" t="s">
        <v>14230</v>
      </c>
      <c r="C2181" s="2">
        <v>46228.416666666664</v>
      </c>
      <c r="D2181" s="8" t="s">
        <v>13931</v>
      </c>
      <c r="E2181" s="8" t="s">
        <v>36</v>
      </c>
      <c r="F2181">
        <v>6</v>
      </c>
      <c r="G2181" s="2">
        <v>46228.75</v>
      </c>
      <c r="H2181" s="2">
        <v>46228.583333333336</v>
      </c>
    </row>
    <row r="2182" spans="1:8" x14ac:dyDescent="0.25">
      <c r="A2182" s="8" t="s">
        <v>7181</v>
      </c>
      <c r="B2182" s="8" t="s">
        <v>14230</v>
      </c>
      <c r="C2182" s="2">
        <v>46228.416666666664</v>
      </c>
      <c r="D2182" s="8" t="s">
        <v>13931</v>
      </c>
      <c r="E2182" s="8" t="s">
        <v>41</v>
      </c>
      <c r="F2182">
        <v>3</v>
      </c>
      <c r="G2182" s="2">
        <v>46228.75</v>
      </c>
      <c r="H2182" s="2">
        <v>46228.583333333336</v>
      </c>
    </row>
    <row r="2183" spans="1:8" x14ac:dyDescent="0.25">
      <c r="A2183" s="8" t="s">
        <v>7184</v>
      </c>
      <c r="B2183" s="8" t="s">
        <v>14230</v>
      </c>
      <c r="C2183" s="2">
        <v>46228.416666666664</v>
      </c>
      <c r="D2183" s="8" t="s">
        <v>13931</v>
      </c>
      <c r="E2183" s="8" t="s">
        <v>55</v>
      </c>
      <c r="F2183">
        <v>1</v>
      </c>
      <c r="G2183" s="2">
        <v>46228.75</v>
      </c>
      <c r="H2183" s="2">
        <v>46228.583333333336</v>
      </c>
    </row>
    <row r="2184" spans="1:8" x14ac:dyDescent="0.25">
      <c r="A2184" s="8" t="s">
        <v>7187</v>
      </c>
      <c r="B2184" s="8" t="s">
        <v>14230</v>
      </c>
      <c r="C2184" s="2">
        <v>46228.416666666664</v>
      </c>
      <c r="D2184" s="8" t="s">
        <v>13931</v>
      </c>
      <c r="E2184" s="8" t="s">
        <v>57</v>
      </c>
      <c r="F2184">
        <v>3</v>
      </c>
      <c r="G2184" s="2">
        <v>46228.75</v>
      </c>
      <c r="H2184" s="2">
        <v>46228.583333333336</v>
      </c>
    </row>
    <row r="2185" spans="1:8" x14ac:dyDescent="0.25">
      <c r="A2185" s="8" t="s">
        <v>7190</v>
      </c>
      <c r="B2185" s="8" t="s">
        <v>14230</v>
      </c>
      <c r="C2185" s="2">
        <v>46228.416666666664</v>
      </c>
      <c r="D2185" s="8" t="s">
        <v>13931</v>
      </c>
      <c r="E2185" s="8" t="s">
        <v>65</v>
      </c>
      <c r="F2185">
        <v>4</v>
      </c>
      <c r="G2185" s="2">
        <v>46228.75</v>
      </c>
      <c r="H2185" s="2">
        <v>46228.583333333336</v>
      </c>
    </row>
    <row r="2186" spans="1:8" x14ac:dyDescent="0.25">
      <c r="A2186" s="8" t="s">
        <v>7193</v>
      </c>
      <c r="B2186" s="8" t="s">
        <v>14230</v>
      </c>
      <c r="C2186" s="2">
        <v>46228.416666666664</v>
      </c>
      <c r="D2186" s="8" t="s">
        <v>13931</v>
      </c>
      <c r="E2186" s="8" t="s">
        <v>67</v>
      </c>
      <c r="F2186">
        <v>1</v>
      </c>
      <c r="G2186" s="2">
        <v>46228.75</v>
      </c>
      <c r="H2186" s="2">
        <v>46228.583333333336</v>
      </c>
    </row>
    <row r="2187" spans="1:8" x14ac:dyDescent="0.25">
      <c r="A2187" s="8" t="s">
        <v>7196</v>
      </c>
      <c r="B2187" s="8" t="s">
        <v>14230</v>
      </c>
      <c r="C2187" s="2">
        <v>46228.416666666664</v>
      </c>
      <c r="D2187" s="8" t="s">
        <v>13931</v>
      </c>
      <c r="E2187" s="8" t="s">
        <v>69</v>
      </c>
      <c r="F2187">
        <v>5</v>
      </c>
      <c r="G2187" s="2">
        <v>46228.75</v>
      </c>
      <c r="H2187" s="2">
        <v>46228.583333333336</v>
      </c>
    </row>
    <row r="2188" spans="1:8" x14ac:dyDescent="0.25">
      <c r="A2188" s="8" t="s">
        <v>7199</v>
      </c>
      <c r="B2188" s="8" t="s">
        <v>14230</v>
      </c>
      <c r="C2188" s="2">
        <v>46228.416666666664</v>
      </c>
      <c r="D2188" s="8" t="s">
        <v>13931</v>
      </c>
      <c r="E2188" s="8" t="s">
        <v>75</v>
      </c>
      <c r="F2188">
        <v>6</v>
      </c>
      <c r="G2188" s="2">
        <v>46228.75</v>
      </c>
      <c r="H2188" s="2">
        <v>46228.583333333336</v>
      </c>
    </row>
    <row r="2189" spans="1:8" x14ac:dyDescent="0.25">
      <c r="A2189" s="8" t="s">
        <v>14231</v>
      </c>
      <c r="B2189" s="8" t="s">
        <v>14232</v>
      </c>
      <c r="C2189" s="2">
        <v>46228.416666666664</v>
      </c>
      <c r="D2189" s="8" t="s">
        <v>13933</v>
      </c>
      <c r="E2189" s="8" t="s">
        <v>11</v>
      </c>
      <c r="F2189">
        <v>5</v>
      </c>
      <c r="G2189" s="2">
        <v>46228.75</v>
      </c>
      <c r="H2189" s="2"/>
    </row>
    <row r="2190" spans="1:8" x14ac:dyDescent="0.25">
      <c r="A2190" s="8" t="s">
        <v>7202</v>
      </c>
      <c r="B2190" s="8" t="s">
        <v>14232</v>
      </c>
      <c r="C2190" s="2">
        <v>46228.416666666664</v>
      </c>
      <c r="D2190" s="8" t="s">
        <v>13933</v>
      </c>
      <c r="E2190" s="8" t="s">
        <v>20</v>
      </c>
      <c r="F2190">
        <v>6</v>
      </c>
      <c r="G2190" s="2">
        <v>46228.75</v>
      </c>
      <c r="H2190" s="2">
        <v>46228.583333333336</v>
      </c>
    </row>
    <row r="2191" spans="1:8" x14ac:dyDescent="0.25">
      <c r="A2191" s="8" t="s">
        <v>7205</v>
      </c>
      <c r="B2191" s="8" t="s">
        <v>14232</v>
      </c>
      <c r="C2191" s="2">
        <v>46228.416666666664</v>
      </c>
      <c r="D2191" s="8" t="s">
        <v>13933</v>
      </c>
      <c r="E2191" s="8" t="s">
        <v>22</v>
      </c>
      <c r="F2191">
        <v>6</v>
      </c>
      <c r="G2191" s="2">
        <v>46228.75</v>
      </c>
      <c r="H2191" s="2">
        <v>46228.583333333336</v>
      </c>
    </row>
    <row r="2192" spans="1:8" x14ac:dyDescent="0.25">
      <c r="A2192" s="8" t="s">
        <v>7210</v>
      </c>
      <c r="B2192" s="8" t="s">
        <v>14232</v>
      </c>
      <c r="C2192" s="2">
        <v>46228.416666666664</v>
      </c>
      <c r="D2192" s="8" t="s">
        <v>13933</v>
      </c>
      <c r="E2192" s="8" t="s">
        <v>26</v>
      </c>
      <c r="F2192">
        <v>3</v>
      </c>
      <c r="G2192" s="2">
        <v>46228.75</v>
      </c>
      <c r="H2192" s="2">
        <v>46228.583333333336</v>
      </c>
    </row>
    <row r="2193" spans="1:8" x14ac:dyDescent="0.25">
      <c r="A2193" s="8" t="s">
        <v>7213</v>
      </c>
      <c r="B2193" s="8" t="s">
        <v>14232</v>
      </c>
      <c r="C2193" s="2">
        <v>46228.416666666664</v>
      </c>
      <c r="D2193" s="8" t="s">
        <v>13933</v>
      </c>
      <c r="E2193" s="8" t="s">
        <v>36</v>
      </c>
      <c r="F2193">
        <v>5</v>
      </c>
      <c r="G2193" s="2">
        <v>46228.75</v>
      </c>
      <c r="H2193" s="2">
        <v>46228.583333333336</v>
      </c>
    </row>
    <row r="2194" spans="1:8" x14ac:dyDescent="0.25">
      <c r="A2194" s="8" t="s">
        <v>7216</v>
      </c>
      <c r="B2194" s="8" t="s">
        <v>14232</v>
      </c>
      <c r="C2194" s="2">
        <v>46228.416666666664</v>
      </c>
      <c r="D2194" s="8" t="s">
        <v>13933</v>
      </c>
      <c r="E2194" s="8" t="s">
        <v>51</v>
      </c>
      <c r="F2194">
        <v>3</v>
      </c>
      <c r="G2194" s="2">
        <v>46228.75</v>
      </c>
      <c r="H2194" s="2">
        <v>46228.583333333336</v>
      </c>
    </row>
    <row r="2195" spans="1:8" x14ac:dyDescent="0.25">
      <c r="A2195" s="8" t="s">
        <v>7219</v>
      </c>
      <c r="B2195" s="8" t="s">
        <v>14232</v>
      </c>
      <c r="C2195" s="2">
        <v>46228.416666666664</v>
      </c>
      <c r="D2195" s="8" t="s">
        <v>13933</v>
      </c>
      <c r="E2195" s="8" t="s">
        <v>55</v>
      </c>
      <c r="F2195">
        <v>8</v>
      </c>
      <c r="G2195" s="2">
        <v>46228.75</v>
      </c>
      <c r="H2195" s="2">
        <v>46228.583333333336</v>
      </c>
    </row>
    <row r="2196" spans="1:8" x14ac:dyDescent="0.25">
      <c r="A2196" s="8" t="s">
        <v>7222</v>
      </c>
      <c r="B2196" s="8" t="s">
        <v>14232</v>
      </c>
      <c r="C2196" s="2">
        <v>46228.416666666664</v>
      </c>
      <c r="D2196" s="8" t="s">
        <v>13933</v>
      </c>
      <c r="E2196" s="8" t="s">
        <v>57</v>
      </c>
      <c r="F2196">
        <v>6</v>
      </c>
      <c r="G2196" s="2">
        <v>46228.75</v>
      </c>
      <c r="H2196" s="2">
        <v>46228.583333333336</v>
      </c>
    </row>
    <row r="2197" spans="1:8" x14ac:dyDescent="0.25">
      <c r="A2197" s="8" t="s">
        <v>7225</v>
      </c>
      <c r="B2197" s="8" t="s">
        <v>14232</v>
      </c>
      <c r="C2197" s="2">
        <v>46228.416666666664</v>
      </c>
      <c r="D2197" s="8" t="s">
        <v>13933</v>
      </c>
      <c r="E2197" s="8" t="s">
        <v>65</v>
      </c>
      <c r="F2197">
        <v>3</v>
      </c>
      <c r="G2197" s="2">
        <v>46228.75</v>
      </c>
      <c r="H2197" s="2">
        <v>46228.583333333336</v>
      </c>
    </row>
    <row r="2198" spans="1:8" x14ac:dyDescent="0.25">
      <c r="A2198" s="8" t="s">
        <v>7228</v>
      </c>
      <c r="B2198" s="8" t="s">
        <v>14233</v>
      </c>
      <c r="C2198" s="2">
        <v>46228.416666666664</v>
      </c>
      <c r="D2198" s="8" t="s">
        <v>13935</v>
      </c>
      <c r="E2198" s="8" t="s">
        <v>18</v>
      </c>
      <c r="F2198">
        <v>4</v>
      </c>
      <c r="G2198" s="2">
        <v>46228.75</v>
      </c>
      <c r="H2198" s="2">
        <v>46228.583333333336</v>
      </c>
    </row>
    <row r="2199" spans="1:8" x14ac:dyDescent="0.25">
      <c r="A2199" s="8" t="s">
        <v>7231</v>
      </c>
      <c r="B2199" s="8" t="s">
        <v>14233</v>
      </c>
      <c r="C2199" s="2">
        <v>46228.416666666664</v>
      </c>
      <c r="D2199" s="8" t="s">
        <v>13935</v>
      </c>
      <c r="E2199" s="8" t="s">
        <v>20</v>
      </c>
      <c r="F2199">
        <v>4</v>
      </c>
      <c r="G2199" s="2">
        <v>46228.75</v>
      </c>
      <c r="H2199" s="2">
        <v>46228.583333333336</v>
      </c>
    </row>
    <row r="2200" spans="1:8" x14ac:dyDescent="0.25">
      <c r="A2200" s="8" t="s">
        <v>7234</v>
      </c>
      <c r="B2200" s="8" t="s">
        <v>14233</v>
      </c>
      <c r="C2200" s="2">
        <v>46228.416666666664</v>
      </c>
      <c r="D2200" s="8" t="s">
        <v>13935</v>
      </c>
      <c r="E2200" s="8" t="s">
        <v>22</v>
      </c>
      <c r="F2200">
        <v>4</v>
      </c>
      <c r="G2200" s="2">
        <v>46228.75</v>
      </c>
      <c r="H2200" s="2">
        <v>46228.583333333336</v>
      </c>
    </row>
    <row r="2201" spans="1:8" x14ac:dyDescent="0.25">
      <c r="A2201" s="8" t="s">
        <v>7237</v>
      </c>
      <c r="B2201" s="8" t="s">
        <v>14233</v>
      </c>
      <c r="C2201" s="2">
        <v>46228.416666666664</v>
      </c>
      <c r="D2201" s="8" t="s">
        <v>13935</v>
      </c>
      <c r="E2201" s="8" t="s">
        <v>24</v>
      </c>
      <c r="F2201">
        <v>5</v>
      </c>
      <c r="G2201" s="2">
        <v>46228.75</v>
      </c>
      <c r="H2201" s="2">
        <v>46228.583333333336</v>
      </c>
    </row>
    <row r="2202" spans="1:8" x14ac:dyDescent="0.25">
      <c r="A2202" s="8" t="s">
        <v>7240</v>
      </c>
      <c r="B2202" s="8" t="s">
        <v>14233</v>
      </c>
      <c r="C2202" s="2">
        <v>46228.416666666664</v>
      </c>
      <c r="D2202" s="8" t="s">
        <v>13935</v>
      </c>
      <c r="E2202" s="8" t="s">
        <v>26</v>
      </c>
      <c r="F2202">
        <v>2</v>
      </c>
      <c r="G2202" s="2">
        <v>46228.75</v>
      </c>
      <c r="H2202" s="2">
        <v>46228.583333333336</v>
      </c>
    </row>
    <row r="2203" spans="1:8" x14ac:dyDescent="0.25">
      <c r="A2203" s="8" t="s">
        <v>7243</v>
      </c>
      <c r="B2203" s="8" t="s">
        <v>14233</v>
      </c>
      <c r="C2203" s="2">
        <v>46228.416666666664</v>
      </c>
      <c r="D2203" s="8" t="s">
        <v>13935</v>
      </c>
      <c r="E2203" s="8" t="s">
        <v>30</v>
      </c>
      <c r="F2203">
        <v>4</v>
      </c>
      <c r="G2203" s="2">
        <v>46228.75</v>
      </c>
      <c r="H2203" s="2">
        <v>46228.583333333336</v>
      </c>
    </row>
    <row r="2204" spans="1:8" x14ac:dyDescent="0.25">
      <c r="A2204" s="8" t="s">
        <v>7246</v>
      </c>
      <c r="B2204" s="8" t="s">
        <v>14233</v>
      </c>
      <c r="C2204" s="2">
        <v>46228.416666666664</v>
      </c>
      <c r="D2204" s="8" t="s">
        <v>13935</v>
      </c>
      <c r="E2204" s="8" t="s">
        <v>49</v>
      </c>
      <c r="F2204">
        <v>9</v>
      </c>
      <c r="G2204" s="2">
        <v>46228.75</v>
      </c>
      <c r="H2204" s="2">
        <v>46228.583333333336</v>
      </c>
    </row>
    <row r="2205" spans="1:8" x14ac:dyDescent="0.25">
      <c r="A2205" s="8" t="s">
        <v>7249</v>
      </c>
      <c r="B2205" s="8" t="s">
        <v>14233</v>
      </c>
      <c r="C2205" s="2">
        <v>46228.416666666664</v>
      </c>
      <c r="D2205" s="8" t="s">
        <v>13935</v>
      </c>
      <c r="E2205" s="8" t="s">
        <v>57</v>
      </c>
      <c r="F2205">
        <v>4</v>
      </c>
      <c r="G2205" s="2">
        <v>46228.75</v>
      </c>
      <c r="H2205" s="2">
        <v>46228.583333333336</v>
      </c>
    </row>
    <row r="2206" spans="1:8" x14ac:dyDescent="0.25">
      <c r="A2206" s="8" t="s">
        <v>7252</v>
      </c>
      <c r="B2206" s="8" t="s">
        <v>14233</v>
      </c>
      <c r="C2206" s="2">
        <v>46228.416666666664</v>
      </c>
      <c r="D2206" s="8" t="s">
        <v>13935</v>
      </c>
      <c r="E2206" s="8" t="s">
        <v>73</v>
      </c>
      <c r="F2206">
        <v>4</v>
      </c>
      <c r="G2206" s="2">
        <v>46228.75</v>
      </c>
      <c r="H2206" s="2">
        <v>46228.583333333336</v>
      </c>
    </row>
    <row r="2207" spans="1:8" x14ac:dyDescent="0.25">
      <c r="A2207" s="8" t="s">
        <v>7255</v>
      </c>
      <c r="B2207" s="8" t="s">
        <v>14233</v>
      </c>
      <c r="C2207" s="2">
        <v>46228.416666666664</v>
      </c>
      <c r="D2207" s="8" t="s">
        <v>13935</v>
      </c>
      <c r="E2207" s="8" t="s">
        <v>75</v>
      </c>
      <c r="F2207">
        <v>9</v>
      </c>
      <c r="G2207" s="2">
        <v>46228.75</v>
      </c>
      <c r="H2207" s="2">
        <v>46228.583333333336</v>
      </c>
    </row>
    <row r="2208" spans="1:8" x14ac:dyDescent="0.25">
      <c r="A2208" s="8" t="s">
        <v>14234</v>
      </c>
      <c r="B2208" s="8" t="s">
        <v>14235</v>
      </c>
      <c r="C2208" s="2">
        <v>46228.416666666664</v>
      </c>
      <c r="D2208" s="8" t="s">
        <v>13937</v>
      </c>
      <c r="E2208" s="8" t="s">
        <v>11</v>
      </c>
      <c r="F2208">
        <v>4</v>
      </c>
      <c r="G2208" s="2">
        <v>46228.75</v>
      </c>
      <c r="H2208" s="2"/>
    </row>
    <row r="2209" spans="1:8" x14ac:dyDescent="0.25">
      <c r="A2209" s="8" t="s">
        <v>7258</v>
      </c>
      <c r="B2209" s="8" t="s">
        <v>14235</v>
      </c>
      <c r="C2209" s="2">
        <v>46228.416666666664</v>
      </c>
      <c r="D2209" s="8" t="s">
        <v>13937</v>
      </c>
      <c r="E2209" s="8" t="s">
        <v>20</v>
      </c>
      <c r="F2209">
        <v>6</v>
      </c>
      <c r="G2209" s="2">
        <v>46228.75</v>
      </c>
      <c r="H2209" s="2">
        <v>46228.583333333336</v>
      </c>
    </row>
    <row r="2210" spans="1:8" x14ac:dyDescent="0.25">
      <c r="A2210" s="8" t="s">
        <v>7261</v>
      </c>
      <c r="B2210" s="8" t="s">
        <v>14235</v>
      </c>
      <c r="C2210" s="2">
        <v>46228.416666666664</v>
      </c>
      <c r="D2210" s="8" t="s">
        <v>13937</v>
      </c>
      <c r="E2210" s="8" t="s">
        <v>22</v>
      </c>
      <c r="F2210">
        <v>5</v>
      </c>
      <c r="G2210" s="2">
        <v>46228.75</v>
      </c>
      <c r="H2210" s="2">
        <v>46228.583333333336</v>
      </c>
    </row>
    <row r="2211" spans="1:8" x14ac:dyDescent="0.25">
      <c r="A2211" s="8" t="s">
        <v>7264</v>
      </c>
      <c r="B2211" s="8" t="s">
        <v>14235</v>
      </c>
      <c r="C2211" s="2">
        <v>46228.416666666664</v>
      </c>
      <c r="D2211" s="8" t="s">
        <v>13937</v>
      </c>
      <c r="E2211" s="8" t="s">
        <v>24</v>
      </c>
      <c r="F2211">
        <v>5</v>
      </c>
      <c r="G2211" s="2">
        <v>46228.75</v>
      </c>
      <c r="H2211" s="2">
        <v>46228.583333333336</v>
      </c>
    </row>
    <row r="2212" spans="1:8" x14ac:dyDescent="0.25">
      <c r="A2212" s="8" t="s">
        <v>7267</v>
      </c>
      <c r="B2212" s="8" t="s">
        <v>14235</v>
      </c>
      <c r="C2212" s="2">
        <v>46228.416666666664</v>
      </c>
      <c r="D2212" s="8" t="s">
        <v>13937</v>
      </c>
      <c r="E2212" s="8" t="s">
        <v>32</v>
      </c>
      <c r="F2212">
        <v>4</v>
      </c>
      <c r="G2212" s="2">
        <v>46228.75</v>
      </c>
      <c r="H2212" s="2">
        <v>46228.583333333336</v>
      </c>
    </row>
    <row r="2213" spans="1:8" x14ac:dyDescent="0.25">
      <c r="A2213" s="8" t="s">
        <v>7270</v>
      </c>
      <c r="B2213" s="8" t="s">
        <v>14235</v>
      </c>
      <c r="C2213" s="2">
        <v>46228.416666666664</v>
      </c>
      <c r="D2213" s="8" t="s">
        <v>13937</v>
      </c>
      <c r="E2213" s="8" t="s">
        <v>47</v>
      </c>
      <c r="F2213">
        <v>2</v>
      </c>
      <c r="G2213" s="2">
        <v>46228.75</v>
      </c>
      <c r="H2213" s="2">
        <v>46228.583333333336</v>
      </c>
    </row>
    <row r="2214" spans="1:8" x14ac:dyDescent="0.25">
      <c r="A2214" s="8" t="s">
        <v>7273</v>
      </c>
      <c r="B2214" s="8" t="s">
        <v>14235</v>
      </c>
      <c r="C2214" s="2">
        <v>46228.416666666664</v>
      </c>
      <c r="D2214" s="8" t="s">
        <v>13937</v>
      </c>
      <c r="E2214" s="8" t="s">
        <v>53</v>
      </c>
      <c r="F2214">
        <v>4</v>
      </c>
      <c r="G2214" s="2">
        <v>46228.75</v>
      </c>
      <c r="H2214" s="2">
        <v>46228.583333333336</v>
      </c>
    </row>
    <row r="2215" spans="1:8" x14ac:dyDescent="0.25">
      <c r="A2215" s="8" t="s">
        <v>7276</v>
      </c>
      <c r="B2215" s="8" t="s">
        <v>14235</v>
      </c>
      <c r="C2215" s="2">
        <v>46228.416666666664</v>
      </c>
      <c r="D2215" s="8" t="s">
        <v>13937</v>
      </c>
      <c r="E2215" s="8" t="s">
        <v>55</v>
      </c>
      <c r="F2215">
        <v>4</v>
      </c>
      <c r="G2215" s="2">
        <v>46228.75</v>
      </c>
      <c r="H2215" s="2">
        <v>46228.583333333336</v>
      </c>
    </row>
    <row r="2216" spans="1:8" x14ac:dyDescent="0.25">
      <c r="A2216" s="8" t="s">
        <v>7279</v>
      </c>
      <c r="B2216" s="8" t="s">
        <v>14235</v>
      </c>
      <c r="C2216" s="2">
        <v>46228.416666666664</v>
      </c>
      <c r="D2216" s="8" t="s">
        <v>13937</v>
      </c>
      <c r="E2216" s="8" t="s">
        <v>71</v>
      </c>
      <c r="F2216">
        <v>2</v>
      </c>
      <c r="G2216" s="2">
        <v>46228.75</v>
      </c>
      <c r="H2216" s="2">
        <v>46228.583333333336</v>
      </c>
    </row>
    <row r="2217" spans="1:8" x14ac:dyDescent="0.25">
      <c r="A2217" s="8" t="s">
        <v>14236</v>
      </c>
      <c r="B2217" s="8" t="s">
        <v>14237</v>
      </c>
      <c r="C2217" s="2">
        <v>46229.416666666664</v>
      </c>
      <c r="D2217" s="8" t="s">
        <v>13929</v>
      </c>
      <c r="E2217" s="8" t="s">
        <v>11</v>
      </c>
      <c r="F2217">
        <v>5</v>
      </c>
      <c r="G2217" s="2">
        <v>46229.75</v>
      </c>
      <c r="H2217" s="2"/>
    </row>
    <row r="2218" spans="1:8" x14ac:dyDescent="0.25">
      <c r="A2218" s="8" t="s">
        <v>7282</v>
      </c>
      <c r="B2218" s="8" t="s">
        <v>14237</v>
      </c>
      <c r="C2218" s="2">
        <v>46229.416666666664</v>
      </c>
      <c r="D2218" s="8" t="s">
        <v>13929</v>
      </c>
      <c r="E2218" s="8" t="s">
        <v>18</v>
      </c>
      <c r="F2218">
        <v>5</v>
      </c>
      <c r="G2218" s="2">
        <v>46229.75</v>
      </c>
      <c r="H2218" s="2">
        <v>46229.583333333336</v>
      </c>
    </row>
    <row r="2219" spans="1:8" x14ac:dyDescent="0.25">
      <c r="A2219" s="8" t="s">
        <v>7285</v>
      </c>
      <c r="B2219" s="8" t="s">
        <v>14237</v>
      </c>
      <c r="C2219" s="2">
        <v>46229.416666666664</v>
      </c>
      <c r="D2219" s="8" t="s">
        <v>13929</v>
      </c>
      <c r="E2219" s="8" t="s">
        <v>20</v>
      </c>
      <c r="F2219">
        <v>3</v>
      </c>
      <c r="G2219" s="2">
        <v>46229.75</v>
      </c>
      <c r="H2219" s="2">
        <v>46229.583333333336</v>
      </c>
    </row>
    <row r="2220" spans="1:8" x14ac:dyDescent="0.25">
      <c r="A2220" s="8" t="s">
        <v>7288</v>
      </c>
      <c r="B2220" s="8" t="s">
        <v>14237</v>
      </c>
      <c r="C2220" s="2">
        <v>46229.416666666664</v>
      </c>
      <c r="D2220" s="8" t="s">
        <v>13929</v>
      </c>
      <c r="E2220" s="8" t="s">
        <v>22</v>
      </c>
      <c r="F2220">
        <v>1</v>
      </c>
      <c r="G2220" s="2">
        <v>46229.75</v>
      </c>
      <c r="H2220" s="2">
        <v>46229.583333333336</v>
      </c>
    </row>
    <row r="2221" spans="1:8" x14ac:dyDescent="0.25">
      <c r="A2221" s="8" t="s">
        <v>7291</v>
      </c>
      <c r="B2221" s="8" t="s">
        <v>14237</v>
      </c>
      <c r="C2221" s="2">
        <v>46229.416666666664</v>
      </c>
      <c r="D2221" s="8" t="s">
        <v>13929</v>
      </c>
      <c r="E2221" s="8" t="s">
        <v>24</v>
      </c>
      <c r="F2221">
        <v>2</v>
      </c>
      <c r="G2221" s="2">
        <v>46229.75</v>
      </c>
      <c r="H2221" s="2">
        <v>46229.583333333336</v>
      </c>
    </row>
    <row r="2222" spans="1:8" x14ac:dyDescent="0.25">
      <c r="A2222" s="8" t="s">
        <v>7294</v>
      </c>
      <c r="B2222" s="8" t="s">
        <v>14237</v>
      </c>
      <c r="C2222" s="2">
        <v>46229.416666666664</v>
      </c>
      <c r="D2222" s="8" t="s">
        <v>13929</v>
      </c>
      <c r="E2222" s="8" t="s">
        <v>26</v>
      </c>
      <c r="F2222">
        <v>3</v>
      </c>
      <c r="G2222" s="2">
        <v>46229.75</v>
      </c>
      <c r="H2222" s="2">
        <v>46229.583333333336</v>
      </c>
    </row>
    <row r="2223" spans="1:8" x14ac:dyDescent="0.25">
      <c r="A2223" s="8" t="s">
        <v>7297</v>
      </c>
      <c r="B2223" s="8" t="s">
        <v>14237</v>
      </c>
      <c r="C2223" s="2">
        <v>46229.416666666664</v>
      </c>
      <c r="D2223" s="8" t="s">
        <v>13929</v>
      </c>
      <c r="E2223" s="8" t="s">
        <v>28</v>
      </c>
      <c r="F2223">
        <v>4</v>
      </c>
      <c r="G2223" s="2">
        <v>46229.75</v>
      </c>
      <c r="H2223" s="2">
        <v>46229.583333333336</v>
      </c>
    </row>
    <row r="2224" spans="1:8" x14ac:dyDescent="0.25">
      <c r="A2224" s="8" t="s">
        <v>7300</v>
      </c>
      <c r="B2224" s="8" t="s">
        <v>14237</v>
      </c>
      <c r="C2224" s="2">
        <v>46229.416666666664</v>
      </c>
      <c r="D2224" s="8" t="s">
        <v>13929</v>
      </c>
      <c r="E2224" s="8" t="s">
        <v>32</v>
      </c>
      <c r="F2224">
        <v>1</v>
      </c>
      <c r="G2224" s="2">
        <v>46229.75</v>
      </c>
      <c r="H2224" s="2">
        <v>46229.583333333336</v>
      </c>
    </row>
    <row r="2225" spans="1:8" x14ac:dyDescent="0.25">
      <c r="A2225" s="8" t="s">
        <v>7303</v>
      </c>
      <c r="B2225" s="8" t="s">
        <v>14237</v>
      </c>
      <c r="C2225" s="2">
        <v>46229.416666666664</v>
      </c>
      <c r="D2225" s="8" t="s">
        <v>13929</v>
      </c>
      <c r="E2225" s="8" t="s">
        <v>43</v>
      </c>
      <c r="F2225">
        <v>1</v>
      </c>
      <c r="G2225" s="2">
        <v>46229.75</v>
      </c>
      <c r="H2225" s="2">
        <v>46229.583333333336</v>
      </c>
    </row>
    <row r="2226" spans="1:8" x14ac:dyDescent="0.25">
      <c r="A2226" s="8" t="s">
        <v>7306</v>
      </c>
      <c r="B2226" s="8" t="s">
        <v>14237</v>
      </c>
      <c r="C2226" s="2">
        <v>46229.416666666664</v>
      </c>
      <c r="D2226" s="8" t="s">
        <v>13929</v>
      </c>
      <c r="E2226" s="8" t="s">
        <v>49</v>
      </c>
      <c r="F2226">
        <v>4</v>
      </c>
      <c r="G2226" s="2">
        <v>46229.75</v>
      </c>
      <c r="H2226" s="2">
        <v>46229.583333333336</v>
      </c>
    </row>
    <row r="2227" spans="1:8" x14ac:dyDescent="0.25">
      <c r="A2227" s="8" t="s">
        <v>7309</v>
      </c>
      <c r="B2227" s="8" t="s">
        <v>14237</v>
      </c>
      <c r="C2227" s="2">
        <v>46229.416666666664</v>
      </c>
      <c r="D2227" s="8" t="s">
        <v>13929</v>
      </c>
      <c r="E2227" s="8" t="s">
        <v>57</v>
      </c>
      <c r="F2227">
        <v>5</v>
      </c>
      <c r="G2227" s="2">
        <v>46229.75</v>
      </c>
      <c r="H2227" s="2">
        <v>46229.583333333336</v>
      </c>
    </row>
    <row r="2228" spans="1:8" x14ac:dyDescent="0.25">
      <c r="A2228" s="8" t="s">
        <v>7312</v>
      </c>
      <c r="B2228" s="8" t="s">
        <v>14237</v>
      </c>
      <c r="C2228" s="2">
        <v>46229.416666666664</v>
      </c>
      <c r="D2228" s="8" t="s">
        <v>13929</v>
      </c>
      <c r="E2228" s="8" t="s">
        <v>65</v>
      </c>
      <c r="F2228">
        <v>3</v>
      </c>
      <c r="G2228" s="2">
        <v>46229.75</v>
      </c>
      <c r="H2228" s="2">
        <v>46229.583333333336</v>
      </c>
    </row>
    <row r="2229" spans="1:8" x14ac:dyDescent="0.25">
      <c r="A2229" s="8" t="s">
        <v>7315</v>
      </c>
      <c r="B2229" s="8" t="s">
        <v>14237</v>
      </c>
      <c r="C2229" s="2">
        <v>46229.416666666664</v>
      </c>
      <c r="D2229" s="8" t="s">
        <v>13929</v>
      </c>
      <c r="E2229" s="8" t="s">
        <v>69</v>
      </c>
      <c r="F2229">
        <v>4</v>
      </c>
      <c r="G2229" s="2">
        <v>46229.75</v>
      </c>
      <c r="H2229" s="2">
        <v>46229.583333333336</v>
      </c>
    </row>
    <row r="2230" spans="1:8" x14ac:dyDescent="0.25">
      <c r="A2230" s="8" t="s">
        <v>7318</v>
      </c>
      <c r="B2230" s="8" t="s">
        <v>14237</v>
      </c>
      <c r="C2230" s="2">
        <v>46229.416666666664</v>
      </c>
      <c r="D2230" s="8" t="s">
        <v>13929</v>
      </c>
      <c r="E2230" s="8" t="s">
        <v>71</v>
      </c>
      <c r="F2230">
        <v>2</v>
      </c>
      <c r="G2230" s="2">
        <v>46229.75</v>
      </c>
      <c r="H2230" s="2">
        <v>46229.583333333336</v>
      </c>
    </row>
    <row r="2231" spans="1:8" x14ac:dyDescent="0.25">
      <c r="A2231" s="8" t="s">
        <v>7321</v>
      </c>
      <c r="B2231" s="8" t="s">
        <v>14237</v>
      </c>
      <c r="C2231" s="2">
        <v>46229.416666666664</v>
      </c>
      <c r="D2231" s="8" t="s">
        <v>13929</v>
      </c>
      <c r="E2231" s="8" t="s">
        <v>73</v>
      </c>
      <c r="F2231">
        <v>1</v>
      </c>
      <c r="G2231" s="2">
        <v>46229.75</v>
      </c>
      <c r="H2231" s="2">
        <v>46229.583333333336</v>
      </c>
    </row>
    <row r="2232" spans="1:8" x14ac:dyDescent="0.25">
      <c r="A2232" s="8" t="s">
        <v>7324</v>
      </c>
      <c r="B2232" s="8" t="s">
        <v>14237</v>
      </c>
      <c r="C2232" s="2">
        <v>46229.416666666664</v>
      </c>
      <c r="D2232" s="8" t="s">
        <v>13929</v>
      </c>
      <c r="E2232" s="8" t="s">
        <v>77</v>
      </c>
      <c r="F2232">
        <v>2</v>
      </c>
      <c r="G2232" s="2">
        <v>46229.75</v>
      </c>
      <c r="H2232" s="2">
        <v>46229.583333333336</v>
      </c>
    </row>
    <row r="2233" spans="1:8" x14ac:dyDescent="0.25">
      <c r="A2233" s="8" t="s">
        <v>7327</v>
      </c>
      <c r="B2233" s="8" t="s">
        <v>14237</v>
      </c>
      <c r="C2233" s="2">
        <v>46229.416666666664</v>
      </c>
      <c r="D2233" s="8" t="s">
        <v>13929</v>
      </c>
      <c r="E2233" s="8" t="s">
        <v>79</v>
      </c>
      <c r="F2233">
        <v>3</v>
      </c>
      <c r="G2233" s="2">
        <v>46229.75</v>
      </c>
      <c r="H2233" s="2">
        <v>46229.583333333336</v>
      </c>
    </row>
    <row r="2234" spans="1:8" x14ac:dyDescent="0.25">
      <c r="A2234" s="8" t="s">
        <v>14238</v>
      </c>
      <c r="B2234" s="8" t="s">
        <v>14239</v>
      </c>
      <c r="C2234" s="2">
        <v>46229.416666666664</v>
      </c>
      <c r="D2234" s="8" t="s">
        <v>13931</v>
      </c>
      <c r="E2234" s="8" t="s">
        <v>11</v>
      </c>
      <c r="F2234">
        <v>6</v>
      </c>
      <c r="G2234" s="2">
        <v>46229.75</v>
      </c>
      <c r="H2234" s="2"/>
    </row>
    <row r="2235" spans="1:8" x14ac:dyDescent="0.25">
      <c r="A2235" s="8" t="s">
        <v>7330</v>
      </c>
      <c r="B2235" s="8" t="s">
        <v>14239</v>
      </c>
      <c r="C2235" s="2">
        <v>46229.416666666664</v>
      </c>
      <c r="D2235" s="8" t="s">
        <v>13931</v>
      </c>
      <c r="E2235" s="8" t="s">
        <v>20</v>
      </c>
      <c r="F2235">
        <v>1</v>
      </c>
      <c r="G2235" s="2">
        <v>46229.75</v>
      </c>
      <c r="H2235" s="2">
        <v>46229.583333333336</v>
      </c>
    </row>
    <row r="2236" spans="1:8" x14ac:dyDescent="0.25">
      <c r="A2236" s="8" t="s">
        <v>7333</v>
      </c>
      <c r="B2236" s="8" t="s">
        <v>14239</v>
      </c>
      <c r="C2236" s="2">
        <v>46229.416666666664</v>
      </c>
      <c r="D2236" s="8" t="s">
        <v>13931</v>
      </c>
      <c r="E2236" s="8" t="s">
        <v>22</v>
      </c>
      <c r="F2236">
        <v>4</v>
      </c>
      <c r="G2236" s="2">
        <v>46229.75</v>
      </c>
      <c r="H2236" s="2">
        <v>46229.583333333336</v>
      </c>
    </row>
    <row r="2237" spans="1:8" x14ac:dyDescent="0.25">
      <c r="A2237" s="8" t="s">
        <v>7336</v>
      </c>
      <c r="B2237" s="8" t="s">
        <v>14239</v>
      </c>
      <c r="C2237" s="2">
        <v>46229.416666666664</v>
      </c>
      <c r="D2237" s="8" t="s">
        <v>13931</v>
      </c>
      <c r="E2237" s="8" t="s">
        <v>24</v>
      </c>
      <c r="F2237">
        <v>1</v>
      </c>
      <c r="G2237" s="2">
        <v>46229.75</v>
      </c>
      <c r="H2237" s="2">
        <v>46229.583333333336</v>
      </c>
    </row>
    <row r="2238" spans="1:8" x14ac:dyDescent="0.25">
      <c r="A2238" s="8" t="s">
        <v>7339</v>
      </c>
      <c r="B2238" s="8" t="s">
        <v>14239</v>
      </c>
      <c r="C2238" s="2">
        <v>46229.416666666664</v>
      </c>
      <c r="D2238" s="8" t="s">
        <v>13931</v>
      </c>
      <c r="E2238" s="8" t="s">
        <v>26</v>
      </c>
      <c r="F2238">
        <v>1</v>
      </c>
      <c r="G2238" s="2">
        <v>46229.75</v>
      </c>
      <c r="H2238" s="2">
        <v>46229.583333333336</v>
      </c>
    </row>
    <row r="2239" spans="1:8" x14ac:dyDescent="0.25">
      <c r="A2239" s="8" t="s">
        <v>7342</v>
      </c>
      <c r="B2239" s="8" t="s">
        <v>14239</v>
      </c>
      <c r="C2239" s="2">
        <v>46229.416666666664</v>
      </c>
      <c r="D2239" s="8" t="s">
        <v>13931</v>
      </c>
      <c r="E2239" s="8" t="s">
        <v>28</v>
      </c>
      <c r="F2239">
        <v>5</v>
      </c>
      <c r="G2239" s="2">
        <v>46229.75</v>
      </c>
      <c r="H2239" s="2">
        <v>46229.583333333336</v>
      </c>
    </row>
    <row r="2240" spans="1:8" x14ac:dyDescent="0.25">
      <c r="A2240" s="8" t="s">
        <v>7345</v>
      </c>
      <c r="B2240" s="8" t="s">
        <v>14239</v>
      </c>
      <c r="C2240" s="2">
        <v>46229.416666666664</v>
      </c>
      <c r="D2240" s="8" t="s">
        <v>13931</v>
      </c>
      <c r="E2240" s="8" t="s">
        <v>30</v>
      </c>
      <c r="F2240">
        <v>5</v>
      </c>
      <c r="G2240" s="2">
        <v>46229.75</v>
      </c>
      <c r="H2240" s="2">
        <v>46229.583333333336</v>
      </c>
    </row>
    <row r="2241" spans="1:8" x14ac:dyDescent="0.25">
      <c r="A2241" s="8" t="s">
        <v>7348</v>
      </c>
      <c r="B2241" s="8" t="s">
        <v>14239</v>
      </c>
      <c r="C2241" s="2">
        <v>46229.416666666664</v>
      </c>
      <c r="D2241" s="8" t="s">
        <v>13931</v>
      </c>
      <c r="E2241" s="8" t="s">
        <v>49</v>
      </c>
      <c r="F2241">
        <v>1</v>
      </c>
      <c r="G2241" s="2">
        <v>46229.75</v>
      </c>
      <c r="H2241" s="2">
        <v>46229.583333333336</v>
      </c>
    </row>
    <row r="2242" spans="1:8" x14ac:dyDescent="0.25">
      <c r="A2242" s="8" t="s">
        <v>7351</v>
      </c>
      <c r="B2242" s="8" t="s">
        <v>14239</v>
      </c>
      <c r="C2242" s="2">
        <v>46229.416666666664</v>
      </c>
      <c r="D2242" s="8" t="s">
        <v>13931</v>
      </c>
      <c r="E2242" s="8" t="s">
        <v>57</v>
      </c>
      <c r="F2242">
        <v>1</v>
      </c>
      <c r="G2242" s="2">
        <v>46229.75</v>
      </c>
      <c r="H2242" s="2">
        <v>46229.583333333336</v>
      </c>
    </row>
    <row r="2243" spans="1:8" x14ac:dyDescent="0.25">
      <c r="A2243" s="8" t="s">
        <v>7354</v>
      </c>
      <c r="B2243" s="8" t="s">
        <v>14239</v>
      </c>
      <c r="C2243" s="2">
        <v>46229.416666666664</v>
      </c>
      <c r="D2243" s="8" t="s">
        <v>13931</v>
      </c>
      <c r="E2243" s="8" t="s">
        <v>71</v>
      </c>
      <c r="F2243">
        <v>4</v>
      </c>
      <c r="G2243" s="2">
        <v>46229.75</v>
      </c>
      <c r="H2243" s="2">
        <v>46229.583333333336</v>
      </c>
    </row>
    <row r="2244" spans="1:8" x14ac:dyDescent="0.25">
      <c r="A2244" s="8" t="s">
        <v>7357</v>
      </c>
      <c r="B2244" s="8" t="s">
        <v>14239</v>
      </c>
      <c r="C2244" s="2">
        <v>46229.416666666664</v>
      </c>
      <c r="D2244" s="8" t="s">
        <v>13931</v>
      </c>
      <c r="E2244" s="8" t="s">
        <v>73</v>
      </c>
      <c r="F2244">
        <v>5</v>
      </c>
      <c r="G2244" s="2">
        <v>46229.75</v>
      </c>
      <c r="H2244" s="2">
        <v>46229.583333333336</v>
      </c>
    </row>
    <row r="2245" spans="1:8" x14ac:dyDescent="0.25">
      <c r="A2245" s="8" t="s">
        <v>14240</v>
      </c>
      <c r="B2245" s="8" t="s">
        <v>14241</v>
      </c>
      <c r="C2245" s="2">
        <v>46229.416666666664</v>
      </c>
      <c r="D2245" s="8" t="s">
        <v>13933</v>
      </c>
      <c r="E2245" s="8" t="s">
        <v>11</v>
      </c>
      <c r="F2245">
        <v>2</v>
      </c>
      <c r="G2245" s="2">
        <v>46229.75</v>
      </c>
      <c r="H2245" s="2"/>
    </row>
    <row r="2246" spans="1:8" x14ac:dyDescent="0.25">
      <c r="A2246" s="8" t="s">
        <v>7360</v>
      </c>
      <c r="B2246" s="8" t="s">
        <v>14241</v>
      </c>
      <c r="C2246" s="2">
        <v>46229.416666666664</v>
      </c>
      <c r="D2246" s="8" t="s">
        <v>13933</v>
      </c>
      <c r="E2246" s="8" t="s">
        <v>18</v>
      </c>
      <c r="F2246">
        <v>3</v>
      </c>
      <c r="G2246" s="2">
        <v>46229.75</v>
      </c>
      <c r="H2246" s="2">
        <v>46229.583333333336</v>
      </c>
    </row>
    <row r="2247" spans="1:8" x14ac:dyDescent="0.25">
      <c r="A2247" s="8" t="s">
        <v>7363</v>
      </c>
      <c r="B2247" s="8" t="s">
        <v>14241</v>
      </c>
      <c r="C2247" s="2">
        <v>46229.416666666664</v>
      </c>
      <c r="D2247" s="8" t="s">
        <v>13933</v>
      </c>
      <c r="E2247" s="8" t="s">
        <v>20</v>
      </c>
      <c r="F2247">
        <v>5</v>
      </c>
      <c r="G2247" s="2">
        <v>46229.75</v>
      </c>
      <c r="H2247" s="2">
        <v>46229.583333333336</v>
      </c>
    </row>
    <row r="2248" spans="1:8" x14ac:dyDescent="0.25">
      <c r="A2248" s="8" t="s">
        <v>7366</v>
      </c>
      <c r="B2248" s="8" t="s">
        <v>14241</v>
      </c>
      <c r="C2248" s="2">
        <v>46229.416666666664</v>
      </c>
      <c r="D2248" s="8" t="s">
        <v>13933</v>
      </c>
      <c r="E2248" s="8" t="s">
        <v>30</v>
      </c>
      <c r="F2248">
        <v>3</v>
      </c>
      <c r="G2248" s="2">
        <v>46229.75</v>
      </c>
      <c r="H2248" s="2">
        <v>46229.583333333336</v>
      </c>
    </row>
    <row r="2249" spans="1:8" x14ac:dyDescent="0.25">
      <c r="A2249" s="8" t="s">
        <v>7369</v>
      </c>
      <c r="B2249" s="8" t="s">
        <v>14241</v>
      </c>
      <c r="C2249" s="2">
        <v>46229.416666666664</v>
      </c>
      <c r="D2249" s="8" t="s">
        <v>13933</v>
      </c>
      <c r="E2249" s="8" t="s">
        <v>43</v>
      </c>
      <c r="F2249">
        <v>5</v>
      </c>
      <c r="G2249" s="2">
        <v>46229.75</v>
      </c>
      <c r="H2249" s="2">
        <v>46229.583333333336</v>
      </c>
    </row>
    <row r="2250" spans="1:8" x14ac:dyDescent="0.25">
      <c r="A2250" s="8" t="s">
        <v>7372</v>
      </c>
      <c r="B2250" s="8" t="s">
        <v>14241</v>
      </c>
      <c r="C2250" s="2">
        <v>46229.416666666664</v>
      </c>
      <c r="D2250" s="8" t="s">
        <v>13933</v>
      </c>
      <c r="E2250" s="8" t="s">
        <v>45</v>
      </c>
      <c r="F2250">
        <v>3</v>
      </c>
      <c r="G2250" s="2">
        <v>46229.75</v>
      </c>
      <c r="H2250" s="2">
        <v>46229.583333333336</v>
      </c>
    </row>
    <row r="2251" spans="1:8" x14ac:dyDescent="0.25">
      <c r="A2251" s="8" t="s">
        <v>7375</v>
      </c>
      <c r="B2251" s="8" t="s">
        <v>14241</v>
      </c>
      <c r="C2251" s="2">
        <v>46229.416666666664</v>
      </c>
      <c r="D2251" s="8" t="s">
        <v>13933</v>
      </c>
      <c r="E2251" s="8" t="s">
        <v>47</v>
      </c>
      <c r="F2251">
        <v>5</v>
      </c>
      <c r="G2251" s="2">
        <v>46229.75</v>
      </c>
      <c r="H2251" s="2">
        <v>46229.583333333336</v>
      </c>
    </row>
    <row r="2252" spans="1:8" x14ac:dyDescent="0.25">
      <c r="A2252" s="8" t="s">
        <v>7378</v>
      </c>
      <c r="B2252" s="8" t="s">
        <v>14241</v>
      </c>
      <c r="C2252" s="2">
        <v>46229.416666666664</v>
      </c>
      <c r="D2252" s="8" t="s">
        <v>13933</v>
      </c>
      <c r="E2252" s="8" t="s">
        <v>51</v>
      </c>
      <c r="F2252">
        <v>5</v>
      </c>
      <c r="G2252" s="2">
        <v>46229.75</v>
      </c>
      <c r="H2252" s="2">
        <v>46229.583333333336</v>
      </c>
    </row>
    <row r="2253" spans="1:8" x14ac:dyDescent="0.25">
      <c r="A2253" s="8" t="s">
        <v>7381</v>
      </c>
      <c r="B2253" s="8" t="s">
        <v>14241</v>
      </c>
      <c r="C2253" s="2">
        <v>46229.416666666664</v>
      </c>
      <c r="D2253" s="8" t="s">
        <v>13933</v>
      </c>
      <c r="E2253" s="8" t="s">
        <v>67</v>
      </c>
      <c r="F2253">
        <v>5</v>
      </c>
      <c r="G2253" s="2">
        <v>46229.75</v>
      </c>
      <c r="H2253" s="2">
        <v>46229.583333333336</v>
      </c>
    </row>
    <row r="2254" spans="1:8" x14ac:dyDescent="0.25">
      <c r="A2254" s="8" t="s">
        <v>14242</v>
      </c>
      <c r="B2254" s="8" t="s">
        <v>14243</v>
      </c>
      <c r="C2254" s="2">
        <v>46229.416666666664</v>
      </c>
      <c r="D2254" s="8" t="s">
        <v>13935</v>
      </c>
      <c r="E2254" s="8" t="s">
        <v>11</v>
      </c>
      <c r="F2254">
        <v>5</v>
      </c>
      <c r="G2254" s="2">
        <v>46229.75</v>
      </c>
      <c r="H2254" s="2"/>
    </row>
    <row r="2255" spans="1:8" x14ac:dyDescent="0.25">
      <c r="A2255" s="8" t="s">
        <v>7384</v>
      </c>
      <c r="B2255" s="8" t="s">
        <v>14243</v>
      </c>
      <c r="C2255" s="2">
        <v>46229.416666666664</v>
      </c>
      <c r="D2255" s="8" t="s">
        <v>13935</v>
      </c>
      <c r="E2255" s="8" t="s">
        <v>22</v>
      </c>
      <c r="F2255">
        <v>9</v>
      </c>
      <c r="G2255" s="2">
        <v>46229.75</v>
      </c>
      <c r="H2255" s="2">
        <v>46229.583333333336</v>
      </c>
    </row>
    <row r="2256" spans="1:8" x14ac:dyDescent="0.25">
      <c r="A2256" s="8" t="s">
        <v>7387</v>
      </c>
      <c r="B2256" s="8" t="s">
        <v>14243</v>
      </c>
      <c r="C2256" s="2">
        <v>46229.416666666664</v>
      </c>
      <c r="D2256" s="8" t="s">
        <v>13935</v>
      </c>
      <c r="E2256" s="8" t="s">
        <v>26</v>
      </c>
      <c r="F2256">
        <v>7</v>
      </c>
      <c r="G2256" s="2">
        <v>46229.75</v>
      </c>
      <c r="H2256" s="2">
        <v>46229.583333333336</v>
      </c>
    </row>
    <row r="2257" spans="1:8" x14ac:dyDescent="0.25">
      <c r="A2257" s="8" t="s">
        <v>7390</v>
      </c>
      <c r="B2257" s="8" t="s">
        <v>14243</v>
      </c>
      <c r="C2257" s="2">
        <v>46229.416666666664</v>
      </c>
      <c r="D2257" s="8" t="s">
        <v>13935</v>
      </c>
      <c r="E2257" s="8" t="s">
        <v>28</v>
      </c>
      <c r="F2257">
        <v>2</v>
      </c>
      <c r="G2257" s="2">
        <v>46229.75</v>
      </c>
      <c r="H2257" s="2">
        <v>46229.583333333336</v>
      </c>
    </row>
    <row r="2258" spans="1:8" x14ac:dyDescent="0.25">
      <c r="A2258" s="8" t="s">
        <v>7393</v>
      </c>
      <c r="B2258" s="8" t="s">
        <v>14243</v>
      </c>
      <c r="C2258" s="2">
        <v>46229.416666666664</v>
      </c>
      <c r="D2258" s="8" t="s">
        <v>13935</v>
      </c>
      <c r="E2258" s="8" t="s">
        <v>32</v>
      </c>
      <c r="F2258">
        <v>2</v>
      </c>
      <c r="G2258" s="2">
        <v>46229.75</v>
      </c>
      <c r="H2258" s="2">
        <v>46229.583333333336</v>
      </c>
    </row>
    <row r="2259" spans="1:8" x14ac:dyDescent="0.25">
      <c r="A2259" s="8" t="s">
        <v>7396</v>
      </c>
      <c r="B2259" s="8" t="s">
        <v>14243</v>
      </c>
      <c r="C2259" s="2">
        <v>46229.416666666664</v>
      </c>
      <c r="D2259" s="8" t="s">
        <v>13935</v>
      </c>
      <c r="E2259" s="8" t="s">
        <v>36</v>
      </c>
      <c r="F2259">
        <v>5</v>
      </c>
      <c r="G2259" s="2">
        <v>46229.75</v>
      </c>
      <c r="H2259" s="2">
        <v>46229.583333333336</v>
      </c>
    </row>
    <row r="2260" spans="1:8" x14ac:dyDescent="0.25">
      <c r="A2260" s="8" t="s">
        <v>7399</v>
      </c>
      <c r="B2260" s="8" t="s">
        <v>14243</v>
      </c>
      <c r="C2260" s="2">
        <v>46229.416666666664</v>
      </c>
      <c r="D2260" s="8" t="s">
        <v>13935</v>
      </c>
      <c r="E2260" s="8" t="s">
        <v>49</v>
      </c>
      <c r="F2260">
        <v>4</v>
      </c>
      <c r="G2260" s="2">
        <v>46229.75</v>
      </c>
      <c r="H2260" s="2">
        <v>46229.583333333336</v>
      </c>
    </row>
    <row r="2261" spans="1:8" x14ac:dyDescent="0.25">
      <c r="A2261" s="8" t="s">
        <v>7402</v>
      </c>
      <c r="B2261" s="8" t="s">
        <v>14243</v>
      </c>
      <c r="C2261" s="2">
        <v>46229.416666666664</v>
      </c>
      <c r="D2261" s="8" t="s">
        <v>13935</v>
      </c>
      <c r="E2261" s="8" t="s">
        <v>67</v>
      </c>
      <c r="F2261">
        <v>9</v>
      </c>
      <c r="G2261" s="2">
        <v>46229.75</v>
      </c>
      <c r="H2261" s="2">
        <v>46229.583333333336</v>
      </c>
    </row>
    <row r="2262" spans="1:8" x14ac:dyDescent="0.25">
      <c r="A2262" s="8" t="s">
        <v>7405</v>
      </c>
      <c r="B2262" s="8" t="s">
        <v>14243</v>
      </c>
      <c r="C2262" s="2">
        <v>46229.416666666664</v>
      </c>
      <c r="D2262" s="8" t="s">
        <v>13935</v>
      </c>
      <c r="E2262" s="8" t="s">
        <v>75</v>
      </c>
      <c r="F2262">
        <v>4</v>
      </c>
      <c r="G2262" s="2">
        <v>46229.75</v>
      </c>
      <c r="H2262" s="2">
        <v>46229.583333333336</v>
      </c>
    </row>
    <row r="2263" spans="1:8" x14ac:dyDescent="0.25">
      <c r="A2263" s="8" t="s">
        <v>14244</v>
      </c>
      <c r="B2263" s="8" t="s">
        <v>14245</v>
      </c>
      <c r="C2263" s="2">
        <v>46229.416666666664</v>
      </c>
      <c r="D2263" s="8" t="s">
        <v>13937</v>
      </c>
      <c r="E2263" s="8" t="s">
        <v>11</v>
      </c>
      <c r="F2263">
        <v>4</v>
      </c>
      <c r="G2263" s="2">
        <v>46229.75</v>
      </c>
      <c r="H2263" s="2"/>
    </row>
    <row r="2264" spans="1:8" x14ac:dyDescent="0.25">
      <c r="A2264" s="8" t="s">
        <v>7408</v>
      </c>
      <c r="B2264" s="8" t="s">
        <v>14245</v>
      </c>
      <c r="C2264" s="2">
        <v>46229.416666666664</v>
      </c>
      <c r="D2264" s="8" t="s">
        <v>13937</v>
      </c>
      <c r="E2264" s="8" t="s">
        <v>18</v>
      </c>
      <c r="F2264">
        <v>5</v>
      </c>
      <c r="G2264" s="2">
        <v>46229.75</v>
      </c>
      <c r="H2264" s="2">
        <v>46229.583333333336</v>
      </c>
    </row>
    <row r="2265" spans="1:8" x14ac:dyDescent="0.25">
      <c r="A2265" s="8" t="s">
        <v>7411</v>
      </c>
      <c r="B2265" s="8" t="s">
        <v>14245</v>
      </c>
      <c r="C2265" s="2">
        <v>46229.416666666664</v>
      </c>
      <c r="D2265" s="8" t="s">
        <v>13937</v>
      </c>
      <c r="E2265" s="8" t="s">
        <v>22</v>
      </c>
      <c r="F2265">
        <v>5</v>
      </c>
      <c r="G2265" s="2">
        <v>46229.75</v>
      </c>
      <c r="H2265" s="2">
        <v>46229.583333333336</v>
      </c>
    </row>
    <row r="2266" spans="1:8" x14ac:dyDescent="0.25">
      <c r="A2266" s="8" t="s">
        <v>7414</v>
      </c>
      <c r="B2266" s="8" t="s">
        <v>14245</v>
      </c>
      <c r="C2266" s="2">
        <v>46229.416666666664</v>
      </c>
      <c r="D2266" s="8" t="s">
        <v>13937</v>
      </c>
      <c r="E2266" s="8" t="s">
        <v>26</v>
      </c>
      <c r="F2266">
        <v>1</v>
      </c>
      <c r="G2266" s="2">
        <v>46229.75</v>
      </c>
      <c r="H2266" s="2">
        <v>46229.583333333336</v>
      </c>
    </row>
    <row r="2267" spans="1:8" x14ac:dyDescent="0.25">
      <c r="A2267" s="8" t="s">
        <v>7417</v>
      </c>
      <c r="B2267" s="8" t="s">
        <v>14245</v>
      </c>
      <c r="C2267" s="2">
        <v>46229.416666666664</v>
      </c>
      <c r="D2267" s="8" t="s">
        <v>13937</v>
      </c>
      <c r="E2267" s="8" t="s">
        <v>30</v>
      </c>
      <c r="F2267">
        <v>6</v>
      </c>
      <c r="G2267" s="2">
        <v>46229.75</v>
      </c>
      <c r="H2267" s="2">
        <v>46229.583333333336</v>
      </c>
    </row>
    <row r="2268" spans="1:8" x14ac:dyDescent="0.25">
      <c r="A2268" s="8" t="s">
        <v>7420</v>
      </c>
      <c r="B2268" s="8" t="s">
        <v>14245</v>
      </c>
      <c r="C2268" s="2">
        <v>46229.416666666664</v>
      </c>
      <c r="D2268" s="8" t="s">
        <v>13937</v>
      </c>
      <c r="E2268" s="8" t="s">
        <v>41</v>
      </c>
      <c r="F2268">
        <v>1</v>
      </c>
      <c r="G2268" s="2">
        <v>46229.75</v>
      </c>
      <c r="H2268" s="2">
        <v>46229.583333333336</v>
      </c>
    </row>
    <row r="2269" spans="1:8" x14ac:dyDescent="0.25">
      <c r="A2269" s="8" t="s">
        <v>7423</v>
      </c>
      <c r="B2269" s="8" t="s">
        <v>14245</v>
      </c>
      <c r="C2269" s="2">
        <v>46229.416666666664</v>
      </c>
      <c r="D2269" s="8" t="s">
        <v>13937</v>
      </c>
      <c r="E2269" s="8" t="s">
        <v>47</v>
      </c>
      <c r="F2269">
        <v>2</v>
      </c>
      <c r="G2269" s="2">
        <v>46229.75</v>
      </c>
      <c r="H2269" s="2">
        <v>46229.583333333336</v>
      </c>
    </row>
    <row r="2270" spans="1:8" x14ac:dyDescent="0.25">
      <c r="A2270" s="8" t="s">
        <v>7426</v>
      </c>
      <c r="B2270" s="8" t="s">
        <v>14245</v>
      </c>
      <c r="C2270" s="2">
        <v>46229.416666666664</v>
      </c>
      <c r="D2270" s="8" t="s">
        <v>13937</v>
      </c>
      <c r="E2270" s="8" t="s">
        <v>49</v>
      </c>
      <c r="F2270">
        <v>4</v>
      </c>
      <c r="G2270" s="2">
        <v>46229.75</v>
      </c>
      <c r="H2270" s="2">
        <v>46229.583333333336</v>
      </c>
    </row>
    <row r="2271" spans="1:8" x14ac:dyDescent="0.25">
      <c r="A2271" s="8" t="s">
        <v>7429</v>
      </c>
      <c r="B2271" s="8" t="s">
        <v>14245</v>
      </c>
      <c r="C2271" s="2">
        <v>46229.416666666664</v>
      </c>
      <c r="D2271" s="8" t="s">
        <v>13937</v>
      </c>
      <c r="E2271" s="8" t="s">
        <v>51</v>
      </c>
      <c r="F2271">
        <v>1</v>
      </c>
      <c r="G2271" s="2">
        <v>46229.75</v>
      </c>
      <c r="H2271" s="2">
        <v>46229.583333333336</v>
      </c>
    </row>
    <row r="2272" spans="1:8" x14ac:dyDescent="0.25">
      <c r="A2272" s="8" t="s">
        <v>7432</v>
      </c>
      <c r="B2272" s="8" t="s">
        <v>14245</v>
      </c>
      <c r="C2272" s="2">
        <v>46229.416666666664</v>
      </c>
      <c r="D2272" s="8" t="s">
        <v>13937</v>
      </c>
      <c r="E2272" s="8" t="s">
        <v>59</v>
      </c>
      <c r="F2272">
        <v>1</v>
      </c>
      <c r="G2272" s="2">
        <v>46229.75</v>
      </c>
      <c r="H2272" s="2">
        <v>46229.583333333336</v>
      </c>
    </row>
    <row r="2273" spans="1:8" x14ac:dyDescent="0.25">
      <c r="A2273" s="8" t="s">
        <v>7435</v>
      </c>
      <c r="B2273" s="8" t="s">
        <v>14245</v>
      </c>
      <c r="C2273" s="2">
        <v>46229.416666666664</v>
      </c>
      <c r="D2273" s="8" t="s">
        <v>13937</v>
      </c>
      <c r="E2273" s="8" t="s">
        <v>65</v>
      </c>
      <c r="F2273">
        <v>6</v>
      </c>
      <c r="G2273" s="2">
        <v>46229.75</v>
      </c>
      <c r="H2273" s="2">
        <v>46229.583333333336</v>
      </c>
    </row>
    <row r="2274" spans="1:8" x14ac:dyDescent="0.25">
      <c r="A2274" s="8" t="s">
        <v>7438</v>
      </c>
      <c r="B2274" s="8" t="s">
        <v>14245</v>
      </c>
      <c r="C2274" s="2">
        <v>46229.416666666664</v>
      </c>
      <c r="D2274" s="8" t="s">
        <v>13937</v>
      </c>
      <c r="E2274" s="8" t="s">
        <v>69</v>
      </c>
      <c r="F2274">
        <v>4</v>
      </c>
      <c r="G2274" s="2">
        <v>46229.75</v>
      </c>
      <c r="H2274" s="2">
        <v>46229.583333333336</v>
      </c>
    </row>
    <row r="2275" spans="1:8" x14ac:dyDescent="0.25">
      <c r="A2275" s="8" t="s">
        <v>7441</v>
      </c>
      <c r="B2275" s="8" t="s">
        <v>14245</v>
      </c>
      <c r="C2275" s="2">
        <v>46229.416666666664</v>
      </c>
      <c r="D2275" s="8" t="s">
        <v>13937</v>
      </c>
      <c r="E2275" s="8" t="s">
        <v>77</v>
      </c>
      <c r="F2275">
        <v>2</v>
      </c>
      <c r="G2275" s="2">
        <v>46229.75</v>
      </c>
      <c r="H2275" s="2">
        <v>46229.583333333336</v>
      </c>
    </row>
    <row r="2276" spans="1:8" x14ac:dyDescent="0.25">
      <c r="A2276" s="8" t="s">
        <v>7444</v>
      </c>
      <c r="B2276" s="8" t="s">
        <v>14246</v>
      </c>
      <c r="C2276" s="2">
        <v>46230.416666666664</v>
      </c>
      <c r="D2276" s="8" t="s">
        <v>13929</v>
      </c>
      <c r="E2276" s="8" t="s">
        <v>18</v>
      </c>
      <c r="F2276">
        <v>2</v>
      </c>
      <c r="G2276" s="2">
        <v>46230.75</v>
      </c>
      <c r="H2276" s="2">
        <v>46230.583333333336</v>
      </c>
    </row>
    <row r="2277" spans="1:8" x14ac:dyDescent="0.25">
      <c r="A2277" s="8" t="s">
        <v>7447</v>
      </c>
      <c r="B2277" s="8" t="s">
        <v>14246</v>
      </c>
      <c r="C2277" s="2">
        <v>46230.416666666664</v>
      </c>
      <c r="D2277" s="8" t="s">
        <v>13929</v>
      </c>
      <c r="E2277" s="8" t="s">
        <v>20</v>
      </c>
      <c r="F2277">
        <v>4</v>
      </c>
      <c r="G2277" s="2">
        <v>46230.75</v>
      </c>
      <c r="H2277" s="2">
        <v>46230.583333333336</v>
      </c>
    </row>
    <row r="2278" spans="1:8" x14ac:dyDescent="0.25">
      <c r="A2278" s="8" t="s">
        <v>7450</v>
      </c>
      <c r="B2278" s="8" t="s">
        <v>14246</v>
      </c>
      <c r="C2278" s="2">
        <v>46230.416666666664</v>
      </c>
      <c r="D2278" s="8" t="s">
        <v>13929</v>
      </c>
      <c r="E2278" s="8" t="s">
        <v>22</v>
      </c>
      <c r="F2278">
        <v>2</v>
      </c>
      <c r="G2278" s="2">
        <v>46230.75</v>
      </c>
      <c r="H2278" s="2">
        <v>46230.583333333336</v>
      </c>
    </row>
    <row r="2279" spans="1:8" x14ac:dyDescent="0.25">
      <c r="A2279" s="8" t="s">
        <v>7453</v>
      </c>
      <c r="B2279" s="8" t="s">
        <v>14246</v>
      </c>
      <c r="C2279" s="2">
        <v>46230.416666666664</v>
      </c>
      <c r="D2279" s="8" t="s">
        <v>13929</v>
      </c>
      <c r="E2279" s="8" t="s">
        <v>45</v>
      </c>
      <c r="F2279">
        <v>2</v>
      </c>
      <c r="G2279" s="2">
        <v>46230.75</v>
      </c>
      <c r="H2279" s="2">
        <v>46230.583333333336</v>
      </c>
    </row>
    <row r="2280" spans="1:8" x14ac:dyDescent="0.25">
      <c r="A2280" s="8" t="s">
        <v>7456</v>
      </c>
      <c r="B2280" s="8" t="s">
        <v>14246</v>
      </c>
      <c r="C2280" s="2">
        <v>46230.416666666664</v>
      </c>
      <c r="D2280" s="8" t="s">
        <v>13929</v>
      </c>
      <c r="E2280" s="8" t="s">
        <v>57</v>
      </c>
      <c r="F2280">
        <v>4</v>
      </c>
      <c r="G2280" s="2">
        <v>46230.75</v>
      </c>
      <c r="H2280" s="2">
        <v>46230.583333333336</v>
      </c>
    </row>
    <row r="2281" spans="1:8" x14ac:dyDescent="0.25">
      <c r="A2281" s="8" t="s">
        <v>7459</v>
      </c>
      <c r="B2281" s="8" t="s">
        <v>14246</v>
      </c>
      <c r="C2281" s="2">
        <v>46230.416666666664</v>
      </c>
      <c r="D2281" s="8" t="s">
        <v>13929</v>
      </c>
      <c r="E2281" s="8" t="s">
        <v>65</v>
      </c>
      <c r="F2281">
        <v>2</v>
      </c>
      <c r="G2281" s="2">
        <v>46230.75</v>
      </c>
      <c r="H2281" s="2">
        <v>46230.583333333336</v>
      </c>
    </row>
    <row r="2282" spans="1:8" x14ac:dyDescent="0.25">
      <c r="A2282" s="8" t="s">
        <v>7462</v>
      </c>
      <c r="B2282" s="8" t="s">
        <v>14246</v>
      </c>
      <c r="C2282" s="2">
        <v>46230.416666666664</v>
      </c>
      <c r="D2282" s="8" t="s">
        <v>13929</v>
      </c>
      <c r="E2282" s="8" t="s">
        <v>69</v>
      </c>
      <c r="F2282">
        <v>2</v>
      </c>
      <c r="G2282" s="2">
        <v>46230.75</v>
      </c>
      <c r="H2282" s="2">
        <v>46230.583333333336</v>
      </c>
    </row>
    <row r="2283" spans="1:8" x14ac:dyDescent="0.25">
      <c r="A2283" s="8" t="s">
        <v>7465</v>
      </c>
      <c r="B2283" s="8" t="s">
        <v>14246</v>
      </c>
      <c r="C2283" s="2">
        <v>46230.416666666664</v>
      </c>
      <c r="D2283" s="8" t="s">
        <v>13929</v>
      </c>
      <c r="E2283" s="8" t="s">
        <v>73</v>
      </c>
      <c r="F2283">
        <v>1</v>
      </c>
      <c r="G2283" s="2">
        <v>46230.75</v>
      </c>
      <c r="H2283" s="2">
        <v>46230.583333333336</v>
      </c>
    </row>
    <row r="2284" spans="1:8" x14ac:dyDescent="0.25">
      <c r="A2284" s="8" t="s">
        <v>7468</v>
      </c>
      <c r="B2284" s="8" t="s">
        <v>14246</v>
      </c>
      <c r="C2284" s="2">
        <v>46230.416666666664</v>
      </c>
      <c r="D2284" s="8" t="s">
        <v>13929</v>
      </c>
      <c r="E2284" s="8" t="s">
        <v>75</v>
      </c>
      <c r="F2284">
        <v>1</v>
      </c>
      <c r="G2284" s="2">
        <v>46230.75</v>
      </c>
      <c r="H2284" s="2">
        <v>46230.583333333336</v>
      </c>
    </row>
    <row r="2285" spans="1:8" x14ac:dyDescent="0.25">
      <c r="A2285" s="8" t="s">
        <v>14247</v>
      </c>
      <c r="B2285" s="8" t="s">
        <v>14248</v>
      </c>
      <c r="C2285" s="2">
        <v>46230.416666666664</v>
      </c>
      <c r="D2285" s="8" t="s">
        <v>13931</v>
      </c>
      <c r="E2285" s="8" t="s">
        <v>11</v>
      </c>
      <c r="F2285">
        <v>5</v>
      </c>
      <c r="G2285" s="2">
        <v>46230.75</v>
      </c>
      <c r="H2285" s="2"/>
    </row>
    <row r="2286" spans="1:8" x14ac:dyDescent="0.25">
      <c r="A2286" s="8" t="s">
        <v>7471</v>
      </c>
      <c r="B2286" s="8" t="s">
        <v>14248</v>
      </c>
      <c r="C2286" s="2">
        <v>46230.416666666664</v>
      </c>
      <c r="D2286" s="8" t="s">
        <v>13931</v>
      </c>
      <c r="E2286" s="8" t="s">
        <v>20</v>
      </c>
      <c r="F2286">
        <v>3</v>
      </c>
      <c r="G2286" s="2">
        <v>46230.75</v>
      </c>
      <c r="H2286" s="2">
        <v>46230.583333333336</v>
      </c>
    </row>
    <row r="2287" spans="1:8" x14ac:dyDescent="0.25">
      <c r="A2287" s="8" t="s">
        <v>7474</v>
      </c>
      <c r="B2287" s="8" t="s">
        <v>14248</v>
      </c>
      <c r="C2287" s="2">
        <v>46230.416666666664</v>
      </c>
      <c r="D2287" s="8" t="s">
        <v>13931</v>
      </c>
      <c r="E2287" s="8" t="s">
        <v>22</v>
      </c>
      <c r="F2287">
        <v>1</v>
      </c>
      <c r="G2287" s="2">
        <v>46230.75</v>
      </c>
      <c r="H2287" s="2">
        <v>46230.583333333336</v>
      </c>
    </row>
    <row r="2288" spans="1:8" x14ac:dyDescent="0.25">
      <c r="A2288" s="8" t="s">
        <v>7477</v>
      </c>
      <c r="B2288" s="8" t="s">
        <v>14248</v>
      </c>
      <c r="C2288" s="2">
        <v>46230.416666666664</v>
      </c>
      <c r="D2288" s="8" t="s">
        <v>13931</v>
      </c>
      <c r="E2288" s="8" t="s">
        <v>24</v>
      </c>
      <c r="F2288">
        <v>4</v>
      </c>
      <c r="G2288" s="2">
        <v>46230.75</v>
      </c>
      <c r="H2288" s="2">
        <v>46230.583333333336</v>
      </c>
    </row>
    <row r="2289" spans="1:8" x14ac:dyDescent="0.25">
      <c r="A2289" s="8" t="s">
        <v>7480</v>
      </c>
      <c r="B2289" s="8" t="s">
        <v>14248</v>
      </c>
      <c r="C2289" s="2">
        <v>46230.416666666664</v>
      </c>
      <c r="D2289" s="8" t="s">
        <v>13931</v>
      </c>
      <c r="E2289" s="8" t="s">
        <v>26</v>
      </c>
      <c r="F2289">
        <v>1</v>
      </c>
      <c r="G2289" s="2">
        <v>46230.75</v>
      </c>
      <c r="H2289" s="2">
        <v>46230.583333333336</v>
      </c>
    </row>
    <row r="2290" spans="1:8" x14ac:dyDescent="0.25">
      <c r="A2290" s="8" t="s">
        <v>7483</v>
      </c>
      <c r="B2290" s="8" t="s">
        <v>14248</v>
      </c>
      <c r="C2290" s="2">
        <v>46230.416666666664</v>
      </c>
      <c r="D2290" s="8" t="s">
        <v>13931</v>
      </c>
      <c r="E2290" s="8" t="s">
        <v>36</v>
      </c>
      <c r="F2290">
        <v>1</v>
      </c>
      <c r="G2290" s="2">
        <v>46230.75</v>
      </c>
      <c r="H2290" s="2">
        <v>46230.583333333336</v>
      </c>
    </row>
    <row r="2291" spans="1:8" x14ac:dyDescent="0.25">
      <c r="A2291" s="8" t="s">
        <v>7486</v>
      </c>
      <c r="B2291" s="8" t="s">
        <v>14248</v>
      </c>
      <c r="C2291" s="2">
        <v>46230.416666666664</v>
      </c>
      <c r="D2291" s="8" t="s">
        <v>13931</v>
      </c>
      <c r="E2291" s="8" t="s">
        <v>41</v>
      </c>
      <c r="F2291">
        <v>4</v>
      </c>
      <c r="G2291" s="2">
        <v>46230.75</v>
      </c>
      <c r="H2291" s="2">
        <v>46230.583333333336</v>
      </c>
    </row>
    <row r="2292" spans="1:8" x14ac:dyDescent="0.25">
      <c r="A2292" s="8" t="s">
        <v>7489</v>
      </c>
      <c r="B2292" s="8" t="s">
        <v>14248</v>
      </c>
      <c r="C2292" s="2">
        <v>46230.416666666664</v>
      </c>
      <c r="D2292" s="8" t="s">
        <v>13931</v>
      </c>
      <c r="E2292" s="8" t="s">
        <v>67</v>
      </c>
      <c r="F2292">
        <v>3</v>
      </c>
      <c r="G2292" s="2">
        <v>46230.75</v>
      </c>
      <c r="H2292" s="2">
        <v>46230.583333333336</v>
      </c>
    </row>
    <row r="2293" spans="1:8" x14ac:dyDescent="0.25">
      <c r="A2293" s="8" t="s">
        <v>7492</v>
      </c>
      <c r="B2293" s="8" t="s">
        <v>14248</v>
      </c>
      <c r="C2293" s="2">
        <v>46230.416666666664</v>
      </c>
      <c r="D2293" s="8" t="s">
        <v>13931</v>
      </c>
      <c r="E2293" s="8" t="s">
        <v>69</v>
      </c>
      <c r="F2293">
        <v>1</v>
      </c>
      <c r="G2293" s="2">
        <v>46230.75</v>
      </c>
      <c r="H2293" s="2">
        <v>46230.583333333336</v>
      </c>
    </row>
    <row r="2294" spans="1:8" x14ac:dyDescent="0.25">
      <c r="A2294" s="8" t="s">
        <v>7495</v>
      </c>
      <c r="B2294" s="8" t="s">
        <v>14248</v>
      </c>
      <c r="C2294" s="2">
        <v>46230.416666666664</v>
      </c>
      <c r="D2294" s="8" t="s">
        <v>13931</v>
      </c>
      <c r="E2294" s="8" t="s">
        <v>75</v>
      </c>
      <c r="F2294">
        <v>3</v>
      </c>
      <c r="G2294" s="2">
        <v>46230.75</v>
      </c>
      <c r="H2294" s="2">
        <v>46230.583333333336</v>
      </c>
    </row>
    <row r="2295" spans="1:8" x14ac:dyDescent="0.25">
      <c r="A2295" s="8" t="s">
        <v>7498</v>
      </c>
      <c r="B2295" s="8" t="s">
        <v>14248</v>
      </c>
      <c r="C2295" s="2">
        <v>46230.416666666664</v>
      </c>
      <c r="D2295" s="8" t="s">
        <v>13931</v>
      </c>
      <c r="E2295" s="8" t="s">
        <v>77</v>
      </c>
      <c r="F2295">
        <v>3</v>
      </c>
      <c r="G2295" s="2">
        <v>46230.75</v>
      </c>
      <c r="H2295" s="2">
        <v>46230.583333333336</v>
      </c>
    </row>
    <row r="2296" spans="1:8" x14ac:dyDescent="0.25">
      <c r="A2296" s="8" t="s">
        <v>14249</v>
      </c>
      <c r="B2296" s="8" t="s">
        <v>14250</v>
      </c>
      <c r="C2296" s="2">
        <v>46230.416666666664</v>
      </c>
      <c r="D2296" s="8" t="s">
        <v>13933</v>
      </c>
      <c r="E2296" s="8" t="s">
        <v>11</v>
      </c>
      <c r="F2296">
        <v>4</v>
      </c>
      <c r="G2296" s="2">
        <v>46230.75</v>
      </c>
      <c r="H2296" s="2"/>
    </row>
    <row r="2297" spans="1:8" x14ac:dyDescent="0.25">
      <c r="A2297" s="8" t="s">
        <v>7501</v>
      </c>
      <c r="B2297" s="8" t="s">
        <v>14250</v>
      </c>
      <c r="C2297" s="2">
        <v>46230.416666666664</v>
      </c>
      <c r="D2297" s="8" t="s">
        <v>13933</v>
      </c>
      <c r="E2297" s="8" t="s">
        <v>18</v>
      </c>
      <c r="F2297">
        <v>5</v>
      </c>
      <c r="G2297" s="2">
        <v>46230.75</v>
      </c>
      <c r="H2297" s="2">
        <v>46230.583333333336</v>
      </c>
    </row>
    <row r="2298" spans="1:8" x14ac:dyDescent="0.25">
      <c r="A2298" s="8" t="s">
        <v>7504</v>
      </c>
      <c r="B2298" s="8" t="s">
        <v>14250</v>
      </c>
      <c r="C2298" s="2">
        <v>46230.416666666664</v>
      </c>
      <c r="D2298" s="8" t="s">
        <v>13933</v>
      </c>
      <c r="E2298" s="8" t="s">
        <v>22</v>
      </c>
      <c r="F2298">
        <v>5</v>
      </c>
      <c r="G2298" s="2">
        <v>46230.75</v>
      </c>
      <c r="H2298" s="2">
        <v>46230.583333333336</v>
      </c>
    </row>
    <row r="2299" spans="1:8" x14ac:dyDescent="0.25">
      <c r="A2299" s="8" t="s">
        <v>7507</v>
      </c>
      <c r="B2299" s="8" t="s">
        <v>14250</v>
      </c>
      <c r="C2299" s="2">
        <v>46230.416666666664</v>
      </c>
      <c r="D2299" s="8" t="s">
        <v>13933</v>
      </c>
      <c r="E2299" s="8" t="s">
        <v>26</v>
      </c>
      <c r="F2299">
        <v>4</v>
      </c>
      <c r="G2299" s="2">
        <v>46230.75</v>
      </c>
      <c r="H2299" s="2">
        <v>46230.583333333336</v>
      </c>
    </row>
    <row r="2300" spans="1:8" x14ac:dyDescent="0.25">
      <c r="A2300" s="8" t="s">
        <v>7510</v>
      </c>
      <c r="B2300" s="8" t="s">
        <v>14250</v>
      </c>
      <c r="C2300" s="2">
        <v>46230.416666666664</v>
      </c>
      <c r="D2300" s="8" t="s">
        <v>13933</v>
      </c>
      <c r="E2300" s="8" t="s">
        <v>28</v>
      </c>
      <c r="F2300">
        <v>2</v>
      </c>
      <c r="G2300" s="2">
        <v>46230.75</v>
      </c>
      <c r="H2300" s="2">
        <v>46230.583333333336</v>
      </c>
    </row>
    <row r="2301" spans="1:8" x14ac:dyDescent="0.25">
      <c r="A2301" s="8" t="s">
        <v>7513</v>
      </c>
      <c r="B2301" s="8" t="s">
        <v>14250</v>
      </c>
      <c r="C2301" s="2">
        <v>46230.416666666664</v>
      </c>
      <c r="D2301" s="8" t="s">
        <v>13933</v>
      </c>
      <c r="E2301" s="8" t="s">
        <v>36</v>
      </c>
      <c r="F2301">
        <v>1</v>
      </c>
      <c r="G2301" s="2">
        <v>46230.75</v>
      </c>
      <c r="H2301" s="2">
        <v>46230.583333333336</v>
      </c>
    </row>
    <row r="2302" spans="1:8" x14ac:dyDescent="0.25">
      <c r="A2302" s="8" t="s">
        <v>7516</v>
      </c>
      <c r="B2302" s="8" t="s">
        <v>14250</v>
      </c>
      <c r="C2302" s="2">
        <v>46230.416666666664</v>
      </c>
      <c r="D2302" s="8" t="s">
        <v>13933</v>
      </c>
      <c r="E2302" s="8" t="s">
        <v>41</v>
      </c>
      <c r="F2302">
        <v>1</v>
      </c>
      <c r="G2302" s="2">
        <v>46230.75</v>
      </c>
      <c r="H2302" s="2">
        <v>46230.583333333336</v>
      </c>
    </row>
    <row r="2303" spans="1:8" x14ac:dyDescent="0.25">
      <c r="A2303" s="8" t="s">
        <v>7519</v>
      </c>
      <c r="B2303" s="8" t="s">
        <v>14250</v>
      </c>
      <c r="C2303" s="2">
        <v>46230.416666666664</v>
      </c>
      <c r="D2303" s="8" t="s">
        <v>13933</v>
      </c>
      <c r="E2303" s="8" t="s">
        <v>51</v>
      </c>
      <c r="F2303">
        <v>4</v>
      </c>
      <c r="G2303" s="2">
        <v>46230.75</v>
      </c>
      <c r="H2303" s="2">
        <v>46230.583333333336</v>
      </c>
    </row>
    <row r="2304" spans="1:8" x14ac:dyDescent="0.25">
      <c r="A2304" s="8" t="s">
        <v>7522</v>
      </c>
      <c r="B2304" s="8" t="s">
        <v>14250</v>
      </c>
      <c r="C2304" s="2">
        <v>46230.416666666664</v>
      </c>
      <c r="D2304" s="8" t="s">
        <v>13933</v>
      </c>
      <c r="E2304" s="8" t="s">
        <v>59</v>
      </c>
      <c r="F2304">
        <v>5</v>
      </c>
      <c r="G2304" s="2">
        <v>46230.75</v>
      </c>
      <c r="H2304" s="2">
        <v>46230.583333333336</v>
      </c>
    </row>
    <row r="2305" spans="1:8" x14ac:dyDescent="0.25">
      <c r="A2305" s="8" t="s">
        <v>7525</v>
      </c>
      <c r="B2305" s="8" t="s">
        <v>14250</v>
      </c>
      <c r="C2305" s="2">
        <v>46230.416666666664</v>
      </c>
      <c r="D2305" s="8" t="s">
        <v>13933</v>
      </c>
      <c r="E2305" s="8" t="s">
        <v>71</v>
      </c>
      <c r="F2305">
        <v>6</v>
      </c>
      <c r="G2305" s="2">
        <v>46230.75</v>
      </c>
      <c r="H2305" s="2">
        <v>46230.583333333336</v>
      </c>
    </row>
    <row r="2306" spans="1:8" x14ac:dyDescent="0.25">
      <c r="A2306" s="8" t="s">
        <v>14251</v>
      </c>
      <c r="B2306" s="8" t="s">
        <v>14252</v>
      </c>
      <c r="C2306" s="2">
        <v>46230.416666666664</v>
      </c>
      <c r="D2306" s="8" t="s">
        <v>13935</v>
      </c>
      <c r="E2306" s="8" t="s">
        <v>11</v>
      </c>
      <c r="F2306">
        <v>7</v>
      </c>
      <c r="G2306" s="2">
        <v>46230.75</v>
      </c>
      <c r="H2306" s="2"/>
    </row>
    <row r="2307" spans="1:8" x14ac:dyDescent="0.25">
      <c r="A2307" s="8" t="s">
        <v>7528</v>
      </c>
      <c r="B2307" s="8" t="s">
        <v>14252</v>
      </c>
      <c r="C2307" s="2">
        <v>46230.416666666664</v>
      </c>
      <c r="D2307" s="8" t="s">
        <v>13935</v>
      </c>
      <c r="E2307" s="8" t="s">
        <v>22</v>
      </c>
      <c r="F2307">
        <v>4</v>
      </c>
      <c r="G2307" s="2">
        <v>46230.75</v>
      </c>
      <c r="H2307" s="2">
        <v>46230.583333333336</v>
      </c>
    </row>
    <row r="2308" spans="1:8" x14ac:dyDescent="0.25">
      <c r="A2308" s="8" t="s">
        <v>7531</v>
      </c>
      <c r="B2308" s="8" t="s">
        <v>14252</v>
      </c>
      <c r="C2308" s="2">
        <v>46230.416666666664</v>
      </c>
      <c r="D2308" s="8" t="s">
        <v>13935</v>
      </c>
      <c r="E2308" s="8" t="s">
        <v>24</v>
      </c>
      <c r="F2308">
        <v>6</v>
      </c>
      <c r="G2308" s="2">
        <v>46230.75</v>
      </c>
      <c r="H2308" s="2">
        <v>46230.583333333336</v>
      </c>
    </row>
    <row r="2309" spans="1:8" x14ac:dyDescent="0.25">
      <c r="A2309" s="8" t="s">
        <v>7534</v>
      </c>
      <c r="B2309" s="8" t="s">
        <v>14252</v>
      </c>
      <c r="C2309" s="2">
        <v>46230.416666666664</v>
      </c>
      <c r="D2309" s="8" t="s">
        <v>13935</v>
      </c>
      <c r="E2309" s="8" t="s">
        <v>55</v>
      </c>
      <c r="F2309">
        <v>4</v>
      </c>
      <c r="G2309" s="2">
        <v>46230.75</v>
      </c>
      <c r="H2309" s="2">
        <v>46230.583333333336</v>
      </c>
    </row>
    <row r="2310" spans="1:8" x14ac:dyDescent="0.25">
      <c r="A2310" s="8" t="s">
        <v>7537</v>
      </c>
      <c r="B2310" s="8" t="s">
        <v>14252</v>
      </c>
      <c r="C2310" s="2">
        <v>46230.416666666664</v>
      </c>
      <c r="D2310" s="8" t="s">
        <v>13935</v>
      </c>
      <c r="E2310" s="8" t="s">
        <v>59</v>
      </c>
      <c r="F2310">
        <v>4</v>
      </c>
      <c r="G2310" s="2">
        <v>46230.75</v>
      </c>
      <c r="H2310" s="2">
        <v>46230.583333333336</v>
      </c>
    </row>
    <row r="2311" spans="1:8" x14ac:dyDescent="0.25">
      <c r="A2311" s="8" t="s">
        <v>7540</v>
      </c>
      <c r="B2311" s="8" t="s">
        <v>14252</v>
      </c>
      <c r="C2311" s="2">
        <v>46230.416666666664</v>
      </c>
      <c r="D2311" s="8" t="s">
        <v>13935</v>
      </c>
      <c r="E2311" s="8" t="s">
        <v>67</v>
      </c>
      <c r="F2311">
        <v>7</v>
      </c>
      <c r="G2311" s="2">
        <v>46230.75</v>
      </c>
      <c r="H2311" s="2">
        <v>46230.583333333336</v>
      </c>
    </row>
    <row r="2312" spans="1:8" x14ac:dyDescent="0.25">
      <c r="A2312" s="8" t="s">
        <v>7543</v>
      </c>
      <c r="B2312" s="8" t="s">
        <v>14252</v>
      </c>
      <c r="C2312" s="2">
        <v>46230.416666666664</v>
      </c>
      <c r="D2312" s="8" t="s">
        <v>13935</v>
      </c>
      <c r="E2312" s="8" t="s">
        <v>75</v>
      </c>
      <c r="F2312">
        <v>7</v>
      </c>
      <c r="G2312" s="2">
        <v>46230.75</v>
      </c>
      <c r="H2312" s="2">
        <v>46230.583333333336</v>
      </c>
    </row>
    <row r="2313" spans="1:8" x14ac:dyDescent="0.25">
      <c r="A2313" s="8" t="s">
        <v>14253</v>
      </c>
      <c r="B2313" s="8" t="s">
        <v>14254</v>
      </c>
      <c r="C2313" s="2">
        <v>46230.416666666664</v>
      </c>
      <c r="D2313" s="8" t="s">
        <v>13937</v>
      </c>
      <c r="E2313" s="8" t="s">
        <v>11</v>
      </c>
      <c r="F2313">
        <v>2</v>
      </c>
      <c r="G2313" s="2">
        <v>46230.75</v>
      </c>
      <c r="H2313" s="2"/>
    </row>
    <row r="2314" spans="1:8" x14ac:dyDescent="0.25">
      <c r="A2314" s="8" t="s">
        <v>7546</v>
      </c>
      <c r="B2314" s="8" t="s">
        <v>14254</v>
      </c>
      <c r="C2314" s="2">
        <v>46230.416666666664</v>
      </c>
      <c r="D2314" s="8" t="s">
        <v>13937</v>
      </c>
      <c r="E2314" s="8" t="s">
        <v>20</v>
      </c>
      <c r="F2314">
        <v>4</v>
      </c>
      <c r="G2314" s="2">
        <v>46230.75</v>
      </c>
      <c r="H2314" s="2">
        <v>46230.583333333336</v>
      </c>
    </row>
    <row r="2315" spans="1:8" x14ac:dyDescent="0.25">
      <c r="A2315" s="8" t="s">
        <v>7549</v>
      </c>
      <c r="B2315" s="8" t="s">
        <v>14254</v>
      </c>
      <c r="C2315" s="2">
        <v>46230.416666666664</v>
      </c>
      <c r="D2315" s="8" t="s">
        <v>13937</v>
      </c>
      <c r="E2315" s="8" t="s">
        <v>22</v>
      </c>
      <c r="F2315">
        <v>4</v>
      </c>
      <c r="G2315" s="2">
        <v>46230.75</v>
      </c>
      <c r="H2315" s="2">
        <v>46230.583333333336</v>
      </c>
    </row>
    <row r="2316" spans="1:8" x14ac:dyDescent="0.25">
      <c r="A2316" s="8" t="s">
        <v>7552</v>
      </c>
      <c r="B2316" s="8" t="s">
        <v>14254</v>
      </c>
      <c r="C2316" s="2">
        <v>46230.416666666664</v>
      </c>
      <c r="D2316" s="8" t="s">
        <v>13937</v>
      </c>
      <c r="E2316" s="8" t="s">
        <v>26</v>
      </c>
      <c r="F2316">
        <v>2</v>
      </c>
      <c r="G2316" s="2">
        <v>46230.75</v>
      </c>
      <c r="H2316" s="2">
        <v>46230.583333333336</v>
      </c>
    </row>
    <row r="2317" spans="1:8" x14ac:dyDescent="0.25">
      <c r="A2317" s="8" t="s">
        <v>7555</v>
      </c>
      <c r="B2317" s="8" t="s">
        <v>14254</v>
      </c>
      <c r="C2317" s="2">
        <v>46230.416666666664</v>
      </c>
      <c r="D2317" s="8" t="s">
        <v>13937</v>
      </c>
      <c r="E2317" s="8" t="s">
        <v>30</v>
      </c>
      <c r="F2317">
        <v>4</v>
      </c>
      <c r="G2317" s="2">
        <v>46230.75</v>
      </c>
      <c r="H2317" s="2">
        <v>46230.583333333336</v>
      </c>
    </row>
    <row r="2318" spans="1:8" x14ac:dyDescent="0.25">
      <c r="A2318" s="8" t="s">
        <v>7558</v>
      </c>
      <c r="B2318" s="8" t="s">
        <v>14254</v>
      </c>
      <c r="C2318" s="2">
        <v>46230.416666666664</v>
      </c>
      <c r="D2318" s="8" t="s">
        <v>13937</v>
      </c>
      <c r="E2318" s="8" t="s">
        <v>32</v>
      </c>
      <c r="F2318">
        <v>2</v>
      </c>
      <c r="G2318" s="2">
        <v>46230.75</v>
      </c>
      <c r="H2318" s="2">
        <v>46230.583333333336</v>
      </c>
    </row>
    <row r="2319" spans="1:8" x14ac:dyDescent="0.25">
      <c r="A2319" s="8" t="s">
        <v>7561</v>
      </c>
      <c r="B2319" s="8" t="s">
        <v>14254</v>
      </c>
      <c r="C2319" s="2">
        <v>46230.416666666664</v>
      </c>
      <c r="D2319" s="8" t="s">
        <v>13937</v>
      </c>
      <c r="E2319" s="8" t="s">
        <v>47</v>
      </c>
      <c r="F2319">
        <v>1</v>
      </c>
      <c r="G2319" s="2">
        <v>46230.75</v>
      </c>
      <c r="H2319" s="2">
        <v>46230.583333333336</v>
      </c>
    </row>
    <row r="2320" spans="1:8" x14ac:dyDescent="0.25">
      <c r="A2320" s="8" t="s">
        <v>7564</v>
      </c>
      <c r="B2320" s="8" t="s">
        <v>14254</v>
      </c>
      <c r="C2320" s="2">
        <v>46230.416666666664</v>
      </c>
      <c r="D2320" s="8" t="s">
        <v>13937</v>
      </c>
      <c r="E2320" s="8" t="s">
        <v>57</v>
      </c>
      <c r="F2320">
        <v>2</v>
      </c>
      <c r="G2320" s="2">
        <v>46230.75</v>
      </c>
      <c r="H2320" s="2">
        <v>46230.583333333336</v>
      </c>
    </row>
    <row r="2321" spans="1:8" x14ac:dyDescent="0.25">
      <c r="A2321" s="8" t="s">
        <v>7567</v>
      </c>
      <c r="B2321" s="8" t="s">
        <v>14254</v>
      </c>
      <c r="C2321" s="2">
        <v>46230.416666666664</v>
      </c>
      <c r="D2321" s="8" t="s">
        <v>13937</v>
      </c>
      <c r="E2321" s="8" t="s">
        <v>65</v>
      </c>
      <c r="F2321">
        <v>3</v>
      </c>
      <c r="G2321" s="2">
        <v>46230.75</v>
      </c>
      <c r="H2321" s="2">
        <v>46230.583333333336</v>
      </c>
    </row>
    <row r="2322" spans="1:8" x14ac:dyDescent="0.25">
      <c r="A2322" s="8" t="s">
        <v>7570</v>
      </c>
      <c r="B2322" s="8" t="s">
        <v>14254</v>
      </c>
      <c r="C2322" s="2">
        <v>46230.416666666664</v>
      </c>
      <c r="D2322" s="8" t="s">
        <v>13937</v>
      </c>
      <c r="E2322" s="8" t="s">
        <v>71</v>
      </c>
      <c r="F2322">
        <v>1</v>
      </c>
      <c r="G2322" s="2">
        <v>46230.75</v>
      </c>
      <c r="H2322" s="2">
        <v>46230.583333333336</v>
      </c>
    </row>
    <row r="2323" spans="1:8" x14ac:dyDescent="0.25">
      <c r="A2323" s="8" t="s">
        <v>7573</v>
      </c>
      <c r="B2323" s="8" t="s">
        <v>14254</v>
      </c>
      <c r="C2323" s="2">
        <v>46230.416666666664</v>
      </c>
      <c r="D2323" s="8" t="s">
        <v>13937</v>
      </c>
      <c r="E2323" s="8" t="s">
        <v>73</v>
      </c>
      <c r="F2323">
        <v>4</v>
      </c>
      <c r="G2323" s="2">
        <v>46230.75</v>
      </c>
      <c r="H2323" s="2">
        <v>46230.583333333336</v>
      </c>
    </row>
    <row r="2324" spans="1:8" x14ac:dyDescent="0.25">
      <c r="A2324" s="8" t="s">
        <v>7618</v>
      </c>
      <c r="B2324" s="8" t="s">
        <v>14255</v>
      </c>
      <c r="C2324" s="2">
        <v>46231.416666666664</v>
      </c>
      <c r="D2324" s="8" t="s">
        <v>13929</v>
      </c>
      <c r="E2324" s="8" t="s">
        <v>20</v>
      </c>
      <c r="F2324">
        <v>1</v>
      </c>
      <c r="G2324" s="2">
        <v>46231.75</v>
      </c>
      <c r="H2324" s="2">
        <v>46231.583333333336</v>
      </c>
    </row>
    <row r="2325" spans="1:8" x14ac:dyDescent="0.25">
      <c r="A2325" s="8" t="s">
        <v>7621</v>
      </c>
      <c r="B2325" s="8" t="s">
        <v>14255</v>
      </c>
      <c r="C2325" s="2">
        <v>46231.416666666664</v>
      </c>
      <c r="D2325" s="8" t="s">
        <v>13929</v>
      </c>
      <c r="E2325" s="8" t="s">
        <v>22</v>
      </c>
      <c r="F2325">
        <v>4</v>
      </c>
      <c r="G2325" s="2">
        <v>46231.75</v>
      </c>
      <c r="H2325" s="2">
        <v>46231.583333333336</v>
      </c>
    </row>
    <row r="2326" spans="1:8" x14ac:dyDescent="0.25">
      <c r="A2326" s="8" t="s">
        <v>7624</v>
      </c>
      <c r="B2326" s="8" t="s">
        <v>14255</v>
      </c>
      <c r="C2326" s="2">
        <v>46231.416666666664</v>
      </c>
      <c r="D2326" s="8" t="s">
        <v>13929</v>
      </c>
      <c r="E2326" s="8" t="s">
        <v>45</v>
      </c>
      <c r="F2326">
        <v>2</v>
      </c>
      <c r="G2326" s="2">
        <v>46231.75</v>
      </c>
      <c r="H2326" s="2">
        <v>46231.583333333336</v>
      </c>
    </row>
    <row r="2327" spans="1:8" x14ac:dyDescent="0.25">
      <c r="A2327" s="8" t="s">
        <v>7627</v>
      </c>
      <c r="B2327" s="8" t="s">
        <v>14255</v>
      </c>
      <c r="C2327" s="2">
        <v>46231.416666666664</v>
      </c>
      <c r="D2327" s="8" t="s">
        <v>13929</v>
      </c>
      <c r="E2327" s="8" t="s">
        <v>69</v>
      </c>
      <c r="F2327">
        <v>3</v>
      </c>
      <c r="G2327" s="2">
        <v>46231.75</v>
      </c>
      <c r="H2327" s="2">
        <v>46231.583333333336</v>
      </c>
    </row>
    <row r="2328" spans="1:8" x14ac:dyDescent="0.25">
      <c r="A2328" s="8" t="s">
        <v>7630</v>
      </c>
      <c r="B2328" s="8" t="s">
        <v>14255</v>
      </c>
      <c r="C2328" s="2">
        <v>46231.416666666664</v>
      </c>
      <c r="D2328" s="8" t="s">
        <v>13929</v>
      </c>
      <c r="E2328" s="8" t="s">
        <v>75</v>
      </c>
      <c r="F2328">
        <v>2</v>
      </c>
      <c r="G2328" s="2">
        <v>46231.75</v>
      </c>
      <c r="H2328" s="2">
        <v>46231.583333333336</v>
      </c>
    </row>
    <row r="2329" spans="1:8" x14ac:dyDescent="0.25">
      <c r="A2329" s="8" t="s">
        <v>14256</v>
      </c>
      <c r="B2329" s="8" t="s">
        <v>14257</v>
      </c>
      <c r="C2329" s="2">
        <v>46231.416666666664</v>
      </c>
      <c r="D2329" s="8" t="s">
        <v>13931</v>
      </c>
      <c r="E2329" s="8" t="s">
        <v>11</v>
      </c>
      <c r="F2329">
        <v>2</v>
      </c>
      <c r="G2329" s="2">
        <v>46231.75</v>
      </c>
      <c r="H2329" s="2"/>
    </row>
    <row r="2330" spans="1:8" x14ac:dyDescent="0.25">
      <c r="A2330" s="8" t="s">
        <v>7633</v>
      </c>
      <c r="B2330" s="8" t="s">
        <v>14257</v>
      </c>
      <c r="C2330" s="2">
        <v>46231.416666666664</v>
      </c>
      <c r="D2330" s="8" t="s">
        <v>13931</v>
      </c>
      <c r="E2330" s="8" t="s">
        <v>18</v>
      </c>
      <c r="F2330">
        <v>5</v>
      </c>
      <c r="G2330" s="2">
        <v>46231.75</v>
      </c>
      <c r="H2330" s="2">
        <v>46231.583333333336</v>
      </c>
    </row>
    <row r="2331" spans="1:8" x14ac:dyDescent="0.25">
      <c r="A2331" s="8" t="s">
        <v>7636</v>
      </c>
      <c r="B2331" s="8" t="s">
        <v>14257</v>
      </c>
      <c r="C2331" s="2">
        <v>46231.416666666664</v>
      </c>
      <c r="D2331" s="8" t="s">
        <v>13931</v>
      </c>
      <c r="E2331" s="8" t="s">
        <v>22</v>
      </c>
      <c r="F2331">
        <v>2</v>
      </c>
      <c r="G2331" s="2">
        <v>46231.75</v>
      </c>
      <c r="H2331" s="2">
        <v>46231.583333333336</v>
      </c>
    </row>
    <row r="2332" spans="1:8" x14ac:dyDescent="0.25">
      <c r="A2332" s="8" t="s">
        <v>7639</v>
      </c>
      <c r="B2332" s="8" t="s">
        <v>14257</v>
      </c>
      <c r="C2332" s="2">
        <v>46231.416666666664</v>
      </c>
      <c r="D2332" s="8" t="s">
        <v>13931</v>
      </c>
      <c r="E2332" s="8" t="s">
        <v>26</v>
      </c>
      <c r="F2332">
        <v>1</v>
      </c>
      <c r="G2332" s="2">
        <v>46231.75</v>
      </c>
      <c r="H2332" s="2">
        <v>46231.583333333336</v>
      </c>
    </row>
    <row r="2333" spans="1:8" x14ac:dyDescent="0.25">
      <c r="A2333" s="8" t="s">
        <v>7642</v>
      </c>
      <c r="B2333" s="8" t="s">
        <v>14257</v>
      </c>
      <c r="C2333" s="2">
        <v>46231.416666666664</v>
      </c>
      <c r="D2333" s="8" t="s">
        <v>13931</v>
      </c>
      <c r="E2333" s="8" t="s">
        <v>32</v>
      </c>
      <c r="F2333">
        <v>4</v>
      </c>
      <c r="G2333" s="2">
        <v>46231.75</v>
      </c>
      <c r="H2333" s="2">
        <v>46231.583333333336</v>
      </c>
    </row>
    <row r="2334" spans="1:8" x14ac:dyDescent="0.25">
      <c r="A2334" s="8" t="s">
        <v>7645</v>
      </c>
      <c r="B2334" s="8" t="s">
        <v>14257</v>
      </c>
      <c r="C2334" s="2">
        <v>46231.416666666664</v>
      </c>
      <c r="D2334" s="8" t="s">
        <v>13931</v>
      </c>
      <c r="E2334" s="8" t="s">
        <v>36</v>
      </c>
      <c r="F2334">
        <v>5</v>
      </c>
      <c r="G2334" s="2">
        <v>46231.75</v>
      </c>
      <c r="H2334" s="2">
        <v>46231.583333333336</v>
      </c>
    </row>
    <row r="2335" spans="1:8" x14ac:dyDescent="0.25">
      <c r="A2335" s="8" t="s">
        <v>7648</v>
      </c>
      <c r="B2335" s="8" t="s">
        <v>14257</v>
      </c>
      <c r="C2335" s="2">
        <v>46231.416666666664</v>
      </c>
      <c r="D2335" s="8" t="s">
        <v>13931</v>
      </c>
      <c r="E2335" s="8" t="s">
        <v>47</v>
      </c>
      <c r="F2335">
        <v>4</v>
      </c>
      <c r="G2335" s="2">
        <v>46231.75</v>
      </c>
      <c r="H2335" s="2">
        <v>46231.583333333336</v>
      </c>
    </row>
    <row r="2336" spans="1:8" x14ac:dyDescent="0.25">
      <c r="A2336" s="8" t="s">
        <v>7651</v>
      </c>
      <c r="B2336" s="8" t="s">
        <v>14257</v>
      </c>
      <c r="C2336" s="2">
        <v>46231.416666666664</v>
      </c>
      <c r="D2336" s="8" t="s">
        <v>13931</v>
      </c>
      <c r="E2336" s="8" t="s">
        <v>49</v>
      </c>
      <c r="F2336">
        <v>1</v>
      </c>
      <c r="G2336" s="2">
        <v>46231.75</v>
      </c>
      <c r="H2336" s="2">
        <v>46231.583333333336</v>
      </c>
    </row>
    <row r="2337" spans="1:8" x14ac:dyDescent="0.25">
      <c r="A2337" s="8" t="s">
        <v>7654</v>
      </c>
      <c r="B2337" s="8" t="s">
        <v>14257</v>
      </c>
      <c r="C2337" s="2">
        <v>46231.416666666664</v>
      </c>
      <c r="D2337" s="8" t="s">
        <v>13931</v>
      </c>
      <c r="E2337" s="8" t="s">
        <v>51</v>
      </c>
      <c r="F2337">
        <v>5</v>
      </c>
      <c r="G2337" s="2">
        <v>46231.75</v>
      </c>
      <c r="H2337" s="2">
        <v>46231.583333333336</v>
      </c>
    </row>
    <row r="2338" spans="1:8" x14ac:dyDescent="0.25">
      <c r="A2338" s="8" t="s">
        <v>7659</v>
      </c>
      <c r="B2338" s="8" t="s">
        <v>14257</v>
      </c>
      <c r="C2338" s="2">
        <v>46231.416666666664</v>
      </c>
      <c r="D2338" s="8" t="s">
        <v>13931</v>
      </c>
      <c r="E2338" s="8" t="s">
        <v>73</v>
      </c>
      <c r="F2338">
        <v>4</v>
      </c>
      <c r="G2338" s="2">
        <v>46231.75</v>
      </c>
      <c r="H2338" s="2">
        <v>46231.583333333336</v>
      </c>
    </row>
    <row r="2339" spans="1:8" x14ac:dyDescent="0.25">
      <c r="A2339" s="8" t="s">
        <v>7662</v>
      </c>
      <c r="B2339" s="8" t="s">
        <v>14258</v>
      </c>
      <c r="C2339" s="2">
        <v>46231.416666666664</v>
      </c>
      <c r="D2339" s="8" t="s">
        <v>13933</v>
      </c>
      <c r="E2339" s="8" t="s">
        <v>20</v>
      </c>
      <c r="F2339">
        <v>2</v>
      </c>
      <c r="G2339" s="2">
        <v>46231.75</v>
      </c>
      <c r="H2339" s="2">
        <v>46231.583333333336</v>
      </c>
    </row>
    <row r="2340" spans="1:8" x14ac:dyDescent="0.25">
      <c r="A2340" s="8" t="s">
        <v>7665</v>
      </c>
      <c r="B2340" s="8" t="s">
        <v>14258</v>
      </c>
      <c r="C2340" s="2">
        <v>46231.416666666664</v>
      </c>
      <c r="D2340" s="8" t="s">
        <v>13933</v>
      </c>
      <c r="E2340" s="8" t="s">
        <v>24</v>
      </c>
      <c r="F2340">
        <v>6</v>
      </c>
      <c r="G2340" s="2">
        <v>46231.75</v>
      </c>
      <c r="H2340" s="2">
        <v>46231.583333333336</v>
      </c>
    </row>
    <row r="2341" spans="1:8" x14ac:dyDescent="0.25">
      <c r="A2341" s="8" t="s">
        <v>7668</v>
      </c>
      <c r="B2341" s="8" t="s">
        <v>14258</v>
      </c>
      <c r="C2341" s="2">
        <v>46231.416666666664</v>
      </c>
      <c r="D2341" s="8" t="s">
        <v>13933</v>
      </c>
      <c r="E2341" s="8" t="s">
        <v>26</v>
      </c>
      <c r="F2341">
        <v>1</v>
      </c>
      <c r="G2341" s="2">
        <v>46231.75</v>
      </c>
      <c r="H2341" s="2">
        <v>46231.583333333336</v>
      </c>
    </row>
    <row r="2342" spans="1:8" x14ac:dyDescent="0.25">
      <c r="A2342" s="8" t="s">
        <v>7671</v>
      </c>
      <c r="B2342" s="8" t="s">
        <v>14258</v>
      </c>
      <c r="C2342" s="2">
        <v>46231.416666666664</v>
      </c>
      <c r="D2342" s="8" t="s">
        <v>13933</v>
      </c>
      <c r="E2342" s="8" t="s">
        <v>43</v>
      </c>
      <c r="F2342">
        <v>1</v>
      </c>
      <c r="G2342" s="2">
        <v>46231.75</v>
      </c>
      <c r="H2342" s="2">
        <v>46231.583333333336</v>
      </c>
    </row>
    <row r="2343" spans="1:8" x14ac:dyDescent="0.25">
      <c r="A2343" s="8" t="s">
        <v>7674</v>
      </c>
      <c r="B2343" s="8" t="s">
        <v>14258</v>
      </c>
      <c r="C2343" s="2">
        <v>46231.416666666664</v>
      </c>
      <c r="D2343" s="8" t="s">
        <v>13933</v>
      </c>
      <c r="E2343" s="8" t="s">
        <v>45</v>
      </c>
      <c r="F2343">
        <v>6</v>
      </c>
      <c r="G2343" s="2">
        <v>46231.75</v>
      </c>
      <c r="H2343" s="2">
        <v>46231.583333333336</v>
      </c>
    </row>
    <row r="2344" spans="1:8" x14ac:dyDescent="0.25">
      <c r="A2344" s="8" t="s">
        <v>7677</v>
      </c>
      <c r="B2344" s="8" t="s">
        <v>14258</v>
      </c>
      <c r="C2344" s="2">
        <v>46231.416666666664</v>
      </c>
      <c r="D2344" s="8" t="s">
        <v>13933</v>
      </c>
      <c r="E2344" s="8" t="s">
        <v>71</v>
      </c>
      <c r="F2344">
        <v>1</v>
      </c>
      <c r="G2344" s="2">
        <v>46231.75</v>
      </c>
      <c r="H2344" s="2">
        <v>46231.583333333336</v>
      </c>
    </row>
    <row r="2345" spans="1:8" x14ac:dyDescent="0.25">
      <c r="A2345" s="8" t="s">
        <v>14259</v>
      </c>
      <c r="B2345" s="8" t="s">
        <v>14260</v>
      </c>
      <c r="C2345" s="2">
        <v>46231.416666666664</v>
      </c>
      <c r="D2345" s="8" t="s">
        <v>13935</v>
      </c>
      <c r="E2345" s="8" t="s">
        <v>11</v>
      </c>
      <c r="F2345">
        <v>3</v>
      </c>
      <c r="G2345" s="2">
        <v>46231.75</v>
      </c>
      <c r="H2345" s="2"/>
    </row>
    <row r="2346" spans="1:8" x14ac:dyDescent="0.25">
      <c r="A2346" s="8" t="s">
        <v>7680</v>
      </c>
      <c r="B2346" s="8" t="s">
        <v>14260</v>
      </c>
      <c r="C2346" s="2">
        <v>46231.416666666664</v>
      </c>
      <c r="D2346" s="8" t="s">
        <v>13935</v>
      </c>
      <c r="E2346" s="8" t="s">
        <v>18</v>
      </c>
      <c r="F2346">
        <v>1</v>
      </c>
      <c r="G2346" s="2">
        <v>46231.75</v>
      </c>
      <c r="H2346" s="2">
        <v>46231.583333333336</v>
      </c>
    </row>
    <row r="2347" spans="1:8" x14ac:dyDescent="0.25">
      <c r="A2347" s="8" t="s">
        <v>7683</v>
      </c>
      <c r="B2347" s="8" t="s">
        <v>14260</v>
      </c>
      <c r="C2347" s="2">
        <v>46231.416666666664</v>
      </c>
      <c r="D2347" s="8" t="s">
        <v>13935</v>
      </c>
      <c r="E2347" s="8" t="s">
        <v>20</v>
      </c>
      <c r="F2347">
        <v>6</v>
      </c>
      <c r="G2347" s="2">
        <v>46231.75</v>
      </c>
      <c r="H2347" s="2">
        <v>46231.583333333336</v>
      </c>
    </row>
    <row r="2348" spans="1:8" x14ac:dyDescent="0.25">
      <c r="A2348" s="8" t="s">
        <v>7688</v>
      </c>
      <c r="B2348" s="8" t="s">
        <v>14260</v>
      </c>
      <c r="C2348" s="2">
        <v>46231.416666666664</v>
      </c>
      <c r="D2348" s="8" t="s">
        <v>13935</v>
      </c>
      <c r="E2348" s="8" t="s">
        <v>24</v>
      </c>
      <c r="F2348">
        <v>4</v>
      </c>
      <c r="G2348" s="2">
        <v>46231.75</v>
      </c>
      <c r="H2348" s="2">
        <v>46231.583333333336</v>
      </c>
    </row>
    <row r="2349" spans="1:8" x14ac:dyDescent="0.25">
      <c r="A2349" s="8" t="s">
        <v>7691</v>
      </c>
      <c r="B2349" s="8" t="s">
        <v>14260</v>
      </c>
      <c r="C2349" s="2">
        <v>46231.416666666664</v>
      </c>
      <c r="D2349" s="8" t="s">
        <v>13935</v>
      </c>
      <c r="E2349" s="8" t="s">
        <v>57</v>
      </c>
      <c r="F2349">
        <v>1</v>
      </c>
      <c r="G2349" s="2">
        <v>46231.75</v>
      </c>
      <c r="H2349" s="2">
        <v>46231.583333333336</v>
      </c>
    </row>
    <row r="2350" spans="1:8" x14ac:dyDescent="0.25">
      <c r="A2350" s="8" t="s">
        <v>7694</v>
      </c>
      <c r="B2350" s="8" t="s">
        <v>14260</v>
      </c>
      <c r="C2350" s="2">
        <v>46231.416666666664</v>
      </c>
      <c r="D2350" s="8" t="s">
        <v>13935</v>
      </c>
      <c r="E2350" s="8" t="s">
        <v>73</v>
      </c>
      <c r="F2350">
        <v>3</v>
      </c>
      <c r="G2350" s="2">
        <v>46231.75</v>
      </c>
      <c r="H2350" s="2">
        <v>46231.583333333336</v>
      </c>
    </row>
    <row r="2351" spans="1:8" x14ac:dyDescent="0.25">
      <c r="A2351" s="8" t="s">
        <v>7699</v>
      </c>
      <c r="B2351" s="8" t="s">
        <v>14260</v>
      </c>
      <c r="C2351" s="2">
        <v>46231.416666666664</v>
      </c>
      <c r="D2351" s="8" t="s">
        <v>13935</v>
      </c>
      <c r="E2351" s="8" t="s">
        <v>77</v>
      </c>
      <c r="F2351">
        <v>4</v>
      </c>
      <c r="G2351" s="2">
        <v>46231.75</v>
      </c>
      <c r="H2351" s="2">
        <v>46231.583333333336</v>
      </c>
    </row>
    <row r="2352" spans="1:8" x14ac:dyDescent="0.25">
      <c r="A2352" s="8" t="s">
        <v>7702</v>
      </c>
      <c r="B2352" s="8" t="s">
        <v>14261</v>
      </c>
      <c r="C2352" s="2">
        <v>46231.416666666664</v>
      </c>
      <c r="D2352" s="8" t="s">
        <v>13937</v>
      </c>
      <c r="E2352" s="8" t="s">
        <v>20</v>
      </c>
      <c r="F2352">
        <v>2</v>
      </c>
      <c r="G2352" s="2">
        <v>46231.75</v>
      </c>
      <c r="H2352" s="2">
        <v>46231.583333333336</v>
      </c>
    </row>
    <row r="2353" spans="1:8" x14ac:dyDescent="0.25">
      <c r="A2353" s="8" t="s">
        <v>7705</v>
      </c>
      <c r="B2353" s="8" t="s">
        <v>14261</v>
      </c>
      <c r="C2353" s="2">
        <v>46231.416666666664</v>
      </c>
      <c r="D2353" s="8" t="s">
        <v>13937</v>
      </c>
      <c r="E2353" s="8" t="s">
        <v>24</v>
      </c>
      <c r="F2353">
        <v>2</v>
      </c>
      <c r="G2353" s="2">
        <v>46231.75</v>
      </c>
      <c r="H2353" s="2">
        <v>46231.583333333336</v>
      </c>
    </row>
    <row r="2354" spans="1:8" x14ac:dyDescent="0.25">
      <c r="A2354" s="8" t="s">
        <v>7708</v>
      </c>
      <c r="B2354" s="8" t="s">
        <v>14261</v>
      </c>
      <c r="C2354" s="2">
        <v>46231.416666666664</v>
      </c>
      <c r="D2354" s="8" t="s">
        <v>13937</v>
      </c>
      <c r="E2354" s="8" t="s">
        <v>26</v>
      </c>
      <c r="F2354">
        <v>1</v>
      </c>
      <c r="G2354" s="2">
        <v>46231.75</v>
      </c>
      <c r="H2354" s="2">
        <v>46231.583333333336</v>
      </c>
    </row>
    <row r="2355" spans="1:8" x14ac:dyDescent="0.25">
      <c r="A2355" s="8" t="s">
        <v>7711</v>
      </c>
      <c r="B2355" s="8" t="s">
        <v>14261</v>
      </c>
      <c r="C2355" s="2">
        <v>46231.416666666664</v>
      </c>
      <c r="D2355" s="8" t="s">
        <v>13937</v>
      </c>
      <c r="E2355" s="8" t="s">
        <v>28</v>
      </c>
      <c r="F2355">
        <v>1</v>
      </c>
      <c r="G2355" s="2">
        <v>46231.75</v>
      </c>
      <c r="H2355" s="2">
        <v>46231.583333333336</v>
      </c>
    </row>
    <row r="2356" spans="1:8" x14ac:dyDescent="0.25">
      <c r="A2356" s="8" t="s">
        <v>7714</v>
      </c>
      <c r="B2356" s="8" t="s">
        <v>14261</v>
      </c>
      <c r="C2356" s="2">
        <v>46231.416666666664</v>
      </c>
      <c r="D2356" s="8" t="s">
        <v>13937</v>
      </c>
      <c r="E2356" s="8" t="s">
        <v>32</v>
      </c>
      <c r="F2356">
        <v>2</v>
      </c>
      <c r="G2356" s="2">
        <v>46231.75</v>
      </c>
      <c r="H2356" s="2">
        <v>46231.583333333336</v>
      </c>
    </row>
    <row r="2357" spans="1:8" x14ac:dyDescent="0.25">
      <c r="A2357" s="8" t="s">
        <v>7717</v>
      </c>
      <c r="B2357" s="8" t="s">
        <v>14261</v>
      </c>
      <c r="C2357" s="2">
        <v>46231.416666666664</v>
      </c>
      <c r="D2357" s="8" t="s">
        <v>13937</v>
      </c>
      <c r="E2357" s="8" t="s">
        <v>36</v>
      </c>
      <c r="F2357">
        <v>4</v>
      </c>
      <c r="G2357" s="2">
        <v>46231.75</v>
      </c>
      <c r="H2357" s="2">
        <v>46231.583333333336</v>
      </c>
    </row>
    <row r="2358" spans="1:8" x14ac:dyDescent="0.25">
      <c r="A2358" s="8" t="s">
        <v>7720</v>
      </c>
      <c r="B2358" s="8" t="s">
        <v>14261</v>
      </c>
      <c r="C2358" s="2">
        <v>46231.416666666664</v>
      </c>
      <c r="D2358" s="8" t="s">
        <v>13937</v>
      </c>
      <c r="E2358" s="8" t="s">
        <v>43</v>
      </c>
      <c r="F2358">
        <v>4</v>
      </c>
      <c r="G2358" s="2">
        <v>46231.75</v>
      </c>
      <c r="H2358" s="2">
        <v>46231.583333333336</v>
      </c>
    </row>
    <row r="2359" spans="1:8" x14ac:dyDescent="0.25">
      <c r="A2359" s="8" t="s">
        <v>7723</v>
      </c>
      <c r="B2359" s="8" t="s">
        <v>14261</v>
      </c>
      <c r="C2359" s="2">
        <v>46231.416666666664</v>
      </c>
      <c r="D2359" s="8" t="s">
        <v>13937</v>
      </c>
      <c r="E2359" s="8" t="s">
        <v>49</v>
      </c>
      <c r="F2359">
        <v>1</v>
      </c>
      <c r="G2359" s="2">
        <v>46231.75</v>
      </c>
      <c r="H2359" s="2">
        <v>46231.583333333336</v>
      </c>
    </row>
    <row r="2360" spans="1:8" x14ac:dyDescent="0.25">
      <c r="A2360" s="8" t="s">
        <v>7726</v>
      </c>
      <c r="B2360" s="8" t="s">
        <v>14261</v>
      </c>
      <c r="C2360" s="2">
        <v>46231.416666666664</v>
      </c>
      <c r="D2360" s="8" t="s">
        <v>13937</v>
      </c>
      <c r="E2360" s="8" t="s">
        <v>69</v>
      </c>
      <c r="F2360">
        <v>1</v>
      </c>
      <c r="G2360" s="2">
        <v>46231.75</v>
      </c>
      <c r="H2360" s="2">
        <v>46231.583333333336</v>
      </c>
    </row>
    <row r="2361" spans="1:8" x14ac:dyDescent="0.25">
      <c r="A2361" s="8" t="s">
        <v>7729</v>
      </c>
      <c r="B2361" s="8" t="s">
        <v>14261</v>
      </c>
      <c r="C2361" s="2">
        <v>46231.416666666664</v>
      </c>
      <c r="D2361" s="8" t="s">
        <v>13937</v>
      </c>
      <c r="E2361" s="8" t="s">
        <v>71</v>
      </c>
      <c r="F2361">
        <v>4</v>
      </c>
      <c r="G2361" s="2">
        <v>46231.75</v>
      </c>
      <c r="H2361" s="2">
        <v>46231.583333333336</v>
      </c>
    </row>
    <row r="2362" spans="1:8" x14ac:dyDescent="0.25">
      <c r="A2362" s="8" t="s">
        <v>14262</v>
      </c>
      <c r="B2362" s="8" t="s">
        <v>14263</v>
      </c>
      <c r="C2362" s="2">
        <v>46232.416666666664</v>
      </c>
      <c r="D2362" s="8" t="s">
        <v>13929</v>
      </c>
      <c r="E2362" s="8" t="s">
        <v>11</v>
      </c>
      <c r="F2362">
        <v>1</v>
      </c>
      <c r="G2362" s="2">
        <v>46232.75</v>
      </c>
      <c r="H2362" s="2"/>
    </row>
    <row r="2363" spans="1:8" x14ac:dyDescent="0.25">
      <c r="A2363" s="8" t="s">
        <v>7732</v>
      </c>
      <c r="B2363" s="8" t="s">
        <v>14263</v>
      </c>
      <c r="C2363" s="2">
        <v>46232.416666666664</v>
      </c>
      <c r="D2363" s="8" t="s">
        <v>13929</v>
      </c>
      <c r="E2363" s="8" t="s">
        <v>18</v>
      </c>
      <c r="F2363">
        <v>2</v>
      </c>
      <c r="G2363" s="2">
        <v>46232.75</v>
      </c>
      <c r="H2363" s="2">
        <v>46232.583333333336</v>
      </c>
    </row>
    <row r="2364" spans="1:8" x14ac:dyDescent="0.25">
      <c r="A2364" s="8" t="s">
        <v>7735</v>
      </c>
      <c r="B2364" s="8" t="s">
        <v>14263</v>
      </c>
      <c r="C2364" s="2">
        <v>46232.416666666664</v>
      </c>
      <c r="D2364" s="8" t="s">
        <v>13929</v>
      </c>
      <c r="E2364" s="8" t="s">
        <v>20</v>
      </c>
      <c r="F2364">
        <v>2</v>
      </c>
      <c r="G2364" s="2">
        <v>46232.75</v>
      </c>
      <c r="H2364" s="2">
        <v>46232.583333333336</v>
      </c>
    </row>
    <row r="2365" spans="1:8" x14ac:dyDescent="0.25">
      <c r="A2365" s="8" t="s">
        <v>7738</v>
      </c>
      <c r="B2365" s="8" t="s">
        <v>14263</v>
      </c>
      <c r="C2365" s="2">
        <v>46232.416666666664</v>
      </c>
      <c r="D2365" s="8" t="s">
        <v>13929</v>
      </c>
      <c r="E2365" s="8" t="s">
        <v>22</v>
      </c>
      <c r="F2365">
        <v>4</v>
      </c>
      <c r="G2365" s="2">
        <v>46232.75</v>
      </c>
      <c r="H2365" s="2">
        <v>46232.583333333336</v>
      </c>
    </row>
    <row r="2366" spans="1:8" x14ac:dyDescent="0.25">
      <c r="A2366" s="8" t="s">
        <v>7741</v>
      </c>
      <c r="B2366" s="8" t="s">
        <v>14263</v>
      </c>
      <c r="C2366" s="2">
        <v>46232.416666666664</v>
      </c>
      <c r="D2366" s="8" t="s">
        <v>13929</v>
      </c>
      <c r="E2366" s="8" t="s">
        <v>24</v>
      </c>
      <c r="F2366">
        <v>1</v>
      </c>
      <c r="G2366" s="2">
        <v>46232.75</v>
      </c>
      <c r="H2366" s="2">
        <v>46232.583333333336</v>
      </c>
    </row>
    <row r="2367" spans="1:8" x14ac:dyDescent="0.25">
      <c r="A2367" s="8" t="s">
        <v>7744</v>
      </c>
      <c r="B2367" s="8" t="s">
        <v>14263</v>
      </c>
      <c r="C2367" s="2">
        <v>46232.416666666664</v>
      </c>
      <c r="D2367" s="8" t="s">
        <v>13929</v>
      </c>
      <c r="E2367" s="8" t="s">
        <v>26</v>
      </c>
      <c r="F2367">
        <v>3</v>
      </c>
      <c r="G2367" s="2">
        <v>46232.75</v>
      </c>
      <c r="H2367" s="2">
        <v>46232.583333333336</v>
      </c>
    </row>
    <row r="2368" spans="1:8" x14ac:dyDescent="0.25">
      <c r="A2368" s="8" t="s">
        <v>7747</v>
      </c>
      <c r="B2368" s="8" t="s">
        <v>14263</v>
      </c>
      <c r="C2368" s="2">
        <v>46232.416666666664</v>
      </c>
      <c r="D2368" s="8" t="s">
        <v>13929</v>
      </c>
      <c r="E2368" s="8" t="s">
        <v>32</v>
      </c>
      <c r="F2368">
        <v>3</v>
      </c>
      <c r="G2368" s="2">
        <v>46232.75</v>
      </c>
      <c r="H2368" s="2">
        <v>46232.583333333336</v>
      </c>
    </row>
    <row r="2369" spans="1:8" x14ac:dyDescent="0.25">
      <c r="A2369" s="8" t="s">
        <v>7750</v>
      </c>
      <c r="B2369" s="8" t="s">
        <v>14263</v>
      </c>
      <c r="C2369" s="2">
        <v>46232.416666666664</v>
      </c>
      <c r="D2369" s="8" t="s">
        <v>13929</v>
      </c>
      <c r="E2369" s="8" t="s">
        <v>41</v>
      </c>
      <c r="F2369">
        <v>2</v>
      </c>
      <c r="G2369" s="2">
        <v>46232.75</v>
      </c>
      <c r="H2369" s="2">
        <v>46232.583333333336</v>
      </c>
    </row>
    <row r="2370" spans="1:8" x14ac:dyDescent="0.25">
      <c r="A2370" s="8" t="s">
        <v>7753</v>
      </c>
      <c r="B2370" s="8" t="s">
        <v>14263</v>
      </c>
      <c r="C2370" s="2">
        <v>46232.416666666664</v>
      </c>
      <c r="D2370" s="8" t="s">
        <v>13929</v>
      </c>
      <c r="E2370" s="8" t="s">
        <v>65</v>
      </c>
      <c r="F2370">
        <v>1</v>
      </c>
      <c r="G2370" s="2">
        <v>46232.75</v>
      </c>
      <c r="H2370" s="2">
        <v>46232.583333333336</v>
      </c>
    </row>
    <row r="2371" spans="1:8" x14ac:dyDescent="0.25">
      <c r="A2371" s="8" t="s">
        <v>7756</v>
      </c>
      <c r="B2371" s="8" t="s">
        <v>14263</v>
      </c>
      <c r="C2371" s="2">
        <v>46232.416666666664</v>
      </c>
      <c r="D2371" s="8" t="s">
        <v>13929</v>
      </c>
      <c r="E2371" s="8" t="s">
        <v>75</v>
      </c>
      <c r="F2371">
        <v>3</v>
      </c>
      <c r="G2371" s="2">
        <v>46232.75</v>
      </c>
      <c r="H2371" s="2">
        <v>46232.583333333336</v>
      </c>
    </row>
    <row r="2372" spans="1:8" x14ac:dyDescent="0.25">
      <c r="A2372" s="8" t="s">
        <v>7759</v>
      </c>
      <c r="B2372" s="8" t="s">
        <v>14264</v>
      </c>
      <c r="C2372" s="2">
        <v>46232.416666666664</v>
      </c>
      <c r="D2372" s="8" t="s">
        <v>13931</v>
      </c>
      <c r="E2372" s="8" t="s">
        <v>20</v>
      </c>
      <c r="F2372">
        <v>1</v>
      </c>
      <c r="G2372" s="2">
        <v>46232.75</v>
      </c>
      <c r="H2372" s="2">
        <v>46232.583333333336</v>
      </c>
    </row>
    <row r="2373" spans="1:8" x14ac:dyDescent="0.25">
      <c r="A2373" s="8" t="s">
        <v>7762</v>
      </c>
      <c r="B2373" s="8" t="s">
        <v>14264</v>
      </c>
      <c r="C2373" s="2">
        <v>46232.416666666664</v>
      </c>
      <c r="D2373" s="8" t="s">
        <v>13931</v>
      </c>
      <c r="E2373" s="8" t="s">
        <v>22</v>
      </c>
      <c r="F2373">
        <v>1</v>
      </c>
      <c r="G2373" s="2">
        <v>46232.75</v>
      </c>
      <c r="H2373" s="2">
        <v>46232.583333333336</v>
      </c>
    </row>
    <row r="2374" spans="1:8" x14ac:dyDescent="0.25">
      <c r="A2374" s="8" t="s">
        <v>7765</v>
      </c>
      <c r="B2374" s="8" t="s">
        <v>14264</v>
      </c>
      <c r="C2374" s="2">
        <v>46232.416666666664</v>
      </c>
      <c r="D2374" s="8" t="s">
        <v>13931</v>
      </c>
      <c r="E2374" s="8" t="s">
        <v>51</v>
      </c>
      <c r="F2374">
        <v>5</v>
      </c>
      <c r="G2374" s="2">
        <v>46232.75</v>
      </c>
      <c r="H2374" s="2">
        <v>46232.583333333336</v>
      </c>
    </row>
    <row r="2375" spans="1:8" x14ac:dyDescent="0.25">
      <c r="A2375" s="8" t="s">
        <v>7768</v>
      </c>
      <c r="B2375" s="8" t="s">
        <v>14264</v>
      </c>
      <c r="C2375" s="2">
        <v>46232.416666666664</v>
      </c>
      <c r="D2375" s="8" t="s">
        <v>13931</v>
      </c>
      <c r="E2375" s="8" t="s">
        <v>57</v>
      </c>
      <c r="F2375">
        <v>2</v>
      </c>
      <c r="G2375" s="2">
        <v>46232.75</v>
      </c>
      <c r="H2375" s="2">
        <v>46232.583333333336</v>
      </c>
    </row>
    <row r="2376" spans="1:8" x14ac:dyDescent="0.25">
      <c r="A2376" s="8" t="s">
        <v>7771</v>
      </c>
      <c r="B2376" s="8" t="s">
        <v>14264</v>
      </c>
      <c r="C2376" s="2">
        <v>46232.416666666664</v>
      </c>
      <c r="D2376" s="8" t="s">
        <v>13931</v>
      </c>
      <c r="E2376" s="8" t="s">
        <v>59</v>
      </c>
      <c r="F2376">
        <v>5</v>
      </c>
      <c r="G2376" s="2">
        <v>46232.75</v>
      </c>
      <c r="H2376" s="2">
        <v>46232.583333333336</v>
      </c>
    </row>
    <row r="2377" spans="1:8" x14ac:dyDescent="0.25">
      <c r="A2377" s="8" t="s">
        <v>7774</v>
      </c>
      <c r="B2377" s="8" t="s">
        <v>14264</v>
      </c>
      <c r="C2377" s="2">
        <v>46232.416666666664</v>
      </c>
      <c r="D2377" s="8" t="s">
        <v>13931</v>
      </c>
      <c r="E2377" s="8" t="s">
        <v>67</v>
      </c>
      <c r="F2377">
        <v>5</v>
      </c>
      <c r="G2377" s="2">
        <v>46232.75</v>
      </c>
      <c r="H2377" s="2">
        <v>46232.583333333336</v>
      </c>
    </row>
    <row r="2378" spans="1:8" x14ac:dyDescent="0.25">
      <c r="A2378" s="8" t="s">
        <v>7777</v>
      </c>
      <c r="B2378" s="8" t="s">
        <v>14264</v>
      </c>
      <c r="C2378" s="2">
        <v>46232.416666666664</v>
      </c>
      <c r="D2378" s="8" t="s">
        <v>13931</v>
      </c>
      <c r="E2378" s="8" t="s">
        <v>69</v>
      </c>
      <c r="F2378">
        <v>4</v>
      </c>
      <c r="G2378" s="2">
        <v>46232.75</v>
      </c>
      <c r="H2378" s="2">
        <v>46232.583333333336</v>
      </c>
    </row>
    <row r="2379" spans="1:8" x14ac:dyDescent="0.25">
      <c r="A2379" s="8" t="s">
        <v>7780</v>
      </c>
      <c r="B2379" s="8" t="s">
        <v>14264</v>
      </c>
      <c r="C2379" s="2">
        <v>46232.416666666664</v>
      </c>
      <c r="D2379" s="8" t="s">
        <v>13931</v>
      </c>
      <c r="E2379" s="8" t="s">
        <v>77</v>
      </c>
      <c r="F2379">
        <v>3</v>
      </c>
      <c r="G2379" s="2">
        <v>46232.75</v>
      </c>
      <c r="H2379" s="2">
        <v>46232.583333333336</v>
      </c>
    </row>
    <row r="2380" spans="1:8" x14ac:dyDescent="0.25">
      <c r="A2380" s="8" t="s">
        <v>14265</v>
      </c>
      <c r="B2380" s="8" t="s">
        <v>14266</v>
      </c>
      <c r="C2380" s="2">
        <v>46232.416666666664</v>
      </c>
      <c r="D2380" s="8" t="s">
        <v>13933</v>
      </c>
      <c r="E2380" s="8" t="s">
        <v>11</v>
      </c>
      <c r="F2380">
        <v>2</v>
      </c>
      <c r="G2380" s="2">
        <v>46232.75</v>
      </c>
      <c r="H2380" s="2"/>
    </row>
    <row r="2381" spans="1:8" x14ac:dyDescent="0.25">
      <c r="A2381" s="8" t="s">
        <v>7783</v>
      </c>
      <c r="B2381" s="8" t="s">
        <v>14266</v>
      </c>
      <c r="C2381" s="2">
        <v>46232.416666666664</v>
      </c>
      <c r="D2381" s="8" t="s">
        <v>13933</v>
      </c>
      <c r="E2381" s="8" t="s">
        <v>18</v>
      </c>
      <c r="F2381">
        <v>2</v>
      </c>
      <c r="G2381" s="2">
        <v>46232.75</v>
      </c>
      <c r="H2381" s="2">
        <v>46232.583333333336</v>
      </c>
    </row>
    <row r="2382" spans="1:8" x14ac:dyDescent="0.25">
      <c r="A2382" s="8" t="s">
        <v>7786</v>
      </c>
      <c r="B2382" s="8" t="s">
        <v>14266</v>
      </c>
      <c r="C2382" s="2">
        <v>46232.416666666664</v>
      </c>
      <c r="D2382" s="8" t="s">
        <v>13933</v>
      </c>
      <c r="E2382" s="8" t="s">
        <v>20</v>
      </c>
      <c r="F2382">
        <v>6</v>
      </c>
      <c r="G2382" s="2">
        <v>46232.75</v>
      </c>
      <c r="H2382" s="2">
        <v>46232.583333333336</v>
      </c>
    </row>
    <row r="2383" spans="1:8" x14ac:dyDescent="0.25">
      <c r="A2383" s="8" t="s">
        <v>7789</v>
      </c>
      <c r="B2383" s="8" t="s">
        <v>14266</v>
      </c>
      <c r="C2383" s="2">
        <v>46232.416666666664</v>
      </c>
      <c r="D2383" s="8" t="s">
        <v>13933</v>
      </c>
      <c r="E2383" s="8" t="s">
        <v>22</v>
      </c>
      <c r="F2383">
        <v>1</v>
      </c>
      <c r="G2383" s="2">
        <v>46232.75</v>
      </c>
      <c r="H2383" s="2">
        <v>46232.583333333336</v>
      </c>
    </row>
    <row r="2384" spans="1:8" x14ac:dyDescent="0.25">
      <c r="A2384" s="8" t="s">
        <v>7792</v>
      </c>
      <c r="B2384" s="8" t="s">
        <v>14266</v>
      </c>
      <c r="C2384" s="2">
        <v>46232.416666666664</v>
      </c>
      <c r="D2384" s="8" t="s">
        <v>13933</v>
      </c>
      <c r="E2384" s="8" t="s">
        <v>24</v>
      </c>
      <c r="F2384">
        <v>1</v>
      </c>
      <c r="G2384" s="2">
        <v>46232.75</v>
      </c>
      <c r="H2384" s="2">
        <v>46232.583333333336</v>
      </c>
    </row>
    <row r="2385" spans="1:8" x14ac:dyDescent="0.25">
      <c r="A2385" s="8" t="s">
        <v>7795</v>
      </c>
      <c r="B2385" s="8" t="s">
        <v>14266</v>
      </c>
      <c r="C2385" s="2">
        <v>46232.416666666664</v>
      </c>
      <c r="D2385" s="8" t="s">
        <v>13933</v>
      </c>
      <c r="E2385" s="8" t="s">
        <v>32</v>
      </c>
      <c r="F2385">
        <v>2</v>
      </c>
      <c r="G2385" s="2">
        <v>46232.75</v>
      </c>
      <c r="H2385" s="2">
        <v>46232.583333333336</v>
      </c>
    </row>
    <row r="2386" spans="1:8" x14ac:dyDescent="0.25">
      <c r="A2386" s="8" t="s">
        <v>7798</v>
      </c>
      <c r="B2386" s="8" t="s">
        <v>14266</v>
      </c>
      <c r="C2386" s="2">
        <v>46232.416666666664</v>
      </c>
      <c r="D2386" s="8" t="s">
        <v>13933</v>
      </c>
      <c r="E2386" s="8" t="s">
        <v>45</v>
      </c>
      <c r="F2386">
        <v>1</v>
      </c>
      <c r="G2386" s="2">
        <v>46232.75</v>
      </c>
      <c r="H2386" s="2">
        <v>46232.583333333336</v>
      </c>
    </row>
    <row r="2387" spans="1:8" x14ac:dyDescent="0.25">
      <c r="A2387" s="8" t="s">
        <v>7801</v>
      </c>
      <c r="B2387" s="8" t="s">
        <v>14266</v>
      </c>
      <c r="C2387" s="2">
        <v>46232.416666666664</v>
      </c>
      <c r="D2387" s="8" t="s">
        <v>13933</v>
      </c>
      <c r="E2387" s="8" t="s">
        <v>51</v>
      </c>
      <c r="F2387">
        <v>4</v>
      </c>
      <c r="G2387" s="2">
        <v>46232.75</v>
      </c>
      <c r="H2387" s="2">
        <v>46232.583333333336</v>
      </c>
    </row>
    <row r="2388" spans="1:8" x14ac:dyDescent="0.25">
      <c r="A2388" s="8" t="s">
        <v>7804</v>
      </c>
      <c r="B2388" s="8" t="s">
        <v>14266</v>
      </c>
      <c r="C2388" s="2">
        <v>46232.416666666664</v>
      </c>
      <c r="D2388" s="8" t="s">
        <v>13933</v>
      </c>
      <c r="E2388" s="8" t="s">
        <v>57</v>
      </c>
      <c r="F2388">
        <v>6</v>
      </c>
      <c r="G2388" s="2">
        <v>46232.75</v>
      </c>
      <c r="H2388" s="2">
        <v>46232.583333333336</v>
      </c>
    </row>
    <row r="2389" spans="1:8" x14ac:dyDescent="0.25">
      <c r="A2389" s="8" t="s">
        <v>7807</v>
      </c>
      <c r="B2389" s="8" t="s">
        <v>14266</v>
      </c>
      <c r="C2389" s="2">
        <v>46232.416666666664</v>
      </c>
      <c r="D2389" s="8" t="s">
        <v>13933</v>
      </c>
      <c r="E2389" s="8" t="s">
        <v>67</v>
      </c>
      <c r="F2389">
        <v>2</v>
      </c>
      <c r="G2389" s="2">
        <v>46232.75</v>
      </c>
      <c r="H2389" s="2">
        <v>46232.583333333336</v>
      </c>
    </row>
    <row r="2390" spans="1:8" x14ac:dyDescent="0.25">
      <c r="A2390" s="8" t="s">
        <v>7810</v>
      </c>
      <c r="B2390" s="8" t="s">
        <v>14267</v>
      </c>
      <c r="C2390" s="2">
        <v>46232.416666666664</v>
      </c>
      <c r="D2390" s="8" t="s">
        <v>13935</v>
      </c>
      <c r="E2390" s="8" t="s">
        <v>18</v>
      </c>
      <c r="F2390">
        <v>4</v>
      </c>
      <c r="G2390" s="2">
        <v>46232.75</v>
      </c>
      <c r="H2390" s="2">
        <v>46232.583333333336</v>
      </c>
    </row>
    <row r="2391" spans="1:8" x14ac:dyDescent="0.25">
      <c r="A2391" s="8" t="s">
        <v>7813</v>
      </c>
      <c r="B2391" s="8" t="s">
        <v>14267</v>
      </c>
      <c r="C2391" s="2">
        <v>46232.416666666664</v>
      </c>
      <c r="D2391" s="8" t="s">
        <v>13935</v>
      </c>
      <c r="E2391" s="8" t="s">
        <v>20</v>
      </c>
      <c r="F2391">
        <v>7</v>
      </c>
      <c r="G2391" s="2">
        <v>46232.75</v>
      </c>
      <c r="H2391" s="2">
        <v>46232.583333333336</v>
      </c>
    </row>
    <row r="2392" spans="1:8" x14ac:dyDescent="0.25">
      <c r="A2392" s="8" t="s">
        <v>7816</v>
      </c>
      <c r="B2392" s="8" t="s">
        <v>14267</v>
      </c>
      <c r="C2392" s="2">
        <v>46232.416666666664</v>
      </c>
      <c r="D2392" s="8" t="s">
        <v>13935</v>
      </c>
      <c r="E2392" s="8" t="s">
        <v>22</v>
      </c>
      <c r="F2392">
        <v>4</v>
      </c>
      <c r="G2392" s="2">
        <v>46232.75</v>
      </c>
      <c r="H2392" s="2">
        <v>46232.583333333336</v>
      </c>
    </row>
    <row r="2393" spans="1:8" x14ac:dyDescent="0.25">
      <c r="A2393" s="8" t="s">
        <v>7819</v>
      </c>
      <c r="B2393" s="8" t="s">
        <v>14267</v>
      </c>
      <c r="C2393" s="2">
        <v>46232.416666666664</v>
      </c>
      <c r="D2393" s="8" t="s">
        <v>13935</v>
      </c>
      <c r="E2393" s="8" t="s">
        <v>28</v>
      </c>
      <c r="F2393">
        <v>3</v>
      </c>
      <c r="G2393" s="2">
        <v>46232.75</v>
      </c>
      <c r="H2393" s="2">
        <v>46232.583333333336</v>
      </c>
    </row>
    <row r="2394" spans="1:8" x14ac:dyDescent="0.25">
      <c r="A2394" s="8" t="s">
        <v>7822</v>
      </c>
      <c r="B2394" s="8" t="s">
        <v>14267</v>
      </c>
      <c r="C2394" s="2">
        <v>46232.416666666664</v>
      </c>
      <c r="D2394" s="8" t="s">
        <v>13935</v>
      </c>
      <c r="E2394" s="8" t="s">
        <v>36</v>
      </c>
      <c r="F2394">
        <v>3</v>
      </c>
      <c r="G2394" s="2">
        <v>46232.75</v>
      </c>
      <c r="H2394" s="2">
        <v>46232.583333333336</v>
      </c>
    </row>
    <row r="2395" spans="1:8" x14ac:dyDescent="0.25">
      <c r="A2395" s="8" t="s">
        <v>7825</v>
      </c>
      <c r="B2395" s="8" t="s">
        <v>14267</v>
      </c>
      <c r="C2395" s="2">
        <v>46232.416666666664</v>
      </c>
      <c r="D2395" s="8" t="s">
        <v>13935</v>
      </c>
      <c r="E2395" s="8" t="s">
        <v>43</v>
      </c>
      <c r="F2395">
        <v>7</v>
      </c>
      <c r="G2395" s="2">
        <v>46232.75</v>
      </c>
      <c r="H2395" s="2">
        <v>46232.583333333336</v>
      </c>
    </row>
    <row r="2396" spans="1:8" x14ac:dyDescent="0.25">
      <c r="A2396" s="8" t="s">
        <v>7828</v>
      </c>
      <c r="B2396" s="8" t="s">
        <v>14267</v>
      </c>
      <c r="C2396" s="2">
        <v>46232.416666666664</v>
      </c>
      <c r="D2396" s="8" t="s">
        <v>13935</v>
      </c>
      <c r="E2396" s="8" t="s">
        <v>45</v>
      </c>
      <c r="F2396">
        <v>6</v>
      </c>
      <c r="G2396" s="2">
        <v>46232.75</v>
      </c>
      <c r="H2396" s="2">
        <v>46232.583333333336</v>
      </c>
    </row>
    <row r="2397" spans="1:8" x14ac:dyDescent="0.25">
      <c r="A2397" s="8" t="s">
        <v>7831</v>
      </c>
      <c r="B2397" s="8" t="s">
        <v>14267</v>
      </c>
      <c r="C2397" s="2">
        <v>46232.416666666664</v>
      </c>
      <c r="D2397" s="8" t="s">
        <v>13935</v>
      </c>
      <c r="E2397" s="8" t="s">
        <v>47</v>
      </c>
      <c r="F2397">
        <v>6</v>
      </c>
      <c r="G2397" s="2">
        <v>46232.75</v>
      </c>
      <c r="H2397" s="2">
        <v>46232.583333333336</v>
      </c>
    </row>
    <row r="2398" spans="1:8" x14ac:dyDescent="0.25">
      <c r="A2398" s="8" t="s">
        <v>7834</v>
      </c>
      <c r="B2398" s="8" t="s">
        <v>14267</v>
      </c>
      <c r="C2398" s="2">
        <v>46232.416666666664</v>
      </c>
      <c r="D2398" s="8" t="s">
        <v>13935</v>
      </c>
      <c r="E2398" s="8" t="s">
        <v>67</v>
      </c>
      <c r="F2398">
        <v>1</v>
      </c>
      <c r="G2398" s="2">
        <v>46232.75</v>
      </c>
      <c r="H2398" s="2">
        <v>46232.583333333336</v>
      </c>
    </row>
    <row r="2399" spans="1:8" x14ac:dyDescent="0.25">
      <c r="A2399" s="8" t="s">
        <v>14268</v>
      </c>
      <c r="B2399" s="8" t="s">
        <v>14269</v>
      </c>
      <c r="C2399" s="2">
        <v>46232.416666666664</v>
      </c>
      <c r="D2399" s="8" t="s">
        <v>13937</v>
      </c>
      <c r="E2399" s="8" t="s">
        <v>11</v>
      </c>
      <c r="F2399">
        <v>1</v>
      </c>
      <c r="G2399" s="2">
        <v>46232.75</v>
      </c>
      <c r="H2399" s="2"/>
    </row>
    <row r="2400" spans="1:8" x14ac:dyDescent="0.25">
      <c r="A2400" s="8" t="s">
        <v>7837</v>
      </c>
      <c r="B2400" s="8" t="s">
        <v>14269</v>
      </c>
      <c r="C2400" s="2">
        <v>46232.416666666664</v>
      </c>
      <c r="D2400" s="8" t="s">
        <v>13937</v>
      </c>
      <c r="E2400" s="8" t="s">
        <v>18</v>
      </c>
      <c r="F2400">
        <v>4</v>
      </c>
      <c r="G2400" s="2">
        <v>46232.75</v>
      </c>
      <c r="H2400" s="2">
        <v>46232.583333333336</v>
      </c>
    </row>
    <row r="2401" spans="1:8" x14ac:dyDescent="0.25">
      <c r="A2401" s="8" t="s">
        <v>7840</v>
      </c>
      <c r="B2401" s="8" t="s">
        <v>14269</v>
      </c>
      <c r="C2401" s="2">
        <v>46232.416666666664</v>
      </c>
      <c r="D2401" s="8" t="s">
        <v>13937</v>
      </c>
      <c r="E2401" s="8" t="s">
        <v>22</v>
      </c>
      <c r="F2401">
        <v>2</v>
      </c>
      <c r="G2401" s="2">
        <v>46232.75</v>
      </c>
      <c r="H2401" s="2">
        <v>46232.583333333336</v>
      </c>
    </row>
    <row r="2402" spans="1:8" x14ac:dyDescent="0.25">
      <c r="A2402" s="8" t="s">
        <v>7843</v>
      </c>
      <c r="B2402" s="8" t="s">
        <v>14269</v>
      </c>
      <c r="C2402" s="2">
        <v>46232.416666666664</v>
      </c>
      <c r="D2402" s="8" t="s">
        <v>13937</v>
      </c>
      <c r="E2402" s="8" t="s">
        <v>24</v>
      </c>
      <c r="F2402">
        <v>2</v>
      </c>
      <c r="G2402" s="2">
        <v>46232.75</v>
      </c>
      <c r="H2402" s="2">
        <v>46232.583333333336</v>
      </c>
    </row>
    <row r="2403" spans="1:8" x14ac:dyDescent="0.25">
      <c r="A2403" s="8" t="s">
        <v>7846</v>
      </c>
      <c r="B2403" s="8" t="s">
        <v>14269</v>
      </c>
      <c r="C2403" s="2">
        <v>46232.416666666664</v>
      </c>
      <c r="D2403" s="8" t="s">
        <v>13937</v>
      </c>
      <c r="E2403" s="8" t="s">
        <v>26</v>
      </c>
      <c r="F2403">
        <v>4</v>
      </c>
      <c r="G2403" s="2">
        <v>46232.75</v>
      </c>
      <c r="H2403" s="2">
        <v>46232.583333333336</v>
      </c>
    </row>
    <row r="2404" spans="1:8" x14ac:dyDescent="0.25">
      <c r="A2404" s="8" t="s">
        <v>7851</v>
      </c>
      <c r="B2404" s="8" t="s">
        <v>14269</v>
      </c>
      <c r="C2404" s="2">
        <v>46232.416666666664</v>
      </c>
      <c r="D2404" s="8" t="s">
        <v>13937</v>
      </c>
      <c r="E2404" s="8" t="s">
        <v>47</v>
      </c>
      <c r="F2404">
        <v>3</v>
      </c>
      <c r="G2404" s="2">
        <v>46232.75</v>
      </c>
      <c r="H2404" s="2">
        <v>46232.583333333336</v>
      </c>
    </row>
    <row r="2405" spans="1:8" x14ac:dyDescent="0.25">
      <c r="A2405" s="8" t="s">
        <v>7854</v>
      </c>
      <c r="B2405" s="8" t="s">
        <v>14269</v>
      </c>
      <c r="C2405" s="2">
        <v>46232.416666666664</v>
      </c>
      <c r="D2405" s="8" t="s">
        <v>13937</v>
      </c>
      <c r="E2405" s="8" t="s">
        <v>69</v>
      </c>
      <c r="F2405">
        <v>2</v>
      </c>
      <c r="G2405" s="2">
        <v>46232.75</v>
      </c>
      <c r="H2405" s="2">
        <v>46232.583333333336</v>
      </c>
    </row>
    <row r="2406" spans="1:8" x14ac:dyDescent="0.25">
      <c r="A2406" s="8" t="s">
        <v>7857</v>
      </c>
      <c r="B2406" s="8" t="s">
        <v>14269</v>
      </c>
      <c r="C2406" s="2">
        <v>46232.416666666664</v>
      </c>
      <c r="D2406" s="8" t="s">
        <v>13937</v>
      </c>
      <c r="E2406" s="8" t="s">
        <v>71</v>
      </c>
      <c r="F2406">
        <v>1</v>
      </c>
      <c r="G2406" s="2">
        <v>46232.75</v>
      </c>
      <c r="H2406" s="2">
        <v>46232.583333333336</v>
      </c>
    </row>
    <row r="2407" spans="1:8" x14ac:dyDescent="0.25">
      <c r="A2407" s="8" t="s">
        <v>14270</v>
      </c>
      <c r="B2407" s="8" t="s">
        <v>14271</v>
      </c>
      <c r="C2407" s="2">
        <v>46233.416666666664</v>
      </c>
      <c r="D2407" s="8" t="s">
        <v>13929</v>
      </c>
      <c r="E2407" s="8" t="s">
        <v>11</v>
      </c>
      <c r="F2407">
        <v>1</v>
      </c>
      <c r="G2407" s="2">
        <v>46233.75</v>
      </c>
      <c r="H2407" s="2"/>
    </row>
    <row r="2408" spans="1:8" x14ac:dyDescent="0.25">
      <c r="A2408" s="8" t="s">
        <v>7860</v>
      </c>
      <c r="B2408" s="8" t="s">
        <v>14271</v>
      </c>
      <c r="C2408" s="2">
        <v>46233.416666666664</v>
      </c>
      <c r="D2408" s="8" t="s">
        <v>13929</v>
      </c>
      <c r="E2408" s="8" t="s">
        <v>18</v>
      </c>
      <c r="F2408">
        <v>2</v>
      </c>
      <c r="G2408" s="2">
        <v>46233.75</v>
      </c>
      <c r="H2408" s="2">
        <v>46233.583333333336</v>
      </c>
    </row>
    <row r="2409" spans="1:8" x14ac:dyDescent="0.25">
      <c r="A2409" s="8" t="s">
        <v>7863</v>
      </c>
      <c r="B2409" s="8" t="s">
        <v>14271</v>
      </c>
      <c r="C2409" s="2">
        <v>46233.416666666664</v>
      </c>
      <c r="D2409" s="8" t="s">
        <v>13929</v>
      </c>
      <c r="E2409" s="8" t="s">
        <v>20</v>
      </c>
      <c r="F2409">
        <v>2</v>
      </c>
      <c r="G2409" s="2">
        <v>46233.75</v>
      </c>
      <c r="H2409" s="2">
        <v>46233.583333333336</v>
      </c>
    </row>
    <row r="2410" spans="1:8" x14ac:dyDescent="0.25">
      <c r="A2410" s="8" t="s">
        <v>7866</v>
      </c>
      <c r="B2410" s="8" t="s">
        <v>14271</v>
      </c>
      <c r="C2410" s="2">
        <v>46233.416666666664</v>
      </c>
      <c r="D2410" s="8" t="s">
        <v>13929</v>
      </c>
      <c r="E2410" s="8" t="s">
        <v>24</v>
      </c>
      <c r="F2410">
        <v>2</v>
      </c>
      <c r="G2410" s="2">
        <v>46233.75</v>
      </c>
      <c r="H2410" s="2">
        <v>46233.583333333336</v>
      </c>
    </row>
    <row r="2411" spans="1:8" x14ac:dyDescent="0.25">
      <c r="A2411" s="8" t="s">
        <v>7869</v>
      </c>
      <c r="B2411" s="8" t="s">
        <v>14271</v>
      </c>
      <c r="C2411" s="2">
        <v>46233.416666666664</v>
      </c>
      <c r="D2411" s="8" t="s">
        <v>13929</v>
      </c>
      <c r="E2411" s="8" t="s">
        <v>26</v>
      </c>
      <c r="F2411">
        <v>4</v>
      </c>
      <c r="G2411" s="2">
        <v>46233.75</v>
      </c>
      <c r="H2411" s="2">
        <v>46233.583333333336</v>
      </c>
    </row>
    <row r="2412" spans="1:8" x14ac:dyDescent="0.25">
      <c r="A2412" s="8" t="s">
        <v>7872</v>
      </c>
      <c r="B2412" s="8" t="s">
        <v>14271</v>
      </c>
      <c r="C2412" s="2">
        <v>46233.416666666664</v>
      </c>
      <c r="D2412" s="8" t="s">
        <v>13929</v>
      </c>
      <c r="E2412" s="8" t="s">
        <v>32</v>
      </c>
      <c r="F2412">
        <v>4</v>
      </c>
      <c r="G2412" s="2">
        <v>46233.75</v>
      </c>
      <c r="H2412" s="2">
        <v>46233.583333333336</v>
      </c>
    </row>
    <row r="2413" spans="1:8" x14ac:dyDescent="0.25">
      <c r="A2413" s="8" t="s">
        <v>7875</v>
      </c>
      <c r="B2413" s="8" t="s">
        <v>14271</v>
      </c>
      <c r="C2413" s="2">
        <v>46233.416666666664</v>
      </c>
      <c r="D2413" s="8" t="s">
        <v>13929</v>
      </c>
      <c r="E2413" s="8" t="s">
        <v>36</v>
      </c>
      <c r="F2413">
        <v>3</v>
      </c>
      <c r="G2413" s="2">
        <v>46233.75</v>
      </c>
      <c r="H2413" s="2">
        <v>46233.583333333336</v>
      </c>
    </row>
    <row r="2414" spans="1:8" x14ac:dyDescent="0.25">
      <c r="A2414" s="8" t="s">
        <v>7878</v>
      </c>
      <c r="B2414" s="8" t="s">
        <v>14271</v>
      </c>
      <c r="C2414" s="2">
        <v>46233.416666666664</v>
      </c>
      <c r="D2414" s="8" t="s">
        <v>13929</v>
      </c>
      <c r="E2414" s="8" t="s">
        <v>43</v>
      </c>
      <c r="F2414">
        <v>2</v>
      </c>
      <c r="G2414" s="2">
        <v>46233.75</v>
      </c>
      <c r="H2414" s="2">
        <v>46233.583333333336</v>
      </c>
    </row>
    <row r="2415" spans="1:8" x14ac:dyDescent="0.25">
      <c r="A2415" s="8" t="s">
        <v>7881</v>
      </c>
      <c r="B2415" s="8" t="s">
        <v>14271</v>
      </c>
      <c r="C2415" s="2">
        <v>46233.416666666664</v>
      </c>
      <c r="D2415" s="8" t="s">
        <v>13929</v>
      </c>
      <c r="E2415" s="8" t="s">
        <v>55</v>
      </c>
      <c r="F2415">
        <v>2</v>
      </c>
      <c r="G2415" s="2">
        <v>46233.75</v>
      </c>
      <c r="H2415" s="2">
        <v>46233.583333333336</v>
      </c>
    </row>
    <row r="2416" spans="1:8" x14ac:dyDescent="0.25">
      <c r="A2416" s="8" t="s">
        <v>7884</v>
      </c>
      <c r="B2416" s="8" t="s">
        <v>14271</v>
      </c>
      <c r="C2416" s="2">
        <v>46233.416666666664</v>
      </c>
      <c r="D2416" s="8" t="s">
        <v>13929</v>
      </c>
      <c r="E2416" s="8" t="s">
        <v>57</v>
      </c>
      <c r="F2416">
        <v>4</v>
      </c>
      <c r="G2416" s="2">
        <v>46233.75</v>
      </c>
      <c r="H2416" s="2">
        <v>46233.583333333336</v>
      </c>
    </row>
    <row r="2417" spans="1:8" x14ac:dyDescent="0.25">
      <c r="A2417" s="8" t="s">
        <v>7887</v>
      </c>
      <c r="B2417" s="8" t="s">
        <v>14271</v>
      </c>
      <c r="C2417" s="2">
        <v>46233.416666666664</v>
      </c>
      <c r="D2417" s="8" t="s">
        <v>13929</v>
      </c>
      <c r="E2417" s="8" t="s">
        <v>65</v>
      </c>
      <c r="F2417">
        <v>2</v>
      </c>
      <c r="G2417" s="2">
        <v>46233.75</v>
      </c>
      <c r="H2417" s="2">
        <v>46233.583333333336</v>
      </c>
    </row>
    <row r="2418" spans="1:8" x14ac:dyDescent="0.25">
      <c r="A2418" s="8" t="s">
        <v>7890</v>
      </c>
      <c r="B2418" s="8" t="s">
        <v>14271</v>
      </c>
      <c r="C2418" s="2">
        <v>46233.416666666664</v>
      </c>
      <c r="D2418" s="8" t="s">
        <v>13929</v>
      </c>
      <c r="E2418" s="8" t="s">
        <v>69</v>
      </c>
      <c r="F2418">
        <v>2</v>
      </c>
      <c r="G2418" s="2">
        <v>46233.75</v>
      </c>
      <c r="H2418" s="2">
        <v>46233.583333333336</v>
      </c>
    </row>
    <row r="2419" spans="1:8" x14ac:dyDescent="0.25">
      <c r="A2419" s="8" t="s">
        <v>7893</v>
      </c>
      <c r="B2419" s="8" t="s">
        <v>14271</v>
      </c>
      <c r="C2419" s="2">
        <v>46233.416666666664</v>
      </c>
      <c r="D2419" s="8" t="s">
        <v>13929</v>
      </c>
      <c r="E2419" s="8" t="s">
        <v>75</v>
      </c>
      <c r="F2419">
        <v>4</v>
      </c>
      <c r="G2419" s="2">
        <v>46233.75</v>
      </c>
      <c r="H2419" s="2">
        <v>46233.583333333336</v>
      </c>
    </row>
    <row r="2420" spans="1:8" x14ac:dyDescent="0.25">
      <c r="A2420" s="8" t="s">
        <v>7896</v>
      </c>
      <c r="B2420" s="8" t="s">
        <v>14272</v>
      </c>
      <c r="C2420" s="2">
        <v>46233.416666666664</v>
      </c>
      <c r="D2420" s="8" t="s">
        <v>13931</v>
      </c>
      <c r="E2420" s="8" t="s">
        <v>22</v>
      </c>
      <c r="F2420">
        <v>4</v>
      </c>
      <c r="G2420" s="2">
        <v>46233.75</v>
      </c>
      <c r="H2420" s="2">
        <v>46233.583333333336</v>
      </c>
    </row>
    <row r="2421" spans="1:8" x14ac:dyDescent="0.25">
      <c r="A2421" s="8" t="s">
        <v>7899</v>
      </c>
      <c r="B2421" s="8" t="s">
        <v>14272</v>
      </c>
      <c r="C2421" s="2">
        <v>46233.416666666664</v>
      </c>
      <c r="D2421" s="8" t="s">
        <v>13931</v>
      </c>
      <c r="E2421" s="8" t="s">
        <v>26</v>
      </c>
      <c r="F2421">
        <v>2</v>
      </c>
      <c r="G2421" s="2">
        <v>46233.75</v>
      </c>
      <c r="H2421" s="2">
        <v>46233.583333333336</v>
      </c>
    </row>
    <row r="2422" spans="1:8" x14ac:dyDescent="0.25">
      <c r="A2422" s="8" t="s">
        <v>7902</v>
      </c>
      <c r="B2422" s="8" t="s">
        <v>14272</v>
      </c>
      <c r="C2422" s="2">
        <v>46233.416666666664</v>
      </c>
      <c r="D2422" s="8" t="s">
        <v>13931</v>
      </c>
      <c r="E2422" s="8" t="s">
        <v>28</v>
      </c>
      <c r="F2422">
        <v>1</v>
      </c>
      <c r="G2422" s="2">
        <v>46233.75</v>
      </c>
      <c r="H2422" s="2">
        <v>46233.583333333336</v>
      </c>
    </row>
    <row r="2423" spans="1:8" x14ac:dyDescent="0.25">
      <c r="A2423" s="8" t="s">
        <v>7905</v>
      </c>
      <c r="B2423" s="8" t="s">
        <v>14272</v>
      </c>
      <c r="C2423" s="2">
        <v>46233.416666666664</v>
      </c>
      <c r="D2423" s="8" t="s">
        <v>13931</v>
      </c>
      <c r="E2423" s="8" t="s">
        <v>36</v>
      </c>
      <c r="F2423">
        <v>2</v>
      </c>
      <c r="G2423" s="2">
        <v>46233.75</v>
      </c>
      <c r="H2423" s="2">
        <v>46233.583333333336</v>
      </c>
    </row>
    <row r="2424" spans="1:8" x14ac:dyDescent="0.25">
      <c r="A2424" s="8" t="s">
        <v>7908</v>
      </c>
      <c r="B2424" s="8" t="s">
        <v>14272</v>
      </c>
      <c r="C2424" s="2">
        <v>46233.416666666664</v>
      </c>
      <c r="D2424" s="8" t="s">
        <v>13931</v>
      </c>
      <c r="E2424" s="8" t="s">
        <v>69</v>
      </c>
      <c r="F2424">
        <v>2</v>
      </c>
      <c r="G2424" s="2">
        <v>46233.75</v>
      </c>
      <c r="H2424" s="2">
        <v>46233.583333333336</v>
      </c>
    </row>
    <row r="2425" spans="1:8" x14ac:dyDescent="0.25">
      <c r="A2425" s="8" t="s">
        <v>7911</v>
      </c>
      <c r="B2425" s="8" t="s">
        <v>14272</v>
      </c>
      <c r="C2425" s="2">
        <v>46233.416666666664</v>
      </c>
      <c r="D2425" s="8" t="s">
        <v>13931</v>
      </c>
      <c r="E2425" s="8" t="s">
        <v>73</v>
      </c>
      <c r="F2425">
        <v>2</v>
      </c>
      <c r="G2425" s="2">
        <v>46233.75</v>
      </c>
      <c r="H2425" s="2">
        <v>46233.583333333336</v>
      </c>
    </row>
    <row r="2426" spans="1:8" x14ac:dyDescent="0.25">
      <c r="A2426" s="8" t="s">
        <v>7914</v>
      </c>
      <c r="B2426" s="8" t="s">
        <v>14272</v>
      </c>
      <c r="C2426" s="2">
        <v>46233.416666666664</v>
      </c>
      <c r="D2426" s="8" t="s">
        <v>13931</v>
      </c>
      <c r="E2426" s="8" t="s">
        <v>77</v>
      </c>
      <c r="F2426">
        <v>3</v>
      </c>
      <c r="G2426" s="2">
        <v>46233.75</v>
      </c>
      <c r="H2426" s="2">
        <v>46233.583333333336</v>
      </c>
    </row>
    <row r="2427" spans="1:8" x14ac:dyDescent="0.25">
      <c r="A2427" s="8" t="s">
        <v>7917</v>
      </c>
      <c r="B2427" s="8" t="s">
        <v>14273</v>
      </c>
      <c r="C2427" s="2">
        <v>46233.416666666664</v>
      </c>
      <c r="D2427" s="8" t="s">
        <v>13933</v>
      </c>
      <c r="E2427" s="8" t="s">
        <v>20</v>
      </c>
      <c r="F2427">
        <v>6</v>
      </c>
      <c r="G2427" s="2">
        <v>46233.75</v>
      </c>
      <c r="H2427" s="2">
        <v>46233.583333333336</v>
      </c>
    </row>
    <row r="2428" spans="1:8" x14ac:dyDescent="0.25">
      <c r="A2428" s="8" t="s">
        <v>7920</v>
      </c>
      <c r="B2428" s="8" t="s">
        <v>14273</v>
      </c>
      <c r="C2428" s="2">
        <v>46233.416666666664</v>
      </c>
      <c r="D2428" s="8" t="s">
        <v>13933</v>
      </c>
      <c r="E2428" s="8" t="s">
        <v>22</v>
      </c>
      <c r="F2428">
        <v>1</v>
      </c>
      <c r="G2428" s="2">
        <v>46233.75</v>
      </c>
      <c r="H2428" s="2">
        <v>46233.583333333336</v>
      </c>
    </row>
    <row r="2429" spans="1:8" x14ac:dyDescent="0.25">
      <c r="A2429" s="8" t="s">
        <v>7923</v>
      </c>
      <c r="B2429" s="8" t="s">
        <v>14273</v>
      </c>
      <c r="C2429" s="2">
        <v>46233.416666666664</v>
      </c>
      <c r="D2429" s="8" t="s">
        <v>13933</v>
      </c>
      <c r="E2429" s="8" t="s">
        <v>28</v>
      </c>
      <c r="F2429">
        <v>2</v>
      </c>
      <c r="G2429" s="2">
        <v>46233.75</v>
      </c>
      <c r="H2429" s="2">
        <v>46233.583333333336</v>
      </c>
    </row>
    <row r="2430" spans="1:8" x14ac:dyDescent="0.25">
      <c r="A2430" s="8" t="s">
        <v>7926</v>
      </c>
      <c r="B2430" s="8" t="s">
        <v>14273</v>
      </c>
      <c r="C2430" s="2">
        <v>46233.416666666664</v>
      </c>
      <c r="D2430" s="8" t="s">
        <v>13933</v>
      </c>
      <c r="E2430" s="8" t="s">
        <v>43</v>
      </c>
      <c r="F2430">
        <v>4</v>
      </c>
      <c r="G2430" s="2">
        <v>46233.75</v>
      </c>
      <c r="H2430" s="2">
        <v>46233.583333333336</v>
      </c>
    </row>
    <row r="2431" spans="1:8" x14ac:dyDescent="0.25">
      <c r="A2431" s="8" t="s">
        <v>7929</v>
      </c>
      <c r="B2431" s="8" t="s">
        <v>14273</v>
      </c>
      <c r="C2431" s="2">
        <v>46233.416666666664</v>
      </c>
      <c r="D2431" s="8" t="s">
        <v>13933</v>
      </c>
      <c r="E2431" s="8" t="s">
        <v>51</v>
      </c>
      <c r="F2431">
        <v>2</v>
      </c>
      <c r="G2431" s="2">
        <v>46233.75</v>
      </c>
      <c r="H2431" s="2">
        <v>46233.583333333336</v>
      </c>
    </row>
    <row r="2432" spans="1:8" x14ac:dyDescent="0.25">
      <c r="A2432" s="8" t="s">
        <v>7932</v>
      </c>
      <c r="B2432" s="8" t="s">
        <v>14273</v>
      </c>
      <c r="C2432" s="2">
        <v>46233.416666666664</v>
      </c>
      <c r="D2432" s="8" t="s">
        <v>13933</v>
      </c>
      <c r="E2432" s="8" t="s">
        <v>57</v>
      </c>
      <c r="F2432">
        <v>4</v>
      </c>
      <c r="G2432" s="2">
        <v>46233.75</v>
      </c>
      <c r="H2432" s="2">
        <v>46233.583333333336</v>
      </c>
    </row>
    <row r="2433" spans="1:8" x14ac:dyDescent="0.25">
      <c r="A2433" s="8" t="s">
        <v>7935</v>
      </c>
      <c r="B2433" s="8" t="s">
        <v>14273</v>
      </c>
      <c r="C2433" s="2">
        <v>46233.416666666664</v>
      </c>
      <c r="D2433" s="8" t="s">
        <v>13933</v>
      </c>
      <c r="E2433" s="8" t="s">
        <v>59</v>
      </c>
      <c r="F2433">
        <v>6</v>
      </c>
      <c r="G2433" s="2">
        <v>46233.75</v>
      </c>
      <c r="H2433" s="2">
        <v>46233.583333333336</v>
      </c>
    </row>
    <row r="2434" spans="1:8" x14ac:dyDescent="0.25">
      <c r="A2434" s="8" t="s">
        <v>7938</v>
      </c>
      <c r="B2434" s="8" t="s">
        <v>14273</v>
      </c>
      <c r="C2434" s="2">
        <v>46233.416666666664</v>
      </c>
      <c r="D2434" s="8" t="s">
        <v>13933</v>
      </c>
      <c r="E2434" s="8" t="s">
        <v>65</v>
      </c>
      <c r="F2434">
        <v>5</v>
      </c>
      <c r="G2434" s="2">
        <v>46233.75</v>
      </c>
      <c r="H2434" s="2">
        <v>46233.583333333336</v>
      </c>
    </row>
    <row r="2435" spans="1:8" x14ac:dyDescent="0.25">
      <c r="A2435" s="8" t="s">
        <v>7941</v>
      </c>
      <c r="B2435" s="8" t="s">
        <v>14273</v>
      </c>
      <c r="C2435" s="2">
        <v>46233.416666666664</v>
      </c>
      <c r="D2435" s="8" t="s">
        <v>13933</v>
      </c>
      <c r="E2435" s="8" t="s">
        <v>67</v>
      </c>
      <c r="F2435">
        <v>6</v>
      </c>
      <c r="G2435" s="2">
        <v>46233.75</v>
      </c>
      <c r="H2435" s="2">
        <v>46233.583333333336</v>
      </c>
    </row>
    <row r="2436" spans="1:8" x14ac:dyDescent="0.25">
      <c r="A2436" s="8" t="s">
        <v>14274</v>
      </c>
      <c r="B2436" s="8" t="s">
        <v>14275</v>
      </c>
      <c r="C2436" s="2">
        <v>46233.416666666664</v>
      </c>
      <c r="D2436" s="8" t="s">
        <v>13935</v>
      </c>
      <c r="E2436" s="8" t="s">
        <v>11</v>
      </c>
      <c r="F2436">
        <v>3</v>
      </c>
      <c r="G2436" s="2">
        <v>46233.75</v>
      </c>
      <c r="H2436" s="2"/>
    </row>
    <row r="2437" spans="1:8" x14ac:dyDescent="0.25">
      <c r="A2437" s="8" t="s">
        <v>7946</v>
      </c>
      <c r="B2437" s="8" t="s">
        <v>14275</v>
      </c>
      <c r="C2437" s="2">
        <v>46233.416666666664</v>
      </c>
      <c r="D2437" s="8" t="s">
        <v>13935</v>
      </c>
      <c r="E2437" s="8" t="s">
        <v>18</v>
      </c>
      <c r="F2437">
        <v>4</v>
      </c>
      <c r="G2437" s="2">
        <v>46233.75</v>
      </c>
      <c r="H2437" s="2">
        <v>46233.583333333336</v>
      </c>
    </row>
    <row r="2438" spans="1:8" x14ac:dyDescent="0.25">
      <c r="A2438" s="8" t="s">
        <v>7949</v>
      </c>
      <c r="B2438" s="8" t="s">
        <v>14275</v>
      </c>
      <c r="C2438" s="2">
        <v>46233.416666666664</v>
      </c>
      <c r="D2438" s="8" t="s">
        <v>13935</v>
      </c>
      <c r="E2438" s="8" t="s">
        <v>22</v>
      </c>
      <c r="F2438">
        <v>7</v>
      </c>
      <c r="G2438" s="2">
        <v>46233.75</v>
      </c>
      <c r="H2438" s="2">
        <v>46233.583333333336</v>
      </c>
    </row>
    <row r="2439" spans="1:8" x14ac:dyDescent="0.25">
      <c r="A2439" s="8" t="s">
        <v>7952</v>
      </c>
      <c r="B2439" s="8" t="s">
        <v>14275</v>
      </c>
      <c r="C2439" s="2">
        <v>46233.416666666664</v>
      </c>
      <c r="D2439" s="8" t="s">
        <v>13935</v>
      </c>
      <c r="E2439" s="8" t="s">
        <v>24</v>
      </c>
      <c r="F2439">
        <v>6</v>
      </c>
      <c r="G2439" s="2">
        <v>46233.75</v>
      </c>
      <c r="H2439" s="2">
        <v>46233.583333333336</v>
      </c>
    </row>
    <row r="2440" spans="1:8" x14ac:dyDescent="0.25">
      <c r="A2440" s="8" t="s">
        <v>7955</v>
      </c>
      <c r="B2440" s="8" t="s">
        <v>14275</v>
      </c>
      <c r="C2440" s="2">
        <v>46233.416666666664</v>
      </c>
      <c r="D2440" s="8" t="s">
        <v>13935</v>
      </c>
      <c r="E2440" s="8" t="s">
        <v>32</v>
      </c>
      <c r="F2440">
        <v>6</v>
      </c>
      <c r="G2440" s="2">
        <v>46233.75</v>
      </c>
      <c r="H2440" s="2">
        <v>46233.583333333336</v>
      </c>
    </row>
    <row r="2441" spans="1:8" x14ac:dyDescent="0.25">
      <c r="A2441" s="8" t="s">
        <v>7958</v>
      </c>
      <c r="B2441" s="8" t="s">
        <v>14275</v>
      </c>
      <c r="C2441" s="2">
        <v>46233.416666666664</v>
      </c>
      <c r="D2441" s="8" t="s">
        <v>13935</v>
      </c>
      <c r="E2441" s="8" t="s">
        <v>41</v>
      </c>
      <c r="F2441">
        <v>6</v>
      </c>
      <c r="G2441" s="2">
        <v>46233.75</v>
      </c>
      <c r="H2441" s="2">
        <v>46233.583333333336</v>
      </c>
    </row>
    <row r="2442" spans="1:8" x14ac:dyDescent="0.25">
      <c r="A2442" s="8" t="s">
        <v>7961</v>
      </c>
      <c r="B2442" s="8" t="s">
        <v>14275</v>
      </c>
      <c r="C2442" s="2">
        <v>46233.416666666664</v>
      </c>
      <c r="D2442" s="8" t="s">
        <v>13935</v>
      </c>
      <c r="E2442" s="8" t="s">
        <v>47</v>
      </c>
      <c r="F2442">
        <v>4</v>
      </c>
      <c r="G2442" s="2">
        <v>46233.75</v>
      </c>
      <c r="H2442" s="2">
        <v>46233.583333333336</v>
      </c>
    </row>
    <row r="2443" spans="1:8" x14ac:dyDescent="0.25">
      <c r="A2443" s="8" t="s">
        <v>7966</v>
      </c>
      <c r="B2443" s="8" t="s">
        <v>14275</v>
      </c>
      <c r="C2443" s="2">
        <v>46233.416666666664</v>
      </c>
      <c r="D2443" s="8" t="s">
        <v>13935</v>
      </c>
      <c r="E2443" s="8" t="s">
        <v>49</v>
      </c>
      <c r="F2443">
        <v>6</v>
      </c>
      <c r="G2443" s="2">
        <v>46233.75</v>
      </c>
      <c r="H2443" s="2">
        <v>46233.583333333336</v>
      </c>
    </row>
    <row r="2444" spans="1:8" x14ac:dyDescent="0.25">
      <c r="A2444" s="8" t="s">
        <v>7969</v>
      </c>
      <c r="B2444" s="8" t="s">
        <v>14275</v>
      </c>
      <c r="C2444" s="2">
        <v>46233.416666666664</v>
      </c>
      <c r="D2444" s="8" t="s">
        <v>13935</v>
      </c>
      <c r="E2444" s="8" t="s">
        <v>55</v>
      </c>
      <c r="F2444">
        <v>6</v>
      </c>
      <c r="G2444" s="2">
        <v>46233.75</v>
      </c>
      <c r="H2444" s="2">
        <v>46233.583333333336</v>
      </c>
    </row>
    <row r="2445" spans="1:8" x14ac:dyDescent="0.25">
      <c r="A2445" s="8" t="s">
        <v>7972</v>
      </c>
      <c r="B2445" s="8" t="s">
        <v>14275</v>
      </c>
      <c r="C2445" s="2">
        <v>46233.416666666664</v>
      </c>
      <c r="D2445" s="8" t="s">
        <v>13935</v>
      </c>
      <c r="E2445" s="8" t="s">
        <v>69</v>
      </c>
      <c r="F2445">
        <v>4</v>
      </c>
      <c r="G2445" s="2">
        <v>46233.75</v>
      </c>
      <c r="H2445" s="2">
        <v>46233.583333333336</v>
      </c>
    </row>
    <row r="2446" spans="1:8" x14ac:dyDescent="0.25">
      <c r="A2446" s="8" t="s">
        <v>14276</v>
      </c>
      <c r="B2446" s="8" t="s">
        <v>14277</v>
      </c>
      <c r="C2446" s="2">
        <v>46233.416666666664</v>
      </c>
      <c r="D2446" s="8" t="s">
        <v>13937</v>
      </c>
      <c r="E2446" s="8" t="s">
        <v>11</v>
      </c>
      <c r="F2446">
        <v>2</v>
      </c>
      <c r="G2446" s="2">
        <v>46233.75</v>
      </c>
      <c r="H2446" s="2"/>
    </row>
    <row r="2447" spans="1:8" x14ac:dyDescent="0.25">
      <c r="A2447" s="8" t="s">
        <v>7975</v>
      </c>
      <c r="B2447" s="8" t="s">
        <v>14277</v>
      </c>
      <c r="C2447" s="2">
        <v>46233.416666666664</v>
      </c>
      <c r="D2447" s="8" t="s">
        <v>13937</v>
      </c>
      <c r="E2447" s="8" t="s">
        <v>18</v>
      </c>
      <c r="F2447">
        <v>1</v>
      </c>
      <c r="G2447" s="2">
        <v>46233.75</v>
      </c>
      <c r="H2447" s="2">
        <v>46233.583333333336</v>
      </c>
    </row>
    <row r="2448" spans="1:8" x14ac:dyDescent="0.25">
      <c r="A2448" s="8" t="s">
        <v>7978</v>
      </c>
      <c r="B2448" s="8" t="s">
        <v>14277</v>
      </c>
      <c r="C2448" s="2">
        <v>46233.416666666664</v>
      </c>
      <c r="D2448" s="8" t="s">
        <v>13937</v>
      </c>
      <c r="E2448" s="8" t="s">
        <v>26</v>
      </c>
      <c r="F2448">
        <v>3</v>
      </c>
      <c r="G2448" s="2">
        <v>46233.75</v>
      </c>
      <c r="H2448" s="2">
        <v>46233.583333333336</v>
      </c>
    </row>
    <row r="2449" spans="1:8" x14ac:dyDescent="0.25">
      <c r="A2449" s="8" t="s">
        <v>7981</v>
      </c>
      <c r="B2449" s="8" t="s">
        <v>14277</v>
      </c>
      <c r="C2449" s="2">
        <v>46233.416666666664</v>
      </c>
      <c r="D2449" s="8" t="s">
        <v>13937</v>
      </c>
      <c r="E2449" s="8" t="s">
        <v>47</v>
      </c>
      <c r="F2449">
        <v>1</v>
      </c>
      <c r="G2449" s="2">
        <v>46233.75</v>
      </c>
      <c r="H2449" s="2">
        <v>46233.583333333336</v>
      </c>
    </row>
    <row r="2450" spans="1:8" x14ac:dyDescent="0.25">
      <c r="A2450" s="8" t="s">
        <v>7984</v>
      </c>
      <c r="B2450" s="8" t="s">
        <v>14277</v>
      </c>
      <c r="C2450" s="2">
        <v>46233.416666666664</v>
      </c>
      <c r="D2450" s="8" t="s">
        <v>13937</v>
      </c>
      <c r="E2450" s="8" t="s">
        <v>53</v>
      </c>
      <c r="F2450">
        <v>2</v>
      </c>
      <c r="G2450" s="2">
        <v>46233.75</v>
      </c>
      <c r="H2450" s="2">
        <v>46233.583333333336</v>
      </c>
    </row>
    <row r="2451" spans="1:8" x14ac:dyDescent="0.25">
      <c r="A2451" s="8" t="s">
        <v>7987</v>
      </c>
      <c r="B2451" s="8" t="s">
        <v>14277</v>
      </c>
      <c r="C2451" s="2">
        <v>46233.416666666664</v>
      </c>
      <c r="D2451" s="8" t="s">
        <v>13937</v>
      </c>
      <c r="E2451" s="8" t="s">
        <v>55</v>
      </c>
      <c r="F2451">
        <v>4</v>
      </c>
      <c r="G2451" s="2">
        <v>46233.75</v>
      </c>
      <c r="H2451" s="2">
        <v>46233.583333333336</v>
      </c>
    </row>
    <row r="2452" spans="1:8" x14ac:dyDescent="0.25">
      <c r="A2452" s="8" t="s">
        <v>14278</v>
      </c>
      <c r="B2452" s="8" t="s">
        <v>14279</v>
      </c>
      <c r="C2452" s="2">
        <v>46234.416666666664</v>
      </c>
      <c r="D2452" s="8" t="s">
        <v>13929</v>
      </c>
      <c r="E2452" s="8" t="s">
        <v>11</v>
      </c>
      <c r="F2452">
        <v>2</v>
      </c>
      <c r="G2452" s="2">
        <v>46234.75</v>
      </c>
      <c r="H2452" s="2"/>
    </row>
    <row r="2453" spans="1:8" x14ac:dyDescent="0.25">
      <c r="A2453" s="8" t="s">
        <v>7990</v>
      </c>
      <c r="B2453" s="8" t="s">
        <v>14279</v>
      </c>
      <c r="C2453" s="2">
        <v>46234.416666666664</v>
      </c>
      <c r="D2453" s="8" t="s">
        <v>13929</v>
      </c>
      <c r="E2453" s="8" t="s">
        <v>20</v>
      </c>
      <c r="F2453">
        <v>3</v>
      </c>
      <c r="G2453" s="2">
        <v>46234.75</v>
      </c>
      <c r="H2453" s="2">
        <v>46234.583333333336</v>
      </c>
    </row>
    <row r="2454" spans="1:8" x14ac:dyDescent="0.25">
      <c r="A2454" s="8" t="s">
        <v>7993</v>
      </c>
      <c r="B2454" s="8" t="s">
        <v>14279</v>
      </c>
      <c r="C2454" s="2">
        <v>46234.416666666664</v>
      </c>
      <c r="D2454" s="8" t="s">
        <v>13929</v>
      </c>
      <c r="E2454" s="8" t="s">
        <v>22</v>
      </c>
      <c r="F2454">
        <v>4</v>
      </c>
      <c r="G2454" s="2">
        <v>46234.75</v>
      </c>
      <c r="H2454" s="2">
        <v>46234.583333333336</v>
      </c>
    </row>
    <row r="2455" spans="1:8" x14ac:dyDescent="0.25">
      <c r="A2455" s="8" t="s">
        <v>7996</v>
      </c>
      <c r="B2455" s="8" t="s">
        <v>14279</v>
      </c>
      <c r="C2455" s="2">
        <v>46234.416666666664</v>
      </c>
      <c r="D2455" s="8" t="s">
        <v>13929</v>
      </c>
      <c r="E2455" s="8" t="s">
        <v>24</v>
      </c>
      <c r="F2455">
        <v>1</v>
      </c>
      <c r="G2455" s="2">
        <v>46234.75</v>
      </c>
      <c r="H2455" s="2">
        <v>46234.583333333336</v>
      </c>
    </row>
    <row r="2456" spans="1:8" x14ac:dyDescent="0.25">
      <c r="A2456" s="8" t="s">
        <v>7999</v>
      </c>
      <c r="B2456" s="8" t="s">
        <v>14279</v>
      </c>
      <c r="C2456" s="2">
        <v>46234.416666666664</v>
      </c>
      <c r="D2456" s="8" t="s">
        <v>13929</v>
      </c>
      <c r="E2456" s="8" t="s">
        <v>26</v>
      </c>
      <c r="F2456">
        <v>2</v>
      </c>
      <c r="G2456" s="2">
        <v>46234.75</v>
      </c>
      <c r="H2456" s="2">
        <v>46234.583333333336</v>
      </c>
    </row>
    <row r="2457" spans="1:8" x14ac:dyDescent="0.25">
      <c r="A2457" s="8" t="s">
        <v>8002</v>
      </c>
      <c r="B2457" s="8" t="s">
        <v>14279</v>
      </c>
      <c r="C2457" s="2">
        <v>46234.416666666664</v>
      </c>
      <c r="D2457" s="8" t="s">
        <v>13929</v>
      </c>
      <c r="E2457" s="8" t="s">
        <v>30</v>
      </c>
      <c r="F2457">
        <v>2</v>
      </c>
      <c r="G2457" s="2">
        <v>46234.75</v>
      </c>
      <c r="H2457" s="2">
        <v>46234.583333333336</v>
      </c>
    </row>
    <row r="2458" spans="1:8" x14ac:dyDescent="0.25">
      <c r="A2458" s="8" t="s">
        <v>8005</v>
      </c>
      <c r="B2458" s="8" t="s">
        <v>14279</v>
      </c>
      <c r="C2458" s="2">
        <v>46234.416666666664</v>
      </c>
      <c r="D2458" s="8" t="s">
        <v>13929</v>
      </c>
      <c r="E2458" s="8" t="s">
        <v>53</v>
      </c>
      <c r="F2458">
        <v>2</v>
      </c>
      <c r="G2458" s="2">
        <v>46234.75</v>
      </c>
      <c r="H2458" s="2">
        <v>46234.583333333336</v>
      </c>
    </row>
    <row r="2459" spans="1:8" x14ac:dyDescent="0.25">
      <c r="A2459" s="8" t="s">
        <v>8008</v>
      </c>
      <c r="B2459" s="8" t="s">
        <v>14279</v>
      </c>
      <c r="C2459" s="2">
        <v>46234.416666666664</v>
      </c>
      <c r="D2459" s="8" t="s">
        <v>13929</v>
      </c>
      <c r="E2459" s="8" t="s">
        <v>71</v>
      </c>
      <c r="F2459">
        <v>4</v>
      </c>
      <c r="G2459" s="2">
        <v>46234.75</v>
      </c>
      <c r="H2459" s="2">
        <v>46234.583333333336</v>
      </c>
    </row>
    <row r="2460" spans="1:8" x14ac:dyDescent="0.25">
      <c r="A2460" s="8" t="s">
        <v>8011</v>
      </c>
      <c r="B2460" s="8" t="s">
        <v>14280</v>
      </c>
      <c r="C2460" s="2">
        <v>46234.416666666664</v>
      </c>
      <c r="D2460" s="8" t="s">
        <v>13931</v>
      </c>
      <c r="E2460" s="8" t="s">
        <v>18</v>
      </c>
      <c r="F2460">
        <v>4</v>
      </c>
      <c r="G2460" s="2">
        <v>46234.75</v>
      </c>
      <c r="H2460" s="2">
        <v>46234.583333333336</v>
      </c>
    </row>
    <row r="2461" spans="1:8" x14ac:dyDescent="0.25">
      <c r="A2461" s="8" t="s">
        <v>8014</v>
      </c>
      <c r="B2461" s="8" t="s">
        <v>14280</v>
      </c>
      <c r="C2461" s="2">
        <v>46234.416666666664</v>
      </c>
      <c r="D2461" s="8" t="s">
        <v>13931</v>
      </c>
      <c r="E2461" s="8" t="s">
        <v>20</v>
      </c>
      <c r="F2461">
        <v>3</v>
      </c>
      <c r="G2461" s="2">
        <v>46234.75</v>
      </c>
      <c r="H2461" s="2">
        <v>46234.583333333336</v>
      </c>
    </row>
    <row r="2462" spans="1:8" x14ac:dyDescent="0.25">
      <c r="A2462" s="8" t="s">
        <v>8017</v>
      </c>
      <c r="B2462" s="8" t="s">
        <v>14280</v>
      </c>
      <c r="C2462" s="2">
        <v>46234.416666666664</v>
      </c>
      <c r="D2462" s="8" t="s">
        <v>13931</v>
      </c>
      <c r="E2462" s="8" t="s">
        <v>22</v>
      </c>
      <c r="F2462">
        <v>2</v>
      </c>
      <c r="G2462" s="2">
        <v>46234.75</v>
      </c>
      <c r="H2462" s="2">
        <v>46234.583333333336</v>
      </c>
    </row>
    <row r="2463" spans="1:8" x14ac:dyDescent="0.25">
      <c r="A2463" s="8" t="s">
        <v>8020</v>
      </c>
      <c r="B2463" s="8" t="s">
        <v>14280</v>
      </c>
      <c r="C2463" s="2">
        <v>46234.416666666664</v>
      </c>
      <c r="D2463" s="8" t="s">
        <v>13931</v>
      </c>
      <c r="E2463" s="8" t="s">
        <v>24</v>
      </c>
      <c r="F2463">
        <v>1</v>
      </c>
      <c r="G2463" s="2">
        <v>46234.75</v>
      </c>
      <c r="H2463" s="2">
        <v>46234.583333333336</v>
      </c>
    </row>
    <row r="2464" spans="1:8" x14ac:dyDescent="0.25">
      <c r="A2464" s="8" t="s">
        <v>8023</v>
      </c>
      <c r="B2464" s="8" t="s">
        <v>14280</v>
      </c>
      <c r="C2464" s="2">
        <v>46234.416666666664</v>
      </c>
      <c r="D2464" s="8" t="s">
        <v>13931</v>
      </c>
      <c r="E2464" s="8" t="s">
        <v>26</v>
      </c>
      <c r="F2464">
        <v>4</v>
      </c>
      <c r="G2464" s="2">
        <v>46234.75</v>
      </c>
      <c r="H2464" s="2">
        <v>46234.583333333336</v>
      </c>
    </row>
    <row r="2465" spans="1:8" x14ac:dyDescent="0.25">
      <c r="A2465" s="8" t="s">
        <v>8026</v>
      </c>
      <c r="B2465" s="8" t="s">
        <v>14280</v>
      </c>
      <c r="C2465" s="2">
        <v>46234.416666666664</v>
      </c>
      <c r="D2465" s="8" t="s">
        <v>13931</v>
      </c>
      <c r="E2465" s="8" t="s">
        <v>32</v>
      </c>
      <c r="F2465">
        <v>2</v>
      </c>
      <c r="G2465" s="2">
        <v>46234.75</v>
      </c>
      <c r="H2465" s="2">
        <v>46234.583333333336</v>
      </c>
    </row>
    <row r="2466" spans="1:8" x14ac:dyDescent="0.25">
      <c r="A2466" s="8" t="s">
        <v>8029</v>
      </c>
      <c r="B2466" s="8" t="s">
        <v>14280</v>
      </c>
      <c r="C2466" s="2">
        <v>46234.416666666664</v>
      </c>
      <c r="D2466" s="8" t="s">
        <v>13931</v>
      </c>
      <c r="E2466" s="8" t="s">
        <v>41</v>
      </c>
      <c r="F2466">
        <v>2</v>
      </c>
      <c r="G2466" s="2">
        <v>46234.75</v>
      </c>
      <c r="H2466" s="2">
        <v>46234.583333333336</v>
      </c>
    </row>
    <row r="2467" spans="1:8" x14ac:dyDescent="0.25">
      <c r="A2467" s="8" t="s">
        <v>8032</v>
      </c>
      <c r="B2467" s="8" t="s">
        <v>14280</v>
      </c>
      <c r="C2467" s="2">
        <v>46234.416666666664</v>
      </c>
      <c r="D2467" s="8" t="s">
        <v>13931</v>
      </c>
      <c r="E2467" s="8" t="s">
        <v>45</v>
      </c>
      <c r="F2467">
        <v>4</v>
      </c>
      <c r="G2467" s="2">
        <v>46234.75</v>
      </c>
      <c r="H2467" s="2">
        <v>46234.583333333336</v>
      </c>
    </row>
    <row r="2468" spans="1:8" x14ac:dyDescent="0.25">
      <c r="A2468" s="8" t="s">
        <v>8035</v>
      </c>
      <c r="B2468" s="8" t="s">
        <v>14280</v>
      </c>
      <c r="C2468" s="2">
        <v>46234.416666666664</v>
      </c>
      <c r="D2468" s="8" t="s">
        <v>13931</v>
      </c>
      <c r="E2468" s="8" t="s">
        <v>53</v>
      </c>
      <c r="F2468">
        <v>4</v>
      </c>
      <c r="G2468" s="2">
        <v>46234.75</v>
      </c>
      <c r="H2468" s="2">
        <v>46234.583333333336</v>
      </c>
    </row>
    <row r="2469" spans="1:8" x14ac:dyDescent="0.25">
      <c r="A2469" s="8" t="s">
        <v>8038</v>
      </c>
      <c r="B2469" s="8" t="s">
        <v>14280</v>
      </c>
      <c r="C2469" s="2">
        <v>46234.416666666664</v>
      </c>
      <c r="D2469" s="8" t="s">
        <v>13931</v>
      </c>
      <c r="E2469" s="8" t="s">
        <v>57</v>
      </c>
      <c r="F2469">
        <v>4</v>
      </c>
      <c r="G2469" s="2">
        <v>46234.75</v>
      </c>
      <c r="H2469" s="2">
        <v>46234.583333333336</v>
      </c>
    </row>
    <row r="2470" spans="1:8" x14ac:dyDescent="0.25">
      <c r="A2470" s="8" t="s">
        <v>8041</v>
      </c>
      <c r="B2470" s="8" t="s">
        <v>14280</v>
      </c>
      <c r="C2470" s="2">
        <v>46234.416666666664</v>
      </c>
      <c r="D2470" s="8" t="s">
        <v>13931</v>
      </c>
      <c r="E2470" s="8" t="s">
        <v>65</v>
      </c>
      <c r="F2470">
        <v>1</v>
      </c>
      <c r="G2470" s="2">
        <v>46234.75</v>
      </c>
      <c r="H2470" s="2">
        <v>46234.583333333336</v>
      </c>
    </row>
    <row r="2471" spans="1:8" x14ac:dyDescent="0.25">
      <c r="A2471" s="8" t="s">
        <v>8044</v>
      </c>
      <c r="B2471" s="8" t="s">
        <v>14280</v>
      </c>
      <c r="C2471" s="2">
        <v>46234.416666666664</v>
      </c>
      <c r="D2471" s="8" t="s">
        <v>13931</v>
      </c>
      <c r="E2471" s="8" t="s">
        <v>69</v>
      </c>
      <c r="F2471">
        <v>4</v>
      </c>
      <c r="G2471" s="2">
        <v>46234.75</v>
      </c>
      <c r="H2471" s="2">
        <v>46234.583333333336</v>
      </c>
    </row>
    <row r="2472" spans="1:8" x14ac:dyDescent="0.25">
      <c r="A2472" s="8" t="s">
        <v>8047</v>
      </c>
      <c r="B2472" s="8" t="s">
        <v>14281</v>
      </c>
      <c r="C2472" s="2">
        <v>46234.416666666664</v>
      </c>
      <c r="D2472" s="8" t="s">
        <v>13933</v>
      </c>
      <c r="E2472" s="8" t="s">
        <v>18</v>
      </c>
      <c r="F2472">
        <v>4</v>
      </c>
      <c r="G2472" s="2">
        <v>46234.75</v>
      </c>
      <c r="H2472" s="2">
        <v>46234.583333333336</v>
      </c>
    </row>
    <row r="2473" spans="1:8" x14ac:dyDescent="0.25">
      <c r="A2473" s="8" t="s">
        <v>8050</v>
      </c>
      <c r="B2473" s="8" t="s">
        <v>14281</v>
      </c>
      <c r="C2473" s="2">
        <v>46234.416666666664</v>
      </c>
      <c r="D2473" s="8" t="s">
        <v>13933</v>
      </c>
      <c r="E2473" s="8" t="s">
        <v>20</v>
      </c>
      <c r="F2473">
        <v>5</v>
      </c>
      <c r="G2473" s="2">
        <v>46234.75</v>
      </c>
      <c r="H2473" s="2">
        <v>46234.583333333336</v>
      </c>
    </row>
    <row r="2474" spans="1:8" x14ac:dyDescent="0.25">
      <c r="A2474" s="8" t="s">
        <v>8053</v>
      </c>
      <c r="B2474" s="8" t="s">
        <v>14281</v>
      </c>
      <c r="C2474" s="2">
        <v>46234.416666666664</v>
      </c>
      <c r="D2474" s="8" t="s">
        <v>13933</v>
      </c>
      <c r="E2474" s="8" t="s">
        <v>22</v>
      </c>
      <c r="F2474">
        <v>1</v>
      </c>
      <c r="G2474" s="2">
        <v>46234.75</v>
      </c>
      <c r="H2474" s="2">
        <v>46234.583333333336</v>
      </c>
    </row>
    <row r="2475" spans="1:8" x14ac:dyDescent="0.25">
      <c r="A2475" s="8" t="s">
        <v>8056</v>
      </c>
      <c r="B2475" s="8" t="s">
        <v>14281</v>
      </c>
      <c r="C2475" s="2">
        <v>46234.416666666664</v>
      </c>
      <c r="D2475" s="8" t="s">
        <v>13933</v>
      </c>
      <c r="E2475" s="8" t="s">
        <v>24</v>
      </c>
      <c r="F2475">
        <v>1</v>
      </c>
      <c r="G2475" s="2">
        <v>46234.75</v>
      </c>
      <c r="H2475" s="2">
        <v>46234.583333333336</v>
      </c>
    </row>
    <row r="2476" spans="1:8" x14ac:dyDescent="0.25">
      <c r="A2476" s="8" t="s">
        <v>8059</v>
      </c>
      <c r="B2476" s="8" t="s">
        <v>14281</v>
      </c>
      <c r="C2476" s="2">
        <v>46234.416666666664</v>
      </c>
      <c r="D2476" s="8" t="s">
        <v>13933</v>
      </c>
      <c r="E2476" s="8" t="s">
        <v>26</v>
      </c>
      <c r="F2476">
        <v>2</v>
      </c>
      <c r="G2476" s="2">
        <v>46234.75</v>
      </c>
      <c r="H2476" s="2">
        <v>46234.583333333336</v>
      </c>
    </row>
    <row r="2477" spans="1:8" x14ac:dyDescent="0.25">
      <c r="A2477" s="8" t="s">
        <v>8062</v>
      </c>
      <c r="B2477" s="8" t="s">
        <v>14281</v>
      </c>
      <c r="C2477" s="2">
        <v>46234.416666666664</v>
      </c>
      <c r="D2477" s="8" t="s">
        <v>13933</v>
      </c>
      <c r="E2477" s="8" t="s">
        <v>32</v>
      </c>
      <c r="F2477">
        <v>4</v>
      </c>
      <c r="G2477" s="2">
        <v>46234.75</v>
      </c>
      <c r="H2477" s="2">
        <v>46234.583333333336</v>
      </c>
    </row>
    <row r="2478" spans="1:8" x14ac:dyDescent="0.25">
      <c r="A2478" s="8" t="s">
        <v>8065</v>
      </c>
      <c r="B2478" s="8" t="s">
        <v>14281</v>
      </c>
      <c r="C2478" s="2">
        <v>46234.416666666664</v>
      </c>
      <c r="D2478" s="8" t="s">
        <v>13933</v>
      </c>
      <c r="E2478" s="8" t="s">
        <v>36</v>
      </c>
      <c r="F2478">
        <v>6</v>
      </c>
      <c r="G2478" s="2">
        <v>46234.75</v>
      </c>
      <c r="H2478" s="2">
        <v>46234.583333333336</v>
      </c>
    </row>
    <row r="2479" spans="1:8" x14ac:dyDescent="0.25">
      <c r="A2479" s="8" t="s">
        <v>8068</v>
      </c>
      <c r="B2479" s="8" t="s">
        <v>14281</v>
      </c>
      <c r="C2479" s="2">
        <v>46234.416666666664</v>
      </c>
      <c r="D2479" s="8" t="s">
        <v>13933</v>
      </c>
      <c r="E2479" s="8" t="s">
        <v>49</v>
      </c>
      <c r="F2479">
        <v>1</v>
      </c>
      <c r="G2479" s="2">
        <v>46234.75</v>
      </c>
      <c r="H2479" s="2">
        <v>46234.583333333336</v>
      </c>
    </row>
    <row r="2480" spans="1:8" x14ac:dyDescent="0.25">
      <c r="A2480" s="8" t="s">
        <v>8071</v>
      </c>
      <c r="B2480" s="8" t="s">
        <v>14281</v>
      </c>
      <c r="C2480" s="2">
        <v>46234.416666666664</v>
      </c>
      <c r="D2480" s="8" t="s">
        <v>13933</v>
      </c>
      <c r="E2480" s="8" t="s">
        <v>53</v>
      </c>
      <c r="F2480">
        <v>2</v>
      </c>
      <c r="G2480" s="2">
        <v>46234.75</v>
      </c>
      <c r="H2480" s="2">
        <v>46234.583333333336</v>
      </c>
    </row>
    <row r="2481" spans="1:8" x14ac:dyDescent="0.25">
      <c r="A2481" s="8" t="s">
        <v>8074</v>
      </c>
      <c r="B2481" s="8" t="s">
        <v>14281</v>
      </c>
      <c r="C2481" s="2">
        <v>46234.416666666664</v>
      </c>
      <c r="D2481" s="8" t="s">
        <v>13933</v>
      </c>
      <c r="E2481" s="8" t="s">
        <v>59</v>
      </c>
      <c r="F2481">
        <v>2</v>
      </c>
      <c r="G2481" s="2">
        <v>46234.75</v>
      </c>
      <c r="H2481" s="2">
        <v>46234.583333333336</v>
      </c>
    </row>
    <row r="2482" spans="1:8" x14ac:dyDescent="0.25">
      <c r="A2482" s="8" t="s">
        <v>8077</v>
      </c>
      <c r="B2482" s="8" t="s">
        <v>14281</v>
      </c>
      <c r="C2482" s="2">
        <v>46234.416666666664</v>
      </c>
      <c r="D2482" s="8" t="s">
        <v>13933</v>
      </c>
      <c r="E2482" s="8" t="s">
        <v>65</v>
      </c>
      <c r="F2482">
        <v>6</v>
      </c>
      <c r="G2482" s="2">
        <v>46234.75</v>
      </c>
      <c r="H2482" s="2">
        <v>46234.583333333336</v>
      </c>
    </row>
    <row r="2483" spans="1:8" x14ac:dyDescent="0.25">
      <c r="A2483" s="8" t="s">
        <v>8080</v>
      </c>
      <c r="B2483" s="8" t="s">
        <v>14281</v>
      </c>
      <c r="C2483" s="2">
        <v>46234.416666666664</v>
      </c>
      <c r="D2483" s="8" t="s">
        <v>13933</v>
      </c>
      <c r="E2483" s="8" t="s">
        <v>71</v>
      </c>
      <c r="F2483">
        <v>2</v>
      </c>
      <c r="G2483" s="2">
        <v>46234.75</v>
      </c>
      <c r="H2483" s="2">
        <v>46234.583333333336</v>
      </c>
    </row>
    <row r="2484" spans="1:8" x14ac:dyDescent="0.25">
      <c r="A2484" s="8" t="s">
        <v>14282</v>
      </c>
      <c r="B2484" s="8" t="s">
        <v>14283</v>
      </c>
      <c r="C2484" s="2">
        <v>46234.416666666664</v>
      </c>
      <c r="D2484" s="8" t="s">
        <v>13935</v>
      </c>
      <c r="E2484" s="8" t="s">
        <v>11</v>
      </c>
      <c r="F2484">
        <v>7</v>
      </c>
      <c r="G2484" s="2">
        <v>46234.75</v>
      </c>
      <c r="H2484" s="2"/>
    </row>
    <row r="2485" spans="1:8" x14ac:dyDescent="0.25">
      <c r="A2485" s="8" t="s">
        <v>8083</v>
      </c>
      <c r="B2485" s="8" t="s">
        <v>14283</v>
      </c>
      <c r="C2485" s="2">
        <v>46234.416666666664</v>
      </c>
      <c r="D2485" s="8" t="s">
        <v>13935</v>
      </c>
      <c r="E2485" s="8" t="s">
        <v>20</v>
      </c>
      <c r="F2485">
        <v>6</v>
      </c>
      <c r="G2485" s="2">
        <v>46234.75</v>
      </c>
      <c r="H2485" s="2">
        <v>46234.583333333336</v>
      </c>
    </row>
    <row r="2486" spans="1:8" x14ac:dyDescent="0.25">
      <c r="A2486" s="8" t="s">
        <v>8086</v>
      </c>
      <c r="B2486" s="8" t="s">
        <v>14283</v>
      </c>
      <c r="C2486" s="2">
        <v>46234.416666666664</v>
      </c>
      <c r="D2486" s="8" t="s">
        <v>13935</v>
      </c>
      <c r="E2486" s="8" t="s">
        <v>22</v>
      </c>
      <c r="F2486">
        <v>3</v>
      </c>
      <c r="G2486" s="2">
        <v>46234.75</v>
      </c>
      <c r="H2486" s="2">
        <v>46234.583333333336</v>
      </c>
    </row>
    <row r="2487" spans="1:8" x14ac:dyDescent="0.25">
      <c r="A2487" s="8" t="s">
        <v>8089</v>
      </c>
      <c r="B2487" s="8" t="s">
        <v>14283</v>
      </c>
      <c r="C2487" s="2">
        <v>46234.416666666664</v>
      </c>
      <c r="D2487" s="8" t="s">
        <v>13935</v>
      </c>
      <c r="E2487" s="8" t="s">
        <v>24</v>
      </c>
      <c r="F2487">
        <v>7</v>
      </c>
      <c r="G2487" s="2">
        <v>46234.75</v>
      </c>
      <c r="H2487" s="2">
        <v>46234.583333333336</v>
      </c>
    </row>
    <row r="2488" spans="1:8" x14ac:dyDescent="0.25">
      <c r="A2488" s="8" t="s">
        <v>8092</v>
      </c>
      <c r="B2488" s="8" t="s">
        <v>14283</v>
      </c>
      <c r="C2488" s="2">
        <v>46234.416666666664</v>
      </c>
      <c r="D2488" s="8" t="s">
        <v>13935</v>
      </c>
      <c r="E2488" s="8" t="s">
        <v>26</v>
      </c>
      <c r="F2488">
        <v>3</v>
      </c>
      <c r="G2488" s="2">
        <v>46234.75</v>
      </c>
      <c r="H2488" s="2">
        <v>46234.583333333336</v>
      </c>
    </row>
    <row r="2489" spans="1:8" x14ac:dyDescent="0.25">
      <c r="A2489" s="8" t="s">
        <v>8095</v>
      </c>
      <c r="B2489" s="8" t="s">
        <v>14283</v>
      </c>
      <c r="C2489" s="2">
        <v>46234.416666666664</v>
      </c>
      <c r="D2489" s="8" t="s">
        <v>13935</v>
      </c>
      <c r="E2489" s="8" t="s">
        <v>28</v>
      </c>
      <c r="F2489">
        <v>4</v>
      </c>
      <c r="G2489" s="2">
        <v>46234.75</v>
      </c>
      <c r="H2489" s="2">
        <v>46234.583333333336</v>
      </c>
    </row>
    <row r="2490" spans="1:8" x14ac:dyDescent="0.25">
      <c r="A2490" s="8" t="s">
        <v>8098</v>
      </c>
      <c r="B2490" s="8" t="s">
        <v>14283</v>
      </c>
      <c r="C2490" s="2">
        <v>46234.416666666664</v>
      </c>
      <c r="D2490" s="8" t="s">
        <v>13935</v>
      </c>
      <c r="E2490" s="8" t="s">
        <v>30</v>
      </c>
      <c r="F2490">
        <v>4</v>
      </c>
      <c r="G2490" s="2">
        <v>46234.75</v>
      </c>
      <c r="H2490" s="2">
        <v>46234.583333333336</v>
      </c>
    </row>
    <row r="2491" spans="1:8" x14ac:dyDescent="0.25">
      <c r="A2491" s="8" t="s">
        <v>8101</v>
      </c>
      <c r="B2491" s="8" t="s">
        <v>14283</v>
      </c>
      <c r="C2491" s="2">
        <v>46234.416666666664</v>
      </c>
      <c r="D2491" s="8" t="s">
        <v>13935</v>
      </c>
      <c r="E2491" s="8" t="s">
        <v>32</v>
      </c>
      <c r="F2491">
        <v>3</v>
      </c>
      <c r="G2491" s="2">
        <v>46234.75</v>
      </c>
      <c r="H2491" s="2">
        <v>46234.583333333336</v>
      </c>
    </row>
    <row r="2492" spans="1:8" x14ac:dyDescent="0.25">
      <c r="A2492" s="8" t="s">
        <v>8104</v>
      </c>
      <c r="B2492" s="8" t="s">
        <v>14283</v>
      </c>
      <c r="C2492" s="2">
        <v>46234.416666666664</v>
      </c>
      <c r="D2492" s="8" t="s">
        <v>13935</v>
      </c>
      <c r="E2492" s="8" t="s">
        <v>41</v>
      </c>
      <c r="F2492">
        <v>1</v>
      </c>
      <c r="G2492" s="2">
        <v>46234.75</v>
      </c>
      <c r="H2492" s="2">
        <v>46234.583333333336</v>
      </c>
    </row>
    <row r="2493" spans="1:8" x14ac:dyDescent="0.25">
      <c r="A2493" s="8" t="s">
        <v>8107</v>
      </c>
      <c r="B2493" s="8" t="s">
        <v>14283</v>
      </c>
      <c r="C2493" s="2">
        <v>46234.416666666664</v>
      </c>
      <c r="D2493" s="8" t="s">
        <v>13935</v>
      </c>
      <c r="E2493" s="8" t="s">
        <v>47</v>
      </c>
      <c r="F2493">
        <v>6</v>
      </c>
      <c r="G2493" s="2">
        <v>46234.75</v>
      </c>
      <c r="H2493" s="2">
        <v>46234.583333333336</v>
      </c>
    </row>
    <row r="2494" spans="1:8" x14ac:dyDescent="0.25">
      <c r="A2494" s="8" t="s">
        <v>8110</v>
      </c>
      <c r="B2494" s="8" t="s">
        <v>14283</v>
      </c>
      <c r="C2494" s="2">
        <v>46234.416666666664</v>
      </c>
      <c r="D2494" s="8" t="s">
        <v>13935</v>
      </c>
      <c r="E2494" s="8" t="s">
        <v>51</v>
      </c>
      <c r="F2494">
        <v>6</v>
      </c>
      <c r="G2494" s="2">
        <v>46234.75</v>
      </c>
      <c r="H2494" s="2">
        <v>46234.583333333336</v>
      </c>
    </row>
    <row r="2495" spans="1:8" x14ac:dyDescent="0.25">
      <c r="A2495" s="8" t="s">
        <v>8113</v>
      </c>
      <c r="B2495" s="8" t="s">
        <v>14283</v>
      </c>
      <c r="C2495" s="2">
        <v>46234.416666666664</v>
      </c>
      <c r="D2495" s="8" t="s">
        <v>13935</v>
      </c>
      <c r="E2495" s="8" t="s">
        <v>53</v>
      </c>
      <c r="F2495">
        <v>1</v>
      </c>
      <c r="G2495" s="2">
        <v>46234.75</v>
      </c>
      <c r="H2495" s="2">
        <v>46234.583333333336</v>
      </c>
    </row>
    <row r="2496" spans="1:8" x14ac:dyDescent="0.25">
      <c r="A2496" s="8" t="s">
        <v>8116</v>
      </c>
      <c r="B2496" s="8" t="s">
        <v>14283</v>
      </c>
      <c r="C2496" s="2">
        <v>46234.416666666664</v>
      </c>
      <c r="D2496" s="8" t="s">
        <v>13935</v>
      </c>
      <c r="E2496" s="8" t="s">
        <v>55</v>
      </c>
      <c r="F2496">
        <v>1</v>
      </c>
      <c r="G2496" s="2">
        <v>46234.75</v>
      </c>
      <c r="H2496" s="2">
        <v>46234.583333333336</v>
      </c>
    </row>
    <row r="2497" spans="1:8" x14ac:dyDescent="0.25">
      <c r="A2497" s="8" t="s">
        <v>8119</v>
      </c>
      <c r="B2497" s="8" t="s">
        <v>14283</v>
      </c>
      <c r="C2497" s="2">
        <v>46234.416666666664</v>
      </c>
      <c r="D2497" s="8" t="s">
        <v>13935</v>
      </c>
      <c r="E2497" s="8" t="s">
        <v>73</v>
      </c>
      <c r="F2497">
        <v>3</v>
      </c>
      <c r="G2497" s="2">
        <v>46234.75</v>
      </c>
      <c r="H2497" s="2">
        <v>46234.583333333336</v>
      </c>
    </row>
    <row r="2498" spans="1:8" x14ac:dyDescent="0.25">
      <c r="A2498" s="8" t="s">
        <v>14284</v>
      </c>
      <c r="B2498" s="8" t="s">
        <v>14285</v>
      </c>
      <c r="C2498" s="2">
        <v>46234.416666666664</v>
      </c>
      <c r="D2498" s="8" t="s">
        <v>13937</v>
      </c>
      <c r="E2498" s="8" t="s">
        <v>11</v>
      </c>
      <c r="F2498">
        <v>3</v>
      </c>
      <c r="G2498" s="2">
        <v>46234.75</v>
      </c>
      <c r="H2498" s="2"/>
    </row>
    <row r="2499" spans="1:8" x14ac:dyDescent="0.25">
      <c r="A2499" s="8" t="s">
        <v>8122</v>
      </c>
      <c r="B2499" s="8" t="s">
        <v>14285</v>
      </c>
      <c r="C2499" s="2">
        <v>46234.416666666664</v>
      </c>
      <c r="D2499" s="8" t="s">
        <v>13937</v>
      </c>
      <c r="E2499" s="8" t="s">
        <v>18</v>
      </c>
      <c r="F2499">
        <v>2</v>
      </c>
      <c r="G2499" s="2">
        <v>46234.75</v>
      </c>
      <c r="H2499" s="2">
        <v>46234.583333333336</v>
      </c>
    </row>
    <row r="2500" spans="1:8" x14ac:dyDescent="0.25">
      <c r="A2500" s="8" t="s">
        <v>8125</v>
      </c>
      <c r="B2500" s="8" t="s">
        <v>14285</v>
      </c>
      <c r="C2500" s="2">
        <v>46234.416666666664</v>
      </c>
      <c r="D2500" s="8" t="s">
        <v>13937</v>
      </c>
      <c r="E2500" s="8" t="s">
        <v>22</v>
      </c>
      <c r="F2500">
        <v>4</v>
      </c>
      <c r="G2500" s="2">
        <v>46234.75</v>
      </c>
      <c r="H2500" s="2">
        <v>46234.583333333336</v>
      </c>
    </row>
    <row r="2501" spans="1:8" x14ac:dyDescent="0.25">
      <c r="A2501" s="8" t="s">
        <v>8128</v>
      </c>
      <c r="B2501" s="8" t="s">
        <v>14285</v>
      </c>
      <c r="C2501" s="2">
        <v>46234.416666666664</v>
      </c>
      <c r="D2501" s="8" t="s">
        <v>13937</v>
      </c>
      <c r="E2501" s="8" t="s">
        <v>24</v>
      </c>
      <c r="F2501">
        <v>1</v>
      </c>
      <c r="G2501" s="2">
        <v>46234.75</v>
      </c>
      <c r="H2501" s="2">
        <v>46234.583333333336</v>
      </c>
    </row>
    <row r="2502" spans="1:8" x14ac:dyDescent="0.25">
      <c r="A2502" s="8" t="s">
        <v>8131</v>
      </c>
      <c r="B2502" s="8" t="s">
        <v>14285</v>
      </c>
      <c r="C2502" s="2">
        <v>46234.416666666664</v>
      </c>
      <c r="D2502" s="8" t="s">
        <v>13937</v>
      </c>
      <c r="E2502" s="8" t="s">
        <v>28</v>
      </c>
      <c r="F2502">
        <v>4</v>
      </c>
      <c r="G2502" s="2">
        <v>46234.75</v>
      </c>
      <c r="H2502" s="2">
        <v>46234.583333333336</v>
      </c>
    </row>
    <row r="2503" spans="1:8" x14ac:dyDescent="0.25">
      <c r="A2503" s="8" t="s">
        <v>8134</v>
      </c>
      <c r="B2503" s="8" t="s">
        <v>14285</v>
      </c>
      <c r="C2503" s="2">
        <v>46234.416666666664</v>
      </c>
      <c r="D2503" s="8" t="s">
        <v>13937</v>
      </c>
      <c r="E2503" s="8" t="s">
        <v>45</v>
      </c>
      <c r="F2503">
        <v>4</v>
      </c>
      <c r="G2503" s="2">
        <v>46234.75</v>
      </c>
      <c r="H2503" s="2">
        <v>46234.583333333336</v>
      </c>
    </row>
    <row r="2504" spans="1:8" x14ac:dyDescent="0.25">
      <c r="A2504" s="8" t="s">
        <v>8137</v>
      </c>
      <c r="B2504" s="8" t="s">
        <v>14285</v>
      </c>
      <c r="C2504" s="2">
        <v>46234.416666666664</v>
      </c>
      <c r="D2504" s="8" t="s">
        <v>13937</v>
      </c>
      <c r="E2504" s="8" t="s">
        <v>49</v>
      </c>
      <c r="F2504">
        <v>1</v>
      </c>
      <c r="G2504" s="2">
        <v>46234.75</v>
      </c>
      <c r="H2504" s="2">
        <v>46234.583333333336</v>
      </c>
    </row>
    <row r="2505" spans="1:8" x14ac:dyDescent="0.25">
      <c r="A2505" s="8" t="s">
        <v>8140</v>
      </c>
      <c r="B2505" s="8" t="s">
        <v>14285</v>
      </c>
      <c r="C2505" s="2">
        <v>46234.416666666664</v>
      </c>
      <c r="D2505" s="8" t="s">
        <v>13937</v>
      </c>
      <c r="E2505" s="8" t="s">
        <v>55</v>
      </c>
      <c r="F2505">
        <v>3</v>
      </c>
      <c r="G2505" s="2">
        <v>46234.75</v>
      </c>
      <c r="H2505" s="2">
        <v>46234.583333333336</v>
      </c>
    </row>
    <row r="2506" spans="1:8" x14ac:dyDescent="0.25">
      <c r="A2506" s="8" t="s">
        <v>8145</v>
      </c>
      <c r="B2506" s="8" t="s">
        <v>14285</v>
      </c>
      <c r="C2506" s="2">
        <v>46234.416666666664</v>
      </c>
      <c r="D2506" s="8" t="s">
        <v>13937</v>
      </c>
      <c r="E2506" s="8" t="s">
        <v>59</v>
      </c>
      <c r="F2506">
        <v>2</v>
      </c>
      <c r="G2506" s="2">
        <v>46234.75</v>
      </c>
      <c r="H2506" s="2">
        <v>46234.583333333336</v>
      </c>
    </row>
    <row r="2507" spans="1:8" x14ac:dyDescent="0.25">
      <c r="A2507" s="8" t="s">
        <v>8148</v>
      </c>
      <c r="B2507" s="8" t="s">
        <v>14285</v>
      </c>
      <c r="C2507" s="2">
        <v>46234.416666666664</v>
      </c>
      <c r="D2507" s="8" t="s">
        <v>13937</v>
      </c>
      <c r="E2507" s="8" t="s">
        <v>67</v>
      </c>
      <c r="F2507">
        <v>4</v>
      </c>
      <c r="G2507" s="2">
        <v>46234.75</v>
      </c>
      <c r="H2507" s="2">
        <v>46234.583333333336</v>
      </c>
    </row>
    <row r="2508" spans="1:8" x14ac:dyDescent="0.25">
      <c r="A2508" s="8" t="s">
        <v>14286</v>
      </c>
      <c r="B2508" s="8" t="s">
        <v>14287</v>
      </c>
      <c r="C2508" s="2">
        <v>46235.416666666664</v>
      </c>
      <c r="D2508" s="8" t="s">
        <v>13929</v>
      </c>
      <c r="E2508" s="8" t="s">
        <v>11</v>
      </c>
      <c r="F2508">
        <v>4</v>
      </c>
      <c r="G2508" s="2">
        <v>46235.75</v>
      </c>
      <c r="H2508" s="2"/>
    </row>
    <row r="2509" spans="1:8" x14ac:dyDescent="0.25">
      <c r="A2509" s="8" t="s">
        <v>8151</v>
      </c>
      <c r="B2509" s="8" t="s">
        <v>14287</v>
      </c>
      <c r="C2509" s="2">
        <v>46235.416666666664</v>
      </c>
      <c r="D2509" s="8" t="s">
        <v>13929</v>
      </c>
      <c r="E2509" s="8" t="s">
        <v>20</v>
      </c>
      <c r="F2509">
        <v>1</v>
      </c>
      <c r="G2509" s="2">
        <v>46235.75</v>
      </c>
      <c r="H2509" s="2">
        <v>46235.583333333336</v>
      </c>
    </row>
    <row r="2510" spans="1:8" x14ac:dyDescent="0.25">
      <c r="A2510" s="8" t="s">
        <v>8154</v>
      </c>
      <c r="B2510" s="8" t="s">
        <v>14287</v>
      </c>
      <c r="C2510" s="2">
        <v>46235.416666666664</v>
      </c>
      <c r="D2510" s="8" t="s">
        <v>13929</v>
      </c>
      <c r="E2510" s="8" t="s">
        <v>24</v>
      </c>
      <c r="F2510">
        <v>3</v>
      </c>
      <c r="G2510" s="2">
        <v>46235.75</v>
      </c>
      <c r="H2510" s="2">
        <v>46235.583333333336</v>
      </c>
    </row>
    <row r="2511" spans="1:8" x14ac:dyDescent="0.25">
      <c r="A2511" s="8" t="s">
        <v>8157</v>
      </c>
      <c r="B2511" s="8" t="s">
        <v>14287</v>
      </c>
      <c r="C2511" s="2">
        <v>46235.416666666664</v>
      </c>
      <c r="D2511" s="8" t="s">
        <v>13929</v>
      </c>
      <c r="E2511" s="8" t="s">
        <v>30</v>
      </c>
      <c r="F2511">
        <v>4</v>
      </c>
      <c r="G2511" s="2">
        <v>46235.75</v>
      </c>
      <c r="H2511" s="2">
        <v>46235.583333333336</v>
      </c>
    </row>
    <row r="2512" spans="1:8" x14ac:dyDescent="0.25">
      <c r="A2512" s="8" t="s">
        <v>8160</v>
      </c>
      <c r="B2512" s="8" t="s">
        <v>14287</v>
      </c>
      <c r="C2512" s="2">
        <v>46235.416666666664</v>
      </c>
      <c r="D2512" s="8" t="s">
        <v>13929</v>
      </c>
      <c r="E2512" s="8" t="s">
        <v>41</v>
      </c>
      <c r="F2512">
        <v>3</v>
      </c>
      <c r="G2512" s="2">
        <v>46235.75</v>
      </c>
      <c r="H2512" s="2">
        <v>46235.583333333336</v>
      </c>
    </row>
    <row r="2513" spans="1:8" x14ac:dyDescent="0.25">
      <c r="A2513" s="8" t="s">
        <v>8163</v>
      </c>
      <c r="B2513" s="8" t="s">
        <v>14287</v>
      </c>
      <c r="C2513" s="2">
        <v>46235.416666666664</v>
      </c>
      <c r="D2513" s="8" t="s">
        <v>13929</v>
      </c>
      <c r="E2513" s="8" t="s">
        <v>45</v>
      </c>
      <c r="F2513">
        <v>4</v>
      </c>
      <c r="G2513" s="2">
        <v>46235.75</v>
      </c>
      <c r="H2513" s="2">
        <v>46235.583333333336</v>
      </c>
    </row>
    <row r="2514" spans="1:8" x14ac:dyDescent="0.25">
      <c r="A2514" s="8" t="s">
        <v>8166</v>
      </c>
      <c r="B2514" s="8" t="s">
        <v>14287</v>
      </c>
      <c r="C2514" s="2">
        <v>46235.416666666664</v>
      </c>
      <c r="D2514" s="8" t="s">
        <v>13929</v>
      </c>
      <c r="E2514" s="8" t="s">
        <v>53</v>
      </c>
      <c r="F2514">
        <v>4</v>
      </c>
      <c r="G2514" s="2">
        <v>46235.75</v>
      </c>
      <c r="H2514" s="2">
        <v>46235.583333333336</v>
      </c>
    </row>
    <row r="2515" spans="1:8" x14ac:dyDescent="0.25">
      <c r="A2515" s="8" t="s">
        <v>8169</v>
      </c>
      <c r="B2515" s="8" t="s">
        <v>14287</v>
      </c>
      <c r="C2515" s="2">
        <v>46235.416666666664</v>
      </c>
      <c r="D2515" s="8" t="s">
        <v>13929</v>
      </c>
      <c r="E2515" s="8" t="s">
        <v>55</v>
      </c>
      <c r="F2515">
        <v>5</v>
      </c>
      <c r="G2515" s="2">
        <v>46235.75</v>
      </c>
      <c r="H2515" s="2">
        <v>46235.583333333336</v>
      </c>
    </row>
    <row r="2516" spans="1:8" x14ac:dyDescent="0.25">
      <c r="A2516" s="8" t="s">
        <v>8172</v>
      </c>
      <c r="B2516" s="8" t="s">
        <v>14287</v>
      </c>
      <c r="C2516" s="2">
        <v>46235.416666666664</v>
      </c>
      <c r="D2516" s="8" t="s">
        <v>13929</v>
      </c>
      <c r="E2516" s="8" t="s">
        <v>65</v>
      </c>
      <c r="F2516">
        <v>4</v>
      </c>
      <c r="G2516" s="2">
        <v>46235.75</v>
      </c>
      <c r="H2516" s="2">
        <v>46235.583333333336</v>
      </c>
    </row>
    <row r="2517" spans="1:8" x14ac:dyDescent="0.25">
      <c r="A2517" s="8" t="s">
        <v>8175</v>
      </c>
      <c r="B2517" s="8" t="s">
        <v>14287</v>
      </c>
      <c r="C2517" s="2">
        <v>46235.416666666664</v>
      </c>
      <c r="D2517" s="8" t="s">
        <v>13929</v>
      </c>
      <c r="E2517" s="8" t="s">
        <v>77</v>
      </c>
      <c r="F2517">
        <v>5</v>
      </c>
      <c r="G2517" s="2">
        <v>46235.75</v>
      </c>
      <c r="H2517" s="2">
        <v>46235.583333333336</v>
      </c>
    </row>
    <row r="2518" spans="1:8" x14ac:dyDescent="0.25">
      <c r="A2518" s="8" t="s">
        <v>8180</v>
      </c>
      <c r="B2518" s="8" t="s">
        <v>14288</v>
      </c>
      <c r="C2518" s="2">
        <v>46235.416666666664</v>
      </c>
      <c r="D2518" s="8" t="s">
        <v>13931</v>
      </c>
      <c r="E2518" s="8" t="s">
        <v>24</v>
      </c>
      <c r="F2518">
        <v>3</v>
      </c>
      <c r="G2518" s="2">
        <v>46235.75</v>
      </c>
      <c r="H2518" s="2">
        <v>46235.583333333336</v>
      </c>
    </row>
    <row r="2519" spans="1:8" x14ac:dyDescent="0.25">
      <c r="A2519" s="8" t="s">
        <v>8183</v>
      </c>
      <c r="B2519" s="8" t="s">
        <v>14288</v>
      </c>
      <c r="C2519" s="2">
        <v>46235.416666666664</v>
      </c>
      <c r="D2519" s="8" t="s">
        <v>13931</v>
      </c>
      <c r="E2519" s="8" t="s">
        <v>26</v>
      </c>
      <c r="F2519">
        <v>4</v>
      </c>
      <c r="G2519" s="2">
        <v>46235.75</v>
      </c>
      <c r="H2519" s="2">
        <v>46235.583333333336</v>
      </c>
    </row>
    <row r="2520" spans="1:8" x14ac:dyDescent="0.25">
      <c r="A2520" s="8" t="s">
        <v>8186</v>
      </c>
      <c r="B2520" s="8" t="s">
        <v>14288</v>
      </c>
      <c r="C2520" s="2">
        <v>46235.416666666664</v>
      </c>
      <c r="D2520" s="8" t="s">
        <v>13931</v>
      </c>
      <c r="E2520" s="8" t="s">
        <v>28</v>
      </c>
      <c r="F2520">
        <v>6</v>
      </c>
      <c r="G2520" s="2">
        <v>46235.75</v>
      </c>
      <c r="H2520" s="2">
        <v>46235.583333333336</v>
      </c>
    </row>
    <row r="2521" spans="1:8" x14ac:dyDescent="0.25">
      <c r="A2521" s="8" t="s">
        <v>8189</v>
      </c>
      <c r="B2521" s="8" t="s">
        <v>14288</v>
      </c>
      <c r="C2521" s="2">
        <v>46235.416666666664</v>
      </c>
      <c r="D2521" s="8" t="s">
        <v>13931</v>
      </c>
      <c r="E2521" s="8" t="s">
        <v>30</v>
      </c>
      <c r="F2521">
        <v>5</v>
      </c>
      <c r="G2521" s="2">
        <v>46235.75</v>
      </c>
      <c r="H2521" s="2">
        <v>46235.583333333336</v>
      </c>
    </row>
    <row r="2522" spans="1:8" x14ac:dyDescent="0.25">
      <c r="A2522" s="8" t="s">
        <v>8192</v>
      </c>
      <c r="B2522" s="8" t="s">
        <v>14288</v>
      </c>
      <c r="C2522" s="2">
        <v>46235.416666666664</v>
      </c>
      <c r="D2522" s="8" t="s">
        <v>13931</v>
      </c>
      <c r="E2522" s="8" t="s">
        <v>36</v>
      </c>
      <c r="F2522">
        <v>4</v>
      </c>
      <c r="G2522" s="2">
        <v>46235.75</v>
      </c>
      <c r="H2522" s="2">
        <v>46235.583333333336</v>
      </c>
    </row>
    <row r="2523" spans="1:8" x14ac:dyDescent="0.25">
      <c r="A2523" s="8" t="s">
        <v>8195</v>
      </c>
      <c r="B2523" s="8" t="s">
        <v>14288</v>
      </c>
      <c r="C2523" s="2">
        <v>46235.416666666664</v>
      </c>
      <c r="D2523" s="8" t="s">
        <v>13931</v>
      </c>
      <c r="E2523" s="8" t="s">
        <v>43</v>
      </c>
      <c r="F2523">
        <v>3</v>
      </c>
      <c r="G2523" s="2">
        <v>46235.75</v>
      </c>
      <c r="H2523" s="2">
        <v>46235.583333333336</v>
      </c>
    </row>
    <row r="2524" spans="1:8" x14ac:dyDescent="0.25">
      <c r="A2524" s="8" t="s">
        <v>8198</v>
      </c>
      <c r="B2524" s="8" t="s">
        <v>14288</v>
      </c>
      <c r="C2524" s="2">
        <v>46235.416666666664</v>
      </c>
      <c r="D2524" s="8" t="s">
        <v>13931</v>
      </c>
      <c r="E2524" s="8" t="s">
        <v>55</v>
      </c>
      <c r="F2524">
        <v>6</v>
      </c>
      <c r="G2524" s="2">
        <v>46235.75</v>
      </c>
      <c r="H2524" s="2">
        <v>46235.583333333336</v>
      </c>
    </row>
    <row r="2525" spans="1:8" x14ac:dyDescent="0.25">
      <c r="A2525" s="8" t="s">
        <v>8201</v>
      </c>
      <c r="B2525" s="8" t="s">
        <v>14288</v>
      </c>
      <c r="C2525" s="2">
        <v>46235.416666666664</v>
      </c>
      <c r="D2525" s="8" t="s">
        <v>13931</v>
      </c>
      <c r="E2525" s="8" t="s">
        <v>57</v>
      </c>
      <c r="F2525">
        <v>3</v>
      </c>
      <c r="G2525" s="2">
        <v>46235.75</v>
      </c>
      <c r="H2525" s="2">
        <v>46235.583333333336</v>
      </c>
    </row>
    <row r="2526" spans="1:8" x14ac:dyDescent="0.25">
      <c r="A2526" s="8" t="s">
        <v>8204</v>
      </c>
      <c r="B2526" s="8" t="s">
        <v>14288</v>
      </c>
      <c r="C2526" s="2">
        <v>46235.416666666664</v>
      </c>
      <c r="D2526" s="8" t="s">
        <v>13931</v>
      </c>
      <c r="E2526" s="8" t="s">
        <v>59</v>
      </c>
      <c r="F2526">
        <v>6</v>
      </c>
      <c r="G2526" s="2">
        <v>46235.75</v>
      </c>
      <c r="H2526" s="2">
        <v>46235.583333333336</v>
      </c>
    </row>
    <row r="2527" spans="1:8" x14ac:dyDescent="0.25">
      <c r="A2527" s="8" t="s">
        <v>8207</v>
      </c>
      <c r="B2527" s="8" t="s">
        <v>14288</v>
      </c>
      <c r="C2527" s="2">
        <v>46235.416666666664</v>
      </c>
      <c r="D2527" s="8" t="s">
        <v>13931</v>
      </c>
      <c r="E2527" s="8" t="s">
        <v>67</v>
      </c>
      <c r="F2527">
        <v>4</v>
      </c>
      <c r="G2527" s="2">
        <v>46235.75</v>
      </c>
      <c r="H2527" s="2">
        <v>46235.583333333336</v>
      </c>
    </row>
    <row r="2528" spans="1:8" x14ac:dyDescent="0.25">
      <c r="A2528" s="8" t="s">
        <v>8210</v>
      </c>
      <c r="B2528" s="8" t="s">
        <v>14288</v>
      </c>
      <c r="C2528" s="2">
        <v>46235.416666666664</v>
      </c>
      <c r="D2528" s="8" t="s">
        <v>13931</v>
      </c>
      <c r="E2528" s="8" t="s">
        <v>77</v>
      </c>
      <c r="F2528">
        <v>4</v>
      </c>
      <c r="G2528" s="2">
        <v>46235.75</v>
      </c>
      <c r="H2528" s="2">
        <v>46235.583333333336</v>
      </c>
    </row>
    <row r="2529" spans="1:8" x14ac:dyDescent="0.25">
      <c r="A2529" s="8" t="s">
        <v>8213</v>
      </c>
      <c r="B2529" s="8" t="s">
        <v>14289</v>
      </c>
      <c r="C2529" s="2">
        <v>46235.416666666664</v>
      </c>
      <c r="D2529" s="8" t="s">
        <v>13933</v>
      </c>
      <c r="E2529" s="8" t="s">
        <v>18</v>
      </c>
      <c r="F2529">
        <v>2</v>
      </c>
      <c r="G2529" s="2">
        <v>46235.75</v>
      </c>
      <c r="H2529" s="2">
        <v>46235.583333333336</v>
      </c>
    </row>
    <row r="2530" spans="1:8" x14ac:dyDescent="0.25">
      <c r="A2530" s="8" t="s">
        <v>8216</v>
      </c>
      <c r="B2530" s="8" t="s">
        <v>14289</v>
      </c>
      <c r="C2530" s="2">
        <v>46235.416666666664</v>
      </c>
      <c r="D2530" s="8" t="s">
        <v>13933</v>
      </c>
      <c r="E2530" s="8" t="s">
        <v>22</v>
      </c>
      <c r="F2530">
        <v>2</v>
      </c>
      <c r="G2530" s="2">
        <v>46235.75</v>
      </c>
      <c r="H2530" s="2">
        <v>46235.583333333336</v>
      </c>
    </row>
    <row r="2531" spans="1:8" x14ac:dyDescent="0.25">
      <c r="A2531" s="8" t="s">
        <v>8219</v>
      </c>
      <c r="B2531" s="8" t="s">
        <v>14289</v>
      </c>
      <c r="C2531" s="2">
        <v>46235.416666666664</v>
      </c>
      <c r="D2531" s="8" t="s">
        <v>13933</v>
      </c>
      <c r="E2531" s="8" t="s">
        <v>24</v>
      </c>
      <c r="F2531">
        <v>2</v>
      </c>
      <c r="G2531" s="2">
        <v>46235.75</v>
      </c>
      <c r="H2531" s="2">
        <v>46235.583333333336</v>
      </c>
    </row>
    <row r="2532" spans="1:8" x14ac:dyDescent="0.25">
      <c r="A2532" s="8" t="s">
        <v>14290</v>
      </c>
      <c r="B2532" s="8" t="s">
        <v>14291</v>
      </c>
      <c r="C2532" s="2">
        <v>46235.416666666664</v>
      </c>
      <c r="D2532" s="8" t="s">
        <v>13935</v>
      </c>
      <c r="E2532" s="8" t="s">
        <v>11</v>
      </c>
      <c r="F2532">
        <v>2</v>
      </c>
      <c r="G2532" s="2">
        <v>46235.75</v>
      </c>
      <c r="H2532" s="2"/>
    </row>
    <row r="2533" spans="1:8" x14ac:dyDescent="0.25">
      <c r="A2533" s="8" t="s">
        <v>8222</v>
      </c>
      <c r="B2533" s="8" t="s">
        <v>14291</v>
      </c>
      <c r="C2533" s="2">
        <v>46235.416666666664</v>
      </c>
      <c r="D2533" s="8" t="s">
        <v>13935</v>
      </c>
      <c r="E2533" s="8" t="s">
        <v>20</v>
      </c>
      <c r="F2533">
        <v>5</v>
      </c>
      <c r="G2533" s="2">
        <v>46235.75</v>
      </c>
      <c r="H2533" s="2">
        <v>46235.583333333336</v>
      </c>
    </row>
    <row r="2534" spans="1:8" x14ac:dyDescent="0.25">
      <c r="A2534" s="8" t="s">
        <v>8225</v>
      </c>
      <c r="B2534" s="8" t="s">
        <v>14291</v>
      </c>
      <c r="C2534" s="2">
        <v>46235.416666666664</v>
      </c>
      <c r="D2534" s="8" t="s">
        <v>13935</v>
      </c>
      <c r="E2534" s="8" t="s">
        <v>22</v>
      </c>
      <c r="F2534">
        <v>5</v>
      </c>
      <c r="G2534" s="2">
        <v>46235.75</v>
      </c>
      <c r="H2534" s="2">
        <v>46235.583333333336</v>
      </c>
    </row>
    <row r="2535" spans="1:8" x14ac:dyDescent="0.25">
      <c r="A2535" s="8" t="s">
        <v>8228</v>
      </c>
      <c r="B2535" s="8" t="s">
        <v>14291</v>
      </c>
      <c r="C2535" s="2">
        <v>46235.416666666664</v>
      </c>
      <c r="D2535" s="8" t="s">
        <v>13935</v>
      </c>
      <c r="E2535" s="8" t="s">
        <v>24</v>
      </c>
      <c r="F2535">
        <v>5</v>
      </c>
      <c r="G2535" s="2">
        <v>46235.75</v>
      </c>
      <c r="H2535" s="2">
        <v>46235.583333333336</v>
      </c>
    </row>
    <row r="2536" spans="1:8" x14ac:dyDescent="0.25">
      <c r="A2536" s="8" t="s">
        <v>8231</v>
      </c>
      <c r="B2536" s="8" t="s">
        <v>14291</v>
      </c>
      <c r="C2536" s="2">
        <v>46235.416666666664</v>
      </c>
      <c r="D2536" s="8" t="s">
        <v>13935</v>
      </c>
      <c r="E2536" s="8" t="s">
        <v>26</v>
      </c>
      <c r="F2536">
        <v>5</v>
      </c>
      <c r="G2536" s="2">
        <v>46235.75</v>
      </c>
      <c r="H2536" s="2">
        <v>46235.583333333336</v>
      </c>
    </row>
    <row r="2537" spans="1:8" x14ac:dyDescent="0.25">
      <c r="A2537" s="8" t="s">
        <v>8234</v>
      </c>
      <c r="B2537" s="8" t="s">
        <v>14291</v>
      </c>
      <c r="C2537" s="2">
        <v>46235.416666666664</v>
      </c>
      <c r="D2537" s="8" t="s">
        <v>13935</v>
      </c>
      <c r="E2537" s="8" t="s">
        <v>51</v>
      </c>
      <c r="F2537">
        <v>5</v>
      </c>
      <c r="G2537" s="2">
        <v>46235.75</v>
      </c>
      <c r="H2537" s="2">
        <v>46235.583333333336</v>
      </c>
    </row>
    <row r="2538" spans="1:8" x14ac:dyDescent="0.25">
      <c r="A2538" s="8" t="s">
        <v>8237</v>
      </c>
      <c r="B2538" s="8" t="s">
        <v>14291</v>
      </c>
      <c r="C2538" s="2">
        <v>46235.416666666664</v>
      </c>
      <c r="D2538" s="8" t="s">
        <v>13935</v>
      </c>
      <c r="E2538" s="8" t="s">
        <v>53</v>
      </c>
      <c r="F2538">
        <v>9</v>
      </c>
      <c r="G2538" s="2">
        <v>46235.75</v>
      </c>
      <c r="H2538" s="2">
        <v>46235.583333333336</v>
      </c>
    </row>
    <row r="2539" spans="1:8" x14ac:dyDescent="0.25">
      <c r="A2539" s="8" t="s">
        <v>8242</v>
      </c>
      <c r="B2539" s="8" t="s">
        <v>14291</v>
      </c>
      <c r="C2539" s="2">
        <v>46235.416666666664</v>
      </c>
      <c r="D2539" s="8" t="s">
        <v>13935</v>
      </c>
      <c r="E2539" s="8" t="s">
        <v>57</v>
      </c>
      <c r="F2539">
        <v>5</v>
      </c>
      <c r="G2539" s="2">
        <v>46235.75</v>
      </c>
      <c r="H2539" s="2">
        <v>46235.583333333336</v>
      </c>
    </row>
    <row r="2540" spans="1:8" x14ac:dyDescent="0.25">
      <c r="A2540" s="8" t="s">
        <v>8245</v>
      </c>
      <c r="B2540" s="8" t="s">
        <v>14291</v>
      </c>
      <c r="C2540" s="2">
        <v>46235.416666666664</v>
      </c>
      <c r="D2540" s="8" t="s">
        <v>13935</v>
      </c>
      <c r="E2540" s="8" t="s">
        <v>67</v>
      </c>
      <c r="F2540">
        <v>4</v>
      </c>
      <c r="G2540" s="2">
        <v>46235.75</v>
      </c>
      <c r="H2540" s="2">
        <v>46235.583333333336</v>
      </c>
    </row>
    <row r="2541" spans="1:8" x14ac:dyDescent="0.25">
      <c r="A2541" s="8" t="s">
        <v>8248</v>
      </c>
      <c r="B2541" s="8" t="s">
        <v>14291</v>
      </c>
      <c r="C2541" s="2">
        <v>46235.416666666664</v>
      </c>
      <c r="D2541" s="8" t="s">
        <v>13935</v>
      </c>
      <c r="E2541" s="8" t="s">
        <v>73</v>
      </c>
      <c r="F2541">
        <v>7</v>
      </c>
      <c r="G2541" s="2">
        <v>46235.75</v>
      </c>
      <c r="H2541" s="2">
        <v>46235.583333333336</v>
      </c>
    </row>
    <row r="2542" spans="1:8" x14ac:dyDescent="0.25">
      <c r="A2542" s="8" t="s">
        <v>8251</v>
      </c>
      <c r="B2542" s="8" t="s">
        <v>14291</v>
      </c>
      <c r="C2542" s="2">
        <v>46235.416666666664</v>
      </c>
      <c r="D2542" s="8" t="s">
        <v>13935</v>
      </c>
      <c r="E2542" s="8" t="s">
        <v>77</v>
      </c>
      <c r="F2542">
        <v>5</v>
      </c>
      <c r="G2542" s="2">
        <v>46235.75</v>
      </c>
      <c r="H2542" s="2">
        <v>46235.583333333336</v>
      </c>
    </row>
    <row r="2543" spans="1:8" x14ac:dyDescent="0.25">
      <c r="A2543" s="8" t="s">
        <v>14292</v>
      </c>
      <c r="B2543" s="8" t="s">
        <v>14293</v>
      </c>
      <c r="C2543" s="2">
        <v>46235.416666666664</v>
      </c>
      <c r="D2543" s="8" t="s">
        <v>13937</v>
      </c>
      <c r="E2543" s="8" t="s">
        <v>11</v>
      </c>
      <c r="F2543">
        <v>5</v>
      </c>
      <c r="G2543" s="2">
        <v>46235.75</v>
      </c>
      <c r="H2543" s="2"/>
    </row>
    <row r="2544" spans="1:8" x14ac:dyDescent="0.25">
      <c r="A2544" s="8" t="s">
        <v>8254</v>
      </c>
      <c r="B2544" s="8" t="s">
        <v>14293</v>
      </c>
      <c r="C2544" s="2">
        <v>46235.416666666664</v>
      </c>
      <c r="D2544" s="8" t="s">
        <v>13937</v>
      </c>
      <c r="E2544" s="8" t="s">
        <v>18</v>
      </c>
      <c r="F2544">
        <v>6</v>
      </c>
      <c r="G2544" s="2">
        <v>46235.75</v>
      </c>
      <c r="H2544" s="2">
        <v>46235.583333333336</v>
      </c>
    </row>
    <row r="2545" spans="1:8" x14ac:dyDescent="0.25">
      <c r="A2545" s="8" t="s">
        <v>8257</v>
      </c>
      <c r="B2545" s="8" t="s">
        <v>14293</v>
      </c>
      <c r="C2545" s="2">
        <v>46235.416666666664</v>
      </c>
      <c r="D2545" s="8" t="s">
        <v>13937</v>
      </c>
      <c r="E2545" s="8" t="s">
        <v>20</v>
      </c>
      <c r="F2545">
        <v>6</v>
      </c>
      <c r="G2545" s="2">
        <v>46235.75</v>
      </c>
      <c r="H2545" s="2">
        <v>46235.583333333336</v>
      </c>
    </row>
    <row r="2546" spans="1:8" x14ac:dyDescent="0.25">
      <c r="A2546" s="8" t="s">
        <v>8260</v>
      </c>
      <c r="B2546" s="8" t="s">
        <v>14293</v>
      </c>
      <c r="C2546" s="2">
        <v>46235.416666666664</v>
      </c>
      <c r="D2546" s="8" t="s">
        <v>13937</v>
      </c>
      <c r="E2546" s="8" t="s">
        <v>22</v>
      </c>
      <c r="F2546">
        <v>5</v>
      </c>
      <c r="G2546" s="2">
        <v>46235.75</v>
      </c>
      <c r="H2546" s="2">
        <v>46235.583333333336</v>
      </c>
    </row>
    <row r="2547" spans="1:8" x14ac:dyDescent="0.25">
      <c r="A2547" s="8" t="s">
        <v>8263</v>
      </c>
      <c r="B2547" s="8" t="s">
        <v>14293</v>
      </c>
      <c r="C2547" s="2">
        <v>46235.416666666664</v>
      </c>
      <c r="D2547" s="8" t="s">
        <v>13937</v>
      </c>
      <c r="E2547" s="8" t="s">
        <v>24</v>
      </c>
      <c r="F2547">
        <v>1</v>
      </c>
      <c r="G2547" s="2">
        <v>46235.75</v>
      </c>
      <c r="H2547" s="2">
        <v>46235.583333333336</v>
      </c>
    </row>
    <row r="2548" spans="1:8" x14ac:dyDescent="0.25">
      <c r="A2548" s="8" t="s">
        <v>8266</v>
      </c>
      <c r="B2548" s="8" t="s">
        <v>14293</v>
      </c>
      <c r="C2548" s="2">
        <v>46235.416666666664</v>
      </c>
      <c r="D2548" s="8" t="s">
        <v>13937</v>
      </c>
      <c r="E2548" s="8" t="s">
        <v>28</v>
      </c>
      <c r="F2548">
        <v>4</v>
      </c>
      <c r="G2548" s="2">
        <v>46235.75</v>
      </c>
      <c r="H2548" s="2">
        <v>46235.583333333336</v>
      </c>
    </row>
    <row r="2549" spans="1:8" x14ac:dyDescent="0.25">
      <c r="A2549" s="8" t="s">
        <v>8271</v>
      </c>
      <c r="B2549" s="8" t="s">
        <v>14293</v>
      </c>
      <c r="C2549" s="2">
        <v>46235.416666666664</v>
      </c>
      <c r="D2549" s="8" t="s">
        <v>13937</v>
      </c>
      <c r="E2549" s="8" t="s">
        <v>30</v>
      </c>
      <c r="F2549">
        <v>2</v>
      </c>
      <c r="G2549" s="2">
        <v>46235.75</v>
      </c>
      <c r="H2549" s="2">
        <v>46235.583333333336</v>
      </c>
    </row>
    <row r="2550" spans="1:8" x14ac:dyDescent="0.25">
      <c r="A2550" s="8" t="s">
        <v>8274</v>
      </c>
      <c r="B2550" s="8" t="s">
        <v>14293</v>
      </c>
      <c r="C2550" s="2">
        <v>46235.416666666664</v>
      </c>
      <c r="D2550" s="8" t="s">
        <v>13937</v>
      </c>
      <c r="E2550" s="8" t="s">
        <v>47</v>
      </c>
      <c r="F2550">
        <v>4</v>
      </c>
      <c r="G2550" s="2">
        <v>46235.75</v>
      </c>
      <c r="H2550" s="2">
        <v>46235.583333333336</v>
      </c>
    </row>
    <row r="2551" spans="1:8" x14ac:dyDescent="0.25">
      <c r="A2551" s="8" t="s">
        <v>8277</v>
      </c>
      <c r="B2551" s="8" t="s">
        <v>14293</v>
      </c>
      <c r="C2551" s="2">
        <v>46235.416666666664</v>
      </c>
      <c r="D2551" s="8" t="s">
        <v>13937</v>
      </c>
      <c r="E2551" s="8" t="s">
        <v>59</v>
      </c>
      <c r="F2551">
        <v>5</v>
      </c>
      <c r="G2551" s="2">
        <v>46235.75</v>
      </c>
      <c r="H2551" s="2">
        <v>46235.583333333336</v>
      </c>
    </row>
    <row r="2552" spans="1:8" x14ac:dyDescent="0.25">
      <c r="A2552" s="8" t="s">
        <v>8280</v>
      </c>
      <c r="B2552" s="8" t="s">
        <v>14293</v>
      </c>
      <c r="C2552" s="2">
        <v>46235.416666666664</v>
      </c>
      <c r="D2552" s="8" t="s">
        <v>13937</v>
      </c>
      <c r="E2552" s="8" t="s">
        <v>65</v>
      </c>
      <c r="F2552">
        <v>4</v>
      </c>
      <c r="G2552" s="2">
        <v>46235.75</v>
      </c>
      <c r="H2552" s="2">
        <v>46235.583333333336</v>
      </c>
    </row>
    <row r="2553" spans="1:8" x14ac:dyDescent="0.25">
      <c r="A2553" s="8" t="s">
        <v>8285</v>
      </c>
      <c r="B2553" s="8" t="s">
        <v>14293</v>
      </c>
      <c r="C2553" s="2">
        <v>46235.416666666664</v>
      </c>
      <c r="D2553" s="8" t="s">
        <v>13937</v>
      </c>
      <c r="E2553" s="8" t="s">
        <v>67</v>
      </c>
      <c r="F2553">
        <v>4</v>
      </c>
      <c r="G2553" s="2">
        <v>46235.75</v>
      </c>
      <c r="H2553" s="2">
        <v>46235.583333333336</v>
      </c>
    </row>
    <row r="2554" spans="1:8" x14ac:dyDescent="0.25">
      <c r="A2554" s="8" t="s">
        <v>8288</v>
      </c>
      <c r="B2554" s="8" t="s">
        <v>14293</v>
      </c>
      <c r="C2554" s="2">
        <v>46235.416666666664</v>
      </c>
      <c r="D2554" s="8" t="s">
        <v>13937</v>
      </c>
      <c r="E2554" s="8" t="s">
        <v>73</v>
      </c>
      <c r="F2554">
        <v>1</v>
      </c>
      <c r="G2554" s="2">
        <v>46235.75</v>
      </c>
      <c r="H2554" s="2">
        <v>46235.583333333336</v>
      </c>
    </row>
    <row r="2555" spans="1:8" x14ac:dyDescent="0.25">
      <c r="A2555" s="8" t="s">
        <v>14294</v>
      </c>
      <c r="B2555" s="8" t="s">
        <v>14295</v>
      </c>
      <c r="C2555" s="2">
        <v>46236.416666666664</v>
      </c>
      <c r="D2555" s="8" t="s">
        <v>13929</v>
      </c>
      <c r="E2555" s="8" t="s">
        <v>11</v>
      </c>
      <c r="F2555">
        <v>2</v>
      </c>
      <c r="G2555" s="2">
        <v>46236.75</v>
      </c>
      <c r="H2555" s="2"/>
    </row>
    <row r="2556" spans="1:8" x14ac:dyDescent="0.25">
      <c r="A2556" s="8" t="s">
        <v>8291</v>
      </c>
      <c r="B2556" s="8" t="s">
        <v>14295</v>
      </c>
      <c r="C2556" s="2">
        <v>46236.416666666664</v>
      </c>
      <c r="D2556" s="8" t="s">
        <v>13929</v>
      </c>
      <c r="E2556" s="8" t="s">
        <v>18</v>
      </c>
      <c r="F2556">
        <v>1</v>
      </c>
      <c r="G2556" s="2">
        <v>46236.75</v>
      </c>
      <c r="H2556" s="2">
        <v>46236.583333333336</v>
      </c>
    </row>
    <row r="2557" spans="1:8" x14ac:dyDescent="0.25">
      <c r="A2557" s="8" t="s">
        <v>8294</v>
      </c>
      <c r="B2557" s="8" t="s">
        <v>14295</v>
      </c>
      <c r="C2557" s="2">
        <v>46236.416666666664</v>
      </c>
      <c r="D2557" s="8" t="s">
        <v>13929</v>
      </c>
      <c r="E2557" s="8" t="s">
        <v>24</v>
      </c>
      <c r="F2557">
        <v>1</v>
      </c>
      <c r="G2557" s="2">
        <v>46236.75</v>
      </c>
      <c r="H2557" s="2">
        <v>46236.583333333336</v>
      </c>
    </row>
    <row r="2558" spans="1:8" x14ac:dyDescent="0.25">
      <c r="A2558" s="8" t="s">
        <v>8297</v>
      </c>
      <c r="B2558" s="8" t="s">
        <v>14295</v>
      </c>
      <c r="C2558" s="2">
        <v>46236.416666666664</v>
      </c>
      <c r="D2558" s="8" t="s">
        <v>13929</v>
      </c>
      <c r="E2558" s="8" t="s">
        <v>32</v>
      </c>
      <c r="F2558">
        <v>2</v>
      </c>
      <c r="G2558" s="2">
        <v>46236.75</v>
      </c>
      <c r="H2558" s="2">
        <v>46236.583333333336</v>
      </c>
    </row>
    <row r="2559" spans="1:8" x14ac:dyDescent="0.25">
      <c r="A2559" s="8" t="s">
        <v>8300</v>
      </c>
      <c r="B2559" s="8" t="s">
        <v>14295</v>
      </c>
      <c r="C2559" s="2">
        <v>46236.416666666664</v>
      </c>
      <c r="D2559" s="8" t="s">
        <v>13929</v>
      </c>
      <c r="E2559" s="8" t="s">
        <v>43</v>
      </c>
      <c r="F2559">
        <v>4</v>
      </c>
      <c r="G2559" s="2">
        <v>46236.75</v>
      </c>
      <c r="H2559" s="2">
        <v>46236.583333333336</v>
      </c>
    </row>
    <row r="2560" spans="1:8" x14ac:dyDescent="0.25">
      <c r="A2560" s="8" t="s">
        <v>8303</v>
      </c>
      <c r="B2560" s="8" t="s">
        <v>14295</v>
      </c>
      <c r="C2560" s="2">
        <v>46236.416666666664</v>
      </c>
      <c r="D2560" s="8" t="s">
        <v>13929</v>
      </c>
      <c r="E2560" s="8" t="s">
        <v>45</v>
      </c>
      <c r="F2560">
        <v>2</v>
      </c>
      <c r="G2560" s="2">
        <v>46236.75</v>
      </c>
      <c r="H2560" s="2">
        <v>46236.583333333336</v>
      </c>
    </row>
    <row r="2561" spans="1:8" x14ac:dyDescent="0.25">
      <c r="A2561" s="8" t="s">
        <v>8306</v>
      </c>
      <c r="B2561" s="8" t="s">
        <v>14295</v>
      </c>
      <c r="C2561" s="2">
        <v>46236.416666666664</v>
      </c>
      <c r="D2561" s="8" t="s">
        <v>13929</v>
      </c>
      <c r="E2561" s="8" t="s">
        <v>47</v>
      </c>
      <c r="F2561">
        <v>4</v>
      </c>
      <c r="G2561" s="2">
        <v>46236.75</v>
      </c>
      <c r="H2561" s="2">
        <v>46236.583333333336</v>
      </c>
    </row>
    <row r="2562" spans="1:8" x14ac:dyDescent="0.25">
      <c r="A2562" s="8" t="s">
        <v>8309</v>
      </c>
      <c r="B2562" s="8" t="s">
        <v>14295</v>
      </c>
      <c r="C2562" s="2">
        <v>46236.416666666664</v>
      </c>
      <c r="D2562" s="8" t="s">
        <v>13929</v>
      </c>
      <c r="E2562" s="8" t="s">
        <v>55</v>
      </c>
      <c r="F2562">
        <v>2</v>
      </c>
      <c r="G2562" s="2">
        <v>46236.75</v>
      </c>
      <c r="H2562" s="2">
        <v>46236.583333333336</v>
      </c>
    </row>
    <row r="2563" spans="1:8" x14ac:dyDescent="0.25">
      <c r="A2563" s="8" t="s">
        <v>8312</v>
      </c>
      <c r="B2563" s="8" t="s">
        <v>14295</v>
      </c>
      <c r="C2563" s="2">
        <v>46236.416666666664</v>
      </c>
      <c r="D2563" s="8" t="s">
        <v>13929</v>
      </c>
      <c r="E2563" s="8" t="s">
        <v>57</v>
      </c>
      <c r="F2563">
        <v>1</v>
      </c>
      <c r="G2563" s="2">
        <v>46236.75</v>
      </c>
      <c r="H2563" s="2">
        <v>46236.583333333336</v>
      </c>
    </row>
    <row r="2564" spans="1:8" x14ac:dyDescent="0.25">
      <c r="A2564" s="8" t="s">
        <v>8315</v>
      </c>
      <c r="B2564" s="8" t="s">
        <v>14295</v>
      </c>
      <c r="C2564" s="2">
        <v>46236.416666666664</v>
      </c>
      <c r="D2564" s="8" t="s">
        <v>13929</v>
      </c>
      <c r="E2564" s="8" t="s">
        <v>59</v>
      </c>
      <c r="F2564">
        <v>5</v>
      </c>
      <c r="G2564" s="2">
        <v>46236.75</v>
      </c>
      <c r="H2564" s="2">
        <v>46236.583333333336</v>
      </c>
    </row>
    <row r="2565" spans="1:8" x14ac:dyDescent="0.25">
      <c r="A2565" s="8" t="s">
        <v>8318</v>
      </c>
      <c r="B2565" s="8" t="s">
        <v>14295</v>
      </c>
      <c r="C2565" s="2">
        <v>46236.416666666664</v>
      </c>
      <c r="D2565" s="8" t="s">
        <v>13929</v>
      </c>
      <c r="E2565" s="8" t="s">
        <v>69</v>
      </c>
      <c r="F2565">
        <v>4</v>
      </c>
      <c r="G2565" s="2">
        <v>46236.75</v>
      </c>
      <c r="H2565" s="2">
        <v>46236.583333333336</v>
      </c>
    </row>
    <row r="2566" spans="1:8" x14ac:dyDescent="0.25">
      <c r="A2566" s="8" t="s">
        <v>8321</v>
      </c>
      <c r="B2566" s="8" t="s">
        <v>14295</v>
      </c>
      <c r="C2566" s="2">
        <v>46236.416666666664</v>
      </c>
      <c r="D2566" s="8" t="s">
        <v>13929</v>
      </c>
      <c r="E2566" s="8" t="s">
        <v>73</v>
      </c>
      <c r="F2566">
        <v>3</v>
      </c>
      <c r="G2566" s="2">
        <v>46236.75</v>
      </c>
      <c r="H2566" s="2">
        <v>46236.583333333336</v>
      </c>
    </row>
    <row r="2567" spans="1:8" x14ac:dyDescent="0.25">
      <c r="A2567" s="8" t="s">
        <v>8324</v>
      </c>
      <c r="B2567" s="8" t="s">
        <v>14296</v>
      </c>
      <c r="C2567" s="2">
        <v>46236.416666666664</v>
      </c>
      <c r="D2567" s="8" t="s">
        <v>13931</v>
      </c>
      <c r="E2567" s="8" t="s">
        <v>18</v>
      </c>
      <c r="F2567">
        <v>5</v>
      </c>
      <c r="G2567" s="2">
        <v>46236.75</v>
      </c>
      <c r="H2567" s="2">
        <v>46236.583333333336</v>
      </c>
    </row>
    <row r="2568" spans="1:8" x14ac:dyDescent="0.25">
      <c r="A2568" s="8" t="s">
        <v>8327</v>
      </c>
      <c r="B2568" s="8" t="s">
        <v>14296</v>
      </c>
      <c r="C2568" s="2">
        <v>46236.416666666664</v>
      </c>
      <c r="D2568" s="8" t="s">
        <v>13931</v>
      </c>
      <c r="E2568" s="8" t="s">
        <v>22</v>
      </c>
      <c r="F2568">
        <v>4</v>
      </c>
      <c r="G2568" s="2">
        <v>46236.75</v>
      </c>
      <c r="H2568" s="2">
        <v>46236.583333333336</v>
      </c>
    </row>
    <row r="2569" spans="1:8" x14ac:dyDescent="0.25">
      <c r="A2569" s="8" t="s">
        <v>8330</v>
      </c>
      <c r="B2569" s="8" t="s">
        <v>14296</v>
      </c>
      <c r="C2569" s="2">
        <v>46236.416666666664</v>
      </c>
      <c r="D2569" s="8" t="s">
        <v>13931</v>
      </c>
      <c r="E2569" s="8" t="s">
        <v>24</v>
      </c>
      <c r="F2569">
        <v>6</v>
      </c>
      <c r="G2569" s="2">
        <v>46236.75</v>
      </c>
      <c r="H2569" s="2">
        <v>46236.583333333336</v>
      </c>
    </row>
    <row r="2570" spans="1:8" x14ac:dyDescent="0.25">
      <c r="A2570" s="8" t="s">
        <v>8333</v>
      </c>
      <c r="B2570" s="8" t="s">
        <v>14296</v>
      </c>
      <c r="C2570" s="2">
        <v>46236.416666666664</v>
      </c>
      <c r="D2570" s="8" t="s">
        <v>13931</v>
      </c>
      <c r="E2570" s="8" t="s">
        <v>26</v>
      </c>
      <c r="F2570">
        <v>6</v>
      </c>
      <c r="G2570" s="2">
        <v>46236.75</v>
      </c>
      <c r="H2570" s="2">
        <v>46236.583333333336</v>
      </c>
    </row>
    <row r="2571" spans="1:8" x14ac:dyDescent="0.25">
      <c r="A2571" s="8" t="s">
        <v>8336</v>
      </c>
      <c r="B2571" s="8" t="s">
        <v>14296</v>
      </c>
      <c r="C2571" s="2">
        <v>46236.416666666664</v>
      </c>
      <c r="D2571" s="8" t="s">
        <v>13931</v>
      </c>
      <c r="E2571" s="8" t="s">
        <v>30</v>
      </c>
      <c r="F2571">
        <v>1</v>
      </c>
      <c r="G2571" s="2">
        <v>46236.75</v>
      </c>
      <c r="H2571" s="2">
        <v>46236.583333333336</v>
      </c>
    </row>
    <row r="2572" spans="1:8" x14ac:dyDescent="0.25">
      <c r="A2572" s="8" t="s">
        <v>8339</v>
      </c>
      <c r="B2572" s="8" t="s">
        <v>14296</v>
      </c>
      <c r="C2572" s="2">
        <v>46236.416666666664</v>
      </c>
      <c r="D2572" s="8" t="s">
        <v>13931</v>
      </c>
      <c r="E2572" s="8" t="s">
        <v>36</v>
      </c>
      <c r="F2572">
        <v>3</v>
      </c>
      <c r="G2572" s="2">
        <v>46236.75</v>
      </c>
      <c r="H2572" s="2">
        <v>46236.583333333336</v>
      </c>
    </row>
    <row r="2573" spans="1:8" x14ac:dyDescent="0.25">
      <c r="A2573" s="8" t="s">
        <v>8342</v>
      </c>
      <c r="B2573" s="8" t="s">
        <v>14296</v>
      </c>
      <c r="C2573" s="2">
        <v>46236.416666666664</v>
      </c>
      <c r="D2573" s="8" t="s">
        <v>13931</v>
      </c>
      <c r="E2573" s="8" t="s">
        <v>43</v>
      </c>
      <c r="F2573">
        <v>5</v>
      </c>
      <c r="G2573" s="2">
        <v>46236.75</v>
      </c>
      <c r="H2573" s="2">
        <v>46236.583333333336</v>
      </c>
    </row>
    <row r="2574" spans="1:8" x14ac:dyDescent="0.25">
      <c r="A2574" s="8" t="s">
        <v>8345</v>
      </c>
      <c r="B2574" s="8" t="s">
        <v>14296</v>
      </c>
      <c r="C2574" s="2">
        <v>46236.416666666664</v>
      </c>
      <c r="D2574" s="8" t="s">
        <v>13931</v>
      </c>
      <c r="E2574" s="8" t="s">
        <v>49</v>
      </c>
      <c r="F2574">
        <v>4</v>
      </c>
      <c r="G2574" s="2">
        <v>46236.75</v>
      </c>
      <c r="H2574" s="2">
        <v>46236.583333333336</v>
      </c>
    </row>
    <row r="2575" spans="1:8" x14ac:dyDescent="0.25">
      <c r="A2575" s="8" t="s">
        <v>8348</v>
      </c>
      <c r="B2575" s="8" t="s">
        <v>14296</v>
      </c>
      <c r="C2575" s="2">
        <v>46236.416666666664</v>
      </c>
      <c r="D2575" s="8" t="s">
        <v>13931</v>
      </c>
      <c r="E2575" s="8" t="s">
        <v>67</v>
      </c>
      <c r="F2575">
        <v>4</v>
      </c>
      <c r="G2575" s="2">
        <v>46236.75</v>
      </c>
      <c r="H2575" s="2">
        <v>46236.583333333336</v>
      </c>
    </row>
    <row r="2576" spans="1:8" x14ac:dyDescent="0.25">
      <c r="A2576" s="8" t="s">
        <v>8351</v>
      </c>
      <c r="B2576" s="8" t="s">
        <v>14296</v>
      </c>
      <c r="C2576" s="2">
        <v>46236.416666666664</v>
      </c>
      <c r="D2576" s="8" t="s">
        <v>13931</v>
      </c>
      <c r="E2576" s="8" t="s">
        <v>69</v>
      </c>
      <c r="F2576">
        <v>3</v>
      </c>
      <c r="G2576" s="2">
        <v>46236.75</v>
      </c>
      <c r="H2576" s="2">
        <v>46236.583333333336</v>
      </c>
    </row>
    <row r="2577" spans="1:8" x14ac:dyDescent="0.25">
      <c r="A2577" s="8" t="s">
        <v>8354</v>
      </c>
      <c r="B2577" s="8" t="s">
        <v>14296</v>
      </c>
      <c r="C2577" s="2">
        <v>46236.416666666664</v>
      </c>
      <c r="D2577" s="8" t="s">
        <v>13931</v>
      </c>
      <c r="E2577" s="8" t="s">
        <v>77</v>
      </c>
      <c r="F2577">
        <v>6</v>
      </c>
      <c r="G2577" s="2">
        <v>46236.75</v>
      </c>
      <c r="H2577" s="2">
        <v>46236.583333333336</v>
      </c>
    </row>
    <row r="2578" spans="1:8" x14ac:dyDescent="0.25">
      <c r="A2578" s="8" t="s">
        <v>8357</v>
      </c>
      <c r="B2578" s="8" t="s">
        <v>14297</v>
      </c>
      <c r="C2578" s="2">
        <v>46236.416666666664</v>
      </c>
      <c r="D2578" s="8" t="s">
        <v>13933</v>
      </c>
      <c r="E2578" s="8" t="s">
        <v>20</v>
      </c>
      <c r="F2578">
        <v>3</v>
      </c>
      <c r="G2578" s="2">
        <v>46236.75</v>
      </c>
      <c r="H2578" s="2">
        <v>46236.583333333336</v>
      </c>
    </row>
    <row r="2579" spans="1:8" x14ac:dyDescent="0.25">
      <c r="A2579" s="8" t="s">
        <v>8360</v>
      </c>
      <c r="B2579" s="8" t="s">
        <v>14297</v>
      </c>
      <c r="C2579" s="2">
        <v>46236.416666666664</v>
      </c>
      <c r="D2579" s="8" t="s">
        <v>13933</v>
      </c>
      <c r="E2579" s="8" t="s">
        <v>22</v>
      </c>
      <c r="F2579">
        <v>3</v>
      </c>
      <c r="G2579" s="2">
        <v>46236.75</v>
      </c>
      <c r="H2579" s="2">
        <v>46236.583333333336</v>
      </c>
    </row>
    <row r="2580" spans="1:8" x14ac:dyDescent="0.25">
      <c r="A2580" s="8" t="s">
        <v>8363</v>
      </c>
      <c r="B2580" s="8" t="s">
        <v>14297</v>
      </c>
      <c r="C2580" s="2">
        <v>46236.416666666664</v>
      </c>
      <c r="D2580" s="8" t="s">
        <v>13933</v>
      </c>
      <c r="E2580" s="8" t="s">
        <v>26</v>
      </c>
      <c r="F2580">
        <v>8</v>
      </c>
      <c r="G2580" s="2">
        <v>46236.75</v>
      </c>
      <c r="H2580" s="2">
        <v>46236.583333333336</v>
      </c>
    </row>
    <row r="2581" spans="1:8" x14ac:dyDescent="0.25">
      <c r="A2581" s="8" t="s">
        <v>8366</v>
      </c>
      <c r="B2581" s="8" t="s">
        <v>14297</v>
      </c>
      <c r="C2581" s="2">
        <v>46236.416666666664</v>
      </c>
      <c r="D2581" s="8" t="s">
        <v>13933</v>
      </c>
      <c r="E2581" s="8" t="s">
        <v>45</v>
      </c>
      <c r="F2581">
        <v>3</v>
      </c>
      <c r="G2581" s="2">
        <v>46236.75</v>
      </c>
      <c r="H2581" s="2">
        <v>46236.583333333336</v>
      </c>
    </row>
    <row r="2582" spans="1:8" x14ac:dyDescent="0.25">
      <c r="A2582" s="8" t="s">
        <v>8369</v>
      </c>
      <c r="B2582" s="8" t="s">
        <v>14297</v>
      </c>
      <c r="C2582" s="2">
        <v>46236.416666666664</v>
      </c>
      <c r="D2582" s="8" t="s">
        <v>13933</v>
      </c>
      <c r="E2582" s="8" t="s">
        <v>47</v>
      </c>
      <c r="F2582">
        <v>6</v>
      </c>
      <c r="G2582" s="2">
        <v>46236.75</v>
      </c>
      <c r="H2582" s="2">
        <v>46236.583333333336</v>
      </c>
    </row>
    <row r="2583" spans="1:8" x14ac:dyDescent="0.25">
      <c r="A2583" s="8" t="s">
        <v>8372</v>
      </c>
      <c r="B2583" s="8" t="s">
        <v>14297</v>
      </c>
      <c r="C2583" s="2">
        <v>46236.416666666664</v>
      </c>
      <c r="D2583" s="8" t="s">
        <v>13933</v>
      </c>
      <c r="E2583" s="8" t="s">
        <v>51</v>
      </c>
      <c r="F2583">
        <v>5</v>
      </c>
      <c r="G2583" s="2">
        <v>46236.75</v>
      </c>
      <c r="H2583" s="2">
        <v>46236.583333333336</v>
      </c>
    </row>
    <row r="2584" spans="1:8" x14ac:dyDescent="0.25">
      <c r="A2584" s="8" t="s">
        <v>8375</v>
      </c>
      <c r="B2584" s="8" t="s">
        <v>14297</v>
      </c>
      <c r="C2584" s="2">
        <v>46236.416666666664</v>
      </c>
      <c r="D2584" s="8" t="s">
        <v>13933</v>
      </c>
      <c r="E2584" s="8" t="s">
        <v>55</v>
      </c>
      <c r="F2584">
        <v>2</v>
      </c>
      <c r="G2584" s="2">
        <v>46236.75</v>
      </c>
      <c r="H2584" s="2">
        <v>46236.583333333336</v>
      </c>
    </row>
    <row r="2585" spans="1:8" x14ac:dyDescent="0.25">
      <c r="A2585" s="8" t="s">
        <v>8378</v>
      </c>
      <c r="B2585" s="8" t="s">
        <v>14297</v>
      </c>
      <c r="C2585" s="2">
        <v>46236.416666666664</v>
      </c>
      <c r="D2585" s="8" t="s">
        <v>13933</v>
      </c>
      <c r="E2585" s="8" t="s">
        <v>69</v>
      </c>
      <c r="F2585">
        <v>5</v>
      </c>
      <c r="G2585" s="2">
        <v>46236.75</v>
      </c>
      <c r="H2585" s="2">
        <v>46236.583333333336</v>
      </c>
    </row>
    <row r="2586" spans="1:8" x14ac:dyDescent="0.25">
      <c r="A2586" s="8" t="s">
        <v>14298</v>
      </c>
      <c r="B2586" s="8" t="s">
        <v>14299</v>
      </c>
      <c r="C2586" s="2">
        <v>46236.416666666664</v>
      </c>
      <c r="D2586" s="8" t="s">
        <v>13935</v>
      </c>
      <c r="E2586" s="8" t="s">
        <v>11</v>
      </c>
      <c r="F2586">
        <v>7</v>
      </c>
      <c r="G2586" s="2">
        <v>46236.75</v>
      </c>
      <c r="H2586" s="2"/>
    </row>
    <row r="2587" spans="1:8" x14ac:dyDescent="0.25">
      <c r="A2587" s="8" t="s">
        <v>8381</v>
      </c>
      <c r="B2587" s="8" t="s">
        <v>14299</v>
      </c>
      <c r="C2587" s="2">
        <v>46236.416666666664</v>
      </c>
      <c r="D2587" s="8" t="s">
        <v>13935</v>
      </c>
      <c r="E2587" s="8" t="s">
        <v>18</v>
      </c>
      <c r="F2587">
        <v>4</v>
      </c>
      <c r="G2587" s="2">
        <v>46236.75</v>
      </c>
      <c r="H2587" s="2">
        <v>46236.583333333336</v>
      </c>
    </row>
    <row r="2588" spans="1:8" x14ac:dyDescent="0.25">
      <c r="A2588" s="8" t="s">
        <v>8384</v>
      </c>
      <c r="B2588" s="8" t="s">
        <v>14299</v>
      </c>
      <c r="C2588" s="2">
        <v>46236.416666666664</v>
      </c>
      <c r="D2588" s="8" t="s">
        <v>13935</v>
      </c>
      <c r="E2588" s="8" t="s">
        <v>22</v>
      </c>
      <c r="F2588">
        <v>9</v>
      </c>
      <c r="G2588" s="2">
        <v>46236.75</v>
      </c>
      <c r="H2588" s="2">
        <v>46236.583333333336</v>
      </c>
    </row>
    <row r="2589" spans="1:8" x14ac:dyDescent="0.25">
      <c r="A2589" s="8" t="s">
        <v>8387</v>
      </c>
      <c r="B2589" s="8" t="s">
        <v>14299</v>
      </c>
      <c r="C2589" s="2">
        <v>46236.416666666664</v>
      </c>
      <c r="D2589" s="8" t="s">
        <v>13935</v>
      </c>
      <c r="E2589" s="8" t="s">
        <v>24</v>
      </c>
      <c r="F2589">
        <v>2</v>
      </c>
      <c r="G2589" s="2">
        <v>46236.75</v>
      </c>
      <c r="H2589" s="2">
        <v>46236.583333333336</v>
      </c>
    </row>
    <row r="2590" spans="1:8" x14ac:dyDescent="0.25">
      <c r="A2590" s="8" t="s">
        <v>8390</v>
      </c>
      <c r="B2590" s="8" t="s">
        <v>14299</v>
      </c>
      <c r="C2590" s="2">
        <v>46236.416666666664</v>
      </c>
      <c r="D2590" s="8" t="s">
        <v>13935</v>
      </c>
      <c r="E2590" s="8" t="s">
        <v>36</v>
      </c>
      <c r="F2590">
        <v>4</v>
      </c>
      <c r="G2590" s="2">
        <v>46236.75</v>
      </c>
      <c r="H2590" s="2">
        <v>46236.583333333336</v>
      </c>
    </row>
    <row r="2591" spans="1:8" x14ac:dyDescent="0.25">
      <c r="A2591" s="8" t="s">
        <v>8393</v>
      </c>
      <c r="B2591" s="8" t="s">
        <v>14299</v>
      </c>
      <c r="C2591" s="2">
        <v>46236.416666666664</v>
      </c>
      <c r="D2591" s="8" t="s">
        <v>13935</v>
      </c>
      <c r="E2591" s="8" t="s">
        <v>43</v>
      </c>
      <c r="F2591">
        <v>5</v>
      </c>
      <c r="G2591" s="2">
        <v>46236.75</v>
      </c>
      <c r="H2591" s="2">
        <v>46236.583333333336</v>
      </c>
    </row>
    <row r="2592" spans="1:8" x14ac:dyDescent="0.25">
      <c r="A2592" s="8" t="s">
        <v>8398</v>
      </c>
      <c r="B2592" s="8" t="s">
        <v>14299</v>
      </c>
      <c r="C2592" s="2">
        <v>46236.416666666664</v>
      </c>
      <c r="D2592" s="8" t="s">
        <v>13935</v>
      </c>
      <c r="E2592" s="8" t="s">
        <v>47</v>
      </c>
      <c r="F2592">
        <v>4</v>
      </c>
      <c r="G2592" s="2">
        <v>46236.75</v>
      </c>
      <c r="H2592" s="2">
        <v>46236.583333333336</v>
      </c>
    </row>
    <row r="2593" spans="1:8" x14ac:dyDescent="0.25">
      <c r="A2593" s="8" t="s">
        <v>8401</v>
      </c>
      <c r="B2593" s="8" t="s">
        <v>14299</v>
      </c>
      <c r="C2593" s="2">
        <v>46236.416666666664</v>
      </c>
      <c r="D2593" s="8" t="s">
        <v>13935</v>
      </c>
      <c r="E2593" s="8" t="s">
        <v>49</v>
      </c>
      <c r="F2593">
        <v>5</v>
      </c>
      <c r="G2593" s="2">
        <v>46236.75</v>
      </c>
      <c r="H2593" s="2">
        <v>46236.583333333336</v>
      </c>
    </row>
    <row r="2594" spans="1:8" x14ac:dyDescent="0.25">
      <c r="A2594" s="8" t="s">
        <v>8404</v>
      </c>
      <c r="B2594" s="8" t="s">
        <v>14299</v>
      </c>
      <c r="C2594" s="2">
        <v>46236.416666666664</v>
      </c>
      <c r="D2594" s="8" t="s">
        <v>13935</v>
      </c>
      <c r="E2594" s="8" t="s">
        <v>51</v>
      </c>
      <c r="F2594">
        <v>4</v>
      </c>
      <c r="G2594" s="2">
        <v>46236.75</v>
      </c>
      <c r="H2594" s="2">
        <v>46236.583333333336</v>
      </c>
    </row>
    <row r="2595" spans="1:8" x14ac:dyDescent="0.25">
      <c r="A2595" s="8" t="s">
        <v>8407</v>
      </c>
      <c r="B2595" s="8" t="s">
        <v>14299</v>
      </c>
      <c r="C2595" s="2">
        <v>46236.416666666664</v>
      </c>
      <c r="D2595" s="8" t="s">
        <v>13935</v>
      </c>
      <c r="E2595" s="8" t="s">
        <v>57</v>
      </c>
      <c r="F2595">
        <v>4</v>
      </c>
      <c r="G2595" s="2">
        <v>46236.75</v>
      </c>
      <c r="H2595" s="2">
        <v>46236.583333333336</v>
      </c>
    </row>
    <row r="2596" spans="1:8" x14ac:dyDescent="0.25">
      <c r="A2596" s="8" t="s">
        <v>14300</v>
      </c>
      <c r="B2596" s="8" t="s">
        <v>14301</v>
      </c>
      <c r="C2596" s="2">
        <v>46236.416666666664</v>
      </c>
      <c r="D2596" s="8" t="s">
        <v>13937</v>
      </c>
      <c r="E2596" s="8" t="s">
        <v>11</v>
      </c>
      <c r="F2596">
        <v>4</v>
      </c>
      <c r="G2596" s="2">
        <v>46236.75</v>
      </c>
      <c r="H2596" s="2"/>
    </row>
    <row r="2597" spans="1:8" x14ac:dyDescent="0.25">
      <c r="A2597" s="8" t="s">
        <v>8410</v>
      </c>
      <c r="B2597" s="8" t="s">
        <v>14301</v>
      </c>
      <c r="C2597" s="2">
        <v>46236.416666666664</v>
      </c>
      <c r="D2597" s="8" t="s">
        <v>13937</v>
      </c>
      <c r="E2597" s="8" t="s">
        <v>22</v>
      </c>
      <c r="F2597">
        <v>1</v>
      </c>
      <c r="G2597" s="2">
        <v>46236.75</v>
      </c>
      <c r="H2597" s="2">
        <v>46236.583333333336</v>
      </c>
    </row>
    <row r="2598" spans="1:8" x14ac:dyDescent="0.25">
      <c r="A2598" s="8" t="s">
        <v>8413</v>
      </c>
      <c r="B2598" s="8" t="s">
        <v>14301</v>
      </c>
      <c r="C2598" s="2">
        <v>46236.416666666664</v>
      </c>
      <c r="D2598" s="8" t="s">
        <v>13937</v>
      </c>
      <c r="E2598" s="8" t="s">
        <v>24</v>
      </c>
      <c r="F2598">
        <v>5</v>
      </c>
      <c r="G2598" s="2">
        <v>46236.75</v>
      </c>
      <c r="H2598" s="2">
        <v>46236.583333333336</v>
      </c>
    </row>
    <row r="2599" spans="1:8" x14ac:dyDescent="0.25">
      <c r="A2599" s="8" t="s">
        <v>8416</v>
      </c>
      <c r="B2599" s="8" t="s">
        <v>14301</v>
      </c>
      <c r="C2599" s="2">
        <v>46236.416666666664</v>
      </c>
      <c r="D2599" s="8" t="s">
        <v>13937</v>
      </c>
      <c r="E2599" s="8" t="s">
        <v>26</v>
      </c>
      <c r="F2599">
        <v>1</v>
      </c>
      <c r="G2599" s="2">
        <v>46236.75</v>
      </c>
      <c r="H2599" s="2">
        <v>46236.583333333336</v>
      </c>
    </row>
    <row r="2600" spans="1:8" x14ac:dyDescent="0.25">
      <c r="A2600" s="8" t="s">
        <v>8419</v>
      </c>
      <c r="B2600" s="8" t="s">
        <v>14301</v>
      </c>
      <c r="C2600" s="2">
        <v>46236.416666666664</v>
      </c>
      <c r="D2600" s="8" t="s">
        <v>13937</v>
      </c>
      <c r="E2600" s="8" t="s">
        <v>32</v>
      </c>
      <c r="F2600">
        <v>6</v>
      </c>
      <c r="G2600" s="2">
        <v>46236.75</v>
      </c>
      <c r="H2600" s="2">
        <v>46236.583333333336</v>
      </c>
    </row>
    <row r="2601" spans="1:8" x14ac:dyDescent="0.25">
      <c r="A2601" s="8" t="s">
        <v>8422</v>
      </c>
      <c r="B2601" s="8" t="s">
        <v>14301</v>
      </c>
      <c r="C2601" s="2">
        <v>46236.416666666664</v>
      </c>
      <c r="D2601" s="8" t="s">
        <v>13937</v>
      </c>
      <c r="E2601" s="8" t="s">
        <v>47</v>
      </c>
      <c r="F2601">
        <v>4</v>
      </c>
      <c r="G2601" s="2">
        <v>46236.75</v>
      </c>
      <c r="H2601" s="2">
        <v>46236.583333333336</v>
      </c>
    </row>
    <row r="2602" spans="1:8" x14ac:dyDescent="0.25">
      <c r="A2602" s="8" t="s">
        <v>8425</v>
      </c>
      <c r="B2602" s="8" t="s">
        <v>14301</v>
      </c>
      <c r="C2602" s="2">
        <v>46236.416666666664</v>
      </c>
      <c r="D2602" s="8" t="s">
        <v>13937</v>
      </c>
      <c r="E2602" s="8" t="s">
        <v>55</v>
      </c>
      <c r="F2602">
        <v>5</v>
      </c>
      <c r="G2602" s="2">
        <v>46236.75</v>
      </c>
      <c r="H2602" s="2">
        <v>46236.583333333336</v>
      </c>
    </row>
    <row r="2603" spans="1:8" x14ac:dyDescent="0.25">
      <c r="A2603" s="8" t="s">
        <v>8428</v>
      </c>
      <c r="B2603" s="8" t="s">
        <v>14302</v>
      </c>
      <c r="C2603" s="2">
        <v>46237.416666666664</v>
      </c>
      <c r="D2603" s="8" t="s">
        <v>13929</v>
      </c>
      <c r="E2603" s="8" t="s">
        <v>22</v>
      </c>
      <c r="F2603">
        <v>3</v>
      </c>
      <c r="G2603" s="2">
        <v>46237.75</v>
      </c>
      <c r="H2603" s="2">
        <v>46237.583333333336</v>
      </c>
    </row>
    <row r="2604" spans="1:8" x14ac:dyDescent="0.25">
      <c r="A2604" s="8" t="s">
        <v>8431</v>
      </c>
      <c r="B2604" s="8" t="s">
        <v>14302</v>
      </c>
      <c r="C2604" s="2">
        <v>46237.416666666664</v>
      </c>
      <c r="D2604" s="8" t="s">
        <v>13929</v>
      </c>
      <c r="E2604" s="8" t="s">
        <v>24</v>
      </c>
      <c r="F2604">
        <v>4</v>
      </c>
      <c r="G2604" s="2">
        <v>46237.75</v>
      </c>
      <c r="H2604" s="2">
        <v>46237.583333333336</v>
      </c>
    </row>
    <row r="2605" spans="1:8" x14ac:dyDescent="0.25">
      <c r="A2605" s="8" t="s">
        <v>8434</v>
      </c>
      <c r="B2605" s="8" t="s">
        <v>14302</v>
      </c>
      <c r="C2605" s="2">
        <v>46237.416666666664</v>
      </c>
      <c r="D2605" s="8" t="s">
        <v>13929</v>
      </c>
      <c r="E2605" s="8" t="s">
        <v>26</v>
      </c>
      <c r="F2605">
        <v>2</v>
      </c>
      <c r="G2605" s="2">
        <v>46237.75</v>
      </c>
      <c r="H2605" s="2">
        <v>46237.583333333336</v>
      </c>
    </row>
    <row r="2606" spans="1:8" x14ac:dyDescent="0.25">
      <c r="A2606" s="8" t="s">
        <v>8437</v>
      </c>
      <c r="B2606" s="8" t="s">
        <v>14302</v>
      </c>
      <c r="C2606" s="2">
        <v>46237.416666666664</v>
      </c>
      <c r="D2606" s="8" t="s">
        <v>13929</v>
      </c>
      <c r="E2606" s="8" t="s">
        <v>32</v>
      </c>
      <c r="F2606">
        <v>2</v>
      </c>
      <c r="G2606" s="2">
        <v>46237.75</v>
      </c>
      <c r="H2606" s="2">
        <v>46237.583333333336</v>
      </c>
    </row>
    <row r="2607" spans="1:8" x14ac:dyDescent="0.25">
      <c r="A2607" s="8" t="s">
        <v>8440</v>
      </c>
      <c r="B2607" s="8" t="s">
        <v>14302</v>
      </c>
      <c r="C2607" s="2">
        <v>46237.416666666664</v>
      </c>
      <c r="D2607" s="8" t="s">
        <v>13929</v>
      </c>
      <c r="E2607" s="8" t="s">
        <v>47</v>
      </c>
      <c r="F2607">
        <v>4</v>
      </c>
      <c r="G2607" s="2">
        <v>46237.75</v>
      </c>
      <c r="H2607" s="2">
        <v>46237.583333333336</v>
      </c>
    </row>
    <row r="2608" spans="1:8" x14ac:dyDescent="0.25">
      <c r="A2608" s="8" t="s">
        <v>8443</v>
      </c>
      <c r="B2608" s="8" t="s">
        <v>14302</v>
      </c>
      <c r="C2608" s="2">
        <v>46237.416666666664</v>
      </c>
      <c r="D2608" s="8" t="s">
        <v>13929</v>
      </c>
      <c r="E2608" s="8" t="s">
        <v>51</v>
      </c>
      <c r="F2608">
        <v>1</v>
      </c>
      <c r="G2608" s="2">
        <v>46237.75</v>
      </c>
      <c r="H2608" s="2">
        <v>46237.583333333336</v>
      </c>
    </row>
    <row r="2609" spans="1:8" x14ac:dyDescent="0.25">
      <c r="A2609" s="8" t="s">
        <v>8446</v>
      </c>
      <c r="B2609" s="8" t="s">
        <v>14302</v>
      </c>
      <c r="C2609" s="2">
        <v>46237.416666666664</v>
      </c>
      <c r="D2609" s="8" t="s">
        <v>13929</v>
      </c>
      <c r="E2609" s="8" t="s">
        <v>65</v>
      </c>
      <c r="F2609">
        <v>3</v>
      </c>
      <c r="G2609" s="2">
        <v>46237.75</v>
      </c>
      <c r="H2609" s="2">
        <v>46237.583333333336</v>
      </c>
    </row>
    <row r="2610" spans="1:8" x14ac:dyDescent="0.25">
      <c r="A2610" s="8" t="s">
        <v>8449</v>
      </c>
      <c r="B2610" s="8" t="s">
        <v>14302</v>
      </c>
      <c r="C2610" s="2">
        <v>46237.416666666664</v>
      </c>
      <c r="D2610" s="8" t="s">
        <v>13929</v>
      </c>
      <c r="E2610" s="8" t="s">
        <v>73</v>
      </c>
      <c r="F2610">
        <v>2</v>
      </c>
      <c r="G2610" s="2">
        <v>46237.75</v>
      </c>
      <c r="H2610" s="2">
        <v>46237.583333333336</v>
      </c>
    </row>
    <row r="2611" spans="1:8" x14ac:dyDescent="0.25">
      <c r="A2611" s="8" t="s">
        <v>14303</v>
      </c>
      <c r="B2611" s="8" t="s">
        <v>14304</v>
      </c>
      <c r="C2611" s="2">
        <v>46237.416666666664</v>
      </c>
      <c r="D2611" s="8" t="s">
        <v>13931</v>
      </c>
      <c r="E2611" s="8" t="s">
        <v>11</v>
      </c>
      <c r="F2611">
        <v>3</v>
      </c>
      <c r="G2611" s="2">
        <v>46237.75</v>
      </c>
      <c r="H2611" s="2"/>
    </row>
    <row r="2612" spans="1:8" x14ac:dyDescent="0.25">
      <c r="A2612" s="8" t="s">
        <v>8452</v>
      </c>
      <c r="B2612" s="8" t="s">
        <v>14304</v>
      </c>
      <c r="C2612" s="2">
        <v>46237.416666666664</v>
      </c>
      <c r="D2612" s="8" t="s">
        <v>13931</v>
      </c>
      <c r="E2612" s="8" t="s">
        <v>20</v>
      </c>
      <c r="F2612">
        <v>3</v>
      </c>
      <c r="G2612" s="2">
        <v>46237.75</v>
      </c>
      <c r="H2612" s="2">
        <v>46237.583333333336</v>
      </c>
    </row>
    <row r="2613" spans="1:8" x14ac:dyDescent="0.25">
      <c r="A2613" s="8" t="s">
        <v>8455</v>
      </c>
      <c r="B2613" s="8" t="s">
        <v>14304</v>
      </c>
      <c r="C2613" s="2">
        <v>46237.416666666664</v>
      </c>
      <c r="D2613" s="8" t="s">
        <v>13931</v>
      </c>
      <c r="E2613" s="8" t="s">
        <v>22</v>
      </c>
      <c r="F2613">
        <v>4</v>
      </c>
      <c r="G2613" s="2">
        <v>46237.75</v>
      </c>
      <c r="H2613" s="2">
        <v>46237.583333333336</v>
      </c>
    </row>
    <row r="2614" spans="1:8" x14ac:dyDescent="0.25">
      <c r="A2614" s="8" t="s">
        <v>8458</v>
      </c>
      <c r="B2614" s="8" t="s">
        <v>14304</v>
      </c>
      <c r="C2614" s="2">
        <v>46237.416666666664</v>
      </c>
      <c r="D2614" s="8" t="s">
        <v>13931</v>
      </c>
      <c r="E2614" s="8" t="s">
        <v>24</v>
      </c>
      <c r="F2614">
        <v>4</v>
      </c>
      <c r="G2614" s="2">
        <v>46237.75</v>
      </c>
      <c r="H2614" s="2">
        <v>46237.583333333336</v>
      </c>
    </row>
    <row r="2615" spans="1:8" x14ac:dyDescent="0.25">
      <c r="A2615" s="8" t="s">
        <v>8461</v>
      </c>
      <c r="B2615" s="8" t="s">
        <v>14304</v>
      </c>
      <c r="C2615" s="2">
        <v>46237.416666666664</v>
      </c>
      <c r="D2615" s="8" t="s">
        <v>13931</v>
      </c>
      <c r="E2615" s="8" t="s">
        <v>32</v>
      </c>
      <c r="F2615">
        <v>4</v>
      </c>
      <c r="G2615" s="2">
        <v>46237.75</v>
      </c>
      <c r="H2615" s="2">
        <v>46237.583333333336</v>
      </c>
    </row>
    <row r="2616" spans="1:8" x14ac:dyDescent="0.25">
      <c r="A2616" s="8" t="s">
        <v>8464</v>
      </c>
      <c r="B2616" s="8" t="s">
        <v>14304</v>
      </c>
      <c r="C2616" s="2">
        <v>46237.416666666664</v>
      </c>
      <c r="D2616" s="8" t="s">
        <v>13931</v>
      </c>
      <c r="E2616" s="8" t="s">
        <v>36</v>
      </c>
      <c r="F2616">
        <v>1</v>
      </c>
      <c r="G2616" s="2">
        <v>46237.75</v>
      </c>
      <c r="H2616" s="2">
        <v>46237.583333333336</v>
      </c>
    </row>
    <row r="2617" spans="1:8" x14ac:dyDescent="0.25">
      <c r="A2617" s="8" t="s">
        <v>8467</v>
      </c>
      <c r="B2617" s="8" t="s">
        <v>14304</v>
      </c>
      <c r="C2617" s="2">
        <v>46237.416666666664</v>
      </c>
      <c r="D2617" s="8" t="s">
        <v>13931</v>
      </c>
      <c r="E2617" s="8" t="s">
        <v>45</v>
      </c>
      <c r="F2617">
        <v>3</v>
      </c>
      <c r="G2617" s="2">
        <v>46237.75</v>
      </c>
      <c r="H2617" s="2">
        <v>46237.583333333336</v>
      </c>
    </row>
    <row r="2618" spans="1:8" x14ac:dyDescent="0.25">
      <c r="A2618" s="8" t="s">
        <v>8470</v>
      </c>
      <c r="B2618" s="8" t="s">
        <v>14304</v>
      </c>
      <c r="C2618" s="2">
        <v>46237.416666666664</v>
      </c>
      <c r="D2618" s="8" t="s">
        <v>13931</v>
      </c>
      <c r="E2618" s="8" t="s">
        <v>51</v>
      </c>
      <c r="F2618">
        <v>3</v>
      </c>
      <c r="G2618" s="2">
        <v>46237.75</v>
      </c>
      <c r="H2618" s="2">
        <v>46237.583333333336</v>
      </c>
    </row>
    <row r="2619" spans="1:8" x14ac:dyDescent="0.25">
      <c r="A2619" s="8" t="s">
        <v>8473</v>
      </c>
      <c r="B2619" s="8" t="s">
        <v>14304</v>
      </c>
      <c r="C2619" s="2">
        <v>46237.416666666664</v>
      </c>
      <c r="D2619" s="8" t="s">
        <v>13931</v>
      </c>
      <c r="E2619" s="8" t="s">
        <v>53</v>
      </c>
      <c r="F2619">
        <v>1</v>
      </c>
      <c r="G2619" s="2">
        <v>46237.75</v>
      </c>
      <c r="H2619" s="2">
        <v>46237.583333333336</v>
      </c>
    </row>
    <row r="2620" spans="1:8" x14ac:dyDescent="0.25">
      <c r="A2620" s="8" t="s">
        <v>8476</v>
      </c>
      <c r="B2620" s="8" t="s">
        <v>14304</v>
      </c>
      <c r="C2620" s="2">
        <v>46237.416666666664</v>
      </c>
      <c r="D2620" s="8" t="s">
        <v>13931</v>
      </c>
      <c r="E2620" s="8" t="s">
        <v>55</v>
      </c>
      <c r="F2620">
        <v>3</v>
      </c>
      <c r="G2620" s="2">
        <v>46237.75</v>
      </c>
      <c r="H2620" s="2">
        <v>46237.583333333336</v>
      </c>
    </row>
    <row r="2621" spans="1:8" x14ac:dyDescent="0.25">
      <c r="A2621" s="8" t="s">
        <v>8479</v>
      </c>
      <c r="B2621" s="8" t="s">
        <v>14304</v>
      </c>
      <c r="C2621" s="2">
        <v>46237.416666666664</v>
      </c>
      <c r="D2621" s="8" t="s">
        <v>13931</v>
      </c>
      <c r="E2621" s="8" t="s">
        <v>65</v>
      </c>
      <c r="F2621">
        <v>2</v>
      </c>
      <c r="G2621" s="2">
        <v>46237.75</v>
      </c>
      <c r="H2621" s="2">
        <v>46237.583333333336</v>
      </c>
    </row>
    <row r="2622" spans="1:8" x14ac:dyDescent="0.25">
      <c r="A2622" s="8" t="s">
        <v>8482</v>
      </c>
      <c r="B2622" s="8" t="s">
        <v>14304</v>
      </c>
      <c r="C2622" s="2">
        <v>46237.416666666664</v>
      </c>
      <c r="D2622" s="8" t="s">
        <v>13931</v>
      </c>
      <c r="E2622" s="8" t="s">
        <v>67</v>
      </c>
      <c r="F2622">
        <v>1</v>
      </c>
      <c r="G2622" s="2">
        <v>46237.75</v>
      </c>
      <c r="H2622" s="2">
        <v>46237.583333333336</v>
      </c>
    </row>
    <row r="2623" spans="1:8" x14ac:dyDescent="0.25">
      <c r="A2623" s="8" t="s">
        <v>8485</v>
      </c>
      <c r="B2623" s="8" t="s">
        <v>14304</v>
      </c>
      <c r="C2623" s="2">
        <v>46237.416666666664</v>
      </c>
      <c r="D2623" s="8" t="s">
        <v>13931</v>
      </c>
      <c r="E2623" s="8" t="s">
        <v>75</v>
      </c>
      <c r="F2623">
        <v>2</v>
      </c>
      <c r="G2623" s="2">
        <v>46237.75</v>
      </c>
      <c r="H2623" s="2">
        <v>46237.583333333336</v>
      </c>
    </row>
    <row r="2624" spans="1:8" x14ac:dyDescent="0.25">
      <c r="A2624" s="8" t="s">
        <v>14305</v>
      </c>
      <c r="B2624" s="8" t="s">
        <v>14306</v>
      </c>
      <c r="C2624" s="2">
        <v>46237.416666666664</v>
      </c>
      <c r="D2624" s="8" t="s">
        <v>13933</v>
      </c>
      <c r="E2624" s="8" t="s">
        <v>11</v>
      </c>
      <c r="F2624">
        <v>1</v>
      </c>
      <c r="G2624" s="2">
        <v>46237.75</v>
      </c>
      <c r="H2624" s="2"/>
    </row>
    <row r="2625" spans="1:8" x14ac:dyDescent="0.25">
      <c r="A2625" s="8" t="s">
        <v>8488</v>
      </c>
      <c r="B2625" s="8" t="s">
        <v>14306</v>
      </c>
      <c r="C2625" s="2">
        <v>46237.416666666664</v>
      </c>
      <c r="D2625" s="8" t="s">
        <v>13933</v>
      </c>
      <c r="E2625" s="8" t="s">
        <v>18</v>
      </c>
      <c r="F2625">
        <v>2</v>
      </c>
      <c r="G2625" s="2">
        <v>46237.75</v>
      </c>
      <c r="H2625" s="2">
        <v>46237.583333333336</v>
      </c>
    </row>
    <row r="2626" spans="1:8" x14ac:dyDescent="0.25">
      <c r="A2626" s="8" t="s">
        <v>8491</v>
      </c>
      <c r="B2626" s="8" t="s">
        <v>14306</v>
      </c>
      <c r="C2626" s="2">
        <v>46237.416666666664</v>
      </c>
      <c r="D2626" s="8" t="s">
        <v>13933</v>
      </c>
      <c r="E2626" s="8" t="s">
        <v>20</v>
      </c>
      <c r="F2626">
        <v>5</v>
      </c>
      <c r="G2626" s="2">
        <v>46237.75</v>
      </c>
      <c r="H2626" s="2">
        <v>46237.583333333336</v>
      </c>
    </row>
    <row r="2627" spans="1:8" x14ac:dyDescent="0.25">
      <c r="A2627" s="8" t="s">
        <v>8494</v>
      </c>
      <c r="B2627" s="8" t="s">
        <v>14306</v>
      </c>
      <c r="C2627" s="2">
        <v>46237.416666666664</v>
      </c>
      <c r="D2627" s="8" t="s">
        <v>13933</v>
      </c>
      <c r="E2627" s="8" t="s">
        <v>24</v>
      </c>
      <c r="F2627">
        <v>6</v>
      </c>
      <c r="G2627" s="2">
        <v>46237.75</v>
      </c>
      <c r="H2627" s="2">
        <v>46237.583333333336</v>
      </c>
    </row>
    <row r="2628" spans="1:8" x14ac:dyDescent="0.25">
      <c r="A2628" s="8" t="s">
        <v>8497</v>
      </c>
      <c r="B2628" s="8" t="s">
        <v>14306</v>
      </c>
      <c r="C2628" s="2">
        <v>46237.416666666664</v>
      </c>
      <c r="D2628" s="8" t="s">
        <v>13933</v>
      </c>
      <c r="E2628" s="8" t="s">
        <v>26</v>
      </c>
      <c r="F2628">
        <v>4</v>
      </c>
      <c r="G2628" s="2">
        <v>46237.75</v>
      </c>
      <c r="H2628" s="2">
        <v>46237.583333333336</v>
      </c>
    </row>
    <row r="2629" spans="1:8" x14ac:dyDescent="0.25">
      <c r="A2629" s="8" t="s">
        <v>8500</v>
      </c>
      <c r="B2629" s="8" t="s">
        <v>14306</v>
      </c>
      <c r="C2629" s="2">
        <v>46237.416666666664</v>
      </c>
      <c r="D2629" s="8" t="s">
        <v>13933</v>
      </c>
      <c r="E2629" s="8" t="s">
        <v>49</v>
      </c>
      <c r="F2629">
        <v>6</v>
      </c>
      <c r="G2629" s="2">
        <v>46237.75</v>
      </c>
      <c r="H2629" s="2">
        <v>46237.583333333336</v>
      </c>
    </row>
    <row r="2630" spans="1:8" x14ac:dyDescent="0.25">
      <c r="A2630" s="8" t="s">
        <v>8503</v>
      </c>
      <c r="B2630" s="8" t="s">
        <v>14306</v>
      </c>
      <c r="C2630" s="2">
        <v>46237.416666666664</v>
      </c>
      <c r="D2630" s="8" t="s">
        <v>13933</v>
      </c>
      <c r="E2630" s="8" t="s">
        <v>51</v>
      </c>
      <c r="F2630">
        <v>4</v>
      </c>
      <c r="G2630" s="2">
        <v>46237.75</v>
      </c>
      <c r="H2630" s="2">
        <v>46237.583333333336</v>
      </c>
    </row>
    <row r="2631" spans="1:8" x14ac:dyDescent="0.25">
      <c r="A2631" s="8" t="s">
        <v>8506</v>
      </c>
      <c r="B2631" s="8" t="s">
        <v>14306</v>
      </c>
      <c r="C2631" s="2">
        <v>46237.416666666664</v>
      </c>
      <c r="D2631" s="8" t="s">
        <v>13933</v>
      </c>
      <c r="E2631" s="8" t="s">
        <v>53</v>
      </c>
      <c r="F2631">
        <v>1</v>
      </c>
      <c r="G2631" s="2">
        <v>46237.75</v>
      </c>
      <c r="H2631" s="2">
        <v>46237.583333333336</v>
      </c>
    </row>
    <row r="2632" spans="1:8" x14ac:dyDescent="0.25">
      <c r="A2632" s="8" t="s">
        <v>8509</v>
      </c>
      <c r="B2632" s="8" t="s">
        <v>14306</v>
      </c>
      <c r="C2632" s="2">
        <v>46237.416666666664</v>
      </c>
      <c r="D2632" s="8" t="s">
        <v>13933</v>
      </c>
      <c r="E2632" s="8" t="s">
        <v>55</v>
      </c>
      <c r="F2632">
        <v>4</v>
      </c>
      <c r="G2632" s="2">
        <v>46237.75</v>
      </c>
      <c r="H2632" s="2">
        <v>46237.583333333336</v>
      </c>
    </row>
    <row r="2633" spans="1:8" x14ac:dyDescent="0.25">
      <c r="A2633" s="8" t="s">
        <v>8512</v>
      </c>
      <c r="B2633" s="8" t="s">
        <v>14306</v>
      </c>
      <c r="C2633" s="2">
        <v>46237.416666666664</v>
      </c>
      <c r="D2633" s="8" t="s">
        <v>13933</v>
      </c>
      <c r="E2633" s="8" t="s">
        <v>69</v>
      </c>
      <c r="F2633">
        <v>4</v>
      </c>
      <c r="G2633" s="2">
        <v>46237.75</v>
      </c>
      <c r="H2633" s="2">
        <v>46237.583333333336</v>
      </c>
    </row>
    <row r="2634" spans="1:8" x14ac:dyDescent="0.25">
      <c r="A2634" s="8" t="s">
        <v>14307</v>
      </c>
      <c r="B2634" s="8" t="s">
        <v>14308</v>
      </c>
      <c r="C2634" s="2">
        <v>46237.416666666664</v>
      </c>
      <c r="D2634" s="8" t="s">
        <v>13935</v>
      </c>
      <c r="E2634" s="8" t="s">
        <v>11</v>
      </c>
      <c r="F2634">
        <v>3</v>
      </c>
      <c r="G2634" s="2">
        <v>46237.75</v>
      </c>
      <c r="H2634" s="2"/>
    </row>
    <row r="2635" spans="1:8" x14ac:dyDescent="0.25">
      <c r="A2635" s="8" t="s">
        <v>8515</v>
      </c>
      <c r="B2635" s="8" t="s">
        <v>14308</v>
      </c>
      <c r="C2635" s="2">
        <v>46237.416666666664</v>
      </c>
      <c r="D2635" s="8" t="s">
        <v>13935</v>
      </c>
      <c r="E2635" s="8" t="s">
        <v>20</v>
      </c>
      <c r="F2635">
        <v>7</v>
      </c>
      <c r="G2635" s="2">
        <v>46237.75</v>
      </c>
      <c r="H2635" s="2">
        <v>46237.583333333336</v>
      </c>
    </row>
    <row r="2636" spans="1:8" x14ac:dyDescent="0.25">
      <c r="A2636" s="8" t="s">
        <v>8518</v>
      </c>
      <c r="B2636" s="8" t="s">
        <v>14308</v>
      </c>
      <c r="C2636" s="2">
        <v>46237.416666666664</v>
      </c>
      <c r="D2636" s="8" t="s">
        <v>13935</v>
      </c>
      <c r="E2636" s="8" t="s">
        <v>22</v>
      </c>
      <c r="F2636">
        <v>7</v>
      </c>
      <c r="G2636" s="2">
        <v>46237.75</v>
      </c>
      <c r="H2636" s="2">
        <v>46237.583333333336</v>
      </c>
    </row>
    <row r="2637" spans="1:8" x14ac:dyDescent="0.25">
      <c r="A2637" s="8" t="s">
        <v>8521</v>
      </c>
      <c r="B2637" s="8" t="s">
        <v>14308</v>
      </c>
      <c r="C2637" s="2">
        <v>46237.416666666664</v>
      </c>
      <c r="D2637" s="8" t="s">
        <v>13935</v>
      </c>
      <c r="E2637" s="8" t="s">
        <v>30</v>
      </c>
      <c r="F2637">
        <v>4</v>
      </c>
      <c r="G2637" s="2">
        <v>46237.75</v>
      </c>
      <c r="H2637" s="2">
        <v>46237.583333333336</v>
      </c>
    </row>
    <row r="2638" spans="1:8" x14ac:dyDescent="0.25">
      <c r="A2638" s="8" t="s">
        <v>8524</v>
      </c>
      <c r="B2638" s="8" t="s">
        <v>14308</v>
      </c>
      <c r="C2638" s="2">
        <v>46237.416666666664</v>
      </c>
      <c r="D2638" s="8" t="s">
        <v>13935</v>
      </c>
      <c r="E2638" s="8" t="s">
        <v>32</v>
      </c>
      <c r="F2638">
        <v>6</v>
      </c>
      <c r="G2638" s="2">
        <v>46237.75</v>
      </c>
      <c r="H2638" s="2">
        <v>46237.583333333336</v>
      </c>
    </row>
    <row r="2639" spans="1:8" x14ac:dyDescent="0.25">
      <c r="A2639" s="8" t="s">
        <v>8527</v>
      </c>
      <c r="B2639" s="8" t="s">
        <v>14308</v>
      </c>
      <c r="C2639" s="2">
        <v>46237.416666666664</v>
      </c>
      <c r="D2639" s="8" t="s">
        <v>13935</v>
      </c>
      <c r="E2639" s="8" t="s">
        <v>36</v>
      </c>
      <c r="F2639">
        <v>7</v>
      </c>
      <c r="G2639" s="2">
        <v>46237.75</v>
      </c>
      <c r="H2639" s="2">
        <v>46237.583333333336</v>
      </c>
    </row>
    <row r="2640" spans="1:8" x14ac:dyDescent="0.25">
      <c r="A2640" s="8" t="s">
        <v>8530</v>
      </c>
      <c r="B2640" s="8" t="s">
        <v>14308</v>
      </c>
      <c r="C2640" s="2">
        <v>46237.416666666664</v>
      </c>
      <c r="D2640" s="8" t="s">
        <v>13935</v>
      </c>
      <c r="E2640" s="8" t="s">
        <v>55</v>
      </c>
      <c r="F2640">
        <v>7</v>
      </c>
      <c r="G2640" s="2">
        <v>46237.75</v>
      </c>
      <c r="H2640" s="2">
        <v>46237.583333333336</v>
      </c>
    </row>
    <row r="2641" spans="1:8" x14ac:dyDescent="0.25">
      <c r="A2641" s="8" t="s">
        <v>8533</v>
      </c>
      <c r="B2641" s="8" t="s">
        <v>14308</v>
      </c>
      <c r="C2641" s="2">
        <v>46237.416666666664</v>
      </c>
      <c r="D2641" s="8" t="s">
        <v>13935</v>
      </c>
      <c r="E2641" s="8" t="s">
        <v>57</v>
      </c>
      <c r="F2641">
        <v>7</v>
      </c>
      <c r="G2641" s="2">
        <v>46237.75</v>
      </c>
      <c r="H2641" s="2">
        <v>46237.583333333336</v>
      </c>
    </row>
    <row r="2642" spans="1:8" x14ac:dyDescent="0.25">
      <c r="A2642" s="8" t="s">
        <v>8536</v>
      </c>
      <c r="B2642" s="8" t="s">
        <v>14308</v>
      </c>
      <c r="C2642" s="2">
        <v>46237.416666666664</v>
      </c>
      <c r="D2642" s="8" t="s">
        <v>13935</v>
      </c>
      <c r="E2642" s="8" t="s">
        <v>73</v>
      </c>
      <c r="F2642">
        <v>1</v>
      </c>
      <c r="G2642" s="2">
        <v>46237.75</v>
      </c>
      <c r="H2642" s="2">
        <v>46237.583333333336</v>
      </c>
    </row>
    <row r="2643" spans="1:8" x14ac:dyDescent="0.25">
      <c r="A2643" s="8" t="s">
        <v>14309</v>
      </c>
      <c r="B2643" s="8" t="s">
        <v>14310</v>
      </c>
      <c r="C2643" s="2">
        <v>46237.416666666664</v>
      </c>
      <c r="D2643" s="8" t="s">
        <v>13937</v>
      </c>
      <c r="E2643" s="8" t="s">
        <v>11</v>
      </c>
      <c r="F2643">
        <v>1</v>
      </c>
      <c r="G2643" s="2">
        <v>46237.75</v>
      </c>
      <c r="H2643" s="2"/>
    </row>
    <row r="2644" spans="1:8" x14ac:dyDescent="0.25">
      <c r="A2644" s="8" t="s">
        <v>14311</v>
      </c>
      <c r="B2644" s="8" t="s">
        <v>14310</v>
      </c>
      <c r="C2644" s="2">
        <v>46237.416666666664</v>
      </c>
      <c r="D2644" s="8" t="s">
        <v>13937</v>
      </c>
      <c r="E2644" s="8" t="s">
        <v>20</v>
      </c>
      <c r="F2644">
        <v>3</v>
      </c>
      <c r="G2644" s="2">
        <v>46237.75</v>
      </c>
      <c r="H2644" s="2"/>
    </row>
    <row r="2645" spans="1:8" x14ac:dyDescent="0.25">
      <c r="A2645" s="8" t="s">
        <v>8539</v>
      </c>
      <c r="B2645" s="8" t="s">
        <v>14310</v>
      </c>
      <c r="C2645" s="2">
        <v>46237.416666666664</v>
      </c>
      <c r="D2645" s="8" t="s">
        <v>13937</v>
      </c>
      <c r="E2645" s="8" t="s">
        <v>22</v>
      </c>
      <c r="F2645">
        <v>2</v>
      </c>
      <c r="G2645" s="2">
        <v>46237.75</v>
      </c>
      <c r="H2645" s="2">
        <v>46237.583333333336</v>
      </c>
    </row>
    <row r="2646" spans="1:8" x14ac:dyDescent="0.25">
      <c r="A2646" s="8" t="s">
        <v>8542</v>
      </c>
      <c r="B2646" s="8" t="s">
        <v>14310</v>
      </c>
      <c r="C2646" s="2">
        <v>46237.416666666664</v>
      </c>
      <c r="D2646" s="8" t="s">
        <v>13937</v>
      </c>
      <c r="E2646" s="8" t="s">
        <v>24</v>
      </c>
      <c r="F2646">
        <v>3</v>
      </c>
      <c r="G2646" s="2">
        <v>46237.75</v>
      </c>
      <c r="H2646" s="2">
        <v>46237.583333333336</v>
      </c>
    </row>
    <row r="2647" spans="1:8" x14ac:dyDescent="0.25">
      <c r="A2647" s="8" t="s">
        <v>8545</v>
      </c>
      <c r="B2647" s="8" t="s">
        <v>14310</v>
      </c>
      <c r="C2647" s="2">
        <v>46237.416666666664</v>
      </c>
      <c r="D2647" s="8" t="s">
        <v>13937</v>
      </c>
      <c r="E2647" s="8" t="s">
        <v>26</v>
      </c>
      <c r="F2647">
        <v>4</v>
      </c>
      <c r="G2647" s="2">
        <v>46237.75</v>
      </c>
      <c r="H2647" s="2">
        <v>46237.583333333336</v>
      </c>
    </row>
    <row r="2648" spans="1:8" x14ac:dyDescent="0.25">
      <c r="A2648" s="8" t="s">
        <v>8548</v>
      </c>
      <c r="B2648" s="8" t="s">
        <v>14310</v>
      </c>
      <c r="C2648" s="2">
        <v>46237.416666666664</v>
      </c>
      <c r="D2648" s="8" t="s">
        <v>13937</v>
      </c>
      <c r="E2648" s="8" t="s">
        <v>30</v>
      </c>
      <c r="F2648">
        <v>1</v>
      </c>
      <c r="G2648" s="2">
        <v>46237.75</v>
      </c>
      <c r="H2648" s="2">
        <v>46237.583333333336</v>
      </c>
    </row>
    <row r="2649" spans="1:8" x14ac:dyDescent="0.25">
      <c r="A2649" s="8" t="s">
        <v>8551</v>
      </c>
      <c r="B2649" s="8" t="s">
        <v>14310</v>
      </c>
      <c r="C2649" s="2">
        <v>46237.416666666664</v>
      </c>
      <c r="D2649" s="8" t="s">
        <v>13937</v>
      </c>
      <c r="E2649" s="8" t="s">
        <v>32</v>
      </c>
      <c r="F2649">
        <v>4</v>
      </c>
      <c r="G2649" s="2">
        <v>46237.75</v>
      </c>
      <c r="H2649" s="2">
        <v>46237.583333333336</v>
      </c>
    </row>
    <row r="2650" spans="1:8" x14ac:dyDescent="0.25">
      <c r="A2650" s="8" t="s">
        <v>8556</v>
      </c>
      <c r="B2650" s="8" t="s">
        <v>14310</v>
      </c>
      <c r="C2650" s="2">
        <v>46237.416666666664</v>
      </c>
      <c r="D2650" s="8" t="s">
        <v>13937</v>
      </c>
      <c r="E2650" s="8" t="s">
        <v>47</v>
      </c>
      <c r="F2650">
        <v>4</v>
      </c>
      <c r="G2650" s="2">
        <v>46237.75</v>
      </c>
      <c r="H2650" s="2">
        <v>46237.583333333336</v>
      </c>
    </row>
    <row r="2651" spans="1:8" x14ac:dyDescent="0.25">
      <c r="A2651" s="8" t="s">
        <v>8559</v>
      </c>
      <c r="B2651" s="8" t="s">
        <v>14310</v>
      </c>
      <c r="C2651" s="2">
        <v>46237.416666666664</v>
      </c>
      <c r="D2651" s="8" t="s">
        <v>13937</v>
      </c>
      <c r="E2651" s="8" t="s">
        <v>55</v>
      </c>
      <c r="F2651">
        <v>1</v>
      </c>
      <c r="G2651" s="2">
        <v>46237.75</v>
      </c>
      <c r="H2651" s="2">
        <v>46237.583333333336</v>
      </c>
    </row>
    <row r="2652" spans="1:8" x14ac:dyDescent="0.25">
      <c r="A2652" s="8" t="s">
        <v>8562</v>
      </c>
      <c r="B2652" s="8" t="s">
        <v>14310</v>
      </c>
      <c r="C2652" s="2">
        <v>46237.416666666664</v>
      </c>
      <c r="D2652" s="8" t="s">
        <v>13937</v>
      </c>
      <c r="E2652" s="8" t="s">
        <v>59</v>
      </c>
      <c r="F2652">
        <v>3</v>
      </c>
      <c r="G2652" s="2">
        <v>46237.75</v>
      </c>
      <c r="H2652" s="2">
        <v>46237.583333333336</v>
      </c>
    </row>
    <row r="2653" spans="1:8" x14ac:dyDescent="0.25">
      <c r="A2653" s="8" t="s">
        <v>8565</v>
      </c>
      <c r="B2653" s="8" t="s">
        <v>14310</v>
      </c>
      <c r="C2653" s="2">
        <v>46237.416666666664</v>
      </c>
      <c r="D2653" s="8" t="s">
        <v>13937</v>
      </c>
      <c r="E2653" s="8" t="s">
        <v>65</v>
      </c>
      <c r="F2653">
        <v>4</v>
      </c>
      <c r="G2653" s="2">
        <v>46237.75</v>
      </c>
      <c r="H2653" s="2">
        <v>46237.583333333336</v>
      </c>
    </row>
    <row r="2654" spans="1:8" x14ac:dyDescent="0.25">
      <c r="A2654" s="8" t="s">
        <v>8601</v>
      </c>
      <c r="B2654" s="8" t="s">
        <v>14312</v>
      </c>
      <c r="C2654" s="2">
        <v>46238.416666666664</v>
      </c>
      <c r="D2654" s="8" t="s">
        <v>13929</v>
      </c>
      <c r="E2654" s="8" t="s">
        <v>11</v>
      </c>
      <c r="F2654">
        <v>4</v>
      </c>
      <c r="G2654" s="2">
        <v>46238.75</v>
      </c>
      <c r="H2654" s="2">
        <v>46238.583333333336</v>
      </c>
    </row>
    <row r="2655" spans="1:8" x14ac:dyDescent="0.25">
      <c r="A2655" s="8" t="s">
        <v>8604</v>
      </c>
      <c r="B2655" s="8" t="s">
        <v>14312</v>
      </c>
      <c r="C2655" s="2">
        <v>46238.416666666664</v>
      </c>
      <c r="D2655" s="8" t="s">
        <v>13929</v>
      </c>
      <c r="E2655" s="8" t="s">
        <v>22</v>
      </c>
      <c r="F2655">
        <v>2</v>
      </c>
      <c r="G2655" s="2">
        <v>46238.75</v>
      </c>
      <c r="H2655" s="2">
        <v>46238.583333333336</v>
      </c>
    </row>
    <row r="2656" spans="1:8" x14ac:dyDescent="0.25">
      <c r="A2656" s="8" t="s">
        <v>8607</v>
      </c>
      <c r="B2656" s="8" t="s">
        <v>14312</v>
      </c>
      <c r="C2656" s="2">
        <v>46238.416666666664</v>
      </c>
      <c r="D2656" s="8" t="s">
        <v>13929</v>
      </c>
      <c r="E2656" s="8" t="s">
        <v>24</v>
      </c>
      <c r="F2656">
        <v>1</v>
      </c>
      <c r="G2656" s="2">
        <v>46238.75</v>
      </c>
      <c r="H2656" s="2">
        <v>46238.583333333336</v>
      </c>
    </row>
    <row r="2657" spans="1:8" x14ac:dyDescent="0.25">
      <c r="A2657" s="8" t="s">
        <v>8610</v>
      </c>
      <c r="B2657" s="8" t="s">
        <v>14312</v>
      </c>
      <c r="C2657" s="2">
        <v>46238.416666666664</v>
      </c>
      <c r="D2657" s="8" t="s">
        <v>13929</v>
      </c>
      <c r="E2657" s="8" t="s">
        <v>26</v>
      </c>
      <c r="F2657">
        <v>2</v>
      </c>
      <c r="G2657" s="2">
        <v>46238.75</v>
      </c>
      <c r="H2657" s="2">
        <v>46238.583333333336</v>
      </c>
    </row>
    <row r="2658" spans="1:8" x14ac:dyDescent="0.25">
      <c r="A2658" s="8" t="s">
        <v>8613</v>
      </c>
      <c r="B2658" s="8" t="s">
        <v>14312</v>
      </c>
      <c r="C2658" s="2">
        <v>46238.416666666664</v>
      </c>
      <c r="D2658" s="8" t="s">
        <v>13929</v>
      </c>
      <c r="E2658" s="8" t="s">
        <v>36</v>
      </c>
      <c r="F2658">
        <v>1</v>
      </c>
      <c r="G2658" s="2">
        <v>46238.75</v>
      </c>
      <c r="H2658" s="2">
        <v>46238.583333333336</v>
      </c>
    </row>
    <row r="2659" spans="1:8" x14ac:dyDescent="0.25">
      <c r="A2659" s="8" t="s">
        <v>8616</v>
      </c>
      <c r="B2659" s="8" t="s">
        <v>14312</v>
      </c>
      <c r="C2659" s="2">
        <v>46238.416666666664</v>
      </c>
      <c r="D2659" s="8" t="s">
        <v>13929</v>
      </c>
      <c r="E2659" s="8" t="s">
        <v>43</v>
      </c>
      <c r="F2659">
        <v>4</v>
      </c>
      <c r="G2659" s="2">
        <v>46238.75</v>
      </c>
      <c r="H2659" s="2">
        <v>46238.583333333336</v>
      </c>
    </row>
    <row r="2660" spans="1:8" x14ac:dyDescent="0.25">
      <c r="A2660" s="8" t="s">
        <v>8619</v>
      </c>
      <c r="B2660" s="8" t="s">
        <v>14312</v>
      </c>
      <c r="C2660" s="2">
        <v>46238.416666666664</v>
      </c>
      <c r="D2660" s="8" t="s">
        <v>13929</v>
      </c>
      <c r="E2660" s="8" t="s">
        <v>49</v>
      </c>
      <c r="F2660">
        <v>4</v>
      </c>
      <c r="G2660" s="2">
        <v>46238.75</v>
      </c>
      <c r="H2660" s="2">
        <v>46238.583333333336</v>
      </c>
    </row>
    <row r="2661" spans="1:8" x14ac:dyDescent="0.25">
      <c r="A2661" s="8" t="s">
        <v>8622</v>
      </c>
      <c r="B2661" s="8" t="s">
        <v>14312</v>
      </c>
      <c r="C2661" s="2">
        <v>46238.416666666664</v>
      </c>
      <c r="D2661" s="8" t="s">
        <v>13929</v>
      </c>
      <c r="E2661" s="8" t="s">
        <v>67</v>
      </c>
      <c r="F2661">
        <v>1</v>
      </c>
      <c r="G2661" s="2">
        <v>46238.75</v>
      </c>
      <c r="H2661" s="2">
        <v>46238.583333333336</v>
      </c>
    </row>
    <row r="2662" spans="1:8" x14ac:dyDescent="0.25">
      <c r="A2662" s="8" t="s">
        <v>8625</v>
      </c>
      <c r="B2662" s="8" t="s">
        <v>14312</v>
      </c>
      <c r="C2662" s="2">
        <v>46238.416666666664</v>
      </c>
      <c r="D2662" s="8" t="s">
        <v>13929</v>
      </c>
      <c r="E2662" s="8" t="s">
        <v>75</v>
      </c>
      <c r="F2662">
        <v>2</v>
      </c>
      <c r="G2662" s="2">
        <v>46238.75</v>
      </c>
      <c r="H2662" s="2">
        <v>46238.583333333336</v>
      </c>
    </row>
    <row r="2663" spans="1:8" x14ac:dyDescent="0.25">
      <c r="A2663" s="8" t="s">
        <v>8628</v>
      </c>
      <c r="B2663" s="8" t="s">
        <v>14312</v>
      </c>
      <c r="C2663" s="2">
        <v>46238.416666666664</v>
      </c>
      <c r="D2663" s="8" t="s">
        <v>13929</v>
      </c>
      <c r="E2663" s="8" t="s">
        <v>77</v>
      </c>
      <c r="F2663">
        <v>1</v>
      </c>
      <c r="G2663" s="2">
        <v>46238.75</v>
      </c>
      <c r="H2663" s="2">
        <v>46238.583333333336</v>
      </c>
    </row>
    <row r="2664" spans="1:8" x14ac:dyDescent="0.25">
      <c r="A2664" s="8" t="s">
        <v>8631</v>
      </c>
      <c r="B2664" s="8" t="s">
        <v>14313</v>
      </c>
      <c r="C2664" s="2">
        <v>46238.416666666664</v>
      </c>
      <c r="D2664" s="8" t="s">
        <v>13931</v>
      </c>
      <c r="E2664" s="8" t="s">
        <v>20</v>
      </c>
      <c r="F2664">
        <v>5</v>
      </c>
      <c r="G2664" s="2">
        <v>46238.75</v>
      </c>
      <c r="H2664" s="2">
        <v>46238.583333333336</v>
      </c>
    </row>
    <row r="2665" spans="1:8" x14ac:dyDescent="0.25">
      <c r="A2665" s="8" t="s">
        <v>8634</v>
      </c>
      <c r="B2665" s="8" t="s">
        <v>14313</v>
      </c>
      <c r="C2665" s="2">
        <v>46238.416666666664</v>
      </c>
      <c r="D2665" s="8" t="s">
        <v>13931</v>
      </c>
      <c r="E2665" s="8" t="s">
        <v>47</v>
      </c>
      <c r="F2665">
        <v>5</v>
      </c>
      <c r="G2665" s="2">
        <v>46238.75</v>
      </c>
      <c r="H2665" s="2">
        <v>46238.583333333336</v>
      </c>
    </row>
    <row r="2666" spans="1:8" x14ac:dyDescent="0.25">
      <c r="A2666" s="8" t="s">
        <v>8637</v>
      </c>
      <c r="B2666" s="8" t="s">
        <v>14313</v>
      </c>
      <c r="C2666" s="2">
        <v>46238.416666666664</v>
      </c>
      <c r="D2666" s="8" t="s">
        <v>13931</v>
      </c>
      <c r="E2666" s="8" t="s">
        <v>49</v>
      </c>
      <c r="F2666">
        <v>4</v>
      </c>
      <c r="G2666" s="2">
        <v>46238.75</v>
      </c>
      <c r="H2666" s="2">
        <v>46238.583333333336</v>
      </c>
    </row>
    <row r="2667" spans="1:8" x14ac:dyDescent="0.25">
      <c r="A2667" s="8" t="s">
        <v>8640</v>
      </c>
      <c r="B2667" s="8" t="s">
        <v>14313</v>
      </c>
      <c r="C2667" s="2">
        <v>46238.416666666664</v>
      </c>
      <c r="D2667" s="8" t="s">
        <v>13931</v>
      </c>
      <c r="E2667" s="8" t="s">
        <v>53</v>
      </c>
      <c r="F2667">
        <v>5</v>
      </c>
      <c r="G2667" s="2">
        <v>46238.75</v>
      </c>
      <c r="H2667" s="2">
        <v>46238.583333333336</v>
      </c>
    </row>
    <row r="2668" spans="1:8" x14ac:dyDescent="0.25">
      <c r="A2668" s="8" t="s">
        <v>8643</v>
      </c>
      <c r="B2668" s="8" t="s">
        <v>14314</v>
      </c>
      <c r="C2668" s="2">
        <v>46238.416666666664</v>
      </c>
      <c r="D2668" s="8" t="s">
        <v>13933</v>
      </c>
      <c r="E2668" s="8" t="s">
        <v>11</v>
      </c>
      <c r="F2668">
        <v>2</v>
      </c>
      <c r="G2668" s="2">
        <v>46238.75</v>
      </c>
      <c r="H2668" s="2">
        <v>46238.583333333336</v>
      </c>
    </row>
    <row r="2669" spans="1:8" x14ac:dyDescent="0.25">
      <c r="A2669" s="8" t="s">
        <v>8646</v>
      </c>
      <c r="B2669" s="8" t="s">
        <v>14314</v>
      </c>
      <c r="C2669" s="2">
        <v>46238.416666666664</v>
      </c>
      <c r="D2669" s="8" t="s">
        <v>13933</v>
      </c>
      <c r="E2669" s="8" t="s">
        <v>20</v>
      </c>
      <c r="F2669">
        <v>5</v>
      </c>
      <c r="G2669" s="2">
        <v>46238.75</v>
      </c>
      <c r="H2669" s="2">
        <v>46238.583333333336</v>
      </c>
    </row>
    <row r="2670" spans="1:8" x14ac:dyDescent="0.25">
      <c r="A2670" s="8" t="s">
        <v>8649</v>
      </c>
      <c r="B2670" s="8" t="s">
        <v>14314</v>
      </c>
      <c r="C2670" s="2">
        <v>46238.416666666664</v>
      </c>
      <c r="D2670" s="8" t="s">
        <v>13933</v>
      </c>
      <c r="E2670" s="8" t="s">
        <v>22</v>
      </c>
      <c r="F2670">
        <v>2</v>
      </c>
      <c r="G2670" s="2">
        <v>46238.75</v>
      </c>
      <c r="H2670" s="2">
        <v>46238.583333333336</v>
      </c>
    </row>
    <row r="2671" spans="1:8" x14ac:dyDescent="0.25">
      <c r="A2671" s="8" t="s">
        <v>8652</v>
      </c>
      <c r="B2671" s="8" t="s">
        <v>14314</v>
      </c>
      <c r="C2671" s="2">
        <v>46238.416666666664</v>
      </c>
      <c r="D2671" s="8" t="s">
        <v>13933</v>
      </c>
      <c r="E2671" s="8" t="s">
        <v>26</v>
      </c>
      <c r="F2671">
        <v>5</v>
      </c>
      <c r="G2671" s="2">
        <v>46238.75</v>
      </c>
      <c r="H2671" s="2">
        <v>46238.583333333336</v>
      </c>
    </row>
    <row r="2672" spans="1:8" x14ac:dyDescent="0.25">
      <c r="A2672" s="8" t="s">
        <v>8655</v>
      </c>
      <c r="B2672" s="8" t="s">
        <v>14314</v>
      </c>
      <c r="C2672" s="2">
        <v>46238.416666666664</v>
      </c>
      <c r="D2672" s="8" t="s">
        <v>13933</v>
      </c>
      <c r="E2672" s="8" t="s">
        <v>45</v>
      </c>
      <c r="F2672">
        <v>2</v>
      </c>
      <c r="G2672" s="2">
        <v>46238.75</v>
      </c>
      <c r="H2672" s="2">
        <v>46238.583333333336</v>
      </c>
    </row>
    <row r="2673" spans="1:8" x14ac:dyDescent="0.25">
      <c r="A2673" s="8" t="s">
        <v>8658</v>
      </c>
      <c r="B2673" s="8" t="s">
        <v>14314</v>
      </c>
      <c r="C2673" s="2">
        <v>46238.416666666664</v>
      </c>
      <c r="D2673" s="8" t="s">
        <v>13933</v>
      </c>
      <c r="E2673" s="8" t="s">
        <v>47</v>
      </c>
      <c r="F2673">
        <v>1</v>
      </c>
      <c r="G2673" s="2">
        <v>46238.75</v>
      </c>
      <c r="H2673" s="2">
        <v>46238.583333333336</v>
      </c>
    </row>
    <row r="2674" spans="1:8" x14ac:dyDescent="0.25">
      <c r="A2674" s="8" t="s">
        <v>8661</v>
      </c>
      <c r="B2674" s="8" t="s">
        <v>14314</v>
      </c>
      <c r="C2674" s="2">
        <v>46238.416666666664</v>
      </c>
      <c r="D2674" s="8" t="s">
        <v>13933</v>
      </c>
      <c r="E2674" s="8" t="s">
        <v>49</v>
      </c>
      <c r="F2674">
        <v>5</v>
      </c>
      <c r="G2674" s="2">
        <v>46238.75</v>
      </c>
      <c r="H2674" s="2">
        <v>46238.583333333336</v>
      </c>
    </row>
    <row r="2675" spans="1:8" x14ac:dyDescent="0.25">
      <c r="A2675" s="8" t="s">
        <v>8664</v>
      </c>
      <c r="B2675" s="8" t="s">
        <v>14314</v>
      </c>
      <c r="C2675" s="2">
        <v>46238.416666666664</v>
      </c>
      <c r="D2675" s="8" t="s">
        <v>13933</v>
      </c>
      <c r="E2675" s="8" t="s">
        <v>51</v>
      </c>
      <c r="F2675">
        <v>5</v>
      </c>
      <c r="G2675" s="2">
        <v>46238.75</v>
      </c>
      <c r="H2675" s="2">
        <v>46238.583333333336</v>
      </c>
    </row>
    <row r="2676" spans="1:8" x14ac:dyDescent="0.25">
      <c r="A2676" s="8" t="s">
        <v>8667</v>
      </c>
      <c r="B2676" s="8" t="s">
        <v>14314</v>
      </c>
      <c r="C2676" s="2">
        <v>46238.416666666664</v>
      </c>
      <c r="D2676" s="8" t="s">
        <v>13933</v>
      </c>
      <c r="E2676" s="8" t="s">
        <v>55</v>
      </c>
      <c r="F2676">
        <v>1</v>
      </c>
      <c r="G2676" s="2">
        <v>46238.75</v>
      </c>
      <c r="H2676" s="2">
        <v>46238.583333333336</v>
      </c>
    </row>
    <row r="2677" spans="1:8" x14ac:dyDescent="0.25">
      <c r="A2677" s="8" t="s">
        <v>8670</v>
      </c>
      <c r="B2677" s="8" t="s">
        <v>14314</v>
      </c>
      <c r="C2677" s="2">
        <v>46238.416666666664</v>
      </c>
      <c r="D2677" s="8" t="s">
        <v>13933</v>
      </c>
      <c r="E2677" s="8" t="s">
        <v>59</v>
      </c>
      <c r="F2677">
        <v>6</v>
      </c>
      <c r="G2677" s="2">
        <v>46238.75</v>
      </c>
      <c r="H2677" s="2">
        <v>46238.583333333336</v>
      </c>
    </row>
    <row r="2678" spans="1:8" x14ac:dyDescent="0.25">
      <c r="A2678" s="8" t="s">
        <v>8673</v>
      </c>
      <c r="B2678" s="8" t="s">
        <v>14314</v>
      </c>
      <c r="C2678" s="2">
        <v>46238.416666666664</v>
      </c>
      <c r="D2678" s="8" t="s">
        <v>13933</v>
      </c>
      <c r="E2678" s="8" t="s">
        <v>71</v>
      </c>
      <c r="F2678">
        <v>4</v>
      </c>
      <c r="G2678" s="2">
        <v>46238.75</v>
      </c>
      <c r="H2678" s="2">
        <v>46238.583333333336</v>
      </c>
    </row>
    <row r="2679" spans="1:8" x14ac:dyDescent="0.25">
      <c r="A2679" s="8" t="s">
        <v>8676</v>
      </c>
      <c r="B2679" s="8" t="s">
        <v>14315</v>
      </c>
      <c r="C2679" s="2">
        <v>46238.416666666664</v>
      </c>
      <c r="D2679" s="8" t="s">
        <v>13935</v>
      </c>
      <c r="E2679" s="8" t="s">
        <v>20</v>
      </c>
      <c r="F2679">
        <v>7</v>
      </c>
      <c r="G2679" s="2">
        <v>46238.75</v>
      </c>
      <c r="H2679" s="2">
        <v>46238.583333333336</v>
      </c>
    </row>
    <row r="2680" spans="1:8" x14ac:dyDescent="0.25">
      <c r="A2680" s="8" t="s">
        <v>8679</v>
      </c>
      <c r="B2680" s="8" t="s">
        <v>14315</v>
      </c>
      <c r="C2680" s="2">
        <v>46238.416666666664</v>
      </c>
      <c r="D2680" s="8" t="s">
        <v>13935</v>
      </c>
      <c r="E2680" s="8" t="s">
        <v>22</v>
      </c>
      <c r="F2680">
        <v>3</v>
      </c>
      <c r="G2680" s="2">
        <v>46238.75</v>
      </c>
      <c r="H2680" s="2">
        <v>46238.583333333336</v>
      </c>
    </row>
    <row r="2681" spans="1:8" x14ac:dyDescent="0.25">
      <c r="A2681" s="8" t="s">
        <v>8682</v>
      </c>
      <c r="B2681" s="8" t="s">
        <v>14315</v>
      </c>
      <c r="C2681" s="2">
        <v>46238.416666666664</v>
      </c>
      <c r="D2681" s="8" t="s">
        <v>13935</v>
      </c>
      <c r="E2681" s="8" t="s">
        <v>26</v>
      </c>
      <c r="F2681">
        <v>4</v>
      </c>
      <c r="G2681" s="2">
        <v>46238.75</v>
      </c>
      <c r="H2681" s="2">
        <v>46238.583333333336</v>
      </c>
    </row>
    <row r="2682" spans="1:8" x14ac:dyDescent="0.25">
      <c r="A2682" s="8" t="s">
        <v>8685</v>
      </c>
      <c r="B2682" s="8" t="s">
        <v>14315</v>
      </c>
      <c r="C2682" s="2">
        <v>46238.416666666664</v>
      </c>
      <c r="D2682" s="8" t="s">
        <v>13935</v>
      </c>
      <c r="E2682" s="8" t="s">
        <v>28</v>
      </c>
      <c r="F2682">
        <v>7</v>
      </c>
      <c r="G2682" s="2">
        <v>46238.75</v>
      </c>
      <c r="H2682" s="2">
        <v>46238.583333333336</v>
      </c>
    </row>
    <row r="2683" spans="1:8" x14ac:dyDescent="0.25">
      <c r="A2683" s="8" t="s">
        <v>8688</v>
      </c>
      <c r="B2683" s="8" t="s">
        <v>14315</v>
      </c>
      <c r="C2683" s="2">
        <v>46238.416666666664</v>
      </c>
      <c r="D2683" s="8" t="s">
        <v>13935</v>
      </c>
      <c r="E2683" s="8" t="s">
        <v>36</v>
      </c>
      <c r="F2683">
        <v>6</v>
      </c>
      <c r="G2683" s="2">
        <v>46238.75</v>
      </c>
      <c r="H2683" s="2">
        <v>46238.583333333336</v>
      </c>
    </row>
    <row r="2684" spans="1:8" x14ac:dyDescent="0.25">
      <c r="A2684" s="8" t="s">
        <v>8691</v>
      </c>
      <c r="B2684" s="8" t="s">
        <v>14315</v>
      </c>
      <c r="C2684" s="2">
        <v>46238.416666666664</v>
      </c>
      <c r="D2684" s="8" t="s">
        <v>13935</v>
      </c>
      <c r="E2684" s="8" t="s">
        <v>47</v>
      </c>
      <c r="F2684">
        <v>4</v>
      </c>
      <c r="G2684" s="2">
        <v>46238.75</v>
      </c>
      <c r="H2684" s="2">
        <v>46238.583333333336</v>
      </c>
    </row>
    <row r="2685" spans="1:8" x14ac:dyDescent="0.25">
      <c r="A2685" s="8" t="s">
        <v>8694</v>
      </c>
      <c r="B2685" s="8" t="s">
        <v>14315</v>
      </c>
      <c r="C2685" s="2">
        <v>46238.416666666664</v>
      </c>
      <c r="D2685" s="8" t="s">
        <v>13935</v>
      </c>
      <c r="E2685" s="8" t="s">
        <v>57</v>
      </c>
      <c r="F2685">
        <v>6</v>
      </c>
      <c r="G2685" s="2">
        <v>46238.75</v>
      </c>
      <c r="H2685" s="2">
        <v>46238.583333333336</v>
      </c>
    </row>
    <row r="2686" spans="1:8" x14ac:dyDescent="0.25">
      <c r="A2686" s="8" t="s">
        <v>8697</v>
      </c>
      <c r="B2686" s="8" t="s">
        <v>14315</v>
      </c>
      <c r="C2686" s="2">
        <v>46238.416666666664</v>
      </c>
      <c r="D2686" s="8" t="s">
        <v>13935</v>
      </c>
      <c r="E2686" s="8" t="s">
        <v>65</v>
      </c>
      <c r="F2686">
        <v>6</v>
      </c>
      <c r="G2686" s="2">
        <v>46238.75</v>
      </c>
      <c r="H2686" s="2">
        <v>46238.583333333336</v>
      </c>
    </row>
    <row r="2687" spans="1:8" x14ac:dyDescent="0.25">
      <c r="A2687" s="8" t="s">
        <v>8700</v>
      </c>
      <c r="B2687" s="8" t="s">
        <v>14315</v>
      </c>
      <c r="C2687" s="2">
        <v>46238.416666666664</v>
      </c>
      <c r="D2687" s="8" t="s">
        <v>13935</v>
      </c>
      <c r="E2687" s="8" t="s">
        <v>71</v>
      </c>
      <c r="F2687">
        <v>6</v>
      </c>
      <c r="G2687" s="2">
        <v>46238.75</v>
      </c>
      <c r="H2687" s="2">
        <v>46238.583333333336</v>
      </c>
    </row>
    <row r="2688" spans="1:8" x14ac:dyDescent="0.25">
      <c r="A2688" s="8" t="s">
        <v>8703</v>
      </c>
      <c r="B2688" s="8" t="s">
        <v>14315</v>
      </c>
      <c r="C2688" s="2">
        <v>46238.416666666664</v>
      </c>
      <c r="D2688" s="8" t="s">
        <v>13935</v>
      </c>
      <c r="E2688" s="8" t="s">
        <v>75</v>
      </c>
      <c r="F2688">
        <v>7</v>
      </c>
      <c r="G2688" s="2">
        <v>46238.75</v>
      </c>
      <c r="H2688" s="2">
        <v>46238.583333333336</v>
      </c>
    </row>
    <row r="2689" spans="1:8" x14ac:dyDescent="0.25">
      <c r="A2689" s="8" t="s">
        <v>8706</v>
      </c>
      <c r="B2689" s="8" t="s">
        <v>14315</v>
      </c>
      <c r="C2689" s="2">
        <v>46238.416666666664</v>
      </c>
      <c r="D2689" s="8" t="s">
        <v>13935</v>
      </c>
      <c r="E2689" s="8" t="s">
        <v>77</v>
      </c>
      <c r="F2689">
        <v>4</v>
      </c>
      <c r="G2689" s="2">
        <v>46238.75</v>
      </c>
      <c r="H2689" s="2">
        <v>46238.583333333336</v>
      </c>
    </row>
    <row r="2690" spans="1:8" x14ac:dyDescent="0.25">
      <c r="A2690" s="8" t="s">
        <v>8709</v>
      </c>
      <c r="B2690" s="8" t="s">
        <v>14316</v>
      </c>
      <c r="C2690" s="2">
        <v>46238.416666666664</v>
      </c>
      <c r="D2690" s="8" t="s">
        <v>13937</v>
      </c>
      <c r="E2690" s="8" t="s">
        <v>11</v>
      </c>
      <c r="F2690">
        <v>4</v>
      </c>
      <c r="G2690" s="2">
        <v>46238.75</v>
      </c>
      <c r="H2690" s="2">
        <v>46238.583333333336</v>
      </c>
    </row>
    <row r="2691" spans="1:8" x14ac:dyDescent="0.25">
      <c r="A2691" s="8" t="s">
        <v>8712</v>
      </c>
      <c r="B2691" s="8" t="s">
        <v>14316</v>
      </c>
      <c r="C2691" s="2">
        <v>46238.416666666664</v>
      </c>
      <c r="D2691" s="8" t="s">
        <v>13937</v>
      </c>
      <c r="E2691" s="8" t="s">
        <v>18</v>
      </c>
      <c r="F2691">
        <v>4</v>
      </c>
      <c r="G2691" s="2">
        <v>46238.75</v>
      </c>
      <c r="H2691" s="2">
        <v>46238.583333333336</v>
      </c>
    </row>
    <row r="2692" spans="1:8" x14ac:dyDescent="0.25">
      <c r="A2692" s="8" t="s">
        <v>8715</v>
      </c>
      <c r="B2692" s="8" t="s">
        <v>14316</v>
      </c>
      <c r="C2692" s="2">
        <v>46238.416666666664</v>
      </c>
      <c r="D2692" s="8" t="s">
        <v>13937</v>
      </c>
      <c r="E2692" s="8" t="s">
        <v>20</v>
      </c>
      <c r="F2692">
        <v>1</v>
      </c>
      <c r="G2692" s="2">
        <v>46238.75</v>
      </c>
      <c r="H2692" s="2">
        <v>46238.583333333336</v>
      </c>
    </row>
    <row r="2693" spans="1:8" x14ac:dyDescent="0.25">
      <c r="A2693" s="8" t="s">
        <v>8718</v>
      </c>
      <c r="B2693" s="8" t="s">
        <v>14316</v>
      </c>
      <c r="C2693" s="2">
        <v>46238.416666666664</v>
      </c>
      <c r="D2693" s="8" t="s">
        <v>13937</v>
      </c>
      <c r="E2693" s="8" t="s">
        <v>24</v>
      </c>
      <c r="F2693">
        <v>1</v>
      </c>
      <c r="G2693" s="2">
        <v>46238.75</v>
      </c>
      <c r="H2693" s="2">
        <v>46238.583333333336</v>
      </c>
    </row>
    <row r="2694" spans="1:8" x14ac:dyDescent="0.25">
      <c r="A2694" s="8" t="s">
        <v>8721</v>
      </c>
      <c r="B2694" s="8" t="s">
        <v>14316</v>
      </c>
      <c r="C2694" s="2">
        <v>46238.416666666664</v>
      </c>
      <c r="D2694" s="8" t="s">
        <v>13937</v>
      </c>
      <c r="E2694" s="8" t="s">
        <v>26</v>
      </c>
      <c r="F2694">
        <v>1</v>
      </c>
      <c r="G2694" s="2">
        <v>46238.75</v>
      </c>
      <c r="H2694" s="2">
        <v>46238.583333333336</v>
      </c>
    </row>
    <row r="2695" spans="1:8" x14ac:dyDescent="0.25">
      <c r="A2695" s="8" t="s">
        <v>8724</v>
      </c>
      <c r="B2695" s="8" t="s">
        <v>14316</v>
      </c>
      <c r="C2695" s="2">
        <v>46238.416666666664</v>
      </c>
      <c r="D2695" s="8" t="s">
        <v>13937</v>
      </c>
      <c r="E2695" s="8" t="s">
        <v>41</v>
      </c>
      <c r="F2695">
        <v>4</v>
      </c>
      <c r="G2695" s="2">
        <v>46238.75</v>
      </c>
      <c r="H2695" s="2">
        <v>46238.583333333336</v>
      </c>
    </row>
    <row r="2696" spans="1:8" x14ac:dyDescent="0.25">
      <c r="A2696" s="8" t="s">
        <v>8727</v>
      </c>
      <c r="B2696" s="8" t="s">
        <v>14316</v>
      </c>
      <c r="C2696" s="2">
        <v>46238.416666666664</v>
      </c>
      <c r="D2696" s="8" t="s">
        <v>13937</v>
      </c>
      <c r="E2696" s="8" t="s">
        <v>45</v>
      </c>
      <c r="F2696">
        <v>3</v>
      </c>
      <c r="G2696" s="2">
        <v>46238.75</v>
      </c>
      <c r="H2696" s="2">
        <v>46238.583333333336</v>
      </c>
    </row>
    <row r="2697" spans="1:8" x14ac:dyDescent="0.25">
      <c r="A2697" s="8" t="s">
        <v>8730</v>
      </c>
      <c r="B2697" s="8" t="s">
        <v>14316</v>
      </c>
      <c r="C2697" s="2">
        <v>46238.416666666664</v>
      </c>
      <c r="D2697" s="8" t="s">
        <v>13937</v>
      </c>
      <c r="E2697" s="8" t="s">
        <v>65</v>
      </c>
      <c r="F2697">
        <v>1</v>
      </c>
      <c r="G2697" s="2">
        <v>46238.75</v>
      </c>
      <c r="H2697" s="2">
        <v>46238.583333333336</v>
      </c>
    </row>
    <row r="2698" spans="1:8" x14ac:dyDescent="0.25">
      <c r="A2698" s="8" t="s">
        <v>8733</v>
      </c>
      <c r="B2698" s="8" t="s">
        <v>14316</v>
      </c>
      <c r="C2698" s="2">
        <v>46238.416666666664</v>
      </c>
      <c r="D2698" s="8" t="s">
        <v>13937</v>
      </c>
      <c r="E2698" s="8" t="s">
        <v>73</v>
      </c>
      <c r="F2698">
        <v>4</v>
      </c>
      <c r="G2698" s="2">
        <v>46238.75</v>
      </c>
      <c r="H2698" s="2">
        <v>46238.583333333336</v>
      </c>
    </row>
    <row r="2699" spans="1:8" x14ac:dyDescent="0.25">
      <c r="A2699" s="8" t="s">
        <v>8736</v>
      </c>
      <c r="B2699" s="8" t="s">
        <v>14316</v>
      </c>
      <c r="C2699" s="2">
        <v>46238.416666666664</v>
      </c>
      <c r="D2699" s="8" t="s">
        <v>13937</v>
      </c>
      <c r="E2699" s="8" t="s">
        <v>75</v>
      </c>
      <c r="F2699">
        <v>4</v>
      </c>
      <c r="G2699" s="2">
        <v>46238.75</v>
      </c>
      <c r="H2699" s="2">
        <v>46238.583333333336</v>
      </c>
    </row>
    <row r="2700" spans="1:8" x14ac:dyDescent="0.25">
      <c r="A2700" s="8" t="s">
        <v>8739</v>
      </c>
      <c r="B2700" s="8" t="s">
        <v>14317</v>
      </c>
      <c r="C2700" s="2">
        <v>46239.416666666664</v>
      </c>
      <c r="D2700" s="8" t="s">
        <v>13929</v>
      </c>
      <c r="E2700" s="8" t="s">
        <v>18</v>
      </c>
      <c r="F2700">
        <v>2</v>
      </c>
      <c r="G2700" s="2">
        <v>46239.75</v>
      </c>
      <c r="H2700" s="2">
        <v>46239.583333333336</v>
      </c>
    </row>
    <row r="2701" spans="1:8" x14ac:dyDescent="0.25">
      <c r="A2701" s="8" t="s">
        <v>8744</v>
      </c>
      <c r="B2701" s="8" t="s">
        <v>14317</v>
      </c>
      <c r="C2701" s="2">
        <v>46239.416666666664</v>
      </c>
      <c r="D2701" s="8" t="s">
        <v>13929</v>
      </c>
      <c r="E2701" s="8" t="s">
        <v>20</v>
      </c>
      <c r="F2701">
        <v>4</v>
      </c>
      <c r="G2701" s="2">
        <v>46239.75</v>
      </c>
      <c r="H2701" s="2">
        <v>46239.583333333336</v>
      </c>
    </row>
    <row r="2702" spans="1:8" x14ac:dyDescent="0.25">
      <c r="A2702" s="8" t="s">
        <v>8747</v>
      </c>
      <c r="B2702" s="8" t="s">
        <v>14317</v>
      </c>
      <c r="C2702" s="2">
        <v>46239.416666666664</v>
      </c>
      <c r="D2702" s="8" t="s">
        <v>13929</v>
      </c>
      <c r="E2702" s="8" t="s">
        <v>24</v>
      </c>
      <c r="F2702">
        <v>2</v>
      </c>
      <c r="G2702" s="2">
        <v>46239.75</v>
      </c>
      <c r="H2702" s="2">
        <v>46239.583333333336</v>
      </c>
    </row>
    <row r="2703" spans="1:8" x14ac:dyDescent="0.25">
      <c r="A2703" s="8" t="s">
        <v>8750</v>
      </c>
      <c r="B2703" s="8" t="s">
        <v>14317</v>
      </c>
      <c r="C2703" s="2">
        <v>46239.416666666664</v>
      </c>
      <c r="D2703" s="8" t="s">
        <v>13929</v>
      </c>
      <c r="E2703" s="8" t="s">
        <v>26</v>
      </c>
      <c r="F2703">
        <v>2</v>
      </c>
      <c r="G2703" s="2">
        <v>46239.75</v>
      </c>
      <c r="H2703" s="2">
        <v>46239.583333333336</v>
      </c>
    </row>
    <row r="2704" spans="1:8" x14ac:dyDescent="0.25">
      <c r="A2704" s="8" t="s">
        <v>8753</v>
      </c>
      <c r="B2704" s="8" t="s">
        <v>14317</v>
      </c>
      <c r="C2704" s="2">
        <v>46239.416666666664</v>
      </c>
      <c r="D2704" s="8" t="s">
        <v>13929</v>
      </c>
      <c r="E2704" s="8" t="s">
        <v>28</v>
      </c>
      <c r="F2704">
        <v>2</v>
      </c>
      <c r="G2704" s="2">
        <v>46239.75</v>
      </c>
      <c r="H2704" s="2">
        <v>46239.583333333336</v>
      </c>
    </row>
    <row r="2705" spans="1:8" x14ac:dyDescent="0.25">
      <c r="A2705" s="8" t="s">
        <v>8756</v>
      </c>
      <c r="B2705" s="8" t="s">
        <v>14317</v>
      </c>
      <c r="C2705" s="2">
        <v>46239.416666666664</v>
      </c>
      <c r="D2705" s="8" t="s">
        <v>13929</v>
      </c>
      <c r="E2705" s="8" t="s">
        <v>30</v>
      </c>
      <c r="F2705">
        <v>2</v>
      </c>
      <c r="G2705" s="2">
        <v>46239.75</v>
      </c>
      <c r="H2705" s="2">
        <v>46239.583333333336</v>
      </c>
    </row>
    <row r="2706" spans="1:8" x14ac:dyDescent="0.25">
      <c r="A2706" s="8" t="s">
        <v>8759</v>
      </c>
      <c r="B2706" s="8" t="s">
        <v>14317</v>
      </c>
      <c r="C2706" s="2">
        <v>46239.416666666664</v>
      </c>
      <c r="D2706" s="8" t="s">
        <v>13929</v>
      </c>
      <c r="E2706" s="8" t="s">
        <v>32</v>
      </c>
      <c r="F2706">
        <v>2</v>
      </c>
      <c r="G2706" s="2">
        <v>46239.75</v>
      </c>
      <c r="H2706" s="2">
        <v>46239.583333333336</v>
      </c>
    </row>
    <row r="2707" spans="1:8" x14ac:dyDescent="0.25">
      <c r="A2707" s="8" t="s">
        <v>8762</v>
      </c>
      <c r="B2707" s="8" t="s">
        <v>14317</v>
      </c>
      <c r="C2707" s="2">
        <v>46239.416666666664</v>
      </c>
      <c r="D2707" s="8" t="s">
        <v>13929</v>
      </c>
      <c r="E2707" s="8" t="s">
        <v>43</v>
      </c>
      <c r="F2707">
        <v>4</v>
      </c>
      <c r="G2707" s="2">
        <v>46239.75</v>
      </c>
      <c r="H2707" s="2">
        <v>46239.583333333336</v>
      </c>
    </row>
    <row r="2708" spans="1:8" x14ac:dyDescent="0.25">
      <c r="A2708" s="8" t="s">
        <v>8765</v>
      </c>
      <c r="B2708" s="8" t="s">
        <v>14317</v>
      </c>
      <c r="C2708" s="2">
        <v>46239.416666666664</v>
      </c>
      <c r="D2708" s="8" t="s">
        <v>13929</v>
      </c>
      <c r="E2708" s="8" t="s">
        <v>45</v>
      </c>
      <c r="F2708">
        <v>4</v>
      </c>
      <c r="G2708" s="2">
        <v>46239.75</v>
      </c>
      <c r="H2708" s="2">
        <v>46239.583333333336</v>
      </c>
    </row>
    <row r="2709" spans="1:8" x14ac:dyDescent="0.25">
      <c r="A2709" s="8" t="s">
        <v>8768</v>
      </c>
      <c r="B2709" s="8" t="s">
        <v>14317</v>
      </c>
      <c r="C2709" s="2">
        <v>46239.416666666664</v>
      </c>
      <c r="D2709" s="8" t="s">
        <v>13929</v>
      </c>
      <c r="E2709" s="8" t="s">
        <v>47</v>
      </c>
      <c r="F2709">
        <v>2</v>
      </c>
      <c r="G2709" s="2">
        <v>46239.75</v>
      </c>
      <c r="H2709" s="2">
        <v>46239.583333333336</v>
      </c>
    </row>
    <row r="2710" spans="1:8" x14ac:dyDescent="0.25">
      <c r="A2710" s="8" t="s">
        <v>8771</v>
      </c>
      <c r="B2710" s="8" t="s">
        <v>14317</v>
      </c>
      <c r="C2710" s="2">
        <v>46239.416666666664</v>
      </c>
      <c r="D2710" s="8" t="s">
        <v>13929</v>
      </c>
      <c r="E2710" s="8" t="s">
        <v>53</v>
      </c>
      <c r="F2710">
        <v>1</v>
      </c>
      <c r="G2710" s="2">
        <v>46239.75</v>
      </c>
      <c r="H2710" s="2">
        <v>46239.583333333336</v>
      </c>
    </row>
    <row r="2711" spans="1:8" x14ac:dyDescent="0.25">
      <c r="A2711" s="8" t="s">
        <v>8774</v>
      </c>
      <c r="B2711" s="8" t="s">
        <v>14317</v>
      </c>
      <c r="C2711" s="2">
        <v>46239.416666666664</v>
      </c>
      <c r="D2711" s="8" t="s">
        <v>13929</v>
      </c>
      <c r="E2711" s="8" t="s">
        <v>67</v>
      </c>
      <c r="F2711">
        <v>2</v>
      </c>
      <c r="G2711" s="2">
        <v>46239.75</v>
      </c>
      <c r="H2711" s="2">
        <v>46239.583333333336</v>
      </c>
    </row>
    <row r="2712" spans="1:8" x14ac:dyDescent="0.25">
      <c r="A2712" s="8" t="s">
        <v>8777</v>
      </c>
      <c r="B2712" s="8" t="s">
        <v>14317</v>
      </c>
      <c r="C2712" s="2">
        <v>46239.416666666664</v>
      </c>
      <c r="D2712" s="8" t="s">
        <v>13929</v>
      </c>
      <c r="E2712" s="8" t="s">
        <v>71</v>
      </c>
      <c r="F2712">
        <v>2</v>
      </c>
      <c r="G2712" s="2">
        <v>46239.75</v>
      </c>
      <c r="H2712" s="2">
        <v>46239.583333333336</v>
      </c>
    </row>
    <row r="2713" spans="1:8" x14ac:dyDescent="0.25">
      <c r="A2713" s="8" t="s">
        <v>8780</v>
      </c>
      <c r="B2713" s="8" t="s">
        <v>14318</v>
      </c>
      <c r="C2713" s="2">
        <v>46239.416666666664</v>
      </c>
      <c r="D2713" s="8" t="s">
        <v>13931</v>
      </c>
      <c r="E2713" s="8" t="s">
        <v>20</v>
      </c>
      <c r="F2713">
        <v>2</v>
      </c>
      <c r="G2713" s="2">
        <v>46239.75</v>
      </c>
      <c r="H2713" s="2">
        <v>46239.583333333336</v>
      </c>
    </row>
    <row r="2714" spans="1:8" x14ac:dyDescent="0.25">
      <c r="A2714" s="8" t="s">
        <v>8783</v>
      </c>
      <c r="B2714" s="8" t="s">
        <v>14318</v>
      </c>
      <c r="C2714" s="2">
        <v>46239.416666666664</v>
      </c>
      <c r="D2714" s="8" t="s">
        <v>13931</v>
      </c>
      <c r="E2714" s="8" t="s">
        <v>22</v>
      </c>
      <c r="F2714">
        <v>4</v>
      </c>
      <c r="G2714" s="2">
        <v>46239.75</v>
      </c>
      <c r="H2714" s="2">
        <v>46239.583333333336</v>
      </c>
    </row>
    <row r="2715" spans="1:8" x14ac:dyDescent="0.25">
      <c r="A2715" s="8" t="s">
        <v>8786</v>
      </c>
      <c r="B2715" s="8" t="s">
        <v>14318</v>
      </c>
      <c r="C2715" s="2">
        <v>46239.416666666664</v>
      </c>
      <c r="D2715" s="8" t="s">
        <v>13931</v>
      </c>
      <c r="E2715" s="8" t="s">
        <v>24</v>
      </c>
      <c r="F2715">
        <v>1</v>
      </c>
      <c r="G2715" s="2">
        <v>46239.75</v>
      </c>
      <c r="H2715" s="2">
        <v>46239.583333333336</v>
      </c>
    </row>
    <row r="2716" spans="1:8" x14ac:dyDescent="0.25">
      <c r="A2716" s="8" t="s">
        <v>8789</v>
      </c>
      <c r="B2716" s="8" t="s">
        <v>14318</v>
      </c>
      <c r="C2716" s="2">
        <v>46239.416666666664</v>
      </c>
      <c r="D2716" s="8" t="s">
        <v>13931</v>
      </c>
      <c r="E2716" s="8" t="s">
        <v>26</v>
      </c>
      <c r="F2716">
        <v>1</v>
      </c>
      <c r="G2716" s="2">
        <v>46239.75</v>
      </c>
      <c r="H2716" s="2">
        <v>46239.583333333336</v>
      </c>
    </row>
    <row r="2717" spans="1:8" x14ac:dyDescent="0.25">
      <c r="A2717" s="8" t="s">
        <v>8792</v>
      </c>
      <c r="B2717" s="8" t="s">
        <v>14318</v>
      </c>
      <c r="C2717" s="2">
        <v>46239.416666666664</v>
      </c>
      <c r="D2717" s="8" t="s">
        <v>13931</v>
      </c>
      <c r="E2717" s="8" t="s">
        <v>30</v>
      </c>
      <c r="F2717">
        <v>3</v>
      </c>
      <c r="G2717" s="2">
        <v>46239.75</v>
      </c>
      <c r="H2717" s="2">
        <v>46239.583333333336</v>
      </c>
    </row>
    <row r="2718" spans="1:8" x14ac:dyDescent="0.25">
      <c r="A2718" s="8" t="s">
        <v>8795</v>
      </c>
      <c r="B2718" s="8" t="s">
        <v>14318</v>
      </c>
      <c r="C2718" s="2">
        <v>46239.416666666664</v>
      </c>
      <c r="D2718" s="8" t="s">
        <v>13931</v>
      </c>
      <c r="E2718" s="8" t="s">
        <v>45</v>
      </c>
      <c r="F2718">
        <v>4</v>
      </c>
      <c r="G2718" s="2">
        <v>46239.75</v>
      </c>
      <c r="H2718" s="2">
        <v>46239.583333333336</v>
      </c>
    </row>
    <row r="2719" spans="1:8" x14ac:dyDescent="0.25">
      <c r="A2719" s="8" t="s">
        <v>8798</v>
      </c>
      <c r="B2719" s="8" t="s">
        <v>14318</v>
      </c>
      <c r="C2719" s="2">
        <v>46239.416666666664</v>
      </c>
      <c r="D2719" s="8" t="s">
        <v>13931</v>
      </c>
      <c r="E2719" s="8" t="s">
        <v>51</v>
      </c>
      <c r="F2719">
        <v>1</v>
      </c>
      <c r="G2719" s="2">
        <v>46239.75</v>
      </c>
      <c r="H2719" s="2">
        <v>46239.583333333336</v>
      </c>
    </row>
    <row r="2720" spans="1:8" x14ac:dyDescent="0.25">
      <c r="A2720" s="8" t="s">
        <v>8801</v>
      </c>
      <c r="B2720" s="8" t="s">
        <v>14318</v>
      </c>
      <c r="C2720" s="2">
        <v>46239.416666666664</v>
      </c>
      <c r="D2720" s="8" t="s">
        <v>13931</v>
      </c>
      <c r="E2720" s="8" t="s">
        <v>53</v>
      </c>
      <c r="F2720">
        <v>1</v>
      </c>
      <c r="G2720" s="2">
        <v>46239.75</v>
      </c>
      <c r="H2720" s="2">
        <v>46239.583333333336</v>
      </c>
    </row>
    <row r="2721" spans="1:8" x14ac:dyDescent="0.25">
      <c r="A2721" s="8" t="s">
        <v>8804</v>
      </c>
      <c r="B2721" s="8" t="s">
        <v>14318</v>
      </c>
      <c r="C2721" s="2">
        <v>46239.416666666664</v>
      </c>
      <c r="D2721" s="8" t="s">
        <v>13931</v>
      </c>
      <c r="E2721" s="8" t="s">
        <v>55</v>
      </c>
      <c r="F2721">
        <v>2</v>
      </c>
      <c r="G2721" s="2">
        <v>46239.75</v>
      </c>
      <c r="H2721" s="2">
        <v>46239.583333333336</v>
      </c>
    </row>
    <row r="2722" spans="1:8" x14ac:dyDescent="0.25">
      <c r="A2722" s="8" t="s">
        <v>8807</v>
      </c>
      <c r="B2722" s="8" t="s">
        <v>14318</v>
      </c>
      <c r="C2722" s="2">
        <v>46239.416666666664</v>
      </c>
      <c r="D2722" s="8" t="s">
        <v>13931</v>
      </c>
      <c r="E2722" s="8" t="s">
        <v>59</v>
      </c>
      <c r="F2722">
        <v>1</v>
      </c>
      <c r="G2722" s="2">
        <v>46239.75</v>
      </c>
      <c r="H2722" s="2">
        <v>46239.583333333336</v>
      </c>
    </row>
    <row r="2723" spans="1:8" x14ac:dyDescent="0.25">
      <c r="A2723" s="8" t="s">
        <v>8810</v>
      </c>
      <c r="B2723" s="8" t="s">
        <v>14318</v>
      </c>
      <c r="C2723" s="2">
        <v>46239.416666666664</v>
      </c>
      <c r="D2723" s="8" t="s">
        <v>13931</v>
      </c>
      <c r="E2723" s="8" t="s">
        <v>71</v>
      </c>
      <c r="F2723">
        <v>2</v>
      </c>
      <c r="G2723" s="2">
        <v>46239.75</v>
      </c>
      <c r="H2723" s="2">
        <v>46239.583333333336</v>
      </c>
    </row>
    <row r="2724" spans="1:8" x14ac:dyDescent="0.25">
      <c r="A2724" s="8" t="s">
        <v>8813</v>
      </c>
      <c r="B2724" s="8" t="s">
        <v>14318</v>
      </c>
      <c r="C2724" s="2">
        <v>46239.416666666664</v>
      </c>
      <c r="D2724" s="8" t="s">
        <v>13931</v>
      </c>
      <c r="E2724" s="8" t="s">
        <v>75</v>
      </c>
      <c r="F2724">
        <v>1</v>
      </c>
      <c r="G2724" s="2">
        <v>46239.75</v>
      </c>
      <c r="H2724" s="2">
        <v>46239.583333333336</v>
      </c>
    </row>
    <row r="2725" spans="1:8" x14ac:dyDescent="0.25">
      <c r="A2725" s="8" t="s">
        <v>8816</v>
      </c>
      <c r="B2725" s="8" t="s">
        <v>14319</v>
      </c>
      <c r="C2725" s="2">
        <v>46239.416666666664</v>
      </c>
      <c r="D2725" s="8" t="s">
        <v>13933</v>
      </c>
      <c r="E2725" s="8" t="s">
        <v>11</v>
      </c>
      <c r="F2725">
        <v>5</v>
      </c>
      <c r="G2725" s="2">
        <v>46239.75</v>
      </c>
      <c r="H2725" s="2">
        <v>46239.583333333336</v>
      </c>
    </row>
    <row r="2726" spans="1:8" x14ac:dyDescent="0.25">
      <c r="A2726" s="8" t="s">
        <v>8819</v>
      </c>
      <c r="B2726" s="8" t="s">
        <v>14319</v>
      </c>
      <c r="C2726" s="2">
        <v>46239.416666666664</v>
      </c>
      <c r="D2726" s="8" t="s">
        <v>13933</v>
      </c>
      <c r="E2726" s="8" t="s">
        <v>20</v>
      </c>
      <c r="F2726">
        <v>4</v>
      </c>
      <c r="G2726" s="2">
        <v>46239.75</v>
      </c>
      <c r="H2726" s="2">
        <v>46239.583333333336</v>
      </c>
    </row>
    <row r="2727" spans="1:8" x14ac:dyDescent="0.25">
      <c r="A2727" s="8" t="s">
        <v>8822</v>
      </c>
      <c r="B2727" s="8" t="s">
        <v>14319</v>
      </c>
      <c r="C2727" s="2">
        <v>46239.416666666664</v>
      </c>
      <c r="D2727" s="8" t="s">
        <v>13933</v>
      </c>
      <c r="E2727" s="8" t="s">
        <v>24</v>
      </c>
      <c r="F2727">
        <v>1</v>
      </c>
      <c r="G2727" s="2">
        <v>46239.75</v>
      </c>
      <c r="H2727" s="2">
        <v>46239.583333333336</v>
      </c>
    </row>
    <row r="2728" spans="1:8" x14ac:dyDescent="0.25">
      <c r="A2728" s="8" t="s">
        <v>8825</v>
      </c>
      <c r="B2728" s="8" t="s">
        <v>14319</v>
      </c>
      <c r="C2728" s="2">
        <v>46239.416666666664</v>
      </c>
      <c r="D2728" s="8" t="s">
        <v>13933</v>
      </c>
      <c r="E2728" s="8" t="s">
        <v>26</v>
      </c>
      <c r="F2728">
        <v>5</v>
      </c>
      <c r="G2728" s="2">
        <v>46239.75</v>
      </c>
      <c r="H2728" s="2">
        <v>46239.583333333336</v>
      </c>
    </row>
    <row r="2729" spans="1:8" x14ac:dyDescent="0.25">
      <c r="A2729" s="8" t="s">
        <v>8828</v>
      </c>
      <c r="B2729" s="8" t="s">
        <v>14319</v>
      </c>
      <c r="C2729" s="2">
        <v>46239.416666666664</v>
      </c>
      <c r="D2729" s="8" t="s">
        <v>13933</v>
      </c>
      <c r="E2729" s="8" t="s">
        <v>30</v>
      </c>
      <c r="F2729">
        <v>6</v>
      </c>
      <c r="G2729" s="2">
        <v>46239.75</v>
      </c>
      <c r="H2729" s="2">
        <v>46239.583333333336</v>
      </c>
    </row>
    <row r="2730" spans="1:8" x14ac:dyDescent="0.25">
      <c r="A2730" s="8" t="s">
        <v>8831</v>
      </c>
      <c r="B2730" s="8" t="s">
        <v>14319</v>
      </c>
      <c r="C2730" s="2">
        <v>46239.416666666664</v>
      </c>
      <c r="D2730" s="8" t="s">
        <v>13933</v>
      </c>
      <c r="E2730" s="8" t="s">
        <v>36</v>
      </c>
      <c r="F2730">
        <v>6</v>
      </c>
      <c r="G2730" s="2">
        <v>46239.75</v>
      </c>
      <c r="H2730" s="2">
        <v>46239.583333333336</v>
      </c>
    </row>
    <row r="2731" spans="1:8" x14ac:dyDescent="0.25">
      <c r="A2731" s="8" t="s">
        <v>8834</v>
      </c>
      <c r="B2731" s="8" t="s">
        <v>14319</v>
      </c>
      <c r="C2731" s="2">
        <v>46239.416666666664</v>
      </c>
      <c r="D2731" s="8" t="s">
        <v>13933</v>
      </c>
      <c r="E2731" s="8" t="s">
        <v>51</v>
      </c>
      <c r="F2731">
        <v>4</v>
      </c>
      <c r="G2731" s="2">
        <v>46239.75</v>
      </c>
      <c r="H2731" s="2">
        <v>46239.583333333336</v>
      </c>
    </row>
    <row r="2732" spans="1:8" x14ac:dyDescent="0.25">
      <c r="A2732" s="8" t="s">
        <v>8837</v>
      </c>
      <c r="B2732" s="8" t="s">
        <v>14319</v>
      </c>
      <c r="C2732" s="2">
        <v>46239.416666666664</v>
      </c>
      <c r="D2732" s="8" t="s">
        <v>13933</v>
      </c>
      <c r="E2732" s="8" t="s">
        <v>53</v>
      </c>
      <c r="F2732">
        <v>4</v>
      </c>
      <c r="G2732" s="2">
        <v>46239.75</v>
      </c>
      <c r="H2732" s="2">
        <v>46239.583333333336</v>
      </c>
    </row>
    <row r="2733" spans="1:8" x14ac:dyDescent="0.25">
      <c r="A2733" s="8" t="s">
        <v>8840</v>
      </c>
      <c r="B2733" s="8" t="s">
        <v>14319</v>
      </c>
      <c r="C2733" s="2">
        <v>46239.416666666664</v>
      </c>
      <c r="D2733" s="8" t="s">
        <v>13933</v>
      </c>
      <c r="E2733" s="8" t="s">
        <v>67</v>
      </c>
      <c r="F2733">
        <v>4</v>
      </c>
      <c r="G2733" s="2">
        <v>46239.75</v>
      </c>
      <c r="H2733" s="2">
        <v>46239.583333333336</v>
      </c>
    </row>
    <row r="2734" spans="1:8" x14ac:dyDescent="0.25">
      <c r="A2734" s="8" t="s">
        <v>8843</v>
      </c>
      <c r="B2734" s="8" t="s">
        <v>14319</v>
      </c>
      <c r="C2734" s="2">
        <v>46239.416666666664</v>
      </c>
      <c r="D2734" s="8" t="s">
        <v>13933</v>
      </c>
      <c r="E2734" s="8" t="s">
        <v>73</v>
      </c>
      <c r="F2734">
        <v>6</v>
      </c>
      <c r="G2734" s="2">
        <v>46239.75</v>
      </c>
      <c r="H2734" s="2">
        <v>46239.583333333336</v>
      </c>
    </row>
    <row r="2735" spans="1:8" x14ac:dyDescent="0.25">
      <c r="A2735" s="8" t="s">
        <v>8846</v>
      </c>
      <c r="B2735" s="8" t="s">
        <v>14320</v>
      </c>
      <c r="C2735" s="2">
        <v>46239.416666666664</v>
      </c>
      <c r="D2735" s="8" t="s">
        <v>13935</v>
      </c>
      <c r="E2735" s="8" t="s">
        <v>11</v>
      </c>
      <c r="F2735">
        <v>4</v>
      </c>
      <c r="G2735" s="2">
        <v>46239.75</v>
      </c>
      <c r="H2735" s="2">
        <v>46239.583333333336</v>
      </c>
    </row>
    <row r="2736" spans="1:8" x14ac:dyDescent="0.25">
      <c r="A2736" s="8" t="s">
        <v>8849</v>
      </c>
      <c r="B2736" s="8" t="s">
        <v>14320</v>
      </c>
      <c r="C2736" s="2">
        <v>46239.416666666664</v>
      </c>
      <c r="D2736" s="8" t="s">
        <v>13935</v>
      </c>
      <c r="E2736" s="8" t="s">
        <v>18</v>
      </c>
      <c r="F2736">
        <v>3</v>
      </c>
      <c r="G2736" s="2">
        <v>46239.75</v>
      </c>
      <c r="H2736" s="2">
        <v>46239.583333333336</v>
      </c>
    </row>
    <row r="2737" spans="1:8" x14ac:dyDescent="0.25">
      <c r="A2737" s="8" t="s">
        <v>8852</v>
      </c>
      <c r="B2737" s="8" t="s">
        <v>14320</v>
      </c>
      <c r="C2737" s="2">
        <v>46239.416666666664</v>
      </c>
      <c r="D2737" s="8" t="s">
        <v>13935</v>
      </c>
      <c r="E2737" s="8" t="s">
        <v>20</v>
      </c>
      <c r="F2737">
        <v>7</v>
      </c>
      <c r="G2737" s="2">
        <v>46239.75</v>
      </c>
      <c r="H2737" s="2">
        <v>46239.583333333336</v>
      </c>
    </row>
    <row r="2738" spans="1:8" x14ac:dyDescent="0.25">
      <c r="A2738" s="8" t="s">
        <v>8855</v>
      </c>
      <c r="B2738" s="8" t="s">
        <v>14320</v>
      </c>
      <c r="C2738" s="2">
        <v>46239.416666666664</v>
      </c>
      <c r="D2738" s="8" t="s">
        <v>13935</v>
      </c>
      <c r="E2738" s="8" t="s">
        <v>22</v>
      </c>
      <c r="F2738">
        <v>3</v>
      </c>
      <c r="G2738" s="2">
        <v>46239.75</v>
      </c>
      <c r="H2738" s="2">
        <v>46239.583333333336</v>
      </c>
    </row>
    <row r="2739" spans="1:8" x14ac:dyDescent="0.25">
      <c r="A2739" s="8" t="s">
        <v>8860</v>
      </c>
      <c r="B2739" s="8" t="s">
        <v>14320</v>
      </c>
      <c r="C2739" s="2">
        <v>46239.416666666664</v>
      </c>
      <c r="D2739" s="8" t="s">
        <v>13935</v>
      </c>
      <c r="E2739" s="8" t="s">
        <v>24</v>
      </c>
      <c r="F2739">
        <v>1</v>
      </c>
      <c r="G2739" s="2">
        <v>46239.75</v>
      </c>
      <c r="H2739" s="2">
        <v>46239.583333333336</v>
      </c>
    </row>
    <row r="2740" spans="1:8" x14ac:dyDescent="0.25">
      <c r="A2740" s="8" t="s">
        <v>8863</v>
      </c>
      <c r="B2740" s="8" t="s">
        <v>14320</v>
      </c>
      <c r="C2740" s="2">
        <v>46239.416666666664</v>
      </c>
      <c r="D2740" s="8" t="s">
        <v>13935</v>
      </c>
      <c r="E2740" s="8" t="s">
        <v>32</v>
      </c>
      <c r="F2740">
        <v>7</v>
      </c>
      <c r="G2740" s="2">
        <v>46239.75</v>
      </c>
      <c r="H2740" s="2">
        <v>46239.583333333336</v>
      </c>
    </row>
    <row r="2741" spans="1:8" x14ac:dyDescent="0.25">
      <c r="A2741" s="8" t="s">
        <v>8866</v>
      </c>
      <c r="B2741" s="8" t="s">
        <v>14320</v>
      </c>
      <c r="C2741" s="2">
        <v>46239.416666666664</v>
      </c>
      <c r="D2741" s="8" t="s">
        <v>13935</v>
      </c>
      <c r="E2741" s="8" t="s">
        <v>47</v>
      </c>
      <c r="F2741">
        <v>1</v>
      </c>
      <c r="G2741" s="2">
        <v>46239.75</v>
      </c>
      <c r="H2741" s="2">
        <v>46239.583333333336</v>
      </c>
    </row>
    <row r="2742" spans="1:8" x14ac:dyDescent="0.25">
      <c r="A2742" s="8" t="s">
        <v>8869</v>
      </c>
      <c r="B2742" s="8" t="s">
        <v>14320</v>
      </c>
      <c r="C2742" s="2">
        <v>46239.416666666664</v>
      </c>
      <c r="D2742" s="8" t="s">
        <v>13935</v>
      </c>
      <c r="E2742" s="8" t="s">
        <v>65</v>
      </c>
      <c r="F2742">
        <v>4</v>
      </c>
      <c r="G2742" s="2">
        <v>46239.75</v>
      </c>
      <c r="H2742" s="2">
        <v>46239.583333333336</v>
      </c>
    </row>
    <row r="2743" spans="1:8" x14ac:dyDescent="0.25">
      <c r="A2743" s="8" t="s">
        <v>8872</v>
      </c>
      <c r="B2743" s="8" t="s">
        <v>14321</v>
      </c>
      <c r="C2743" s="2">
        <v>46239.416666666664</v>
      </c>
      <c r="D2743" s="8" t="s">
        <v>13937</v>
      </c>
      <c r="E2743" s="8" t="s">
        <v>18</v>
      </c>
      <c r="F2743">
        <v>1</v>
      </c>
      <c r="G2743" s="2">
        <v>46239.75</v>
      </c>
      <c r="H2743" s="2">
        <v>46239.583333333336</v>
      </c>
    </row>
    <row r="2744" spans="1:8" x14ac:dyDescent="0.25">
      <c r="A2744" s="8" t="s">
        <v>8875</v>
      </c>
      <c r="B2744" s="8" t="s">
        <v>14321</v>
      </c>
      <c r="C2744" s="2">
        <v>46239.416666666664</v>
      </c>
      <c r="D2744" s="8" t="s">
        <v>13937</v>
      </c>
      <c r="E2744" s="8" t="s">
        <v>20</v>
      </c>
      <c r="F2744">
        <v>3</v>
      </c>
      <c r="G2744" s="2">
        <v>46239.75</v>
      </c>
      <c r="H2744" s="2">
        <v>46239.583333333336</v>
      </c>
    </row>
    <row r="2745" spans="1:8" x14ac:dyDescent="0.25">
      <c r="A2745" s="8" t="s">
        <v>8878</v>
      </c>
      <c r="B2745" s="8" t="s">
        <v>14321</v>
      </c>
      <c r="C2745" s="2">
        <v>46239.416666666664</v>
      </c>
      <c r="D2745" s="8" t="s">
        <v>13937</v>
      </c>
      <c r="E2745" s="8" t="s">
        <v>24</v>
      </c>
      <c r="F2745">
        <v>4</v>
      </c>
      <c r="G2745" s="2">
        <v>46239.75</v>
      </c>
      <c r="H2745" s="2">
        <v>46239.583333333336</v>
      </c>
    </row>
    <row r="2746" spans="1:8" x14ac:dyDescent="0.25">
      <c r="A2746" s="8" t="s">
        <v>8881</v>
      </c>
      <c r="B2746" s="8" t="s">
        <v>14321</v>
      </c>
      <c r="C2746" s="2">
        <v>46239.416666666664</v>
      </c>
      <c r="D2746" s="8" t="s">
        <v>13937</v>
      </c>
      <c r="E2746" s="8" t="s">
        <v>26</v>
      </c>
      <c r="F2746">
        <v>4</v>
      </c>
      <c r="G2746" s="2">
        <v>46239.75</v>
      </c>
      <c r="H2746" s="2">
        <v>46239.583333333336</v>
      </c>
    </row>
    <row r="2747" spans="1:8" x14ac:dyDescent="0.25">
      <c r="A2747" s="8" t="s">
        <v>8884</v>
      </c>
      <c r="B2747" s="8" t="s">
        <v>14321</v>
      </c>
      <c r="C2747" s="2">
        <v>46239.416666666664</v>
      </c>
      <c r="D2747" s="8" t="s">
        <v>13937</v>
      </c>
      <c r="E2747" s="8" t="s">
        <v>41</v>
      </c>
      <c r="F2747">
        <v>2</v>
      </c>
      <c r="G2747" s="2">
        <v>46239.75</v>
      </c>
      <c r="H2747" s="2">
        <v>46239.583333333336</v>
      </c>
    </row>
    <row r="2748" spans="1:8" x14ac:dyDescent="0.25">
      <c r="A2748" s="8" t="s">
        <v>8887</v>
      </c>
      <c r="B2748" s="8" t="s">
        <v>14321</v>
      </c>
      <c r="C2748" s="2">
        <v>46239.416666666664</v>
      </c>
      <c r="D2748" s="8" t="s">
        <v>13937</v>
      </c>
      <c r="E2748" s="8" t="s">
        <v>47</v>
      </c>
      <c r="F2748">
        <v>4</v>
      </c>
      <c r="G2748" s="2">
        <v>46239.75</v>
      </c>
      <c r="H2748" s="2">
        <v>46239.583333333336</v>
      </c>
    </row>
    <row r="2749" spans="1:8" x14ac:dyDescent="0.25">
      <c r="A2749" s="8" t="s">
        <v>8890</v>
      </c>
      <c r="B2749" s="8" t="s">
        <v>14321</v>
      </c>
      <c r="C2749" s="2">
        <v>46239.416666666664</v>
      </c>
      <c r="D2749" s="8" t="s">
        <v>13937</v>
      </c>
      <c r="E2749" s="8" t="s">
        <v>71</v>
      </c>
      <c r="F2749">
        <v>3</v>
      </c>
      <c r="G2749" s="2">
        <v>46239.75</v>
      </c>
      <c r="H2749" s="2">
        <v>46239.583333333336</v>
      </c>
    </row>
    <row r="2750" spans="1:8" x14ac:dyDescent="0.25">
      <c r="A2750" s="8" t="s">
        <v>8893</v>
      </c>
      <c r="B2750" s="8" t="s">
        <v>14322</v>
      </c>
      <c r="C2750" s="2">
        <v>46240.416666666664</v>
      </c>
      <c r="D2750" s="8" t="s">
        <v>13929</v>
      </c>
      <c r="E2750" s="8" t="s">
        <v>11</v>
      </c>
      <c r="F2750">
        <v>3</v>
      </c>
      <c r="G2750" s="2">
        <v>46240.75</v>
      </c>
      <c r="H2750" s="2">
        <v>46240.583333333336</v>
      </c>
    </row>
    <row r="2751" spans="1:8" x14ac:dyDescent="0.25">
      <c r="A2751" s="8" t="s">
        <v>8896</v>
      </c>
      <c r="B2751" s="8" t="s">
        <v>14322</v>
      </c>
      <c r="C2751" s="2">
        <v>46240.416666666664</v>
      </c>
      <c r="D2751" s="8" t="s">
        <v>13929</v>
      </c>
      <c r="E2751" s="8" t="s">
        <v>18</v>
      </c>
      <c r="F2751">
        <v>3</v>
      </c>
      <c r="G2751" s="2">
        <v>46240.75</v>
      </c>
      <c r="H2751" s="2">
        <v>46240.583333333336</v>
      </c>
    </row>
    <row r="2752" spans="1:8" x14ac:dyDescent="0.25">
      <c r="A2752" s="8" t="s">
        <v>8899</v>
      </c>
      <c r="B2752" s="8" t="s">
        <v>14322</v>
      </c>
      <c r="C2752" s="2">
        <v>46240.416666666664</v>
      </c>
      <c r="D2752" s="8" t="s">
        <v>13929</v>
      </c>
      <c r="E2752" s="8" t="s">
        <v>22</v>
      </c>
      <c r="F2752">
        <v>4</v>
      </c>
      <c r="G2752" s="2">
        <v>46240.75</v>
      </c>
      <c r="H2752" s="2">
        <v>46240.583333333336</v>
      </c>
    </row>
    <row r="2753" spans="1:8" x14ac:dyDescent="0.25">
      <c r="A2753" s="8" t="s">
        <v>8902</v>
      </c>
      <c r="B2753" s="8" t="s">
        <v>14322</v>
      </c>
      <c r="C2753" s="2">
        <v>46240.416666666664</v>
      </c>
      <c r="D2753" s="8" t="s">
        <v>13929</v>
      </c>
      <c r="E2753" s="8" t="s">
        <v>24</v>
      </c>
      <c r="F2753">
        <v>4</v>
      </c>
      <c r="G2753" s="2">
        <v>46240.75</v>
      </c>
      <c r="H2753" s="2">
        <v>46240.583333333336</v>
      </c>
    </row>
    <row r="2754" spans="1:8" x14ac:dyDescent="0.25">
      <c r="A2754" s="8" t="s">
        <v>8905</v>
      </c>
      <c r="B2754" s="8" t="s">
        <v>14322</v>
      </c>
      <c r="C2754" s="2">
        <v>46240.416666666664</v>
      </c>
      <c r="D2754" s="8" t="s">
        <v>13929</v>
      </c>
      <c r="E2754" s="8" t="s">
        <v>26</v>
      </c>
      <c r="F2754">
        <v>1</v>
      </c>
      <c r="G2754" s="2">
        <v>46240.75</v>
      </c>
      <c r="H2754" s="2">
        <v>46240.583333333336</v>
      </c>
    </row>
    <row r="2755" spans="1:8" x14ac:dyDescent="0.25">
      <c r="A2755" s="8" t="s">
        <v>8908</v>
      </c>
      <c r="B2755" s="8" t="s">
        <v>14322</v>
      </c>
      <c r="C2755" s="2">
        <v>46240.416666666664</v>
      </c>
      <c r="D2755" s="8" t="s">
        <v>13929</v>
      </c>
      <c r="E2755" s="8" t="s">
        <v>36</v>
      </c>
      <c r="F2755">
        <v>3</v>
      </c>
      <c r="G2755" s="2">
        <v>46240.75</v>
      </c>
      <c r="H2755" s="2">
        <v>46240.583333333336</v>
      </c>
    </row>
    <row r="2756" spans="1:8" x14ac:dyDescent="0.25">
      <c r="A2756" s="8" t="s">
        <v>8911</v>
      </c>
      <c r="B2756" s="8" t="s">
        <v>14322</v>
      </c>
      <c r="C2756" s="2">
        <v>46240.416666666664</v>
      </c>
      <c r="D2756" s="8" t="s">
        <v>13929</v>
      </c>
      <c r="E2756" s="8" t="s">
        <v>43</v>
      </c>
      <c r="F2756">
        <v>2</v>
      </c>
      <c r="G2756" s="2">
        <v>46240.75</v>
      </c>
      <c r="H2756" s="2">
        <v>46240.583333333336</v>
      </c>
    </row>
    <row r="2757" spans="1:8" x14ac:dyDescent="0.25">
      <c r="A2757" s="8" t="s">
        <v>8914</v>
      </c>
      <c r="B2757" s="8" t="s">
        <v>14322</v>
      </c>
      <c r="C2757" s="2">
        <v>46240.416666666664</v>
      </c>
      <c r="D2757" s="8" t="s">
        <v>13929</v>
      </c>
      <c r="E2757" s="8" t="s">
        <v>49</v>
      </c>
      <c r="F2757">
        <v>4</v>
      </c>
      <c r="G2757" s="2">
        <v>46240.75</v>
      </c>
      <c r="H2757" s="2">
        <v>46240.583333333336</v>
      </c>
    </row>
    <row r="2758" spans="1:8" x14ac:dyDescent="0.25">
      <c r="A2758" s="8" t="s">
        <v>8917</v>
      </c>
      <c r="B2758" s="8" t="s">
        <v>14322</v>
      </c>
      <c r="C2758" s="2">
        <v>46240.416666666664</v>
      </c>
      <c r="D2758" s="8" t="s">
        <v>13929</v>
      </c>
      <c r="E2758" s="8" t="s">
        <v>53</v>
      </c>
      <c r="F2758">
        <v>1</v>
      </c>
      <c r="G2758" s="2">
        <v>46240.75</v>
      </c>
      <c r="H2758" s="2">
        <v>46240.583333333336</v>
      </c>
    </row>
    <row r="2759" spans="1:8" x14ac:dyDescent="0.25">
      <c r="A2759" s="8" t="s">
        <v>8920</v>
      </c>
      <c r="B2759" s="8" t="s">
        <v>14322</v>
      </c>
      <c r="C2759" s="2">
        <v>46240.416666666664</v>
      </c>
      <c r="D2759" s="8" t="s">
        <v>13929</v>
      </c>
      <c r="E2759" s="8" t="s">
        <v>57</v>
      </c>
      <c r="F2759">
        <v>3</v>
      </c>
      <c r="G2759" s="2">
        <v>46240.75</v>
      </c>
      <c r="H2759" s="2">
        <v>46240.583333333336</v>
      </c>
    </row>
    <row r="2760" spans="1:8" x14ac:dyDescent="0.25">
      <c r="A2760" s="8" t="s">
        <v>8923</v>
      </c>
      <c r="B2760" s="8" t="s">
        <v>14322</v>
      </c>
      <c r="C2760" s="2">
        <v>46240.416666666664</v>
      </c>
      <c r="D2760" s="8" t="s">
        <v>13929</v>
      </c>
      <c r="E2760" s="8" t="s">
        <v>67</v>
      </c>
      <c r="F2760">
        <v>2</v>
      </c>
      <c r="G2760" s="2">
        <v>46240.75</v>
      </c>
      <c r="H2760" s="2">
        <v>46240.583333333336</v>
      </c>
    </row>
    <row r="2761" spans="1:8" x14ac:dyDescent="0.25">
      <c r="A2761" s="8" t="s">
        <v>8926</v>
      </c>
      <c r="B2761" s="8" t="s">
        <v>14322</v>
      </c>
      <c r="C2761" s="2">
        <v>46240.416666666664</v>
      </c>
      <c r="D2761" s="8" t="s">
        <v>13929</v>
      </c>
      <c r="E2761" s="8" t="s">
        <v>73</v>
      </c>
      <c r="F2761">
        <v>4</v>
      </c>
      <c r="G2761" s="2">
        <v>46240.75</v>
      </c>
      <c r="H2761" s="2">
        <v>46240.583333333336</v>
      </c>
    </row>
    <row r="2762" spans="1:8" x14ac:dyDescent="0.25">
      <c r="A2762" s="8" t="s">
        <v>8929</v>
      </c>
      <c r="B2762" s="8" t="s">
        <v>14322</v>
      </c>
      <c r="C2762" s="2">
        <v>46240.416666666664</v>
      </c>
      <c r="D2762" s="8" t="s">
        <v>13929</v>
      </c>
      <c r="E2762" s="8" t="s">
        <v>77</v>
      </c>
      <c r="F2762">
        <v>3</v>
      </c>
      <c r="G2762" s="2">
        <v>46240.75</v>
      </c>
      <c r="H2762" s="2">
        <v>46240.583333333336</v>
      </c>
    </row>
    <row r="2763" spans="1:8" x14ac:dyDescent="0.25">
      <c r="A2763" s="8" t="s">
        <v>8932</v>
      </c>
      <c r="B2763" s="8" t="s">
        <v>14323</v>
      </c>
      <c r="C2763" s="2">
        <v>46240.416666666664</v>
      </c>
      <c r="D2763" s="8" t="s">
        <v>13931</v>
      </c>
      <c r="E2763" s="8" t="s">
        <v>11</v>
      </c>
      <c r="F2763">
        <v>4</v>
      </c>
      <c r="G2763" s="2">
        <v>46240.75</v>
      </c>
      <c r="H2763" s="2">
        <v>46240.583333333336</v>
      </c>
    </row>
    <row r="2764" spans="1:8" x14ac:dyDescent="0.25">
      <c r="A2764" s="8" t="s">
        <v>8935</v>
      </c>
      <c r="B2764" s="8" t="s">
        <v>14323</v>
      </c>
      <c r="C2764" s="2">
        <v>46240.416666666664</v>
      </c>
      <c r="D2764" s="8" t="s">
        <v>13931</v>
      </c>
      <c r="E2764" s="8" t="s">
        <v>18</v>
      </c>
      <c r="F2764">
        <v>5</v>
      </c>
      <c r="G2764" s="2">
        <v>46240.75</v>
      </c>
      <c r="H2764" s="2">
        <v>46240.583333333336</v>
      </c>
    </row>
    <row r="2765" spans="1:8" x14ac:dyDescent="0.25">
      <c r="A2765" s="8" t="s">
        <v>8938</v>
      </c>
      <c r="B2765" s="8" t="s">
        <v>14323</v>
      </c>
      <c r="C2765" s="2">
        <v>46240.416666666664</v>
      </c>
      <c r="D2765" s="8" t="s">
        <v>13931</v>
      </c>
      <c r="E2765" s="8" t="s">
        <v>20</v>
      </c>
      <c r="F2765">
        <v>5</v>
      </c>
      <c r="G2765" s="2">
        <v>46240.75</v>
      </c>
      <c r="H2765" s="2">
        <v>46240.583333333336</v>
      </c>
    </row>
    <row r="2766" spans="1:8" x14ac:dyDescent="0.25">
      <c r="A2766" s="8" t="s">
        <v>8941</v>
      </c>
      <c r="B2766" s="8" t="s">
        <v>14323</v>
      </c>
      <c r="C2766" s="2">
        <v>46240.416666666664</v>
      </c>
      <c r="D2766" s="8" t="s">
        <v>13931</v>
      </c>
      <c r="E2766" s="8" t="s">
        <v>22</v>
      </c>
      <c r="F2766">
        <v>4</v>
      </c>
      <c r="G2766" s="2">
        <v>46240.75</v>
      </c>
      <c r="H2766" s="2">
        <v>46240.583333333336</v>
      </c>
    </row>
    <row r="2767" spans="1:8" x14ac:dyDescent="0.25">
      <c r="A2767" s="8" t="s">
        <v>8944</v>
      </c>
      <c r="B2767" s="8" t="s">
        <v>14323</v>
      </c>
      <c r="C2767" s="2">
        <v>46240.416666666664</v>
      </c>
      <c r="D2767" s="8" t="s">
        <v>13931</v>
      </c>
      <c r="E2767" s="8" t="s">
        <v>24</v>
      </c>
      <c r="F2767">
        <v>5</v>
      </c>
      <c r="G2767" s="2">
        <v>46240.75</v>
      </c>
      <c r="H2767" s="2">
        <v>46240.583333333336</v>
      </c>
    </row>
    <row r="2768" spans="1:8" x14ac:dyDescent="0.25">
      <c r="A2768" s="8" t="s">
        <v>8947</v>
      </c>
      <c r="B2768" s="8" t="s">
        <v>14323</v>
      </c>
      <c r="C2768" s="2">
        <v>46240.416666666664</v>
      </c>
      <c r="D2768" s="8" t="s">
        <v>13931</v>
      </c>
      <c r="E2768" s="8" t="s">
        <v>32</v>
      </c>
      <c r="F2768">
        <v>2</v>
      </c>
      <c r="G2768" s="2">
        <v>46240.75</v>
      </c>
      <c r="H2768" s="2">
        <v>46240.583333333336</v>
      </c>
    </row>
    <row r="2769" spans="1:8" x14ac:dyDescent="0.25">
      <c r="A2769" s="8" t="s">
        <v>8950</v>
      </c>
      <c r="B2769" s="8" t="s">
        <v>14323</v>
      </c>
      <c r="C2769" s="2">
        <v>46240.416666666664</v>
      </c>
      <c r="D2769" s="8" t="s">
        <v>13931</v>
      </c>
      <c r="E2769" s="8" t="s">
        <v>41</v>
      </c>
      <c r="F2769">
        <v>5</v>
      </c>
      <c r="G2769" s="2">
        <v>46240.75</v>
      </c>
      <c r="H2769" s="2">
        <v>46240.583333333336</v>
      </c>
    </row>
    <row r="2770" spans="1:8" x14ac:dyDescent="0.25">
      <c r="A2770" s="8" t="s">
        <v>8953</v>
      </c>
      <c r="B2770" s="8" t="s">
        <v>14323</v>
      </c>
      <c r="C2770" s="2">
        <v>46240.416666666664</v>
      </c>
      <c r="D2770" s="8" t="s">
        <v>13931</v>
      </c>
      <c r="E2770" s="8" t="s">
        <v>53</v>
      </c>
      <c r="F2770">
        <v>1</v>
      </c>
      <c r="G2770" s="2">
        <v>46240.75</v>
      </c>
      <c r="H2770" s="2">
        <v>46240.583333333336</v>
      </c>
    </row>
    <row r="2771" spans="1:8" x14ac:dyDescent="0.25">
      <c r="A2771" s="8" t="s">
        <v>8956</v>
      </c>
      <c r="B2771" s="8" t="s">
        <v>14323</v>
      </c>
      <c r="C2771" s="2">
        <v>46240.416666666664</v>
      </c>
      <c r="D2771" s="8" t="s">
        <v>13931</v>
      </c>
      <c r="E2771" s="8" t="s">
        <v>69</v>
      </c>
      <c r="F2771">
        <v>3</v>
      </c>
      <c r="G2771" s="2">
        <v>46240.75</v>
      </c>
      <c r="H2771" s="2">
        <v>46240.583333333336</v>
      </c>
    </row>
    <row r="2772" spans="1:8" x14ac:dyDescent="0.25">
      <c r="A2772" s="8" t="s">
        <v>8959</v>
      </c>
      <c r="B2772" s="8" t="s">
        <v>14323</v>
      </c>
      <c r="C2772" s="2">
        <v>46240.416666666664</v>
      </c>
      <c r="D2772" s="8" t="s">
        <v>13931</v>
      </c>
      <c r="E2772" s="8" t="s">
        <v>71</v>
      </c>
      <c r="F2772">
        <v>2</v>
      </c>
      <c r="G2772" s="2">
        <v>46240.75</v>
      </c>
      <c r="H2772" s="2">
        <v>46240.583333333336</v>
      </c>
    </row>
    <row r="2773" spans="1:8" x14ac:dyDescent="0.25">
      <c r="A2773" s="8" t="s">
        <v>8962</v>
      </c>
      <c r="B2773" s="8" t="s">
        <v>14323</v>
      </c>
      <c r="C2773" s="2">
        <v>46240.416666666664</v>
      </c>
      <c r="D2773" s="8" t="s">
        <v>13931</v>
      </c>
      <c r="E2773" s="8" t="s">
        <v>73</v>
      </c>
      <c r="F2773">
        <v>5</v>
      </c>
      <c r="G2773" s="2">
        <v>46240.75</v>
      </c>
      <c r="H2773" s="2">
        <v>46240.583333333336</v>
      </c>
    </row>
    <row r="2774" spans="1:8" x14ac:dyDescent="0.25">
      <c r="A2774" s="8" t="s">
        <v>8965</v>
      </c>
      <c r="B2774" s="8" t="s">
        <v>14324</v>
      </c>
      <c r="C2774" s="2">
        <v>46240.416666666664</v>
      </c>
      <c r="D2774" s="8" t="s">
        <v>13933</v>
      </c>
      <c r="E2774" s="8" t="s">
        <v>11</v>
      </c>
      <c r="F2774">
        <v>1</v>
      </c>
      <c r="G2774" s="2">
        <v>46240.75</v>
      </c>
      <c r="H2774" s="2">
        <v>46240.583333333336</v>
      </c>
    </row>
    <row r="2775" spans="1:8" x14ac:dyDescent="0.25">
      <c r="A2775" s="8" t="s">
        <v>8968</v>
      </c>
      <c r="B2775" s="8" t="s">
        <v>14324</v>
      </c>
      <c r="C2775" s="2">
        <v>46240.416666666664</v>
      </c>
      <c r="D2775" s="8" t="s">
        <v>13933</v>
      </c>
      <c r="E2775" s="8" t="s">
        <v>22</v>
      </c>
      <c r="F2775">
        <v>4</v>
      </c>
      <c r="G2775" s="2">
        <v>46240.75</v>
      </c>
      <c r="H2775" s="2">
        <v>46240.583333333336</v>
      </c>
    </row>
    <row r="2776" spans="1:8" x14ac:dyDescent="0.25">
      <c r="A2776" s="8" t="s">
        <v>8971</v>
      </c>
      <c r="B2776" s="8" t="s">
        <v>14324</v>
      </c>
      <c r="C2776" s="2">
        <v>46240.416666666664</v>
      </c>
      <c r="D2776" s="8" t="s">
        <v>13933</v>
      </c>
      <c r="E2776" s="8" t="s">
        <v>24</v>
      </c>
      <c r="F2776">
        <v>6</v>
      </c>
      <c r="G2776" s="2">
        <v>46240.75</v>
      </c>
      <c r="H2776" s="2">
        <v>46240.583333333336</v>
      </c>
    </row>
    <row r="2777" spans="1:8" x14ac:dyDescent="0.25">
      <c r="A2777" s="8" t="s">
        <v>8974</v>
      </c>
      <c r="B2777" s="8" t="s">
        <v>14324</v>
      </c>
      <c r="C2777" s="2">
        <v>46240.416666666664</v>
      </c>
      <c r="D2777" s="8" t="s">
        <v>13933</v>
      </c>
      <c r="E2777" s="8" t="s">
        <v>26</v>
      </c>
      <c r="F2777">
        <v>4</v>
      </c>
      <c r="G2777" s="2">
        <v>46240.75</v>
      </c>
      <c r="H2777" s="2">
        <v>46240.583333333336</v>
      </c>
    </row>
    <row r="2778" spans="1:8" x14ac:dyDescent="0.25">
      <c r="A2778" s="8" t="s">
        <v>8979</v>
      </c>
      <c r="B2778" s="8" t="s">
        <v>14324</v>
      </c>
      <c r="C2778" s="2">
        <v>46240.416666666664</v>
      </c>
      <c r="D2778" s="8" t="s">
        <v>13933</v>
      </c>
      <c r="E2778" s="8" t="s">
        <v>28</v>
      </c>
      <c r="F2778">
        <v>1</v>
      </c>
      <c r="G2778" s="2">
        <v>46240.75</v>
      </c>
      <c r="H2778" s="2">
        <v>46240.583333333336</v>
      </c>
    </row>
    <row r="2779" spans="1:8" x14ac:dyDescent="0.25">
      <c r="A2779" s="8" t="s">
        <v>8982</v>
      </c>
      <c r="B2779" s="8" t="s">
        <v>14324</v>
      </c>
      <c r="C2779" s="2">
        <v>46240.416666666664</v>
      </c>
      <c r="D2779" s="8" t="s">
        <v>13933</v>
      </c>
      <c r="E2779" s="8" t="s">
        <v>30</v>
      </c>
      <c r="F2779">
        <v>2</v>
      </c>
      <c r="G2779" s="2">
        <v>46240.75</v>
      </c>
      <c r="H2779" s="2">
        <v>46240.583333333336</v>
      </c>
    </row>
    <row r="2780" spans="1:8" x14ac:dyDescent="0.25">
      <c r="A2780" s="8" t="s">
        <v>8985</v>
      </c>
      <c r="B2780" s="8" t="s">
        <v>14324</v>
      </c>
      <c r="C2780" s="2">
        <v>46240.416666666664</v>
      </c>
      <c r="D2780" s="8" t="s">
        <v>13933</v>
      </c>
      <c r="E2780" s="8" t="s">
        <v>41</v>
      </c>
      <c r="F2780">
        <v>5</v>
      </c>
      <c r="G2780" s="2">
        <v>46240.75</v>
      </c>
      <c r="H2780" s="2">
        <v>46240.583333333336</v>
      </c>
    </row>
    <row r="2781" spans="1:8" x14ac:dyDescent="0.25">
      <c r="A2781" s="8" t="s">
        <v>8988</v>
      </c>
      <c r="B2781" s="8" t="s">
        <v>14324</v>
      </c>
      <c r="C2781" s="2">
        <v>46240.416666666664</v>
      </c>
      <c r="D2781" s="8" t="s">
        <v>13933</v>
      </c>
      <c r="E2781" s="8" t="s">
        <v>51</v>
      </c>
      <c r="F2781">
        <v>2</v>
      </c>
      <c r="G2781" s="2">
        <v>46240.75</v>
      </c>
      <c r="H2781" s="2">
        <v>46240.583333333336</v>
      </c>
    </row>
    <row r="2782" spans="1:8" x14ac:dyDescent="0.25">
      <c r="A2782" s="8" t="s">
        <v>8991</v>
      </c>
      <c r="B2782" s="8" t="s">
        <v>14324</v>
      </c>
      <c r="C2782" s="2">
        <v>46240.416666666664</v>
      </c>
      <c r="D2782" s="8" t="s">
        <v>13933</v>
      </c>
      <c r="E2782" s="8" t="s">
        <v>55</v>
      </c>
      <c r="F2782">
        <v>5</v>
      </c>
      <c r="G2782" s="2">
        <v>46240.75</v>
      </c>
      <c r="H2782" s="2">
        <v>46240.583333333336</v>
      </c>
    </row>
    <row r="2783" spans="1:8" x14ac:dyDescent="0.25">
      <c r="A2783" s="8" t="s">
        <v>8994</v>
      </c>
      <c r="B2783" s="8" t="s">
        <v>14324</v>
      </c>
      <c r="C2783" s="2">
        <v>46240.416666666664</v>
      </c>
      <c r="D2783" s="8" t="s">
        <v>13933</v>
      </c>
      <c r="E2783" s="8" t="s">
        <v>67</v>
      </c>
      <c r="F2783">
        <v>1</v>
      </c>
      <c r="G2783" s="2">
        <v>46240.75</v>
      </c>
      <c r="H2783" s="2">
        <v>46240.583333333336</v>
      </c>
    </row>
    <row r="2784" spans="1:8" x14ac:dyDescent="0.25">
      <c r="A2784" s="8" t="s">
        <v>8997</v>
      </c>
      <c r="B2784" s="8" t="s">
        <v>14324</v>
      </c>
      <c r="C2784" s="2">
        <v>46240.416666666664</v>
      </c>
      <c r="D2784" s="8" t="s">
        <v>13933</v>
      </c>
      <c r="E2784" s="8" t="s">
        <v>69</v>
      </c>
      <c r="F2784">
        <v>4</v>
      </c>
      <c r="G2784" s="2">
        <v>46240.75</v>
      </c>
      <c r="H2784" s="2">
        <v>46240.583333333336</v>
      </c>
    </row>
    <row r="2785" spans="1:8" x14ac:dyDescent="0.25">
      <c r="A2785" s="8" t="s">
        <v>9000</v>
      </c>
      <c r="B2785" s="8" t="s">
        <v>14324</v>
      </c>
      <c r="C2785" s="2">
        <v>46240.416666666664</v>
      </c>
      <c r="D2785" s="8" t="s">
        <v>13933</v>
      </c>
      <c r="E2785" s="8" t="s">
        <v>75</v>
      </c>
      <c r="F2785">
        <v>1</v>
      </c>
      <c r="G2785" s="2">
        <v>46240.75</v>
      </c>
      <c r="H2785" s="2">
        <v>46240.583333333336</v>
      </c>
    </row>
    <row r="2786" spans="1:8" x14ac:dyDescent="0.25">
      <c r="A2786" s="8" t="s">
        <v>9003</v>
      </c>
      <c r="B2786" s="8" t="s">
        <v>14325</v>
      </c>
      <c r="C2786" s="2">
        <v>46240.416666666664</v>
      </c>
      <c r="D2786" s="8" t="s">
        <v>13935</v>
      </c>
      <c r="E2786" s="8" t="s">
        <v>22</v>
      </c>
      <c r="F2786">
        <v>4</v>
      </c>
      <c r="G2786" s="2">
        <v>46240.75</v>
      </c>
      <c r="H2786" s="2">
        <v>46240.583333333336</v>
      </c>
    </row>
    <row r="2787" spans="1:8" x14ac:dyDescent="0.25">
      <c r="A2787" s="8" t="s">
        <v>9006</v>
      </c>
      <c r="B2787" s="8" t="s">
        <v>14325</v>
      </c>
      <c r="C2787" s="2">
        <v>46240.416666666664</v>
      </c>
      <c r="D2787" s="8" t="s">
        <v>13935</v>
      </c>
      <c r="E2787" s="8" t="s">
        <v>24</v>
      </c>
      <c r="F2787">
        <v>1</v>
      </c>
      <c r="G2787" s="2">
        <v>46240.75</v>
      </c>
      <c r="H2787" s="2">
        <v>46240.583333333336</v>
      </c>
    </row>
    <row r="2788" spans="1:8" x14ac:dyDescent="0.25">
      <c r="A2788" s="8" t="s">
        <v>9009</v>
      </c>
      <c r="B2788" s="8" t="s">
        <v>14325</v>
      </c>
      <c r="C2788" s="2">
        <v>46240.416666666664</v>
      </c>
      <c r="D2788" s="8" t="s">
        <v>13935</v>
      </c>
      <c r="E2788" s="8" t="s">
        <v>36</v>
      </c>
      <c r="F2788">
        <v>6</v>
      </c>
      <c r="G2788" s="2">
        <v>46240.75</v>
      </c>
      <c r="H2788" s="2">
        <v>46240.583333333336</v>
      </c>
    </row>
    <row r="2789" spans="1:8" x14ac:dyDescent="0.25">
      <c r="A2789" s="8" t="s">
        <v>9012</v>
      </c>
      <c r="B2789" s="8" t="s">
        <v>14325</v>
      </c>
      <c r="C2789" s="2">
        <v>46240.416666666664</v>
      </c>
      <c r="D2789" s="8" t="s">
        <v>13935</v>
      </c>
      <c r="E2789" s="8" t="s">
        <v>47</v>
      </c>
      <c r="F2789">
        <v>4</v>
      </c>
      <c r="G2789" s="2">
        <v>46240.75</v>
      </c>
      <c r="H2789" s="2">
        <v>46240.583333333336</v>
      </c>
    </row>
    <row r="2790" spans="1:8" x14ac:dyDescent="0.25">
      <c r="A2790" s="8" t="s">
        <v>9015</v>
      </c>
      <c r="B2790" s="8" t="s">
        <v>14325</v>
      </c>
      <c r="C2790" s="2">
        <v>46240.416666666664</v>
      </c>
      <c r="D2790" s="8" t="s">
        <v>13935</v>
      </c>
      <c r="E2790" s="8" t="s">
        <v>53</v>
      </c>
      <c r="F2790">
        <v>6</v>
      </c>
      <c r="G2790" s="2">
        <v>46240.75</v>
      </c>
      <c r="H2790" s="2">
        <v>46240.583333333336</v>
      </c>
    </row>
    <row r="2791" spans="1:8" x14ac:dyDescent="0.25">
      <c r="A2791" s="8" t="s">
        <v>9018</v>
      </c>
      <c r="B2791" s="8" t="s">
        <v>14326</v>
      </c>
      <c r="C2791" s="2">
        <v>46240.416666666664</v>
      </c>
      <c r="D2791" s="8" t="s">
        <v>13937</v>
      </c>
      <c r="E2791" s="8" t="s">
        <v>11</v>
      </c>
      <c r="F2791">
        <v>3</v>
      </c>
      <c r="G2791" s="2">
        <v>46240.75</v>
      </c>
      <c r="H2791" s="2">
        <v>46240.583333333336</v>
      </c>
    </row>
    <row r="2792" spans="1:8" x14ac:dyDescent="0.25">
      <c r="A2792" s="8" t="s">
        <v>9021</v>
      </c>
      <c r="B2792" s="8" t="s">
        <v>14326</v>
      </c>
      <c r="C2792" s="2">
        <v>46240.416666666664</v>
      </c>
      <c r="D2792" s="8" t="s">
        <v>13937</v>
      </c>
      <c r="E2792" s="8" t="s">
        <v>18</v>
      </c>
      <c r="F2792">
        <v>2</v>
      </c>
      <c r="G2792" s="2">
        <v>46240.75</v>
      </c>
      <c r="H2792" s="2">
        <v>46240.583333333336</v>
      </c>
    </row>
    <row r="2793" spans="1:8" x14ac:dyDescent="0.25">
      <c r="A2793" s="8" t="s">
        <v>9024</v>
      </c>
      <c r="B2793" s="8" t="s">
        <v>14326</v>
      </c>
      <c r="C2793" s="2">
        <v>46240.416666666664</v>
      </c>
      <c r="D2793" s="8" t="s">
        <v>13937</v>
      </c>
      <c r="E2793" s="8" t="s">
        <v>20</v>
      </c>
      <c r="F2793">
        <v>4</v>
      </c>
      <c r="G2793" s="2">
        <v>46240.75</v>
      </c>
      <c r="H2793" s="2">
        <v>46240.583333333336</v>
      </c>
    </row>
    <row r="2794" spans="1:8" x14ac:dyDescent="0.25">
      <c r="A2794" s="8" t="s">
        <v>9027</v>
      </c>
      <c r="B2794" s="8" t="s">
        <v>14326</v>
      </c>
      <c r="C2794" s="2">
        <v>46240.416666666664</v>
      </c>
      <c r="D2794" s="8" t="s">
        <v>13937</v>
      </c>
      <c r="E2794" s="8" t="s">
        <v>22</v>
      </c>
      <c r="F2794">
        <v>2</v>
      </c>
      <c r="G2794" s="2">
        <v>46240.75</v>
      </c>
      <c r="H2794" s="2">
        <v>46240.583333333336</v>
      </c>
    </row>
    <row r="2795" spans="1:8" x14ac:dyDescent="0.25">
      <c r="A2795" s="8" t="s">
        <v>9030</v>
      </c>
      <c r="B2795" s="8" t="s">
        <v>14326</v>
      </c>
      <c r="C2795" s="2">
        <v>46240.416666666664</v>
      </c>
      <c r="D2795" s="8" t="s">
        <v>13937</v>
      </c>
      <c r="E2795" s="8" t="s">
        <v>41</v>
      </c>
      <c r="F2795">
        <v>3</v>
      </c>
      <c r="G2795" s="2">
        <v>46240.75</v>
      </c>
      <c r="H2795" s="2">
        <v>46240.583333333336</v>
      </c>
    </row>
    <row r="2796" spans="1:8" x14ac:dyDescent="0.25">
      <c r="A2796" s="8" t="s">
        <v>9033</v>
      </c>
      <c r="B2796" s="8" t="s">
        <v>14326</v>
      </c>
      <c r="C2796" s="2">
        <v>46240.416666666664</v>
      </c>
      <c r="D2796" s="8" t="s">
        <v>13937</v>
      </c>
      <c r="E2796" s="8" t="s">
        <v>47</v>
      </c>
      <c r="F2796">
        <v>4</v>
      </c>
      <c r="G2796" s="2">
        <v>46240.75</v>
      </c>
      <c r="H2796" s="2">
        <v>46240.583333333336</v>
      </c>
    </row>
    <row r="2797" spans="1:8" x14ac:dyDescent="0.25">
      <c r="A2797" s="8" t="s">
        <v>9036</v>
      </c>
      <c r="B2797" s="8" t="s">
        <v>14326</v>
      </c>
      <c r="C2797" s="2">
        <v>46240.416666666664</v>
      </c>
      <c r="D2797" s="8" t="s">
        <v>13937</v>
      </c>
      <c r="E2797" s="8" t="s">
        <v>57</v>
      </c>
      <c r="F2797">
        <v>1</v>
      </c>
      <c r="G2797" s="2">
        <v>46240.75</v>
      </c>
      <c r="H2797" s="2">
        <v>46240.583333333336</v>
      </c>
    </row>
    <row r="2798" spans="1:8" x14ac:dyDescent="0.25">
      <c r="A2798" s="8" t="s">
        <v>9039</v>
      </c>
      <c r="B2798" s="8" t="s">
        <v>14326</v>
      </c>
      <c r="C2798" s="2">
        <v>46240.416666666664</v>
      </c>
      <c r="D2798" s="8" t="s">
        <v>13937</v>
      </c>
      <c r="E2798" s="8" t="s">
        <v>67</v>
      </c>
      <c r="F2798">
        <v>2</v>
      </c>
      <c r="G2798" s="2">
        <v>46240.75</v>
      </c>
      <c r="H2798" s="2">
        <v>46240.583333333336</v>
      </c>
    </row>
    <row r="2799" spans="1:8" x14ac:dyDescent="0.25">
      <c r="A2799" s="8" t="s">
        <v>9042</v>
      </c>
      <c r="B2799" s="8" t="s">
        <v>14327</v>
      </c>
      <c r="C2799" s="2">
        <v>46241.416666666664</v>
      </c>
      <c r="D2799" s="8" t="s">
        <v>13929</v>
      </c>
      <c r="E2799" s="8" t="s">
        <v>18</v>
      </c>
      <c r="F2799">
        <v>2</v>
      </c>
      <c r="G2799" s="2">
        <v>46241.75</v>
      </c>
      <c r="H2799" s="2">
        <v>46241.583333333336</v>
      </c>
    </row>
    <row r="2800" spans="1:8" x14ac:dyDescent="0.25">
      <c r="A2800" s="8" t="s">
        <v>9045</v>
      </c>
      <c r="B2800" s="8" t="s">
        <v>14327</v>
      </c>
      <c r="C2800" s="2">
        <v>46241.416666666664</v>
      </c>
      <c r="D2800" s="8" t="s">
        <v>13929</v>
      </c>
      <c r="E2800" s="8" t="s">
        <v>22</v>
      </c>
      <c r="F2800">
        <v>1</v>
      </c>
      <c r="G2800" s="2">
        <v>46241.75</v>
      </c>
      <c r="H2800" s="2">
        <v>46241.583333333336</v>
      </c>
    </row>
    <row r="2801" spans="1:8" x14ac:dyDescent="0.25">
      <c r="A2801" s="8" t="s">
        <v>9048</v>
      </c>
      <c r="B2801" s="8" t="s">
        <v>14327</v>
      </c>
      <c r="C2801" s="2">
        <v>46241.416666666664</v>
      </c>
      <c r="D2801" s="8" t="s">
        <v>13929</v>
      </c>
      <c r="E2801" s="8" t="s">
        <v>30</v>
      </c>
      <c r="F2801">
        <v>3</v>
      </c>
      <c r="G2801" s="2">
        <v>46241.75</v>
      </c>
      <c r="H2801" s="2">
        <v>46241.583333333336</v>
      </c>
    </row>
    <row r="2802" spans="1:8" x14ac:dyDescent="0.25">
      <c r="A2802" s="8" t="s">
        <v>9051</v>
      </c>
      <c r="B2802" s="8" t="s">
        <v>14327</v>
      </c>
      <c r="C2802" s="2">
        <v>46241.416666666664</v>
      </c>
      <c r="D2802" s="8" t="s">
        <v>13929</v>
      </c>
      <c r="E2802" s="8" t="s">
        <v>51</v>
      </c>
      <c r="F2802">
        <v>4</v>
      </c>
      <c r="G2802" s="2">
        <v>46241.75</v>
      </c>
      <c r="H2802" s="2">
        <v>46241.583333333336</v>
      </c>
    </row>
    <row r="2803" spans="1:8" x14ac:dyDescent="0.25">
      <c r="A2803" s="8" t="s">
        <v>9054</v>
      </c>
      <c r="B2803" s="8" t="s">
        <v>14327</v>
      </c>
      <c r="C2803" s="2">
        <v>46241.416666666664</v>
      </c>
      <c r="D2803" s="8" t="s">
        <v>13929</v>
      </c>
      <c r="E2803" s="8" t="s">
        <v>55</v>
      </c>
      <c r="F2803">
        <v>1</v>
      </c>
      <c r="G2803" s="2">
        <v>46241.75</v>
      </c>
      <c r="H2803" s="2">
        <v>46241.583333333336</v>
      </c>
    </row>
    <row r="2804" spans="1:8" x14ac:dyDescent="0.25">
      <c r="A2804" s="8" t="s">
        <v>9057</v>
      </c>
      <c r="B2804" s="8" t="s">
        <v>14327</v>
      </c>
      <c r="C2804" s="2">
        <v>46241.416666666664</v>
      </c>
      <c r="D2804" s="8" t="s">
        <v>13929</v>
      </c>
      <c r="E2804" s="8" t="s">
        <v>65</v>
      </c>
      <c r="F2804">
        <v>3</v>
      </c>
      <c r="G2804" s="2">
        <v>46241.75</v>
      </c>
      <c r="H2804" s="2">
        <v>46241.583333333336</v>
      </c>
    </row>
    <row r="2805" spans="1:8" x14ac:dyDescent="0.25">
      <c r="A2805" s="8" t="s">
        <v>9060</v>
      </c>
      <c r="B2805" s="8" t="s">
        <v>14327</v>
      </c>
      <c r="C2805" s="2">
        <v>46241.416666666664</v>
      </c>
      <c r="D2805" s="8" t="s">
        <v>13929</v>
      </c>
      <c r="E2805" s="8" t="s">
        <v>67</v>
      </c>
      <c r="F2805">
        <v>3</v>
      </c>
      <c r="G2805" s="2">
        <v>46241.75</v>
      </c>
      <c r="H2805" s="2">
        <v>46241.583333333336</v>
      </c>
    </row>
    <row r="2806" spans="1:8" x14ac:dyDescent="0.25">
      <c r="A2806" s="8" t="s">
        <v>9063</v>
      </c>
      <c r="B2806" s="8" t="s">
        <v>14327</v>
      </c>
      <c r="C2806" s="2">
        <v>46241.416666666664</v>
      </c>
      <c r="D2806" s="8" t="s">
        <v>13929</v>
      </c>
      <c r="E2806" s="8" t="s">
        <v>69</v>
      </c>
      <c r="F2806">
        <v>4</v>
      </c>
      <c r="G2806" s="2">
        <v>46241.75</v>
      </c>
      <c r="H2806" s="2">
        <v>46241.583333333336</v>
      </c>
    </row>
    <row r="2807" spans="1:8" x14ac:dyDescent="0.25">
      <c r="A2807" s="8" t="s">
        <v>9066</v>
      </c>
      <c r="B2807" s="8" t="s">
        <v>14328</v>
      </c>
      <c r="C2807" s="2">
        <v>46241.416666666664</v>
      </c>
      <c r="D2807" s="8" t="s">
        <v>13931</v>
      </c>
      <c r="E2807" s="8" t="s">
        <v>11</v>
      </c>
      <c r="F2807">
        <v>4</v>
      </c>
      <c r="G2807" s="2">
        <v>46241.75</v>
      </c>
      <c r="H2807" s="2">
        <v>46241.583333333336</v>
      </c>
    </row>
    <row r="2808" spans="1:8" x14ac:dyDescent="0.25">
      <c r="A2808" s="8" t="s">
        <v>9069</v>
      </c>
      <c r="B2808" s="8" t="s">
        <v>14328</v>
      </c>
      <c r="C2808" s="2">
        <v>46241.416666666664</v>
      </c>
      <c r="D2808" s="8" t="s">
        <v>13931</v>
      </c>
      <c r="E2808" s="8" t="s">
        <v>18</v>
      </c>
      <c r="F2808">
        <v>1</v>
      </c>
      <c r="G2808" s="2">
        <v>46241.75</v>
      </c>
      <c r="H2808" s="2">
        <v>46241.583333333336</v>
      </c>
    </row>
    <row r="2809" spans="1:8" x14ac:dyDescent="0.25">
      <c r="A2809" s="8" t="s">
        <v>9072</v>
      </c>
      <c r="B2809" s="8" t="s">
        <v>14328</v>
      </c>
      <c r="C2809" s="2">
        <v>46241.416666666664</v>
      </c>
      <c r="D2809" s="8" t="s">
        <v>13931</v>
      </c>
      <c r="E2809" s="8" t="s">
        <v>26</v>
      </c>
      <c r="F2809">
        <v>1</v>
      </c>
      <c r="G2809" s="2">
        <v>46241.75</v>
      </c>
      <c r="H2809" s="2">
        <v>46241.583333333336</v>
      </c>
    </row>
    <row r="2810" spans="1:8" x14ac:dyDescent="0.25">
      <c r="A2810" s="8" t="s">
        <v>9075</v>
      </c>
      <c r="B2810" s="8" t="s">
        <v>14328</v>
      </c>
      <c r="C2810" s="2">
        <v>46241.416666666664</v>
      </c>
      <c r="D2810" s="8" t="s">
        <v>13931</v>
      </c>
      <c r="E2810" s="8" t="s">
        <v>28</v>
      </c>
      <c r="F2810">
        <v>3</v>
      </c>
      <c r="G2810" s="2">
        <v>46241.75</v>
      </c>
      <c r="H2810" s="2">
        <v>46241.583333333336</v>
      </c>
    </row>
    <row r="2811" spans="1:8" x14ac:dyDescent="0.25">
      <c r="A2811" s="8" t="s">
        <v>9078</v>
      </c>
      <c r="B2811" s="8" t="s">
        <v>14328</v>
      </c>
      <c r="C2811" s="2">
        <v>46241.416666666664</v>
      </c>
      <c r="D2811" s="8" t="s">
        <v>13931</v>
      </c>
      <c r="E2811" s="8" t="s">
        <v>32</v>
      </c>
      <c r="F2811">
        <v>3</v>
      </c>
      <c r="G2811" s="2">
        <v>46241.75</v>
      </c>
      <c r="H2811" s="2">
        <v>46241.583333333336</v>
      </c>
    </row>
    <row r="2812" spans="1:8" x14ac:dyDescent="0.25">
      <c r="A2812" s="8" t="s">
        <v>9081</v>
      </c>
      <c r="B2812" s="8" t="s">
        <v>14328</v>
      </c>
      <c r="C2812" s="2">
        <v>46241.416666666664</v>
      </c>
      <c r="D2812" s="8" t="s">
        <v>13931</v>
      </c>
      <c r="E2812" s="8" t="s">
        <v>36</v>
      </c>
      <c r="F2812">
        <v>1</v>
      </c>
      <c r="G2812" s="2">
        <v>46241.75</v>
      </c>
      <c r="H2812" s="2">
        <v>46241.583333333336</v>
      </c>
    </row>
    <row r="2813" spans="1:8" x14ac:dyDescent="0.25">
      <c r="A2813" s="8" t="s">
        <v>9084</v>
      </c>
      <c r="B2813" s="8" t="s">
        <v>14328</v>
      </c>
      <c r="C2813" s="2">
        <v>46241.416666666664</v>
      </c>
      <c r="D2813" s="8" t="s">
        <v>13931</v>
      </c>
      <c r="E2813" s="8" t="s">
        <v>41</v>
      </c>
      <c r="F2813">
        <v>2</v>
      </c>
      <c r="G2813" s="2">
        <v>46241.75</v>
      </c>
      <c r="H2813" s="2">
        <v>46241.583333333336</v>
      </c>
    </row>
    <row r="2814" spans="1:8" x14ac:dyDescent="0.25">
      <c r="A2814" s="8" t="s">
        <v>9089</v>
      </c>
      <c r="B2814" s="8" t="s">
        <v>14328</v>
      </c>
      <c r="C2814" s="2">
        <v>46241.416666666664</v>
      </c>
      <c r="D2814" s="8" t="s">
        <v>13931</v>
      </c>
      <c r="E2814" s="8" t="s">
        <v>43</v>
      </c>
      <c r="F2814">
        <v>5</v>
      </c>
      <c r="G2814" s="2">
        <v>46241.75</v>
      </c>
      <c r="H2814" s="2">
        <v>46241.583333333336</v>
      </c>
    </row>
    <row r="2815" spans="1:8" x14ac:dyDescent="0.25">
      <c r="A2815" s="8" t="s">
        <v>9092</v>
      </c>
      <c r="B2815" s="8" t="s">
        <v>14328</v>
      </c>
      <c r="C2815" s="2">
        <v>46241.416666666664</v>
      </c>
      <c r="D2815" s="8" t="s">
        <v>13931</v>
      </c>
      <c r="E2815" s="8" t="s">
        <v>47</v>
      </c>
      <c r="F2815">
        <v>3</v>
      </c>
      <c r="G2815" s="2">
        <v>46241.75</v>
      </c>
      <c r="H2815" s="2">
        <v>46241.583333333336</v>
      </c>
    </row>
    <row r="2816" spans="1:8" x14ac:dyDescent="0.25">
      <c r="A2816" s="8" t="s">
        <v>9095</v>
      </c>
      <c r="B2816" s="8" t="s">
        <v>14328</v>
      </c>
      <c r="C2816" s="2">
        <v>46241.416666666664</v>
      </c>
      <c r="D2816" s="8" t="s">
        <v>13931</v>
      </c>
      <c r="E2816" s="8" t="s">
        <v>49</v>
      </c>
      <c r="F2816">
        <v>4</v>
      </c>
      <c r="G2816" s="2">
        <v>46241.75</v>
      </c>
      <c r="H2816" s="2">
        <v>46241.583333333336</v>
      </c>
    </row>
    <row r="2817" spans="1:8" x14ac:dyDescent="0.25">
      <c r="A2817" s="8" t="s">
        <v>9098</v>
      </c>
      <c r="B2817" s="8" t="s">
        <v>14328</v>
      </c>
      <c r="C2817" s="2">
        <v>46241.416666666664</v>
      </c>
      <c r="D2817" s="8" t="s">
        <v>13931</v>
      </c>
      <c r="E2817" s="8" t="s">
        <v>59</v>
      </c>
      <c r="F2817">
        <v>3</v>
      </c>
      <c r="G2817" s="2">
        <v>46241.75</v>
      </c>
      <c r="H2817" s="2">
        <v>46241.583333333336</v>
      </c>
    </row>
    <row r="2818" spans="1:8" x14ac:dyDescent="0.25">
      <c r="A2818" s="8" t="s">
        <v>9101</v>
      </c>
      <c r="B2818" s="8" t="s">
        <v>14328</v>
      </c>
      <c r="C2818" s="2">
        <v>46241.416666666664</v>
      </c>
      <c r="D2818" s="8" t="s">
        <v>13931</v>
      </c>
      <c r="E2818" s="8" t="s">
        <v>67</v>
      </c>
      <c r="F2818">
        <v>1</v>
      </c>
      <c r="G2818" s="2">
        <v>46241.75</v>
      </c>
      <c r="H2818" s="2">
        <v>46241.583333333336</v>
      </c>
    </row>
    <row r="2819" spans="1:8" x14ac:dyDescent="0.25">
      <c r="A2819" s="8" t="s">
        <v>9104</v>
      </c>
      <c r="B2819" s="8" t="s">
        <v>14329</v>
      </c>
      <c r="C2819" s="2">
        <v>46241.416666666664</v>
      </c>
      <c r="D2819" s="8" t="s">
        <v>13933</v>
      </c>
      <c r="E2819" s="8" t="s">
        <v>18</v>
      </c>
      <c r="F2819">
        <v>1</v>
      </c>
      <c r="G2819" s="2">
        <v>46241.75</v>
      </c>
      <c r="H2819" s="2">
        <v>46241.583333333336</v>
      </c>
    </row>
    <row r="2820" spans="1:8" x14ac:dyDescent="0.25">
      <c r="A2820" s="8" t="s">
        <v>9107</v>
      </c>
      <c r="B2820" s="8" t="s">
        <v>14329</v>
      </c>
      <c r="C2820" s="2">
        <v>46241.416666666664</v>
      </c>
      <c r="D2820" s="8" t="s">
        <v>13933</v>
      </c>
      <c r="E2820" s="8" t="s">
        <v>20</v>
      </c>
      <c r="F2820">
        <v>6</v>
      </c>
      <c r="G2820" s="2">
        <v>46241.75</v>
      </c>
      <c r="H2820" s="2">
        <v>46241.583333333336</v>
      </c>
    </row>
    <row r="2821" spans="1:8" x14ac:dyDescent="0.25">
      <c r="A2821" s="8" t="s">
        <v>9110</v>
      </c>
      <c r="B2821" s="8" t="s">
        <v>14329</v>
      </c>
      <c r="C2821" s="2">
        <v>46241.416666666664</v>
      </c>
      <c r="D2821" s="8" t="s">
        <v>13933</v>
      </c>
      <c r="E2821" s="8" t="s">
        <v>22</v>
      </c>
      <c r="F2821">
        <v>2</v>
      </c>
      <c r="G2821" s="2">
        <v>46241.75</v>
      </c>
      <c r="H2821" s="2">
        <v>46241.583333333336</v>
      </c>
    </row>
    <row r="2822" spans="1:8" x14ac:dyDescent="0.25">
      <c r="A2822" s="8" t="s">
        <v>9113</v>
      </c>
      <c r="B2822" s="8" t="s">
        <v>14329</v>
      </c>
      <c r="C2822" s="2">
        <v>46241.416666666664</v>
      </c>
      <c r="D2822" s="8" t="s">
        <v>13933</v>
      </c>
      <c r="E2822" s="8" t="s">
        <v>24</v>
      </c>
      <c r="F2822">
        <v>6</v>
      </c>
      <c r="G2822" s="2">
        <v>46241.75</v>
      </c>
      <c r="H2822" s="2">
        <v>46241.583333333336</v>
      </c>
    </row>
    <row r="2823" spans="1:8" x14ac:dyDescent="0.25">
      <c r="A2823" s="8" t="s">
        <v>9116</v>
      </c>
      <c r="B2823" s="8" t="s">
        <v>14329</v>
      </c>
      <c r="C2823" s="2">
        <v>46241.416666666664</v>
      </c>
      <c r="D2823" s="8" t="s">
        <v>13933</v>
      </c>
      <c r="E2823" s="8" t="s">
        <v>28</v>
      </c>
      <c r="F2823">
        <v>4</v>
      </c>
      <c r="G2823" s="2">
        <v>46241.75</v>
      </c>
      <c r="H2823" s="2">
        <v>46241.583333333336</v>
      </c>
    </row>
    <row r="2824" spans="1:8" x14ac:dyDescent="0.25">
      <c r="A2824" s="8" t="s">
        <v>9119</v>
      </c>
      <c r="B2824" s="8" t="s">
        <v>14329</v>
      </c>
      <c r="C2824" s="2">
        <v>46241.416666666664</v>
      </c>
      <c r="D2824" s="8" t="s">
        <v>13933</v>
      </c>
      <c r="E2824" s="8" t="s">
        <v>30</v>
      </c>
      <c r="F2824">
        <v>5</v>
      </c>
      <c r="G2824" s="2">
        <v>46241.75</v>
      </c>
      <c r="H2824" s="2">
        <v>46241.583333333336</v>
      </c>
    </row>
    <row r="2825" spans="1:8" x14ac:dyDescent="0.25">
      <c r="A2825" s="8" t="s">
        <v>9122</v>
      </c>
      <c r="B2825" s="8" t="s">
        <v>14329</v>
      </c>
      <c r="C2825" s="2">
        <v>46241.416666666664</v>
      </c>
      <c r="D2825" s="8" t="s">
        <v>13933</v>
      </c>
      <c r="E2825" s="8" t="s">
        <v>36</v>
      </c>
      <c r="F2825">
        <v>4</v>
      </c>
      <c r="G2825" s="2">
        <v>46241.75</v>
      </c>
      <c r="H2825" s="2">
        <v>46241.583333333336</v>
      </c>
    </row>
    <row r="2826" spans="1:8" x14ac:dyDescent="0.25">
      <c r="A2826" s="8" t="s">
        <v>9125</v>
      </c>
      <c r="B2826" s="8" t="s">
        <v>14329</v>
      </c>
      <c r="C2826" s="2">
        <v>46241.416666666664</v>
      </c>
      <c r="D2826" s="8" t="s">
        <v>13933</v>
      </c>
      <c r="E2826" s="8" t="s">
        <v>43</v>
      </c>
      <c r="F2826">
        <v>1</v>
      </c>
      <c r="G2826" s="2">
        <v>46241.75</v>
      </c>
      <c r="H2826" s="2">
        <v>46241.583333333336</v>
      </c>
    </row>
    <row r="2827" spans="1:8" x14ac:dyDescent="0.25">
      <c r="A2827" s="8" t="s">
        <v>9128</v>
      </c>
      <c r="B2827" s="8" t="s">
        <v>14329</v>
      </c>
      <c r="C2827" s="2">
        <v>46241.416666666664</v>
      </c>
      <c r="D2827" s="8" t="s">
        <v>13933</v>
      </c>
      <c r="E2827" s="8" t="s">
        <v>47</v>
      </c>
      <c r="F2827">
        <v>1</v>
      </c>
      <c r="G2827" s="2">
        <v>46241.75</v>
      </c>
      <c r="H2827" s="2">
        <v>46241.583333333336</v>
      </c>
    </row>
    <row r="2828" spans="1:8" x14ac:dyDescent="0.25">
      <c r="A2828" s="8" t="s">
        <v>9131</v>
      </c>
      <c r="B2828" s="8" t="s">
        <v>14329</v>
      </c>
      <c r="C2828" s="2">
        <v>46241.416666666664</v>
      </c>
      <c r="D2828" s="8" t="s">
        <v>13933</v>
      </c>
      <c r="E2828" s="8" t="s">
        <v>49</v>
      </c>
      <c r="F2828">
        <v>5</v>
      </c>
      <c r="G2828" s="2">
        <v>46241.75</v>
      </c>
      <c r="H2828" s="2">
        <v>46241.583333333336</v>
      </c>
    </row>
    <row r="2829" spans="1:8" x14ac:dyDescent="0.25">
      <c r="A2829" s="8" t="s">
        <v>9134</v>
      </c>
      <c r="B2829" s="8" t="s">
        <v>14329</v>
      </c>
      <c r="C2829" s="2">
        <v>46241.416666666664</v>
      </c>
      <c r="D2829" s="8" t="s">
        <v>13933</v>
      </c>
      <c r="E2829" s="8" t="s">
        <v>53</v>
      </c>
      <c r="F2829">
        <v>6</v>
      </c>
      <c r="G2829" s="2">
        <v>46241.75</v>
      </c>
      <c r="H2829" s="2">
        <v>46241.583333333336</v>
      </c>
    </row>
    <row r="2830" spans="1:8" x14ac:dyDescent="0.25">
      <c r="A2830" s="8" t="s">
        <v>9137</v>
      </c>
      <c r="B2830" s="8" t="s">
        <v>14330</v>
      </c>
      <c r="C2830" s="2">
        <v>46241.416666666664</v>
      </c>
      <c r="D2830" s="8" t="s">
        <v>13935</v>
      </c>
      <c r="E2830" s="8" t="s">
        <v>11</v>
      </c>
      <c r="F2830">
        <v>6</v>
      </c>
      <c r="G2830" s="2">
        <v>46241.75</v>
      </c>
      <c r="H2830" s="2">
        <v>46241.583333333336</v>
      </c>
    </row>
    <row r="2831" spans="1:8" x14ac:dyDescent="0.25">
      <c r="A2831" s="8" t="s">
        <v>9140</v>
      </c>
      <c r="B2831" s="8" t="s">
        <v>14330</v>
      </c>
      <c r="C2831" s="2">
        <v>46241.416666666664</v>
      </c>
      <c r="D2831" s="8" t="s">
        <v>13935</v>
      </c>
      <c r="E2831" s="8" t="s">
        <v>20</v>
      </c>
      <c r="F2831">
        <v>3</v>
      </c>
      <c r="G2831" s="2">
        <v>46241.75</v>
      </c>
      <c r="H2831" s="2">
        <v>46241.583333333336</v>
      </c>
    </row>
    <row r="2832" spans="1:8" x14ac:dyDescent="0.25">
      <c r="A2832" s="8" t="s">
        <v>9143</v>
      </c>
      <c r="B2832" s="8" t="s">
        <v>14330</v>
      </c>
      <c r="C2832" s="2">
        <v>46241.416666666664</v>
      </c>
      <c r="D2832" s="8" t="s">
        <v>13935</v>
      </c>
      <c r="E2832" s="8" t="s">
        <v>24</v>
      </c>
      <c r="F2832">
        <v>1</v>
      </c>
      <c r="G2832" s="2">
        <v>46241.75</v>
      </c>
      <c r="H2832" s="2">
        <v>46241.583333333336</v>
      </c>
    </row>
    <row r="2833" spans="1:8" x14ac:dyDescent="0.25">
      <c r="A2833" s="8" t="s">
        <v>9146</v>
      </c>
      <c r="B2833" s="8" t="s">
        <v>14330</v>
      </c>
      <c r="C2833" s="2">
        <v>46241.416666666664</v>
      </c>
      <c r="D2833" s="8" t="s">
        <v>13935</v>
      </c>
      <c r="E2833" s="8" t="s">
        <v>26</v>
      </c>
      <c r="F2833">
        <v>3</v>
      </c>
      <c r="G2833" s="2">
        <v>46241.75</v>
      </c>
      <c r="H2833" s="2">
        <v>46241.583333333336</v>
      </c>
    </row>
    <row r="2834" spans="1:8" x14ac:dyDescent="0.25">
      <c r="A2834" s="8" t="s">
        <v>9149</v>
      </c>
      <c r="B2834" s="8" t="s">
        <v>14330</v>
      </c>
      <c r="C2834" s="2">
        <v>46241.416666666664</v>
      </c>
      <c r="D2834" s="8" t="s">
        <v>13935</v>
      </c>
      <c r="E2834" s="8" t="s">
        <v>43</v>
      </c>
      <c r="F2834">
        <v>7</v>
      </c>
      <c r="G2834" s="2">
        <v>46241.75</v>
      </c>
      <c r="H2834" s="2">
        <v>46241.583333333336</v>
      </c>
    </row>
    <row r="2835" spans="1:8" x14ac:dyDescent="0.25">
      <c r="A2835" s="8" t="s">
        <v>9152</v>
      </c>
      <c r="B2835" s="8" t="s">
        <v>14330</v>
      </c>
      <c r="C2835" s="2">
        <v>46241.416666666664</v>
      </c>
      <c r="D2835" s="8" t="s">
        <v>13935</v>
      </c>
      <c r="E2835" s="8" t="s">
        <v>45</v>
      </c>
      <c r="F2835">
        <v>4</v>
      </c>
      <c r="G2835" s="2">
        <v>46241.75</v>
      </c>
      <c r="H2835" s="2">
        <v>46241.583333333336</v>
      </c>
    </row>
    <row r="2836" spans="1:8" x14ac:dyDescent="0.25">
      <c r="A2836" s="8" t="s">
        <v>9155</v>
      </c>
      <c r="B2836" s="8" t="s">
        <v>14330</v>
      </c>
      <c r="C2836" s="2">
        <v>46241.416666666664</v>
      </c>
      <c r="D2836" s="8" t="s">
        <v>13935</v>
      </c>
      <c r="E2836" s="8" t="s">
        <v>73</v>
      </c>
      <c r="F2836">
        <v>3</v>
      </c>
      <c r="G2836" s="2">
        <v>46241.75</v>
      </c>
      <c r="H2836" s="2">
        <v>46241.583333333336</v>
      </c>
    </row>
    <row r="2837" spans="1:8" x14ac:dyDescent="0.25">
      <c r="A2837" s="8" t="s">
        <v>9158</v>
      </c>
      <c r="B2837" s="8" t="s">
        <v>14330</v>
      </c>
      <c r="C2837" s="2">
        <v>46241.416666666664</v>
      </c>
      <c r="D2837" s="8" t="s">
        <v>13935</v>
      </c>
      <c r="E2837" s="8" t="s">
        <v>75</v>
      </c>
      <c r="F2837">
        <v>1</v>
      </c>
      <c r="G2837" s="2">
        <v>46241.75</v>
      </c>
      <c r="H2837" s="2">
        <v>46241.583333333336</v>
      </c>
    </row>
    <row r="2838" spans="1:8" x14ac:dyDescent="0.25">
      <c r="A2838" s="8" t="s">
        <v>9161</v>
      </c>
      <c r="B2838" s="8" t="s">
        <v>14331</v>
      </c>
      <c r="C2838" s="2">
        <v>46241.416666666664</v>
      </c>
      <c r="D2838" s="8" t="s">
        <v>13937</v>
      </c>
      <c r="E2838" s="8" t="s">
        <v>11</v>
      </c>
      <c r="F2838">
        <v>4</v>
      </c>
      <c r="G2838" s="2">
        <v>46241.75</v>
      </c>
      <c r="H2838" s="2">
        <v>46241.583333333336</v>
      </c>
    </row>
    <row r="2839" spans="1:8" x14ac:dyDescent="0.25">
      <c r="A2839" s="8" t="s">
        <v>9164</v>
      </c>
      <c r="B2839" s="8" t="s">
        <v>14331</v>
      </c>
      <c r="C2839" s="2">
        <v>46241.416666666664</v>
      </c>
      <c r="D2839" s="8" t="s">
        <v>13937</v>
      </c>
      <c r="E2839" s="8" t="s">
        <v>22</v>
      </c>
      <c r="F2839">
        <v>2</v>
      </c>
      <c r="G2839" s="2">
        <v>46241.75</v>
      </c>
      <c r="H2839" s="2">
        <v>46241.583333333336</v>
      </c>
    </row>
    <row r="2840" spans="1:8" x14ac:dyDescent="0.25">
      <c r="A2840" s="8" t="s">
        <v>9167</v>
      </c>
      <c r="B2840" s="8" t="s">
        <v>14331</v>
      </c>
      <c r="C2840" s="2">
        <v>46241.416666666664</v>
      </c>
      <c r="D2840" s="8" t="s">
        <v>13937</v>
      </c>
      <c r="E2840" s="8" t="s">
        <v>24</v>
      </c>
      <c r="F2840">
        <v>4</v>
      </c>
      <c r="G2840" s="2">
        <v>46241.75</v>
      </c>
      <c r="H2840" s="2">
        <v>46241.583333333336</v>
      </c>
    </row>
    <row r="2841" spans="1:8" x14ac:dyDescent="0.25">
      <c r="A2841" s="8" t="s">
        <v>9170</v>
      </c>
      <c r="B2841" s="8" t="s">
        <v>14331</v>
      </c>
      <c r="C2841" s="2">
        <v>46241.416666666664</v>
      </c>
      <c r="D2841" s="8" t="s">
        <v>13937</v>
      </c>
      <c r="E2841" s="8" t="s">
        <v>26</v>
      </c>
      <c r="F2841">
        <v>3</v>
      </c>
      <c r="G2841" s="2">
        <v>46241.75</v>
      </c>
      <c r="H2841" s="2">
        <v>46241.583333333336</v>
      </c>
    </row>
    <row r="2842" spans="1:8" x14ac:dyDescent="0.25">
      <c r="A2842" s="8" t="s">
        <v>9173</v>
      </c>
      <c r="B2842" s="8" t="s">
        <v>14331</v>
      </c>
      <c r="C2842" s="2">
        <v>46241.416666666664</v>
      </c>
      <c r="D2842" s="8" t="s">
        <v>13937</v>
      </c>
      <c r="E2842" s="8" t="s">
        <v>28</v>
      </c>
      <c r="F2842">
        <v>2</v>
      </c>
      <c r="G2842" s="2">
        <v>46241.75</v>
      </c>
      <c r="H2842" s="2">
        <v>46241.583333333336</v>
      </c>
    </row>
    <row r="2843" spans="1:8" x14ac:dyDescent="0.25">
      <c r="A2843" s="8" t="s">
        <v>9176</v>
      </c>
      <c r="B2843" s="8" t="s">
        <v>14331</v>
      </c>
      <c r="C2843" s="2">
        <v>46241.416666666664</v>
      </c>
      <c r="D2843" s="8" t="s">
        <v>13937</v>
      </c>
      <c r="E2843" s="8" t="s">
        <v>71</v>
      </c>
      <c r="F2843">
        <v>4</v>
      </c>
      <c r="G2843" s="2">
        <v>46241.75</v>
      </c>
      <c r="H2843" s="2">
        <v>46241.583333333336</v>
      </c>
    </row>
    <row r="2844" spans="1:8" x14ac:dyDescent="0.25">
      <c r="A2844" s="8" t="s">
        <v>9179</v>
      </c>
      <c r="B2844" s="8" t="s">
        <v>14331</v>
      </c>
      <c r="C2844" s="2">
        <v>46241.416666666664</v>
      </c>
      <c r="D2844" s="8" t="s">
        <v>13937</v>
      </c>
      <c r="E2844" s="8" t="s">
        <v>73</v>
      </c>
      <c r="F2844">
        <v>4</v>
      </c>
      <c r="G2844" s="2">
        <v>46241.75</v>
      </c>
      <c r="H2844" s="2">
        <v>46241.583333333336</v>
      </c>
    </row>
    <row r="2845" spans="1:8" x14ac:dyDescent="0.25">
      <c r="A2845" s="8" t="s">
        <v>9182</v>
      </c>
      <c r="B2845" s="8" t="s">
        <v>14332</v>
      </c>
      <c r="C2845" s="2">
        <v>46242.416666666664</v>
      </c>
      <c r="D2845" s="8" t="s">
        <v>13929</v>
      </c>
      <c r="E2845" s="8" t="s">
        <v>11</v>
      </c>
      <c r="F2845">
        <v>5</v>
      </c>
      <c r="G2845" s="2">
        <v>46242.75</v>
      </c>
      <c r="H2845" s="2">
        <v>46242.583333333336</v>
      </c>
    </row>
    <row r="2846" spans="1:8" x14ac:dyDescent="0.25">
      <c r="A2846" s="8" t="s">
        <v>9185</v>
      </c>
      <c r="B2846" s="8" t="s">
        <v>14332</v>
      </c>
      <c r="C2846" s="2">
        <v>46242.416666666664</v>
      </c>
      <c r="D2846" s="8" t="s">
        <v>13929</v>
      </c>
      <c r="E2846" s="8" t="s">
        <v>22</v>
      </c>
      <c r="F2846">
        <v>2</v>
      </c>
      <c r="G2846" s="2">
        <v>46242.75</v>
      </c>
      <c r="H2846" s="2">
        <v>46242.583333333336</v>
      </c>
    </row>
    <row r="2847" spans="1:8" x14ac:dyDescent="0.25">
      <c r="A2847" s="8" t="s">
        <v>9188</v>
      </c>
      <c r="B2847" s="8" t="s">
        <v>14332</v>
      </c>
      <c r="C2847" s="2">
        <v>46242.416666666664</v>
      </c>
      <c r="D2847" s="8" t="s">
        <v>13929</v>
      </c>
      <c r="E2847" s="8" t="s">
        <v>24</v>
      </c>
      <c r="F2847">
        <v>1</v>
      </c>
      <c r="G2847" s="2">
        <v>46242.75</v>
      </c>
      <c r="H2847" s="2">
        <v>46242.583333333336</v>
      </c>
    </row>
    <row r="2848" spans="1:8" x14ac:dyDescent="0.25">
      <c r="A2848" s="8" t="s">
        <v>9191</v>
      </c>
      <c r="B2848" s="8" t="s">
        <v>14332</v>
      </c>
      <c r="C2848" s="2">
        <v>46242.416666666664</v>
      </c>
      <c r="D2848" s="8" t="s">
        <v>13929</v>
      </c>
      <c r="E2848" s="8" t="s">
        <v>26</v>
      </c>
      <c r="F2848">
        <v>4</v>
      </c>
      <c r="G2848" s="2">
        <v>46242.75</v>
      </c>
      <c r="H2848" s="2">
        <v>46242.583333333336</v>
      </c>
    </row>
    <row r="2849" spans="1:8" x14ac:dyDescent="0.25">
      <c r="A2849" s="8" t="s">
        <v>9194</v>
      </c>
      <c r="B2849" s="8" t="s">
        <v>14332</v>
      </c>
      <c r="C2849" s="2">
        <v>46242.416666666664</v>
      </c>
      <c r="D2849" s="8" t="s">
        <v>13929</v>
      </c>
      <c r="E2849" s="8" t="s">
        <v>47</v>
      </c>
      <c r="F2849">
        <v>5</v>
      </c>
      <c r="G2849" s="2">
        <v>46242.75</v>
      </c>
      <c r="H2849" s="2">
        <v>46242.583333333336</v>
      </c>
    </row>
    <row r="2850" spans="1:8" x14ac:dyDescent="0.25">
      <c r="A2850" s="8" t="s">
        <v>9197</v>
      </c>
      <c r="B2850" s="8" t="s">
        <v>14332</v>
      </c>
      <c r="C2850" s="2">
        <v>46242.416666666664</v>
      </c>
      <c r="D2850" s="8" t="s">
        <v>13929</v>
      </c>
      <c r="E2850" s="8" t="s">
        <v>53</v>
      </c>
      <c r="F2850">
        <v>3</v>
      </c>
      <c r="G2850" s="2">
        <v>46242.75</v>
      </c>
      <c r="H2850" s="2">
        <v>46242.583333333336</v>
      </c>
    </row>
    <row r="2851" spans="1:8" x14ac:dyDescent="0.25">
      <c r="A2851" s="8" t="s">
        <v>9200</v>
      </c>
      <c r="B2851" s="8" t="s">
        <v>14332</v>
      </c>
      <c r="C2851" s="2">
        <v>46242.416666666664</v>
      </c>
      <c r="D2851" s="8" t="s">
        <v>13929</v>
      </c>
      <c r="E2851" s="8" t="s">
        <v>59</v>
      </c>
      <c r="F2851">
        <v>5</v>
      </c>
      <c r="G2851" s="2">
        <v>46242.75</v>
      </c>
      <c r="H2851" s="2">
        <v>46242.583333333336</v>
      </c>
    </row>
    <row r="2852" spans="1:8" x14ac:dyDescent="0.25">
      <c r="A2852" s="8" t="s">
        <v>9203</v>
      </c>
      <c r="B2852" s="8" t="s">
        <v>14332</v>
      </c>
      <c r="C2852" s="2">
        <v>46242.416666666664</v>
      </c>
      <c r="D2852" s="8" t="s">
        <v>13929</v>
      </c>
      <c r="E2852" s="8" t="s">
        <v>77</v>
      </c>
      <c r="F2852">
        <v>4</v>
      </c>
      <c r="G2852" s="2">
        <v>46242.75</v>
      </c>
      <c r="H2852" s="2">
        <v>46242.583333333336</v>
      </c>
    </row>
    <row r="2853" spans="1:8" x14ac:dyDescent="0.25">
      <c r="A2853" s="8" t="s">
        <v>9206</v>
      </c>
      <c r="B2853" s="8" t="s">
        <v>14333</v>
      </c>
      <c r="C2853" s="2">
        <v>46242.416666666664</v>
      </c>
      <c r="D2853" s="8" t="s">
        <v>13931</v>
      </c>
      <c r="E2853" s="8" t="s">
        <v>11</v>
      </c>
      <c r="F2853">
        <v>3</v>
      </c>
      <c r="G2853" s="2">
        <v>46242.75</v>
      </c>
      <c r="H2853" s="2">
        <v>46242.583333333336</v>
      </c>
    </row>
    <row r="2854" spans="1:8" x14ac:dyDescent="0.25">
      <c r="A2854" s="8" t="s">
        <v>9209</v>
      </c>
      <c r="B2854" s="8" t="s">
        <v>14333</v>
      </c>
      <c r="C2854" s="2">
        <v>46242.416666666664</v>
      </c>
      <c r="D2854" s="8" t="s">
        <v>13931</v>
      </c>
      <c r="E2854" s="8" t="s">
        <v>18</v>
      </c>
      <c r="F2854">
        <v>6</v>
      </c>
      <c r="G2854" s="2">
        <v>46242.75</v>
      </c>
      <c r="H2854" s="2">
        <v>46242.583333333336</v>
      </c>
    </row>
    <row r="2855" spans="1:8" x14ac:dyDescent="0.25">
      <c r="A2855" s="8" t="s">
        <v>9212</v>
      </c>
      <c r="B2855" s="8" t="s">
        <v>14333</v>
      </c>
      <c r="C2855" s="2">
        <v>46242.416666666664</v>
      </c>
      <c r="D2855" s="8" t="s">
        <v>13931</v>
      </c>
      <c r="E2855" s="8" t="s">
        <v>24</v>
      </c>
      <c r="F2855">
        <v>6</v>
      </c>
      <c r="G2855" s="2">
        <v>46242.75</v>
      </c>
      <c r="H2855" s="2">
        <v>46242.583333333336</v>
      </c>
    </row>
    <row r="2856" spans="1:8" x14ac:dyDescent="0.25">
      <c r="A2856" s="8" t="s">
        <v>9215</v>
      </c>
      <c r="B2856" s="8" t="s">
        <v>14333</v>
      </c>
      <c r="C2856" s="2">
        <v>46242.416666666664</v>
      </c>
      <c r="D2856" s="8" t="s">
        <v>13931</v>
      </c>
      <c r="E2856" s="8" t="s">
        <v>26</v>
      </c>
      <c r="F2856">
        <v>6</v>
      </c>
      <c r="G2856" s="2">
        <v>46242.75</v>
      </c>
      <c r="H2856" s="2">
        <v>46242.583333333336</v>
      </c>
    </row>
    <row r="2857" spans="1:8" x14ac:dyDescent="0.25">
      <c r="A2857" s="8" t="s">
        <v>9218</v>
      </c>
      <c r="B2857" s="8" t="s">
        <v>14333</v>
      </c>
      <c r="C2857" s="2">
        <v>46242.416666666664</v>
      </c>
      <c r="D2857" s="8" t="s">
        <v>13931</v>
      </c>
      <c r="E2857" s="8" t="s">
        <v>51</v>
      </c>
      <c r="F2857">
        <v>3</v>
      </c>
      <c r="G2857" s="2">
        <v>46242.75</v>
      </c>
      <c r="H2857" s="2">
        <v>46242.583333333336</v>
      </c>
    </row>
    <row r="2858" spans="1:8" x14ac:dyDescent="0.25">
      <c r="A2858" s="8" t="s">
        <v>9221</v>
      </c>
      <c r="B2858" s="8" t="s">
        <v>14333</v>
      </c>
      <c r="C2858" s="2">
        <v>46242.416666666664</v>
      </c>
      <c r="D2858" s="8" t="s">
        <v>13931</v>
      </c>
      <c r="E2858" s="8" t="s">
        <v>57</v>
      </c>
      <c r="F2858">
        <v>3</v>
      </c>
      <c r="G2858" s="2">
        <v>46242.75</v>
      </c>
      <c r="H2858" s="2">
        <v>46242.583333333336</v>
      </c>
    </row>
    <row r="2859" spans="1:8" x14ac:dyDescent="0.25">
      <c r="A2859" s="8" t="s">
        <v>9224</v>
      </c>
      <c r="B2859" s="8" t="s">
        <v>14334</v>
      </c>
      <c r="C2859" s="2">
        <v>46242.416666666664</v>
      </c>
      <c r="D2859" s="8" t="s">
        <v>13933</v>
      </c>
      <c r="E2859" s="8" t="s">
        <v>11</v>
      </c>
      <c r="F2859">
        <v>8</v>
      </c>
      <c r="G2859" s="2">
        <v>46242.75</v>
      </c>
      <c r="H2859" s="2">
        <v>46242.583333333336</v>
      </c>
    </row>
    <row r="2860" spans="1:8" x14ac:dyDescent="0.25">
      <c r="A2860" s="8" t="s">
        <v>9227</v>
      </c>
      <c r="B2860" s="8" t="s">
        <v>14334</v>
      </c>
      <c r="C2860" s="2">
        <v>46242.416666666664</v>
      </c>
      <c r="D2860" s="8" t="s">
        <v>13933</v>
      </c>
      <c r="E2860" s="8" t="s">
        <v>18</v>
      </c>
      <c r="F2860">
        <v>3</v>
      </c>
      <c r="G2860" s="2">
        <v>46242.75</v>
      </c>
      <c r="H2860" s="2">
        <v>46242.583333333336</v>
      </c>
    </row>
    <row r="2861" spans="1:8" x14ac:dyDescent="0.25">
      <c r="A2861" s="8" t="s">
        <v>9230</v>
      </c>
      <c r="B2861" s="8" t="s">
        <v>14334</v>
      </c>
      <c r="C2861" s="2">
        <v>46242.416666666664</v>
      </c>
      <c r="D2861" s="8" t="s">
        <v>13933</v>
      </c>
      <c r="E2861" s="8" t="s">
        <v>24</v>
      </c>
      <c r="F2861">
        <v>6</v>
      </c>
      <c r="G2861" s="2">
        <v>46242.75</v>
      </c>
      <c r="H2861" s="2">
        <v>46242.583333333336</v>
      </c>
    </row>
    <row r="2862" spans="1:8" x14ac:dyDescent="0.25">
      <c r="A2862" s="8" t="s">
        <v>9233</v>
      </c>
      <c r="B2862" s="8" t="s">
        <v>14334</v>
      </c>
      <c r="C2862" s="2">
        <v>46242.416666666664</v>
      </c>
      <c r="D2862" s="8" t="s">
        <v>13933</v>
      </c>
      <c r="E2862" s="8" t="s">
        <v>26</v>
      </c>
      <c r="F2862">
        <v>3</v>
      </c>
      <c r="G2862" s="2">
        <v>46242.75</v>
      </c>
      <c r="H2862" s="2">
        <v>46242.583333333336</v>
      </c>
    </row>
    <row r="2863" spans="1:8" x14ac:dyDescent="0.25">
      <c r="A2863" s="8" t="s">
        <v>9236</v>
      </c>
      <c r="B2863" s="8" t="s">
        <v>14334</v>
      </c>
      <c r="C2863" s="2">
        <v>46242.416666666664</v>
      </c>
      <c r="D2863" s="8" t="s">
        <v>13933</v>
      </c>
      <c r="E2863" s="8" t="s">
        <v>30</v>
      </c>
      <c r="F2863">
        <v>3</v>
      </c>
      <c r="G2863" s="2">
        <v>46242.75</v>
      </c>
      <c r="H2863" s="2">
        <v>46242.583333333336</v>
      </c>
    </row>
    <row r="2864" spans="1:8" x14ac:dyDescent="0.25">
      <c r="A2864" s="8" t="s">
        <v>9239</v>
      </c>
      <c r="B2864" s="8" t="s">
        <v>14334</v>
      </c>
      <c r="C2864" s="2">
        <v>46242.416666666664</v>
      </c>
      <c r="D2864" s="8" t="s">
        <v>13933</v>
      </c>
      <c r="E2864" s="8" t="s">
        <v>41</v>
      </c>
      <c r="F2864">
        <v>8</v>
      </c>
      <c r="G2864" s="2">
        <v>46242.75</v>
      </c>
      <c r="H2864" s="2">
        <v>46242.583333333336</v>
      </c>
    </row>
    <row r="2865" spans="1:8" x14ac:dyDescent="0.25">
      <c r="A2865" s="8" t="s">
        <v>9242</v>
      </c>
      <c r="B2865" s="8" t="s">
        <v>14334</v>
      </c>
      <c r="C2865" s="2">
        <v>46242.416666666664</v>
      </c>
      <c r="D2865" s="8" t="s">
        <v>13933</v>
      </c>
      <c r="E2865" s="8" t="s">
        <v>59</v>
      </c>
      <c r="F2865">
        <v>5</v>
      </c>
      <c r="G2865" s="2">
        <v>46242.75</v>
      </c>
      <c r="H2865" s="2">
        <v>46242.583333333336</v>
      </c>
    </row>
    <row r="2866" spans="1:8" x14ac:dyDescent="0.25">
      <c r="A2866" s="8" t="s">
        <v>9245</v>
      </c>
      <c r="B2866" s="8" t="s">
        <v>14334</v>
      </c>
      <c r="C2866" s="2">
        <v>46242.416666666664</v>
      </c>
      <c r="D2866" s="8" t="s">
        <v>13933</v>
      </c>
      <c r="E2866" s="8" t="s">
        <v>65</v>
      </c>
      <c r="F2866">
        <v>8</v>
      </c>
      <c r="G2866" s="2">
        <v>46242.75</v>
      </c>
      <c r="H2866" s="2">
        <v>46242.583333333336</v>
      </c>
    </row>
    <row r="2867" spans="1:8" x14ac:dyDescent="0.25">
      <c r="A2867" s="8" t="s">
        <v>9248</v>
      </c>
      <c r="B2867" s="8" t="s">
        <v>14334</v>
      </c>
      <c r="C2867" s="2">
        <v>46242.416666666664</v>
      </c>
      <c r="D2867" s="8" t="s">
        <v>13933</v>
      </c>
      <c r="E2867" s="8" t="s">
        <v>67</v>
      </c>
      <c r="F2867">
        <v>5</v>
      </c>
      <c r="G2867" s="2">
        <v>46242.75</v>
      </c>
      <c r="H2867" s="2">
        <v>46242.583333333336</v>
      </c>
    </row>
    <row r="2868" spans="1:8" x14ac:dyDescent="0.25">
      <c r="A2868" s="8" t="s">
        <v>9251</v>
      </c>
      <c r="B2868" s="8" t="s">
        <v>14334</v>
      </c>
      <c r="C2868" s="2">
        <v>46242.416666666664</v>
      </c>
      <c r="D2868" s="8" t="s">
        <v>13933</v>
      </c>
      <c r="E2868" s="8" t="s">
        <v>73</v>
      </c>
      <c r="F2868">
        <v>5</v>
      </c>
      <c r="G2868" s="2">
        <v>46242.75</v>
      </c>
      <c r="H2868" s="2">
        <v>46242.583333333336</v>
      </c>
    </row>
    <row r="2869" spans="1:8" x14ac:dyDescent="0.25">
      <c r="A2869" s="8" t="s">
        <v>9254</v>
      </c>
      <c r="B2869" s="8" t="s">
        <v>14335</v>
      </c>
      <c r="C2869" s="2">
        <v>46242.416666666664</v>
      </c>
      <c r="D2869" s="8" t="s">
        <v>13935</v>
      </c>
      <c r="E2869" s="8" t="s">
        <v>18</v>
      </c>
      <c r="F2869">
        <v>5</v>
      </c>
      <c r="G2869" s="2">
        <v>46242.75</v>
      </c>
      <c r="H2869" s="2">
        <v>46242.583333333336</v>
      </c>
    </row>
    <row r="2870" spans="1:8" x14ac:dyDescent="0.25">
      <c r="A2870" s="8" t="s">
        <v>9257</v>
      </c>
      <c r="B2870" s="8" t="s">
        <v>14335</v>
      </c>
      <c r="C2870" s="2">
        <v>46242.416666666664</v>
      </c>
      <c r="D2870" s="8" t="s">
        <v>13935</v>
      </c>
      <c r="E2870" s="8" t="s">
        <v>24</v>
      </c>
      <c r="F2870">
        <v>2</v>
      </c>
      <c r="G2870" s="2">
        <v>46242.75</v>
      </c>
      <c r="H2870" s="2">
        <v>46242.583333333336</v>
      </c>
    </row>
    <row r="2871" spans="1:8" x14ac:dyDescent="0.25">
      <c r="A2871" s="8" t="s">
        <v>9260</v>
      </c>
      <c r="B2871" s="8" t="s">
        <v>14335</v>
      </c>
      <c r="C2871" s="2">
        <v>46242.416666666664</v>
      </c>
      <c r="D2871" s="8" t="s">
        <v>13935</v>
      </c>
      <c r="E2871" s="8" t="s">
        <v>28</v>
      </c>
      <c r="F2871">
        <v>2</v>
      </c>
      <c r="G2871" s="2">
        <v>46242.75</v>
      </c>
      <c r="H2871" s="2">
        <v>46242.583333333336</v>
      </c>
    </row>
    <row r="2872" spans="1:8" x14ac:dyDescent="0.25">
      <c r="A2872" s="8" t="s">
        <v>9263</v>
      </c>
      <c r="B2872" s="8" t="s">
        <v>14335</v>
      </c>
      <c r="C2872" s="2">
        <v>46242.416666666664</v>
      </c>
      <c r="D2872" s="8" t="s">
        <v>13935</v>
      </c>
      <c r="E2872" s="8" t="s">
        <v>47</v>
      </c>
      <c r="F2872">
        <v>4</v>
      </c>
      <c r="G2872" s="2">
        <v>46242.75</v>
      </c>
      <c r="H2872" s="2">
        <v>46242.583333333336</v>
      </c>
    </row>
    <row r="2873" spans="1:8" x14ac:dyDescent="0.25">
      <c r="A2873" s="8" t="s">
        <v>9268</v>
      </c>
      <c r="B2873" s="8" t="s">
        <v>14335</v>
      </c>
      <c r="C2873" s="2">
        <v>46242.416666666664</v>
      </c>
      <c r="D2873" s="8" t="s">
        <v>13935</v>
      </c>
      <c r="E2873" s="8" t="s">
        <v>55</v>
      </c>
      <c r="F2873">
        <v>9</v>
      </c>
      <c r="G2873" s="2">
        <v>46242.75</v>
      </c>
      <c r="H2873" s="2">
        <v>46242.583333333336</v>
      </c>
    </row>
    <row r="2874" spans="1:8" x14ac:dyDescent="0.25">
      <c r="A2874" s="8" t="s">
        <v>9271</v>
      </c>
      <c r="B2874" s="8" t="s">
        <v>14335</v>
      </c>
      <c r="C2874" s="2">
        <v>46242.416666666664</v>
      </c>
      <c r="D2874" s="8" t="s">
        <v>13935</v>
      </c>
      <c r="E2874" s="8" t="s">
        <v>59</v>
      </c>
      <c r="F2874">
        <v>7</v>
      </c>
      <c r="G2874" s="2">
        <v>46242.75</v>
      </c>
      <c r="H2874" s="2">
        <v>46242.583333333336</v>
      </c>
    </row>
    <row r="2875" spans="1:8" x14ac:dyDescent="0.25">
      <c r="A2875" s="8" t="s">
        <v>9274</v>
      </c>
      <c r="B2875" s="8" t="s">
        <v>14335</v>
      </c>
      <c r="C2875" s="2">
        <v>46242.416666666664</v>
      </c>
      <c r="D2875" s="8" t="s">
        <v>13935</v>
      </c>
      <c r="E2875" s="8" t="s">
        <v>67</v>
      </c>
      <c r="F2875">
        <v>5</v>
      </c>
      <c r="G2875" s="2">
        <v>46242.75</v>
      </c>
      <c r="H2875" s="2">
        <v>46242.583333333336</v>
      </c>
    </row>
    <row r="2876" spans="1:8" x14ac:dyDescent="0.25">
      <c r="A2876" s="8" t="s">
        <v>9277</v>
      </c>
      <c r="B2876" s="8" t="s">
        <v>14335</v>
      </c>
      <c r="C2876" s="2">
        <v>46242.416666666664</v>
      </c>
      <c r="D2876" s="8" t="s">
        <v>13935</v>
      </c>
      <c r="E2876" s="8" t="s">
        <v>73</v>
      </c>
      <c r="F2876">
        <v>2</v>
      </c>
      <c r="G2876" s="2">
        <v>46242.75</v>
      </c>
      <c r="H2876" s="2">
        <v>46242.583333333336</v>
      </c>
    </row>
    <row r="2877" spans="1:8" x14ac:dyDescent="0.25">
      <c r="A2877" s="8" t="s">
        <v>9280</v>
      </c>
      <c r="B2877" s="8" t="s">
        <v>14335</v>
      </c>
      <c r="C2877" s="2">
        <v>46242.416666666664</v>
      </c>
      <c r="D2877" s="8" t="s">
        <v>13935</v>
      </c>
      <c r="E2877" s="8" t="s">
        <v>75</v>
      </c>
      <c r="F2877">
        <v>4</v>
      </c>
      <c r="G2877" s="2">
        <v>46242.75</v>
      </c>
      <c r="H2877" s="2">
        <v>46242.583333333336</v>
      </c>
    </row>
    <row r="2878" spans="1:8" x14ac:dyDescent="0.25">
      <c r="A2878" s="8" t="s">
        <v>9283</v>
      </c>
      <c r="B2878" s="8" t="s">
        <v>14336</v>
      </c>
      <c r="C2878" s="2">
        <v>46242.416666666664</v>
      </c>
      <c r="D2878" s="8" t="s">
        <v>13937</v>
      </c>
      <c r="E2878" s="8" t="s">
        <v>11</v>
      </c>
      <c r="F2878">
        <v>5</v>
      </c>
      <c r="G2878" s="2">
        <v>46242.75</v>
      </c>
      <c r="H2878" s="2">
        <v>46242.583333333336</v>
      </c>
    </row>
    <row r="2879" spans="1:8" x14ac:dyDescent="0.25">
      <c r="A2879" s="8" t="s">
        <v>9286</v>
      </c>
      <c r="B2879" s="8" t="s">
        <v>14336</v>
      </c>
      <c r="C2879" s="2">
        <v>46242.416666666664</v>
      </c>
      <c r="D2879" s="8" t="s">
        <v>13937</v>
      </c>
      <c r="E2879" s="8" t="s">
        <v>18</v>
      </c>
      <c r="F2879">
        <v>6</v>
      </c>
      <c r="G2879" s="2">
        <v>46242.75</v>
      </c>
      <c r="H2879" s="2">
        <v>46242.583333333336</v>
      </c>
    </row>
    <row r="2880" spans="1:8" x14ac:dyDescent="0.25">
      <c r="A2880" s="8" t="s">
        <v>9289</v>
      </c>
      <c r="B2880" s="8" t="s">
        <v>14336</v>
      </c>
      <c r="C2880" s="2">
        <v>46242.416666666664</v>
      </c>
      <c r="D2880" s="8" t="s">
        <v>13937</v>
      </c>
      <c r="E2880" s="8" t="s">
        <v>20</v>
      </c>
      <c r="F2880">
        <v>5</v>
      </c>
      <c r="G2880" s="2">
        <v>46242.75</v>
      </c>
      <c r="H2880" s="2">
        <v>46242.583333333336</v>
      </c>
    </row>
    <row r="2881" spans="1:8" x14ac:dyDescent="0.25">
      <c r="A2881" s="8" t="s">
        <v>9292</v>
      </c>
      <c r="B2881" s="8" t="s">
        <v>14336</v>
      </c>
      <c r="C2881" s="2">
        <v>46242.416666666664</v>
      </c>
      <c r="D2881" s="8" t="s">
        <v>13937</v>
      </c>
      <c r="E2881" s="8" t="s">
        <v>22</v>
      </c>
      <c r="F2881">
        <v>6</v>
      </c>
      <c r="G2881" s="2">
        <v>46242.75</v>
      </c>
      <c r="H2881" s="2">
        <v>46242.583333333336</v>
      </c>
    </row>
    <row r="2882" spans="1:8" x14ac:dyDescent="0.25">
      <c r="A2882" s="8" t="s">
        <v>9295</v>
      </c>
      <c r="B2882" s="8" t="s">
        <v>14336</v>
      </c>
      <c r="C2882" s="2">
        <v>46242.416666666664</v>
      </c>
      <c r="D2882" s="8" t="s">
        <v>13937</v>
      </c>
      <c r="E2882" s="8" t="s">
        <v>24</v>
      </c>
      <c r="F2882">
        <v>4</v>
      </c>
      <c r="G2882" s="2">
        <v>46242.75</v>
      </c>
      <c r="H2882" s="2">
        <v>46242.583333333336</v>
      </c>
    </row>
    <row r="2883" spans="1:8" x14ac:dyDescent="0.25">
      <c r="A2883" s="8" t="s">
        <v>9298</v>
      </c>
      <c r="B2883" s="8" t="s">
        <v>14336</v>
      </c>
      <c r="C2883" s="2">
        <v>46242.416666666664</v>
      </c>
      <c r="D2883" s="8" t="s">
        <v>13937</v>
      </c>
      <c r="E2883" s="8" t="s">
        <v>26</v>
      </c>
      <c r="F2883">
        <v>1</v>
      </c>
      <c r="G2883" s="2">
        <v>46242.75</v>
      </c>
      <c r="H2883" s="2">
        <v>46242.583333333336</v>
      </c>
    </row>
    <row r="2884" spans="1:8" x14ac:dyDescent="0.25">
      <c r="A2884" s="8" t="s">
        <v>9301</v>
      </c>
      <c r="B2884" s="8" t="s">
        <v>14336</v>
      </c>
      <c r="C2884" s="2">
        <v>46242.416666666664</v>
      </c>
      <c r="D2884" s="8" t="s">
        <v>13937</v>
      </c>
      <c r="E2884" s="8" t="s">
        <v>28</v>
      </c>
      <c r="F2884">
        <v>1</v>
      </c>
      <c r="G2884" s="2">
        <v>46242.75</v>
      </c>
      <c r="H2884" s="2">
        <v>46242.583333333336</v>
      </c>
    </row>
    <row r="2885" spans="1:8" x14ac:dyDescent="0.25">
      <c r="A2885" s="8" t="s">
        <v>9304</v>
      </c>
      <c r="B2885" s="8" t="s">
        <v>14336</v>
      </c>
      <c r="C2885" s="2">
        <v>46242.416666666664</v>
      </c>
      <c r="D2885" s="8" t="s">
        <v>13937</v>
      </c>
      <c r="E2885" s="8" t="s">
        <v>43</v>
      </c>
      <c r="F2885">
        <v>2</v>
      </c>
      <c r="G2885" s="2">
        <v>46242.75</v>
      </c>
      <c r="H2885" s="2">
        <v>46242.583333333336</v>
      </c>
    </row>
    <row r="2886" spans="1:8" x14ac:dyDescent="0.25">
      <c r="A2886" s="8" t="s">
        <v>9307</v>
      </c>
      <c r="B2886" s="8" t="s">
        <v>14336</v>
      </c>
      <c r="C2886" s="2">
        <v>46242.416666666664</v>
      </c>
      <c r="D2886" s="8" t="s">
        <v>13937</v>
      </c>
      <c r="E2886" s="8" t="s">
        <v>53</v>
      </c>
      <c r="F2886">
        <v>1</v>
      </c>
      <c r="G2886" s="2">
        <v>46242.75</v>
      </c>
      <c r="H2886" s="2">
        <v>46242.583333333336</v>
      </c>
    </row>
    <row r="2887" spans="1:8" x14ac:dyDescent="0.25">
      <c r="A2887" s="8" t="s">
        <v>9310</v>
      </c>
      <c r="B2887" s="8" t="s">
        <v>14336</v>
      </c>
      <c r="C2887" s="2">
        <v>46242.416666666664</v>
      </c>
      <c r="D2887" s="8" t="s">
        <v>13937</v>
      </c>
      <c r="E2887" s="8" t="s">
        <v>73</v>
      </c>
      <c r="F2887">
        <v>2</v>
      </c>
      <c r="G2887" s="2">
        <v>46242.75</v>
      </c>
      <c r="H2887" s="2">
        <v>46242.583333333336</v>
      </c>
    </row>
    <row r="2888" spans="1:8" x14ac:dyDescent="0.25">
      <c r="A2888" s="8" t="s">
        <v>9313</v>
      </c>
      <c r="B2888" s="8" t="s">
        <v>14337</v>
      </c>
      <c r="C2888" s="2">
        <v>46243.416666666664</v>
      </c>
      <c r="D2888" s="8" t="s">
        <v>13929</v>
      </c>
      <c r="E2888" s="8" t="s">
        <v>11</v>
      </c>
      <c r="F2888">
        <v>5</v>
      </c>
      <c r="G2888" s="2">
        <v>46243.75</v>
      </c>
      <c r="H2888" s="2">
        <v>46243.583333333336</v>
      </c>
    </row>
    <row r="2889" spans="1:8" x14ac:dyDescent="0.25">
      <c r="A2889" s="8" t="s">
        <v>9316</v>
      </c>
      <c r="B2889" s="8" t="s">
        <v>14337</v>
      </c>
      <c r="C2889" s="2">
        <v>46243.416666666664</v>
      </c>
      <c r="D2889" s="8" t="s">
        <v>13929</v>
      </c>
      <c r="E2889" s="8" t="s">
        <v>18</v>
      </c>
      <c r="F2889">
        <v>5</v>
      </c>
      <c r="G2889" s="2">
        <v>46243.75</v>
      </c>
      <c r="H2889" s="2">
        <v>46243.583333333336</v>
      </c>
    </row>
    <row r="2890" spans="1:8" x14ac:dyDescent="0.25">
      <c r="A2890" s="8" t="s">
        <v>9319</v>
      </c>
      <c r="B2890" s="8" t="s">
        <v>14337</v>
      </c>
      <c r="C2890" s="2">
        <v>46243.416666666664</v>
      </c>
      <c r="D2890" s="8" t="s">
        <v>13929</v>
      </c>
      <c r="E2890" s="8" t="s">
        <v>20</v>
      </c>
      <c r="F2890">
        <v>5</v>
      </c>
      <c r="G2890" s="2">
        <v>46243.75</v>
      </c>
      <c r="H2890" s="2">
        <v>46243.583333333336</v>
      </c>
    </row>
    <row r="2891" spans="1:8" x14ac:dyDescent="0.25">
      <c r="A2891" s="8" t="s">
        <v>9322</v>
      </c>
      <c r="B2891" s="8" t="s">
        <v>14337</v>
      </c>
      <c r="C2891" s="2">
        <v>46243.416666666664</v>
      </c>
      <c r="D2891" s="8" t="s">
        <v>13929</v>
      </c>
      <c r="E2891" s="8" t="s">
        <v>22</v>
      </c>
      <c r="F2891">
        <v>3</v>
      </c>
      <c r="G2891" s="2">
        <v>46243.75</v>
      </c>
      <c r="H2891" s="2">
        <v>46243.583333333336</v>
      </c>
    </row>
    <row r="2892" spans="1:8" x14ac:dyDescent="0.25">
      <c r="A2892" s="8" t="s">
        <v>9325</v>
      </c>
      <c r="B2892" s="8" t="s">
        <v>14337</v>
      </c>
      <c r="C2892" s="2">
        <v>46243.416666666664</v>
      </c>
      <c r="D2892" s="8" t="s">
        <v>13929</v>
      </c>
      <c r="E2892" s="8" t="s">
        <v>26</v>
      </c>
      <c r="F2892">
        <v>4</v>
      </c>
      <c r="G2892" s="2">
        <v>46243.75</v>
      </c>
      <c r="H2892" s="2">
        <v>46243.583333333336</v>
      </c>
    </row>
    <row r="2893" spans="1:8" x14ac:dyDescent="0.25">
      <c r="A2893" s="8" t="s">
        <v>9328</v>
      </c>
      <c r="B2893" s="8" t="s">
        <v>14337</v>
      </c>
      <c r="C2893" s="2">
        <v>46243.416666666664</v>
      </c>
      <c r="D2893" s="8" t="s">
        <v>13929</v>
      </c>
      <c r="E2893" s="8" t="s">
        <v>32</v>
      </c>
      <c r="F2893">
        <v>4</v>
      </c>
      <c r="G2893" s="2">
        <v>46243.75</v>
      </c>
      <c r="H2893" s="2">
        <v>46243.583333333336</v>
      </c>
    </row>
    <row r="2894" spans="1:8" x14ac:dyDescent="0.25">
      <c r="A2894" s="8" t="s">
        <v>9331</v>
      </c>
      <c r="B2894" s="8" t="s">
        <v>14337</v>
      </c>
      <c r="C2894" s="2">
        <v>46243.416666666664</v>
      </c>
      <c r="D2894" s="8" t="s">
        <v>13929</v>
      </c>
      <c r="E2894" s="8" t="s">
        <v>43</v>
      </c>
      <c r="F2894">
        <v>4</v>
      </c>
      <c r="G2894" s="2">
        <v>46243.75</v>
      </c>
      <c r="H2894" s="2">
        <v>46243.583333333336</v>
      </c>
    </row>
    <row r="2895" spans="1:8" x14ac:dyDescent="0.25">
      <c r="A2895" s="8" t="s">
        <v>9334</v>
      </c>
      <c r="B2895" s="8" t="s">
        <v>14337</v>
      </c>
      <c r="C2895" s="2">
        <v>46243.416666666664</v>
      </c>
      <c r="D2895" s="8" t="s">
        <v>13929</v>
      </c>
      <c r="E2895" s="8" t="s">
        <v>45</v>
      </c>
      <c r="F2895">
        <v>5</v>
      </c>
      <c r="G2895" s="2">
        <v>46243.75</v>
      </c>
      <c r="H2895" s="2">
        <v>46243.583333333336</v>
      </c>
    </row>
    <row r="2896" spans="1:8" x14ac:dyDescent="0.25">
      <c r="A2896" s="8" t="s">
        <v>9337</v>
      </c>
      <c r="B2896" s="8" t="s">
        <v>14337</v>
      </c>
      <c r="C2896" s="2">
        <v>46243.416666666664</v>
      </c>
      <c r="D2896" s="8" t="s">
        <v>13929</v>
      </c>
      <c r="E2896" s="8" t="s">
        <v>53</v>
      </c>
      <c r="F2896">
        <v>2</v>
      </c>
      <c r="G2896" s="2">
        <v>46243.75</v>
      </c>
      <c r="H2896" s="2">
        <v>46243.583333333336</v>
      </c>
    </row>
    <row r="2897" spans="1:8" x14ac:dyDescent="0.25">
      <c r="A2897" s="8" t="s">
        <v>9340</v>
      </c>
      <c r="B2897" s="8" t="s">
        <v>14337</v>
      </c>
      <c r="C2897" s="2">
        <v>46243.416666666664</v>
      </c>
      <c r="D2897" s="8" t="s">
        <v>13929</v>
      </c>
      <c r="E2897" s="8" t="s">
        <v>57</v>
      </c>
      <c r="F2897">
        <v>4</v>
      </c>
      <c r="G2897" s="2">
        <v>46243.75</v>
      </c>
      <c r="H2897" s="2">
        <v>46243.583333333336</v>
      </c>
    </row>
    <row r="2898" spans="1:8" x14ac:dyDescent="0.25">
      <c r="A2898" s="8" t="s">
        <v>9343</v>
      </c>
      <c r="B2898" s="8" t="s">
        <v>14337</v>
      </c>
      <c r="C2898" s="2">
        <v>46243.416666666664</v>
      </c>
      <c r="D2898" s="8" t="s">
        <v>13929</v>
      </c>
      <c r="E2898" s="8" t="s">
        <v>59</v>
      </c>
      <c r="F2898">
        <v>5</v>
      </c>
      <c r="G2898" s="2">
        <v>46243.75</v>
      </c>
      <c r="H2898" s="2">
        <v>46243.583333333336</v>
      </c>
    </row>
    <row r="2899" spans="1:8" x14ac:dyDescent="0.25">
      <c r="A2899" s="8" t="s">
        <v>9346</v>
      </c>
      <c r="B2899" s="8" t="s">
        <v>14337</v>
      </c>
      <c r="C2899" s="2">
        <v>46243.416666666664</v>
      </c>
      <c r="D2899" s="8" t="s">
        <v>13929</v>
      </c>
      <c r="E2899" s="8" t="s">
        <v>67</v>
      </c>
      <c r="F2899">
        <v>3</v>
      </c>
      <c r="G2899" s="2">
        <v>46243.75</v>
      </c>
      <c r="H2899" s="2">
        <v>46243.583333333336</v>
      </c>
    </row>
    <row r="2900" spans="1:8" x14ac:dyDescent="0.25">
      <c r="A2900" s="8" t="s">
        <v>9349</v>
      </c>
      <c r="B2900" s="8" t="s">
        <v>14337</v>
      </c>
      <c r="C2900" s="2">
        <v>46243.416666666664</v>
      </c>
      <c r="D2900" s="8" t="s">
        <v>13929</v>
      </c>
      <c r="E2900" s="8" t="s">
        <v>73</v>
      </c>
      <c r="F2900">
        <v>5</v>
      </c>
      <c r="G2900" s="2">
        <v>46243.75</v>
      </c>
      <c r="H2900" s="2">
        <v>46243.583333333336</v>
      </c>
    </row>
    <row r="2901" spans="1:8" x14ac:dyDescent="0.25">
      <c r="A2901" s="8" t="s">
        <v>9352</v>
      </c>
      <c r="B2901" s="8" t="s">
        <v>14337</v>
      </c>
      <c r="C2901" s="2">
        <v>46243.416666666664</v>
      </c>
      <c r="D2901" s="8" t="s">
        <v>13929</v>
      </c>
      <c r="E2901" s="8" t="s">
        <v>77</v>
      </c>
      <c r="F2901">
        <v>2</v>
      </c>
      <c r="G2901" s="2">
        <v>46243.75</v>
      </c>
      <c r="H2901" s="2">
        <v>46243.583333333336</v>
      </c>
    </row>
    <row r="2902" spans="1:8" x14ac:dyDescent="0.25">
      <c r="A2902" s="8" t="s">
        <v>9355</v>
      </c>
      <c r="B2902" s="8" t="s">
        <v>14338</v>
      </c>
      <c r="C2902" s="2">
        <v>46243.416666666664</v>
      </c>
      <c r="D2902" s="8" t="s">
        <v>13931</v>
      </c>
      <c r="E2902" s="8" t="s">
        <v>11</v>
      </c>
      <c r="F2902">
        <v>6</v>
      </c>
      <c r="G2902" s="2">
        <v>46243.75</v>
      </c>
      <c r="H2902" s="2">
        <v>46243.583333333336</v>
      </c>
    </row>
    <row r="2903" spans="1:8" x14ac:dyDescent="0.25">
      <c r="A2903" s="8" t="s">
        <v>9358</v>
      </c>
      <c r="B2903" s="8" t="s">
        <v>14338</v>
      </c>
      <c r="C2903" s="2">
        <v>46243.416666666664</v>
      </c>
      <c r="D2903" s="8" t="s">
        <v>13931</v>
      </c>
      <c r="E2903" s="8" t="s">
        <v>18</v>
      </c>
      <c r="F2903">
        <v>5</v>
      </c>
      <c r="G2903" s="2">
        <v>46243.75</v>
      </c>
      <c r="H2903" s="2">
        <v>46243.583333333336</v>
      </c>
    </row>
    <row r="2904" spans="1:8" x14ac:dyDescent="0.25">
      <c r="A2904" s="8" t="s">
        <v>9361</v>
      </c>
      <c r="B2904" s="8" t="s">
        <v>14338</v>
      </c>
      <c r="C2904" s="2">
        <v>46243.416666666664</v>
      </c>
      <c r="D2904" s="8" t="s">
        <v>13931</v>
      </c>
      <c r="E2904" s="8" t="s">
        <v>20</v>
      </c>
      <c r="F2904">
        <v>5</v>
      </c>
      <c r="G2904" s="2">
        <v>46243.75</v>
      </c>
      <c r="H2904" s="2">
        <v>46243.583333333336</v>
      </c>
    </row>
    <row r="2905" spans="1:8" x14ac:dyDescent="0.25">
      <c r="A2905" s="8" t="s">
        <v>9364</v>
      </c>
      <c r="B2905" s="8" t="s">
        <v>14338</v>
      </c>
      <c r="C2905" s="2">
        <v>46243.416666666664</v>
      </c>
      <c r="D2905" s="8" t="s">
        <v>13931</v>
      </c>
      <c r="E2905" s="8" t="s">
        <v>22</v>
      </c>
      <c r="F2905">
        <v>1</v>
      </c>
      <c r="G2905" s="2">
        <v>46243.75</v>
      </c>
      <c r="H2905" s="2">
        <v>46243.583333333336</v>
      </c>
    </row>
    <row r="2906" spans="1:8" x14ac:dyDescent="0.25">
      <c r="A2906" s="8" t="s">
        <v>9367</v>
      </c>
      <c r="B2906" s="8" t="s">
        <v>14338</v>
      </c>
      <c r="C2906" s="2">
        <v>46243.416666666664</v>
      </c>
      <c r="D2906" s="8" t="s">
        <v>13931</v>
      </c>
      <c r="E2906" s="8" t="s">
        <v>24</v>
      </c>
      <c r="F2906">
        <v>4</v>
      </c>
      <c r="G2906" s="2">
        <v>46243.75</v>
      </c>
      <c r="H2906" s="2">
        <v>46243.583333333336</v>
      </c>
    </row>
    <row r="2907" spans="1:8" x14ac:dyDescent="0.25">
      <c r="A2907" s="8" t="s">
        <v>9370</v>
      </c>
      <c r="B2907" s="8" t="s">
        <v>14338</v>
      </c>
      <c r="C2907" s="2">
        <v>46243.416666666664</v>
      </c>
      <c r="D2907" s="8" t="s">
        <v>13931</v>
      </c>
      <c r="E2907" s="8" t="s">
        <v>32</v>
      </c>
      <c r="F2907">
        <v>1</v>
      </c>
      <c r="G2907" s="2">
        <v>46243.75</v>
      </c>
      <c r="H2907" s="2">
        <v>46243.583333333336</v>
      </c>
    </row>
    <row r="2908" spans="1:8" x14ac:dyDescent="0.25">
      <c r="A2908" s="8" t="s">
        <v>9373</v>
      </c>
      <c r="B2908" s="8" t="s">
        <v>14338</v>
      </c>
      <c r="C2908" s="2">
        <v>46243.416666666664</v>
      </c>
      <c r="D2908" s="8" t="s">
        <v>13931</v>
      </c>
      <c r="E2908" s="8" t="s">
        <v>43</v>
      </c>
      <c r="F2908">
        <v>6</v>
      </c>
      <c r="G2908" s="2">
        <v>46243.75</v>
      </c>
      <c r="H2908" s="2">
        <v>46243.583333333336</v>
      </c>
    </row>
    <row r="2909" spans="1:8" x14ac:dyDescent="0.25">
      <c r="A2909" s="8" t="s">
        <v>9376</v>
      </c>
      <c r="B2909" s="8" t="s">
        <v>14338</v>
      </c>
      <c r="C2909" s="2">
        <v>46243.416666666664</v>
      </c>
      <c r="D2909" s="8" t="s">
        <v>13931</v>
      </c>
      <c r="E2909" s="8" t="s">
        <v>49</v>
      </c>
      <c r="F2909">
        <v>4</v>
      </c>
      <c r="G2909" s="2">
        <v>46243.75</v>
      </c>
      <c r="H2909" s="2">
        <v>46243.583333333336</v>
      </c>
    </row>
    <row r="2910" spans="1:8" x14ac:dyDescent="0.25">
      <c r="A2910" s="8" t="s">
        <v>9379</v>
      </c>
      <c r="B2910" s="8" t="s">
        <v>14338</v>
      </c>
      <c r="C2910" s="2">
        <v>46243.416666666664</v>
      </c>
      <c r="D2910" s="8" t="s">
        <v>13931</v>
      </c>
      <c r="E2910" s="8" t="s">
        <v>53</v>
      </c>
      <c r="F2910">
        <v>5</v>
      </c>
      <c r="G2910" s="2">
        <v>46243.75</v>
      </c>
      <c r="H2910" s="2">
        <v>46243.583333333336</v>
      </c>
    </row>
    <row r="2911" spans="1:8" x14ac:dyDescent="0.25">
      <c r="A2911" s="8" t="s">
        <v>9382</v>
      </c>
      <c r="B2911" s="8" t="s">
        <v>14339</v>
      </c>
      <c r="C2911" s="2">
        <v>46243.416666666664</v>
      </c>
      <c r="D2911" s="8" t="s">
        <v>13933</v>
      </c>
      <c r="E2911" s="8" t="s">
        <v>11</v>
      </c>
      <c r="F2911">
        <v>3</v>
      </c>
      <c r="G2911" s="2">
        <v>46243.75</v>
      </c>
      <c r="H2911" s="2">
        <v>46243.583333333336</v>
      </c>
    </row>
    <row r="2912" spans="1:8" x14ac:dyDescent="0.25">
      <c r="A2912" s="8" t="s">
        <v>14340</v>
      </c>
      <c r="B2912" s="8" t="s">
        <v>14339</v>
      </c>
      <c r="C2912" s="2">
        <v>46243.416666666664</v>
      </c>
      <c r="D2912" s="8" t="s">
        <v>13933</v>
      </c>
      <c r="E2912" s="8" t="s">
        <v>20</v>
      </c>
      <c r="F2912">
        <v>6</v>
      </c>
      <c r="G2912" s="2">
        <v>46243.75</v>
      </c>
      <c r="H2912" s="2"/>
    </row>
    <row r="2913" spans="1:8" x14ac:dyDescent="0.25">
      <c r="A2913" s="8" t="s">
        <v>9385</v>
      </c>
      <c r="B2913" s="8" t="s">
        <v>14339</v>
      </c>
      <c r="C2913" s="2">
        <v>46243.416666666664</v>
      </c>
      <c r="D2913" s="8" t="s">
        <v>13933</v>
      </c>
      <c r="E2913" s="8" t="s">
        <v>36</v>
      </c>
      <c r="F2913">
        <v>6</v>
      </c>
      <c r="G2913" s="2">
        <v>46243.75</v>
      </c>
      <c r="H2913" s="2">
        <v>46243.583333333336</v>
      </c>
    </row>
    <row r="2914" spans="1:8" x14ac:dyDescent="0.25">
      <c r="A2914" s="8" t="s">
        <v>9388</v>
      </c>
      <c r="B2914" s="8" t="s">
        <v>14339</v>
      </c>
      <c r="C2914" s="2">
        <v>46243.416666666664</v>
      </c>
      <c r="D2914" s="8" t="s">
        <v>13933</v>
      </c>
      <c r="E2914" s="8" t="s">
        <v>41</v>
      </c>
      <c r="F2914">
        <v>8</v>
      </c>
      <c r="G2914" s="2">
        <v>46243.75</v>
      </c>
      <c r="H2914" s="2">
        <v>46243.583333333336</v>
      </c>
    </row>
    <row r="2915" spans="1:8" x14ac:dyDescent="0.25">
      <c r="A2915" s="8" t="s">
        <v>9391</v>
      </c>
      <c r="B2915" s="8" t="s">
        <v>14339</v>
      </c>
      <c r="C2915" s="2">
        <v>46243.416666666664</v>
      </c>
      <c r="D2915" s="8" t="s">
        <v>13933</v>
      </c>
      <c r="E2915" s="8" t="s">
        <v>43</v>
      </c>
      <c r="F2915">
        <v>5</v>
      </c>
      <c r="G2915" s="2">
        <v>46243.75</v>
      </c>
      <c r="H2915" s="2">
        <v>46243.583333333336</v>
      </c>
    </row>
    <row r="2916" spans="1:8" x14ac:dyDescent="0.25">
      <c r="A2916" s="8" t="s">
        <v>9394</v>
      </c>
      <c r="B2916" s="8" t="s">
        <v>14339</v>
      </c>
      <c r="C2916" s="2">
        <v>46243.416666666664</v>
      </c>
      <c r="D2916" s="8" t="s">
        <v>13933</v>
      </c>
      <c r="E2916" s="8" t="s">
        <v>47</v>
      </c>
      <c r="F2916">
        <v>3</v>
      </c>
      <c r="G2916" s="2">
        <v>46243.75</v>
      </c>
      <c r="H2916" s="2">
        <v>46243.583333333336</v>
      </c>
    </row>
    <row r="2917" spans="1:8" x14ac:dyDescent="0.25">
      <c r="A2917" s="8" t="s">
        <v>9397</v>
      </c>
      <c r="B2917" s="8" t="s">
        <v>14339</v>
      </c>
      <c r="C2917" s="2">
        <v>46243.416666666664</v>
      </c>
      <c r="D2917" s="8" t="s">
        <v>13933</v>
      </c>
      <c r="E2917" s="8" t="s">
        <v>49</v>
      </c>
      <c r="F2917">
        <v>8</v>
      </c>
      <c r="G2917" s="2">
        <v>46243.75</v>
      </c>
      <c r="H2917" s="2">
        <v>46243.583333333336</v>
      </c>
    </row>
    <row r="2918" spans="1:8" x14ac:dyDescent="0.25">
      <c r="A2918" s="8" t="s">
        <v>9402</v>
      </c>
      <c r="B2918" s="8" t="s">
        <v>14339</v>
      </c>
      <c r="C2918" s="2">
        <v>46243.416666666664</v>
      </c>
      <c r="D2918" s="8" t="s">
        <v>13933</v>
      </c>
      <c r="E2918" s="8" t="s">
        <v>57</v>
      </c>
      <c r="F2918">
        <v>3</v>
      </c>
      <c r="G2918" s="2">
        <v>46243.75</v>
      </c>
      <c r="H2918" s="2">
        <v>46243.583333333336</v>
      </c>
    </row>
    <row r="2919" spans="1:8" x14ac:dyDescent="0.25">
      <c r="A2919" s="8" t="s">
        <v>9405</v>
      </c>
      <c r="B2919" s="8" t="s">
        <v>14339</v>
      </c>
      <c r="C2919" s="2">
        <v>46243.416666666664</v>
      </c>
      <c r="D2919" s="8" t="s">
        <v>13933</v>
      </c>
      <c r="E2919" s="8" t="s">
        <v>69</v>
      </c>
      <c r="F2919">
        <v>3</v>
      </c>
      <c r="G2919" s="2">
        <v>46243.75</v>
      </c>
      <c r="H2919" s="2">
        <v>46243.583333333336</v>
      </c>
    </row>
    <row r="2920" spans="1:8" x14ac:dyDescent="0.25">
      <c r="A2920" s="8" t="s">
        <v>9408</v>
      </c>
      <c r="B2920" s="8" t="s">
        <v>14339</v>
      </c>
      <c r="C2920" s="2">
        <v>46243.416666666664</v>
      </c>
      <c r="D2920" s="8" t="s">
        <v>13933</v>
      </c>
      <c r="E2920" s="8" t="s">
        <v>77</v>
      </c>
      <c r="F2920">
        <v>3</v>
      </c>
      <c r="G2920" s="2">
        <v>46243.75</v>
      </c>
      <c r="H2920" s="2">
        <v>46243.583333333336</v>
      </c>
    </row>
    <row r="2921" spans="1:8" x14ac:dyDescent="0.25">
      <c r="A2921" s="8" t="s">
        <v>9411</v>
      </c>
      <c r="B2921" s="8" t="s">
        <v>14341</v>
      </c>
      <c r="C2921" s="2">
        <v>46243.416666666664</v>
      </c>
      <c r="D2921" s="8" t="s">
        <v>13935</v>
      </c>
      <c r="E2921" s="8" t="s">
        <v>18</v>
      </c>
      <c r="F2921">
        <v>5</v>
      </c>
      <c r="G2921" s="2">
        <v>46243.75</v>
      </c>
      <c r="H2921" s="2">
        <v>46243.583333333336</v>
      </c>
    </row>
    <row r="2922" spans="1:8" x14ac:dyDescent="0.25">
      <c r="A2922" s="8" t="s">
        <v>14342</v>
      </c>
      <c r="B2922" s="8" t="s">
        <v>14341</v>
      </c>
      <c r="C2922" s="2">
        <v>46243.416666666664</v>
      </c>
      <c r="D2922" s="8" t="s">
        <v>13935</v>
      </c>
      <c r="E2922" s="8" t="s">
        <v>20</v>
      </c>
      <c r="F2922">
        <v>4</v>
      </c>
      <c r="G2922" s="2">
        <v>46243.75</v>
      </c>
      <c r="H2922" s="2"/>
    </row>
    <row r="2923" spans="1:8" x14ac:dyDescent="0.25">
      <c r="A2923" s="8" t="s">
        <v>9414</v>
      </c>
      <c r="B2923" s="8" t="s">
        <v>14341</v>
      </c>
      <c r="C2923" s="2">
        <v>46243.416666666664</v>
      </c>
      <c r="D2923" s="8" t="s">
        <v>13935</v>
      </c>
      <c r="E2923" s="8" t="s">
        <v>24</v>
      </c>
      <c r="F2923">
        <v>7</v>
      </c>
      <c r="G2923" s="2">
        <v>46243.75</v>
      </c>
      <c r="H2923" s="2">
        <v>46243.583333333336</v>
      </c>
    </row>
    <row r="2924" spans="1:8" x14ac:dyDescent="0.25">
      <c r="A2924" s="8" t="s">
        <v>9417</v>
      </c>
      <c r="B2924" s="8" t="s">
        <v>14341</v>
      </c>
      <c r="C2924" s="2">
        <v>46243.416666666664</v>
      </c>
      <c r="D2924" s="8" t="s">
        <v>13935</v>
      </c>
      <c r="E2924" s="8" t="s">
        <v>36</v>
      </c>
      <c r="F2924">
        <v>4</v>
      </c>
      <c r="G2924" s="2">
        <v>46243.75</v>
      </c>
      <c r="H2924" s="2">
        <v>46243.583333333336</v>
      </c>
    </row>
    <row r="2925" spans="1:8" x14ac:dyDescent="0.25">
      <c r="A2925" s="8" t="s">
        <v>9420</v>
      </c>
      <c r="B2925" s="8" t="s">
        <v>14341</v>
      </c>
      <c r="C2925" s="2">
        <v>46243.416666666664</v>
      </c>
      <c r="D2925" s="8" t="s">
        <v>13935</v>
      </c>
      <c r="E2925" s="8" t="s">
        <v>53</v>
      </c>
      <c r="F2925">
        <v>9</v>
      </c>
      <c r="G2925" s="2">
        <v>46243.75</v>
      </c>
      <c r="H2925" s="2">
        <v>46243.583333333336</v>
      </c>
    </row>
    <row r="2926" spans="1:8" x14ac:dyDescent="0.25">
      <c r="A2926" s="8" t="s">
        <v>9423</v>
      </c>
      <c r="B2926" s="8" t="s">
        <v>14341</v>
      </c>
      <c r="C2926" s="2">
        <v>46243.416666666664</v>
      </c>
      <c r="D2926" s="8" t="s">
        <v>13935</v>
      </c>
      <c r="E2926" s="8" t="s">
        <v>73</v>
      </c>
      <c r="F2926">
        <v>2</v>
      </c>
      <c r="G2926" s="2">
        <v>46243.75</v>
      </c>
      <c r="H2926" s="2">
        <v>46243.583333333336</v>
      </c>
    </row>
    <row r="2927" spans="1:8" x14ac:dyDescent="0.25">
      <c r="A2927" s="8" t="s">
        <v>9426</v>
      </c>
      <c r="B2927" s="8" t="s">
        <v>14341</v>
      </c>
      <c r="C2927" s="2">
        <v>46243.416666666664</v>
      </c>
      <c r="D2927" s="8" t="s">
        <v>13935</v>
      </c>
      <c r="E2927" s="8" t="s">
        <v>75</v>
      </c>
      <c r="F2927">
        <v>7</v>
      </c>
      <c r="G2927" s="2">
        <v>46243.75</v>
      </c>
      <c r="H2927" s="2">
        <v>46243.583333333336</v>
      </c>
    </row>
    <row r="2928" spans="1:8" x14ac:dyDescent="0.25">
      <c r="A2928" s="8" t="s">
        <v>14343</v>
      </c>
      <c r="B2928" s="8" t="s">
        <v>14344</v>
      </c>
      <c r="C2928" s="2">
        <v>46243.416666666664</v>
      </c>
      <c r="D2928" s="8" t="s">
        <v>13937</v>
      </c>
      <c r="E2928" s="8" t="s">
        <v>20</v>
      </c>
      <c r="F2928">
        <v>1</v>
      </c>
      <c r="G2928" s="2">
        <v>46243.75</v>
      </c>
      <c r="H2928" s="2"/>
    </row>
    <row r="2929" spans="1:8" x14ac:dyDescent="0.25">
      <c r="A2929" s="8" t="s">
        <v>9429</v>
      </c>
      <c r="B2929" s="8" t="s">
        <v>14344</v>
      </c>
      <c r="C2929" s="2">
        <v>46243.416666666664</v>
      </c>
      <c r="D2929" s="8" t="s">
        <v>13937</v>
      </c>
      <c r="E2929" s="8" t="s">
        <v>22</v>
      </c>
      <c r="F2929">
        <v>2</v>
      </c>
      <c r="G2929" s="2">
        <v>46243.75</v>
      </c>
      <c r="H2929" s="2">
        <v>46243.583333333336</v>
      </c>
    </row>
    <row r="2930" spans="1:8" x14ac:dyDescent="0.25">
      <c r="A2930" s="8" t="s">
        <v>9432</v>
      </c>
      <c r="B2930" s="8" t="s">
        <v>14344</v>
      </c>
      <c r="C2930" s="2">
        <v>46243.416666666664</v>
      </c>
      <c r="D2930" s="8" t="s">
        <v>13937</v>
      </c>
      <c r="E2930" s="8" t="s">
        <v>24</v>
      </c>
      <c r="F2930">
        <v>2</v>
      </c>
      <c r="G2930" s="2">
        <v>46243.75</v>
      </c>
      <c r="H2930" s="2">
        <v>46243.583333333336</v>
      </c>
    </row>
    <row r="2931" spans="1:8" x14ac:dyDescent="0.25">
      <c r="A2931" s="8" t="s">
        <v>9435</v>
      </c>
      <c r="B2931" s="8" t="s">
        <v>14344</v>
      </c>
      <c r="C2931" s="2">
        <v>46243.416666666664</v>
      </c>
      <c r="D2931" s="8" t="s">
        <v>13937</v>
      </c>
      <c r="E2931" s="8" t="s">
        <v>26</v>
      </c>
      <c r="F2931">
        <v>5</v>
      </c>
      <c r="G2931" s="2">
        <v>46243.75</v>
      </c>
      <c r="H2931" s="2">
        <v>46243.583333333336</v>
      </c>
    </row>
    <row r="2932" spans="1:8" x14ac:dyDescent="0.25">
      <c r="A2932" s="8" t="s">
        <v>9438</v>
      </c>
      <c r="B2932" s="8" t="s">
        <v>14344</v>
      </c>
      <c r="C2932" s="2">
        <v>46243.416666666664</v>
      </c>
      <c r="D2932" s="8" t="s">
        <v>13937</v>
      </c>
      <c r="E2932" s="8" t="s">
        <v>28</v>
      </c>
      <c r="F2932">
        <v>4</v>
      </c>
      <c r="G2932" s="2">
        <v>46243.75</v>
      </c>
      <c r="H2932" s="2">
        <v>46243.583333333336</v>
      </c>
    </row>
    <row r="2933" spans="1:8" x14ac:dyDescent="0.25">
      <c r="A2933" s="8" t="s">
        <v>9441</v>
      </c>
      <c r="B2933" s="8" t="s">
        <v>14344</v>
      </c>
      <c r="C2933" s="2">
        <v>46243.416666666664</v>
      </c>
      <c r="D2933" s="8" t="s">
        <v>13937</v>
      </c>
      <c r="E2933" s="8" t="s">
        <v>45</v>
      </c>
      <c r="F2933">
        <v>1</v>
      </c>
      <c r="G2933" s="2">
        <v>46243.75</v>
      </c>
      <c r="H2933" s="2">
        <v>46243.583333333336</v>
      </c>
    </row>
    <row r="2934" spans="1:8" x14ac:dyDescent="0.25">
      <c r="A2934" s="8" t="s">
        <v>9444</v>
      </c>
      <c r="B2934" s="8" t="s">
        <v>14344</v>
      </c>
      <c r="C2934" s="2">
        <v>46243.416666666664</v>
      </c>
      <c r="D2934" s="8" t="s">
        <v>13937</v>
      </c>
      <c r="E2934" s="8" t="s">
        <v>47</v>
      </c>
      <c r="F2934">
        <v>2</v>
      </c>
      <c r="G2934" s="2">
        <v>46243.75</v>
      </c>
      <c r="H2934" s="2">
        <v>46243.583333333336</v>
      </c>
    </row>
    <row r="2935" spans="1:8" x14ac:dyDescent="0.25">
      <c r="A2935" s="8" t="s">
        <v>9447</v>
      </c>
      <c r="B2935" s="8" t="s">
        <v>14344</v>
      </c>
      <c r="C2935" s="2">
        <v>46243.416666666664</v>
      </c>
      <c r="D2935" s="8" t="s">
        <v>13937</v>
      </c>
      <c r="E2935" s="8" t="s">
        <v>71</v>
      </c>
      <c r="F2935">
        <v>6</v>
      </c>
      <c r="G2935" s="2">
        <v>46243.75</v>
      </c>
      <c r="H2935" s="2">
        <v>46243.583333333336</v>
      </c>
    </row>
    <row r="2936" spans="1:8" x14ac:dyDescent="0.25">
      <c r="A2936" s="8" t="s">
        <v>9450</v>
      </c>
      <c r="B2936" s="8" t="s">
        <v>14344</v>
      </c>
      <c r="C2936" s="2">
        <v>46243.416666666664</v>
      </c>
      <c r="D2936" s="8" t="s">
        <v>13937</v>
      </c>
      <c r="E2936" s="8" t="s">
        <v>77</v>
      </c>
      <c r="F2936">
        <v>1</v>
      </c>
      <c r="G2936" s="2">
        <v>46243.75</v>
      </c>
      <c r="H2936" s="2">
        <v>46243.583333333336</v>
      </c>
    </row>
    <row r="2937" spans="1:8" x14ac:dyDescent="0.25">
      <c r="A2937" s="8" t="s">
        <v>9453</v>
      </c>
      <c r="B2937" s="8" t="s">
        <v>14345</v>
      </c>
      <c r="C2937" s="2">
        <v>46244.416666666664</v>
      </c>
      <c r="D2937" s="8" t="s">
        <v>13929</v>
      </c>
      <c r="E2937" s="8" t="s">
        <v>11</v>
      </c>
      <c r="F2937">
        <v>3</v>
      </c>
      <c r="G2937" s="2">
        <v>46244.75</v>
      </c>
      <c r="H2937" s="2">
        <v>46244.583333333336</v>
      </c>
    </row>
    <row r="2938" spans="1:8" x14ac:dyDescent="0.25">
      <c r="A2938" s="8" t="s">
        <v>9456</v>
      </c>
      <c r="B2938" s="8" t="s">
        <v>14345</v>
      </c>
      <c r="C2938" s="2">
        <v>46244.416666666664</v>
      </c>
      <c r="D2938" s="8" t="s">
        <v>13929</v>
      </c>
      <c r="E2938" s="8" t="s">
        <v>18</v>
      </c>
      <c r="F2938">
        <v>1</v>
      </c>
      <c r="G2938" s="2">
        <v>46244.75</v>
      </c>
      <c r="H2938" s="2">
        <v>46244.583333333336</v>
      </c>
    </row>
    <row r="2939" spans="1:8" x14ac:dyDescent="0.25">
      <c r="A2939" s="8" t="s">
        <v>14346</v>
      </c>
      <c r="B2939" s="8" t="s">
        <v>14345</v>
      </c>
      <c r="C2939" s="2">
        <v>46244.416666666664</v>
      </c>
      <c r="D2939" s="8" t="s">
        <v>13929</v>
      </c>
      <c r="E2939" s="8" t="s">
        <v>20</v>
      </c>
      <c r="F2939">
        <v>3</v>
      </c>
      <c r="G2939" s="2">
        <v>46244.75</v>
      </c>
      <c r="H2939" s="2"/>
    </row>
    <row r="2940" spans="1:8" x14ac:dyDescent="0.25">
      <c r="A2940" s="8" t="s">
        <v>9459</v>
      </c>
      <c r="B2940" s="8" t="s">
        <v>14345</v>
      </c>
      <c r="C2940" s="2">
        <v>46244.416666666664</v>
      </c>
      <c r="D2940" s="8" t="s">
        <v>13929</v>
      </c>
      <c r="E2940" s="8" t="s">
        <v>22</v>
      </c>
      <c r="F2940">
        <v>4</v>
      </c>
      <c r="G2940" s="2">
        <v>46244.75</v>
      </c>
      <c r="H2940" s="2">
        <v>46244.583333333336</v>
      </c>
    </row>
    <row r="2941" spans="1:8" x14ac:dyDescent="0.25">
      <c r="A2941" s="8" t="s">
        <v>9462</v>
      </c>
      <c r="B2941" s="8" t="s">
        <v>14345</v>
      </c>
      <c r="C2941" s="2">
        <v>46244.416666666664</v>
      </c>
      <c r="D2941" s="8" t="s">
        <v>13929</v>
      </c>
      <c r="E2941" s="8" t="s">
        <v>26</v>
      </c>
      <c r="F2941">
        <v>2</v>
      </c>
      <c r="G2941" s="2">
        <v>46244.75</v>
      </c>
      <c r="H2941" s="2">
        <v>46244.583333333336</v>
      </c>
    </row>
    <row r="2942" spans="1:8" x14ac:dyDescent="0.25">
      <c r="A2942" s="8" t="s">
        <v>9465</v>
      </c>
      <c r="B2942" s="8" t="s">
        <v>14345</v>
      </c>
      <c r="C2942" s="2">
        <v>46244.416666666664</v>
      </c>
      <c r="D2942" s="8" t="s">
        <v>13929</v>
      </c>
      <c r="E2942" s="8" t="s">
        <v>36</v>
      </c>
      <c r="F2942">
        <v>3</v>
      </c>
      <c r="G2942" s="2">
        <v>46244.75</v>
      </c>
      <c r="H2942" s="2">
        <v>46244.583333333336</v>
      </c>
    </row>
    <row r="2943" spans="1:8" x14ac:dyDescent="0.25">
      <c r="A2943" s="8" t="s">
        <v>9468</v>
      </c>
      <c r="B2943" s="8" t="s">
        <v>14345</v>
      </c>
      <c r="C2943" s="2">
        <v>46244.416666666664</v>
      </c>
      <c r="D2943" s="8" t="s">
        <v>13929</v>
      </c>
      <c r="E2943" s="8" t="s">
        <v>65</v>
      </c>
      <c r="F2943">
        <v>2</v>
      </c>
      <c r="G2943" s="2">
        <v>46244.75</v>
      </c>
      <c r="H2943" s="2">
        <v>46244.583333333336</v>
      </c>
    </row>
    <row r="2944" spans="1:8" x14ac:dyDescent="0.25">
      <c r="A2944" s="8" t="s">
        <v>9471</v>
      </c>
      <c r="B2944" s="8" t="s">
        <v>14345</v>
      </c>
      <c r="C2944" s="2">
        <v>46244.416666666664</v>
      </c>
      <c r="D2944" s="8" t="s">
        <v>13929</v>
      </c>
      <c r="E2944" s="8" t="s">
        <v>71</v>
      </c>
      <c r="F2944">
        <v>2</v>
      </c>
      <c r="G2944" s="2">
        <v>46244.75</v>
      </c>
      <c r="H2944" s="2">
        <v>46244.583333333336</v>
      </c>
    </row>
    <row r="2945" spans="1:8" x14ac:dyDescent="0.25">
      <c r="A2945" s="8" t="s">
        <v>9474</v>
      </c>
      <c r="B2945" s="8" t="s">
        <v>14345</v>
      </c>
      <c r="C2945" s="2">
        <v>46244.416666666664</v>
      </c>
      <c r="D2945" s="8" t="s">
        <v>13929</v>
      </c>
      <c r="E2945" s="8" t="s">
        <v>73</v>
      </c>
      <c r="F2945">
        <v>3</v>
      </c>
      <c r="G2945" s="2">
        <v>46244.75</v>
      </c>
      <c r="H2945" s="2">
        <v>46244.583333333336</v>
      </c>
    </row>
    <row r="2946" spans="1:8" x14ac:dyDescent="0.25">
      <c r="A2946" s="8" t="s">
        <v>9477</v>
      </c>
      <c r="B2946" s="8" t="s">
        <v>14347</v>
      </c>
      <c r="C2946" s="2">
        <v>46244.416666666664</v>
      </c>
      <c r="D2946" s="8" t="s">
        <v>13931</v>
      </c>
      <c r="E2946" s="8" t="s">
        <v>11</v>
      </c>
      <c r="F2946">
        <v>3</v>
      </c>
      <c r="G2946" s="2">
        <v>46244.75</v>
      </c>
      <c r="H2946" s="2">
        <v>46244.583333333336</v>
      </c>
    </row>
    <row r="2947" spans="1:8" x14ac:dyDescent="0.25">
      <c r="A2947" s="8" t="s">
        <v>9480</v>
      </c>
      <c r="B2947" s="8" t="s">
        <v>14347</v>
      </c>
      <c r="C2947" s="2">
        <v>46244.416666666664</v>
      </c>
      <c r="D2947" s="8" t="s">
        <v>13931</v>
      </c>
      <c r="E2947" s="8" t="s">
        <v>18</v>
      </c>
      <c r="F2947">
        <v>3</v>
      </c>
      <c r="G2947" s="2">
        <v>46244.75</v>
      </c>
      <c r="H2947" s="2">
        <v>46244.583333333336</v>
      </c>
    </row>
    <row r="2948" spans="1:8" x14ac:dyDescent="0.25">
      <c r="A2948" s="8" t="s">
        <v>9483</v>
      </c>
      <c r="B2948" s="8" t="s">
        <v>14347</v>
      </c>
      <c r="C2948" s="2">
        <v>46244.416666666664</v>
      </c>
      <c r="D2948" s="8" t="s">
        <v>13931</v>
      </c>
      <c r="E2948" s="8" t="s">
        <v>24</v>
      </c>
      <c r="F2948">
        <v>4</v>
      </c>
      <c r="G2948" s="2">
        <v>46244.75</v>
      </c>
      <c r="H2948" s="2">
        <v>46244.583333333336</v>
      </c>
    </row>
    <row r="2949" spans="1:8" x14ac:dyDescent="0.25">
      <c r="A2949" s="8" t="s">
        <v>9486</v>
      </c>
      <c r="B2949" s="8" t="s">
        <v>14347</v>
      </c>
      <c r="C2949" s="2">
        <v>46244.416666666664</v>
      </c>
      <c r="D2949" s="8" t="s">
        <v>13931</v>
      </c>
      <c r="E2949" s="8" t="s">
        <v>26</v>
      </c>
      <c r="F2949">
        <v>2</v>
      </c>
      <c r="G2949" s="2">
        <v>46244.75</v>
      </c>
      <c r="H2949" s="2">
        <v>46244.583333333336</v>
      </c>
    </row>
    <row r="2950" spans="1:8" x14ac:dyDescent="0.25">
      <c r="A2950" s="8" t="s">
        <v>9489</v>
      </c>
      <c r="B2950" s="8" t="s">
        <v>14347</v>
      </c>
      <c r="C2950" s="2">
        <v>46244.416666666664</v>
      </c>
      <c r="D2950" s="8" t="s">
        <v>13931</v>
      </c>
      <c r="E2950" s="8" t="s">
        <v>36</v>
      </c>
      <c r="F2950">
        <v>5</v>
      </c>
      <c r="G2950" s="2">
        <v>46244.75</v>
      </c>
      <c r="H2950" s="2">
        <v>46244.583333333336</v>
      </c>
    </row>
    <row r="2951" spans="1:8" x14ac:dyDescent="0.25">
      <c r="A2951" s="8" t="s">
        <v>9492</v>
      </c>
      <c r="B2951" s="8" t="s">
        <v>14347</v>
      </c>
      <c r="C2951" s="2">
        <v>46244.416666666664</v>
      </c>
      <c r="D2951" s="8" t="s">
        <v>13931</v>
      </c>
      <c r="E2951" s="8" t="s">
        <v>53</v>
      </c>
      <c r="F2951">
        <v>3</v>
      </c>
      <c r="G2951" s="2">
        <v>46244.75</v>
      </c>
      <c r="H2951" s="2">
        <v>46244.583333333336</v>
      </c>
    </row>
    <row r="2952" spans="1:8" x14ac:dyDescent="0.25">
      <c r="A2952" s="8" t="s">
        <v>9495</v>
      </c>
      <c r="B2952" s="8" t="s">
        <v>14347</v>
      </c>
      <c r="C2952" s="2">
        <v>46244.416666666664</v>
      </c>
      <c r="D2952" s="8" t="s">
        <v>13931</v>
      </c>
      <c r="E2952" s="8" t="s">
        <v>71</v>
      </c>
      <c r="F2952">
        <v>1</v>
      </c>
      <c r="G2952" s="2">
        <v>46244.75</v>
      </c>
      <c r="H2952" s="2">
        <v>46244.583333333336</v>
      </c>
    </row>
    <row r="2953" spans="1:8" x14ac:dyDescent="0.25">
      <c r="A2953" s="8" t="s">
        <v>9498</v>
      </c>
      <c r="B2953" s="8" t="s">
        <v>14347</v>
      </c>
      <c r="C2953" s="2">
        <v>46244.416666666664</v>
      </c>
      <c r="D2953" s="8" t="s">
        <v>13931</v>
      </c>
      <c r="E2953" s="8" t="s">
        <v>77</v>
      </c>
      <c r="F2953">
        <v>5</v>
      </c>
      <c r="G2953" s="2">
        <v>46244.75</v>
      </c>
      <c r="H2953" s="2">
        <v>46244.583333333336</v>
      </c>
    </row>
    <row r="2954" spans="1:8" x14ac:dyDescent="0.25">
      <c r="A2954" s="8" t="s">
        <v>9501</v>
      </c>
      <c r="B2954" s="8" t="s">
        <v>14348</v>
      </c>
      <c r="C2954" s="2">
        <v>46244.416666666664</v>
      </c>
      <c r="D2954" s="8" t="s">
        <v>13933</v>
      </c>
      <c r="E2954" s="8" t="s">
        <v>11</v>
      </c>
      <c r="F2954">
        <v>5</v>
      </c>
      <c r="G2954" s="2">
        <v>46244.75</v>
      </c>
      <c r="H2954" s="2">
        <v>46244.583333333336</v>
      </c>
    </row>
    <row r="2955" spans="1:8" x14ac:dyDescent="0.25">
      <c r="A2955" s="8" t="s">
        <v>9504</v>
      </c>
      <c r="B2955" s="8" t="s">
        <v>14348</v>
      </c>
      <c r="C2955" s="2">
        <v>46244.416666666664</v>
      </c>
      <c r="D2955" s="8" t="s">
        <v>13933</v>
      </c>
      <c r="E2955" s="8" t="s">
        <v>22</v>
      </c>
      <c r="F2955">
        <v>6</v>
      </c>
      <c r="G2955" s="2">
        <v>46244.75</v>
      </c>
      <c r="H2955" s="2">
        <v>46244.583333333336</v>
      </c>
    </row>
    <row r="2956" spans="1:8" x14ac:dyDescent="0.25">
      <c r="A2956" s="8" t="s">
        <v>9507</v>
      </c>
      <c r="B2956" s="8" t="s">
        <v>14348</v>
      </c>
      <c r="C2956" s="2">
        <v>46244.416666666664</v>
      </c>
      <c r="D2956" s="8" t="s">
        <v>13933</v>
      </c>
      <c r="E2956" s="8" t="s">
        <v>26</v>
      </c>
      <c r="F2956">
        <v>2</v>
      </c>
      <c r="G2956" s="2">
        <v>46244.75</v>
      </c>
      <c r="H2956" s="2">
        <v>46244.583333333336</v>
      </c>
    </row>
    <row r="2957" spans="1:8" x14ac:dyDescent="0.25">
      <c r="A2957" s="8" t="s">
        <v>9510</v>
      </c>
      <c r="B2957" s="8" t="s">
        <v>14348</v>
      </c>
      <c r="C2957" s="2">
        <v>46244.416666666664</v>
      </c>
      <c r="D2957" s="8" t="s">
        <v>13933</v>
      </c>
      <c r="E2957" s="8" t="s">
        <v>36</v>
      </c>
      <c r="F2957">
        <v>2</v>
      </c>
      <c r="G2957" s="2">
        <v>46244.75</v>
      </c>
      <c r="H2957" s="2">
        <v>46244.583333333336</v>
      </c>
    </row>
    <row r="2958" spans="1:8" x14ac:dyDescent="0.25">
      <c r="A2958" s="8" t="s">
        <v>9513</v>
      </c>
      <c r="B2958" s="8" t="s">
        <v>14348</v>
      </c>
      <c r="C2958" s="2">
        <v>46244.416666666664</v>
      </c>
      <c r="D2958" s="8" t="s">
        <v>13933</v>
      </c>
      <c r="E2958" s="8" t="s">
        <v>41</v>
      </c>
      <c r="F2958">
        <v>1</v>
      </c>
      <c r="G2958" s="2">
        <v>46244.75</v>
      </c>
      <c r="H2958" s="2">
        <v>46244.583333333336</v>
      </c>
    </row>
    <row r="2959" spans="1:8" x14ac:dyDescent="0.25">
      <c r="A2959" s="8" t="s">
        <v>9516</v>
      </c>
      <c r="B2959" s="8" t="s">
        <v>14348</v>
      </c>
      <c r="C2959" s="2">
        <v>46244.416666666664</v>
      </c>
      <c r="D2959" s="8" t="s">
        <v>13933</v>
      </c>
      <c r="E2959" s="8" t="s">
        <v>45</v>
      </c>
      <c r="F2959">
        <v>4</v>
      </c>
      <c r="G2959" s="2">
        <v>46244.75</v>
      </c>
      <c r="H2959" s="2">
        <v>46244.583333333336</v>
      </c>
    </row>
    <row r="2960" spans="1:8" x14ac:dyDescent="0.25">
      <c r="A2960" s="8" t="s">
        <v>9519</v>
      </c>
      <c r="B2960" s="8" t="s">
        <v>14348</v>
      </c>
      <c r="C2960" s="2">
        <v>46244.416666666664</v>
      </c>
      <c r="D2960" s="8" t="s">
        <v>13933</v>
      </c>
      <c r="E2960" s="8" t="s">
        <v>49</v>
      </c>
      <c r="F2960">
        <v>2</v>
      </c>
      <c r="G2960" s="2">
        <v>46244.75</v>
      </c>
      <c r="H2960" s="2">
        <v>46244.583333333336</v>
      </c>
    </row>
    <row r="2961" spans="1:8" x14ac:dyDescent="0.25">
      <c r="A2961" s="8" t="s">
        <v>9522</v>
      </c>
      <c r="B2961" s="8" t="s">
        <v>14348</v>
      </c>
      <c r="C2961" s="2">
        <v>46244.416666666664</v>
      </c>
      <c r="D2961" s="8" t="s">
        <v>13933</v>
      </c>
      <c r="E2961" s="8" t="s">
        <v>51</v>
      </c>
      <c r="F2961">
        <v>6</v>
      </c>
      <c r="G2961" s="2">
        <v>46244.75</v>
      </c>
      <c r="H2961" s="2">
        <v>46244.583333333336</v>
      </c>
    </row>
    <row r="2962" spans="1:8" x14ac:dyDescent="0.25">
      <c r="A2962" s="8" t="s">
        <v>9527</v>
      </c>
      <c r="B2962" s="8" t="s">
        <v>14348</v>
      </c>
      <c r="C2962" s="2">
        <v>46244.416666666664</v>
      </c>
      <c r="D2962" s="8" t="s">
        <v>13933</v>
      </c>
      <c r="E2962" s="8" t="s">
        <v>53</v>
      </c>
      <c r="F2962">
        <v>2</v>
      </c>
      <c r="G2962" s="2">
        <v>46244.75</v>
      </c>
      <c r="H2962" s="2">
        <v>46244.583333333336</v>
      </c>
    </row>
    <row r="2963" spans="1:8" x14ac:dyDescent="0.25">
      <c r="A2963" s="8" t="s">
        <v>9530</v>
      </c>
      <c r="B2963" s="8" t="s">
        <v>14348</v>
      </c>
      <c r="C2963" s="2">
        <v>46244.416666666664</v>
      </c>
      <c r="D2963" s="8" t="s">
        <v>13933</v>
      </c>
      <c r="E2963" s="8" t="s">
        <v>75</v>
      </c>
      <c r="F2963">
        <v>1</v>
      </c>
      <c r="G2963" s="2">
        <v>46244.75</v>
      </c>
      <c r="H2963" s="2">
        <v>46244.583333333336</v>
      </c>
    </row>
    <row r="2964" spans="1:8" x14ac:dyDescent="0.25">
      <c r="A2964" s="8" t="s">
        <v>14349</v>
      </c>
      <c r="B2964" s="8" t="s">
        <v>14350</v>
      </c>
      <c r="C2964" s="2">
        <v>46244.416666666664</v>
      </c>
      <c r="D2964" s="8" t="s">
        <v>13935</v>
      </c>
      <c r="E2964" s="8" t="s">
        <v>11</v>
      </c>
      <c r="F2964">
        <v>6</v>
      </c>
      <c r="G2964" s="2">
        <v>46244.75</v>
      </c>
      <c r="H2964" s="2"/>
    </row>
    <row r="2965" spans="1:8" x14ac:dyDescent="0.25">
      <c r="A2965" s="8" t="s">
        <v>9533</v>
      </c>
      <c r="B2965" s="8" t="s">
        <v>14350</v>
      </c>
      <c r="C2965" s="2">
        <v>46244.416666666664</v>
      </c>
      <c r="D2965" s="8" t="s">
        <v>13935</v>
      </c>
      <c r="E2965" s="8" t="s">
        <v>18</v>
      </c>
      <c r="F2965">
        <v>4</v>
      </c>
      <c r="G2965" s="2">
        <v>46244.75</v>
      </c>
      <c r="H2965" s="2">
        <v>46244.583333333336</v>
      </c>
    </row>
    <row r="2966" spans="1:8" x14ac:dyDescent="0.25">
      <c r="A2966" s="8" t="s">
        <v>14351</v>
      </c>
      <c r="B2966" s="8" t="s">
        <v>14350</v>
      </c>
      <c r="C2966" s="2">
        <v>46244.416666666664</v>
      </c>
      <c r="D2966" s="8" t="s">
        <v>13935</v>
      </c>
      <c r="E2966" s="8" t="s">
        <v>20</v>
      </c>
      <c r="F2966">
        <v>3</v>
      </c>
      <c r="G2966" s="2">
        <v>46244.75</v>
      </c>
      <c r="H2966" s="2"/>
    </row>
    <row r="2967" spans="1:8" x14ac:dyDescent="0.25">
      <c r="A2967" s="8" t="s">
        <v>9536</v>
      </c>
      <c r="B2967" s="8" t="s">
        <v>14350</v>
      </c>
      <c r="C2967" s="2">
        <v>46244.416666666664</v>
      </c>
      <c r="D2967" s="8" t="s">
        <v>13935</v>
      </c>
      <c r="E2967" s="8" t="s">
        <v>22</v>
      </c>
      <c r="F2967">
        <v>1</v>
      </c>
      <c r="G2967" s="2">
        <v>46244.75</v>
      </c>
      <c r="H2967" s="2">
        <v>46244.583333333336</v>
      </c>
    </row>
    <row r="2968" spans="1:8" x14ac:dyDescent="0.25">
      <c r="A2968" s="8" t="s">
        <v>9539</v>
      </c>
      <c r="B2968" s="8" t="s">
        <v>14350</v>
      </c>
      <c r="C2968" s="2">
        <v>46244.416666666664</v>
      </c>
      <c r="D2968" s="8" t="s">
        <v>13935</v>
      </c>
      <c r="E2968" s="8" t="s">
        <v>26</v>
      </c>
      <c r="F2968">
        <v>7</v>
      </c>
      <c r="G2968" s="2">
        <v>46244.75</v>
      </c>
      <c r="H2968" s="2">
        <v>46244.583333333336</v>
      </c>
    </row>
    <row r="2969" spans="1:8" x14ac:dyDescent="0.25">
      <c r="A2969" s="8" t="s">
        <v>9542</v>
      </c>
      <c r="B2969" s="8" t="s">
        <v>14350</v>
      </c>
      <c r="C2969" s="2">
        <v>46244.416666666664</v>
      </c>
      <c r="D2969" s="8" t="s">
        <v>13935</v>
      </c>
      <c r="E2969" s="8" t="s">
        <v>47</v>
      </c>
      <c r="F2969">
        <v>4</v>
      </c>
      <c r="G2969" s="2">
        <v>46244.75</v>
      </c>
      <c r="H2969" s="2">
        <v>46244.583333333336</v>
      </c>
    </row>
    <row r="2970" spans="1:8" x14ac:dyDescent="0.25">
      <c r="A2970" s="8" t="s">
        <v>9545</v>
      </c>
      <c r="B2970" s="8" t="s">
        <v>14350</v>
      </c>
      <c r="C2970" s="2">
        <v>46244.416666666664</v>
      </c>
      <c r="D2970" s="8" t="s">
        <v>13935</v>
      </c>
      <c r="E2970" s="8" t="s">
        <v>65</v>
      </c>
      <c r="F2970">
        <v>1</v>
      </c>
      <c r="G2970" s="2">
        <v>46244.75</v>
      </c>
      <c r="H2970" s="2">
        <v>46244.583333333336</v>
      </c>
    </row>
    <row r="2971" spans="1:8" x14ac:dyDescent="0.25">
      <c r="A2971" s="8" t="s">
        <v>9548</v>
      </c>
      <c r="B2971" s="8" t="s">
        <v>14352</v>
      </c>
      <c r="C2971" s="2">
        <v>46244.416666666664</v>
      </c>
      <c r="D2971" s="8" t="s">
        <v>13937</v>
      </c>
      <c r="E2971" s="8" t="s">
        <v>18</v>
      </c>
      <c r="F2971">
        <v>3</v>
      </c>
      <c r="G2971" s="2">
        <v>46244.75</v>
      </c>
      <c r="H2971" s="2">
        <v>46244.583333333336</v>
      </c>
    </row>
    <row r="2972" spans="1:8" x14ac:dyDescent="0.25">
      <c r="A2972" s="8" t="s">
        <v>14353</v>
      </c>
      <c r="B2972" s="8" t="s">
        <v>14352</v>
      </c>
      <c r="C2972" s="2">
        <v>46244.416666666664</v>
      </c>
      <c r="D2972" s="8" t="s">
        <v>13937</v>
      </c>
      <c r="E2972" s="8" t="s">
        <v>20</v>
      </c>
      <c r="F2972">
        <v>4</v>
      </c>
      <c r="G2972" s="2">
        <v>46244.75</v>
      </c>
      <c r="H2972" s="2"/>
    </row>
    <row r="2973" spans="1:8" x14ac:dyDescent="0.25">
      <c r="A2973" s="8" t="s">
        <v>9551</v>
      </c>
      <c r="B2973" s="8" t="s">
        <v>14352</v>
      </c>
      <c r="C2973" s="2">
        <v>46244.416666666664</v>
      </c>
      <c r="D2973" s="8" t="s">
        <v>13937</v>
      </c>
      <c r="E2973" s="8" t="s">
        <v>26</v>
      </c>
      <c r="F2973">
        <v>3</v>
      </c>
      <c r="G2973" s="2">
        <v>46244.75</v>
      </c>
      <c r="H2973" s="2">
        <v>46244.583333333336</v>
      </c>
    </row>
    <row r="2974" spans="1:8" x14ac:dyDescent="0.25">
      <c r="A2974" s="8" t="s">
        <v>9554</v>
      </c>
      <c r="B2974" s="8" t="s">
        <v>14352</v>
      </c>
      <c r="C2974" s="2">
        <v>46244.416666666664</v>
      </c>
      <c r="D2974" s="8" t="s">
        <v>13937</v>
      </c>
      <c r="E2974" s="8" t="s">
        <v>32</v>
      </c>
      <c r="F2974">
        <v>4</v>
      </c>
      <c r="G2974" s="2">
        <v>46244.75</v>
      </c>
      <c r="H2974" s="2">
        <v>46244.583333333336</v>
      </c>
    </row>
    <row r="2975" spans="1:8" x14ac:dyDescent="0.25">
      <c r="A2975" s="8" t="s">
        <v>9557</v>
      </c>
      <c r="B2975" s="8" t="s">
        <v>14352</v>
      </c>
      <c r="C2975" s="2">
        <v>46244.416666666664</v>
      </c>
      <c r="D2975" s="8" t="s">
        <v>13937</v>
      </c>
      <c r="E2975" s="8" t="s">
        <v>36</v>
      </c>
      <c r="F2975">
        <v>2</v>
      </c>
      <c r="G2975" s="2">
        <v>46244.75</v>
      </c>
      <c r="H2975" s="2">
        <v>46244.583333333336</v>
      </c>
    </row>
    <row r="2976" spans="1:8" x14ac:dyDescent="0.25">
      <c r="A2976" s="8" t="s">
        <v>9560</v>
      </c>
      <c r="B2976" s="8" t="s">
        <v>14352</v>
      </c>
      <c r="C2976" s="2">
        <v>46244.416666666664</v>
      </c>
      <c r="D2976" s="8" t="s">
        <v>13937</v>
      </c>
      <c r="E2976" s="8" t="s">
        <v>41</v>
      </c>
      <c r="F2976">
        <v>4</v>
      </c>
      <c r="G2976" s="2">
        <v>46244.75</v>
      </c>
      <c r="H2976" s="2">
        <v>46244.583333333336</v>
      </c>
    </row>
    <row r="2977" spans="1:8" x14ac:dyDescent="0.25">
      <c r="A2977" s="8" t="s">
        <v>9563</v>
      </c>
      <c r="B2977" s="8" t="s">
        <v>14352</v>
      </c>
      <c r="C2977" s="2">
        <v>46244.416666666664</v>
      </c>
      <c r="D2977" s="8" t="s">
        <v>13937</v>
      </c>
      <c r="E2977" s="8" t="s">
        <v>45</v>
      </c>
      <c r="F2977">
        <v>2</v>
      </c>
      <c r="G2977" s="2">
        <v>46244.75</v>
      </c>
      <c r="H2977" s="2">
        <v>46244.583333333336</v>
      </c>
    </row>
    <row r="2978" spans="1:8" x14ac:dyDescent="0.25">
      <c r="A2978" s="8" t="s">
        <v>9566</v>
      </c>
      <c r="B2978" s="8" t="s">
        <v>14352</v>
      </c>
      <c r="C2978" s="2">
        <v>46244.416666666664</v>
      </c>
      <c r="D2978" s="8" t="s">
        <v>13937</v>
      </c>
      <c r="E2978" s="8" t="s">
        <v>47</v>
      </c>
      <c r="F2978">
        <v>2</v>
      </c>
      <c r="G2978" s="2">
        <v>46244.75</v>
      </c>
      <c r="H2978" s="2">
        <v>46244.583333333336</v>
      </c>
    </row>
    <row r="2979" spans="1:8" x14ac:dyDescent="0.25">
      <c r="A2979" s="8" t="s">
        <v>9569</v>
      </c>
      <c r="B2979" s="8" t="s">
        <v>14352</v>
      </c>
      <c r="C2979" s="2">
        <v>46244.416666666664</v>
      </c>
      <c r="D2979" s="8" t="s">
        <v>13937</v>
      </c>
      <c r="E2979" s="8" t="s">
        <v>51</v>
      </c>
      <c r="F2979">
        <v>1</v>
      </c>
      <c r="G2979" s="2">
        <v>46244.75</v>
      </c>
      <c r="H2979" s="2">
        <v>46244.583333333336</v>
      </c>
    </row>
    <row r="2980" spans="1:8" x14ac:dyDescent="0.25">
      <c r="A2980" s="8" t="s">
        <v>9572</v>
      </c>
      <c r="B2980" s="8" t="s">
        <v>14352</v>
      </c>
      <c r="C2980" s="2">
        <v>46244.416666666664</v>
      </c>
      <c r="D2980" s="8" t="s">
        <v>13937</v>
      </c>
      <c r="E2980" s="8" t="s">
        <v>59</v>
      </c>
      <c r="F2980">
        <v>4</v>
      </c>
      <c r="G2980" s="2">
        <v>46244.75</v>
      </c>
      <c r="H2980" s="2">
        <v>46244.583333333336</v>
      </c>
    </row>
    <row r="2981" spans="1:8" x14ac:dyDescent="0.25">
      <c r="A2981" s="8" t="s">
        <v>9632</v>
      </c>
      <c r="B2981" s="8" t="s">
        <v>14354</v>
      </c>
      <c r="C2981" s="2">
        <v>46245.416666666664</v>
      </c>
      <c r="D2981" s="8" t="s">
        <v>13929</v>
      </c>
      <c r="E2981" s="8" t="s">
        <v>18</v>
      </c>
      <c r="F2981">
        <v>3</v>
      </c>
      <c r="G2981" s="2">
        <v>46245.75</v>
      </c>
      <c r="H2981" s="2">
        <v>46245.583333333336</v>
      </c>
    </row>
    <row r="2982" spans="1:8" x14ac:dyDescent="0.25">
      <c r="A2982" s="8" t="s">
        <v>9635</v>
      </c>
      <c r="B2982" s="8" t="s">
        <v>14354</v>
      </c>
      <c r="C2982" s="2">
        <v>46245.416666666664</v>
      </c>
      <c r="D2982" s="8" t="s">
        <v>13929</v>
      </c>
      <c r="E2982" s="8" t="s">
        <v>22</v>
      </c>
      <c r="F2982">
        <v>1</v>
      </c>
      <c r="G2982" s="2">
        <v>46245.75</v>
      </c>
      <c r="H2982" s="2">
        <v>46245.583333333336</v>
      </c>
    </row>
    <row r="2983" spans="1:8" x14ac:dyDescent="0.25">
      <c r="A2983" s="8" t="s">
        <v>9638</v>
      </c>
      <c r="B2983" s="8" t="s">
        <v>14354</v>
      </c>
      <c r="C2983" s="2">
        <v>46245.416666666664</v>
      </c>
      <c r="D2983" s="8" t="s">
        <v>13929</v>
      </c>
      <c r="E2983" s="8" t="s">
        <v>43</v>
      </c>
      <c r="F2983">
        <v>3</v>
      </c>
      <c r="G2983" s="2">
        <v>46245.75</v>
      </c>
      <c r="H2983" s="2">
        <v>46245.583333333336</v>
      </c>
    </row>
    <row r="2984" spans="1:8" x14ac:dyDescent="0.25">
      <c r="A2984" s="8" t="s">
        <v>9641</v>
      </c>
      <c r="B2984" s="8" t="s">
        <v>14354</v>
      </c>
      <c r="C2984" s="2">
        <v>46245.416666666664</v>
      </c>
      <c r="D2984" s="8" t="s">
        <v>13929</v>
      </c>
      <c r="E2984" s="8" t="s">
        <v>47</v>
      </c>
      <c r="F2984">
        <v>2</v>
      </c>
      <c r="G2984" s="2">
        <v>46245.75</v>
      </c>
      <c r="H2984" s="2">
        <v>46245.583333333336</v>
      </c>
    </row>
    <row r="2985" spans="1:8" x14ac:dyDescent="0.25">
      <c r="A2985" s="8" t="s">
        <v>9644</v>
      </c>
      <c r="B2985" s="8" t="s">
        <v>14354</v>
      </c>
      <c r="C2985" s="2">
        <v>46245.416666666664</v>
      </c>
      <c r="D2985" s="8" t="s">
        <v>13929</v>
      </c>
      <c r="E2985" s="8" t="s">
        <v>53</v>
      </c>
      <c r="F2985">
        <v>4</v>
      </c>
      <c r="G2985" s="2">
        <v>46245.75</v>
      </c>
      <c r="H2985" s="2">
        <v>46245.583333333336</v>
      </c>
    </row>
    <row r="2986" spans="1:8" x14ac:dyDescent="0.25">
      <c r="A2986" s="8" t="s">
        <v>9647</v>
      </c>
      <c r="B2986" s="8" t="s">
        <v>14354</v>
      </c>
      <c r="C2986" s="2">
        <v>46245.416666666664</v>
      </c>
      <c r="D2986" s="8" t="s">
        <v>13929</v>
      </c>
      <c r="E2986" s="8" t="s">
        <v>59</v>
      </c>
      <c r="F2986">
        <v>4</v>
      </c>
      <c r="G2986" s="2">
        <v>46245.75</v>
      </c>
      <c r="H2986" s="2">
        <v>46245.583333333336</v>
      </c>
    </row>
    <row r="2987" spans="1:8" x14ac:dyDescent="0.25">
      <c r="A2987" s="8" t="s">
        <v>9650</v>
      </c>
      <c r="B2987" s="8" t="s">
        <v>14354</v>
      </c>
      <c r="C2987" s="2">
        <v>46245.416666666664</v>
      </c>
      <c r="D2987" s="8" t="s">
        <v>13929</v>
      </c>
      <c r="E2987" s="8" t="s">
        <v>65</v>
      </c>
      <c r="F2987">
        <v>3</v>
      </c>
      <c r="G2987" s="2">
        <v>46245.75</v>
      </c>
      <c r="H2987" s="2">
        <v>46245.583333333336</v>
      </c>
    </row>
    <row r="2988" spans="1:8" x14ac:dyDescent="0.25">
      <c r="A2988" s="8" t="s">
        <v>9653</v>
      </c>
      <c r="B2988" s="8" t="s">
        <v>14354</v>
      </c>
      <c r="C2988" s="2">
        <v>46245.416666666664</v>
      </c>
      <c r="D2988" s="8" t="s">
        <v>13929</v>
      </c>
      <c r="E2988" s="8" t="s">
        <v>69</v>
      </c>
      <c r="F2988">
        <v>1</v>
      </c>
      <c r="G2988" s="2">
        <v>46245.75</v>
      </c>
      <c r="H2988" s="2">
        <v>46245.583333333336</v>
      </c>
    </row>
    <row r="2989" spans="1:8" x14ac:dyDescent="0.25">
      <c r="A2989" s="8" t="s">
        <v>9656</v>
      </c>
      <c r="B2989" s="8" t="s">
        <v>14354</v>
      </c>
      <c r="C2989" s="2">
        <v>46245.416666666664</v>
      </c>
      <c r="D2989" s="8" t="s">
        <v>13929</v>
      </c>
      <c r="E2989" s="8" t="s">
        <v>71</v>
      </c>
      <c r="F2989">
        <v>3</v>
      </c>
      <c r="G2989" s="2">
        <v>46245.75</v>
      </c>
      <c r="H2989" s="2">
        <v>46245.583333333336</v>
      </c>
    </row>
    <row r="2990" spans="1:8" x14ac:dyDescent="0.25">
      <c r="A2990" s="8" t="s">
        <v>9659</v>
      </c>
      <c r="B2990" s="8" t="s">
        <v>14354</v>
      </c>
      <c r="C2990" s="2">
        <v>46245.416666666664</v>
      </c>
      <c r="D2990" s="8" t="s">
        <v>13929</v>
      </c>
      <c r="E2990" s="8" t="s">
        <v>73</v>
      </c>
      <c r="F2990">
        <v>2</v>
      </c>
      <c r="G2990" s="2">
        <v>46245.75</v>
      </c>
      <c r="H2990" s="2">
        <v>46245.583333333336</v>
      </c>
    </row>
    <row r="2991" spans="1:8" x14ac:dyDescent="0.25">
      <c r="A2991" s="8" t="s">
        <v>9662</v>
      </c>
      <c r="B2991" s="8" t="s">
        <v>14354</v>
      </c>
      <c r="C2991" s="2">
        <v>46245.416666666664</v>
      </c>
      <c r="D2991" s="8" t="s">
        <v>13929</v>
      </c>
      <c r="E2991" s="8" t="s">
        <v>75</v>
      </c>
      <c r="F2991">
        <v>3</v>
      </c>
      <c r="G2991" s="2">
        <v>46245.75</v>
      </c>
      <c r="H2991" s="2">
        <v>46245.583333333336</v>
      </c>
    </row>
    <row r="2992" spans="1:8" x14ac:dyDescent="0.25">
      <c r="A2992" s="8" t="s">
        <v>9665</v>
      </c>
      <c r="B2992" s="8" t="s">
        <v>14355</v>
      </c>
      <c r="C2992" s="2">
        <v>46245.416666666664</v>
      </c>
      <c r="D2992" s="8" t="s">
        <v>13931</v>
      </c>
      <c r="E2992" s="8" t="s">
        <v>18</v>
      </c>
      <c r="F2992">
        <v>2</v>
      </c>
      <c r="G2992" s="2">
        <v>46245.75</v>
      </c>
      <c r="H2992" s="2">
        <v>46245.583333333336</v>
      </c>
    </row>
    <row r="2993" spans="1:8" x14ac:dyDescent="0.25">
      <c r="A2993" s="8" t="s">
        <v>9668</v>
      </c>
      <c r="B2993" s="8" t="s">
        <v>14355</v>
      </c>
      <c r="C2993" s="2">
        <v>46245.416666666664</v>
      </c>
      <c r="D2993" s="8" t="s">
        <v>13931</v>
      </c>
      <c r="E2993" s="8" t="s">
        <v>20</v>
      </c>
      <c r="F2993">
        <v>1</v>
      </c>
      <c r="G2993" s="2">
        <v>46245.75</v>
      </c>
      <c r="H2993" s="2">
        <v>46245.583333333336</v>
      </c>
    </row>
    <row r="2994" spans="1:8" x14ac:dyDescent="0.25">
      <c r="A2994" s="8" t="s">
        <v>9671</v>
      </c>
      <c r="B2994" s="8" t="s">
        <v>14355</v>
      </c>
      <c r="C2994" s="2">
        <v>46245.416666666664</v>
      </c>
      <c r="D2994" s="8" t="s">
        <v>13931</v>
      </c>
      <c r="E2994" s="8" t="s">
        <v>22</v>
      </c>
      <c r="F2994">
        <v>1</v>
      </c>
      <c r="G2994" s="2">
        <v>46245.75</v>
      </c>
      <c r="H2994" s="2">
        <v>46245.583333333336</v>
      </c>
    </row>
    <row r="2995" spans="1:8" x14ac:dyDescent="0.25">
      <c r="A2995" s="8" t="s">
        <v>9674</v>
      </c>
      <c r="B2995" s="8" t="s">
        <v>14355</v>
      </c>
      <c r="C2995" s="2">
        <v>46245.416666666664</v>
      </c>
      <c r="D2995" s="8" t="s">
        <v>13931</v>
      </c>
      <c r="E2995" s="8" t="s">
        <v>26</v>
      </c>
      <c r="F2995">
        <v>2</v>
      </c>
      <c r="G2995" s="2">
        <v>46245.75</v>
      </c>
      <c r="H2995" s="2">
        <v>46245.583333333336</v>
      </c>
    </row>
    <row r="2996" spans="1:8" x14ac:dyDescent="0.25">
      <c r="A2996" s="8" t="s">
        <v>9677</v>
      </c>
      <c r="B2996" s="8" t="s">
        <v>14355</v>
      </c>
      <c r="C2996" s="2">
        <v>46245.416666666664</v>
      </c>
      <c r="D2996" s="8" t="s">
        <v>13931</v>
      </c>
      <c r="E2996" s="8" t="s">
        <v>67</v>
      </c>
      <c r="F2996">
        <v>1</v>
      </c>
      <c r="G2996" s="2">
        <v>46245.75</v>
      </c>
      <c r="H2996" s="2">
        <v>46245.583333333336</v>
      </c>
    </row>
    <row r="2997" spans="1:8" x14ac:dyDescent="0.25">
      <c r="A2997" s="8" t="s">
        <v>9680</v>
      </c>
      <c r="B2997" s="8" t="s">
        <v>14355</v>
      </c>
      <c r="C2997" s="2">
        <v>46245.416666666664</v>
      </c>
      <c r="D2997" s="8" t="s">
        <v>13931</v>
      </c>
      <c r="E2997" s="8" t="s">
        <v>71</v>
      </c>
      <c r="F2997">
        <v>3</v>
      </c>
      <c r="G2997" s="2">
        <v>46245.75</v>
      </c>
      <c r="H2997" s="2">
        <v>46245.583333333336</v>
      </c>
    </row>
    <row r="2998" spans="1:8" x14ac:dyDescent="0.25">
      <c r="A2998" s="8" t="s">
        <v>9683</v>
      </c>
      <c r="B2998" s="8" t="s">
        <v>14355</v>
      </c>
      <c r="C2998" s="2">
        <v>46245.416666666664</v>
      </c>
      <c r="D2998" s="8" t="s">
        <v>13931</v>
      </c>
      <c r="E2998" s="8" t="s">
        <v>73</v>
      </c>
      <c r="F2998">
        <v>5</v>
      </c>
      <c r="G2998" s="2">
        <v>46245.75</v>
      </c>
      <c r="H2998" s="2">
        <v>46245.583333333336</v>
      </c>
    </row>
    <row r="2999" spans="1:8" x14ac:dyDescent="0.25">
      <c r="A2999" s="8" t="s">
        <v>9686</v>
      </c>
      <c r="B2999" s="8" t="s">
        <v>14356</v>
      </c>
      <c r="C2999" s="2">
        <v>46245.416666666664</v>
      </c>
      <c r="D2999" s="8" t="s">
        <v>13933</v>
      </c>
      <c r="E2999" s="8" t="s">
        <v>18</v>
      </c>
      <c r="F2999">
        <v>5</v>
      </c>
      <c r="G2999" s="2">
        <v>46245.75</v>
      </c>
      <c r="H2999" s="2">
        <v>46245.583333333336</v>
      </c>
    </row>
    <row r="3000" spans="1:8" x14ac:dyDescent="0.25">
      <c r="A3000" s="8" t="s">
        <v>9689</v>
      </c>
      <c r="B3000" s="8" t="s">
        <v>14356</v>
      </c>
      <c r="C3000" s="2">
        <v>46245.416666666664</v>
      </c>
      <c r="D3000" s="8" t="s">
        <v>13933</v>
      </c>
      <c r="E3000" s="8" t="s">
        <v>20</v>
      </c>
      <c r="F3000">
        <v>4</v>
      </c>
      <c r="G3000" s="2">
        <v>46245.75</v>
      </c>
      <c r="H3000" s="2">
        <v>46245.583333333336</v>
      </c>
    </row>
    <row r="3001" spans="1:8" x14ac:dyDescent="0.25">
      <c r="A3001" s="8" t="s">
        <v>9692</v>
      </c>
      <c r="B3001" s="8" t="s">
        <v>14356</v>
      </c>
      <c r="C3001" s="2">
        <v>46245.416666666664</v>
      </c>
      <c r="D3001" s="8" t="s">
        <v>13933</v>
      </c>
      <c r="E3001" s="8" t="s">
        <v>22</v>
      </c>
      <c r="F3001">
        <v>6</v>
      </c>
      <c r="G3001" s="2">
        <v>46245.75</v>
      </c>
      <c r="H3001" s="2">
        <v>46245.583333333336</v>
      </c>
    </row>
    <row r="3002" spans="1:8" x14ac:dyDescent="0.25">
      <c r="A3002" s="8" t="s">
        <v>9695</v>
      </c>
      <c r="B3002" s="8" t="s">
        <v>14356</v>
      </c>
      <c r="C3002" s="2">
        <v>46245.416666666664</v>
      </c>
      <c r="D3002" s="8" t="s">
        <v>13933</v>
      </c>
      <c r="E3002" s="8" t="s">
        <v>26</v>
      </c>
      <c r="F3002">
        <v>2</v>
      </c>
      <c r="G3002" s="2">
        <v>46245.75</v>
      </c>
      <c r="H3002" s="2">
        <v>46245.583333333336</v>
      </c>
    </row>
    <row r="3003" spans="1:8" x14ac:dyDescent="0.25">
      <c r="A3003" s="8" t="s">
        <v>9698</v>
      </c>
      <c r="B3003" s="8" t="s">
        <v>14356</v>
      </c>
      <c r="C3003" s="2">
        <v>46245.416666666664</v>
      </c>
      <c r="D3003" s="8" t="s">
        <v>13933</v>
      </c>
      <c r="E3003" s="8" t="s">
        <v>41</v>
      </c>
      <c r="F3003">
        <v>2</v>
      </c>
      <c r="G3003" s="2">
        <v>46245.75</v>
      </c>
      <c r="H3003" s="2">
        <v>46245.583333333336</v>
      </c>
    </row>
    <row r="3004" spans="1:8" x14ac:dyDescent="0.25">
      <c r="A3004" s="8" t="s">
        <v>9701</v>
      </c>
      <c r="B3004" s="8" t="s">
        <v>14356</v>
      </c>
      <c r="C3004" s="2">
        <v>46245.416666666664</v>
      </c>
      <c r="D3004" s="8" t="s">
        <v>13933</v>
      </c>
      <c r="E3004" s="8" t="s">
        <v>45</v>
      </c>
      <c r="F3004">
        <v>2</v>
      </c>
      <c r="G3004" s="2">
        <v>46245.75</v>
      </c>
      <c r="H3004" s="2">
        <v>46245.583333333336</v>
      </c>
    </row>
    <row r="3005" spans="1:8" x14ac:dyDescent="0.25">
      <c r="A3005" s="8" t="s">
        <v>9704</v>
      </c>
      <c r="B3005" s="8" t="s">
        <v>14356</v>
      </c>
      <c r="C3005" s="2">
        <v>46245.416666666664</v>
      </c>
      <c r="D3005" s="8" t="s">
        <v>13933</v>
      </c>
      <c r="E3005" s="8" t="s">
        <v>49</v>
      </c>
      <c r="F3005">
        <v>6</v>
      </c>
      <c r="G3005" s="2">
        <v>46245.75</v>
      </c>
      <c r="H3005" s="2">
        <v>46245.583333333336</v>
      </c>
    </row>
    <row r="3006" spans="1:8" x14ac:dyDescent="0.25">
      <c r="A3006" s="8" t="s">
        <v>9707</v>
      </c>
      <c r="B3006" s="8" t="s">
        <v>14356</v>
      </c>
      <c r="C3006" s="2">
        <v>46245.416666666664</v>
      </c>
      <c r="D3006" s="8" t="s">
        <v>13933</v>
      </c>
      <c r="E3006" s="8" t="s">
        <v>53</v>
      </c>
      <c r="F3006">
        <v>6</v>
      </c>
      <c r="G3006" s="2">
        <v>46245.75</v>
      </c>
      <c r="H3006" s="2">
        <v>46245.583333333336</v>
      </c>
    </row>
    <row r="3007" spans="1:8" x14ac:dyDescent="0.25">
      <c r="A3007" s="8" t="s">
        <v>9710</v>
      </c>
      <c r="B3007" s="8" t="s">
        <v>14356</v>
      </c>
      <c r="C3007" s="2">
        <v>46245.416666666664</v>
      </c>
      <c r="D3007" s="8" t="s">
        <v>13933</v>
      </c>
      <c r="E3007" s="8" t="s">
        <v>57</v>
      </c>
      <c r="F3007">
        <v>2</v>
      </c>
      <c r="G3007" s="2">
        <v>46245.75</v>
      </c>
      <c r="H3007" s="2">
        <v>46245.583333333336</v>
      </c>
    </row>
    <row r="3008" spans="1:8" x14ac:dyDescent="0.25">
      <c r="A3008" s="8" t="s">
        <v>9713</v>
      </c>
      <c r="B3008" s="8" t="s">
        <v>14356</v>
      </c>
      <c r="C3008" s="2">
        <v>46245.416666666664</v>
      </c>
      <c r="D3008" s="8" t="s">
        <v>13933</v>
      </c>
      <c r="E3008" s="8" t="s">
        <v>67</v>
      </c>
      <c r="F3008">
        <v>4</v>
      </c>
      <c r="G3008" s="2">
        <v>46245.75</v>
      </c>
      <c r="H3008" s="2">
        <v>46245.583333333336</v>
      </c>
    </row>
    <row r="3009" spans="1:8" x14ac:dyDescent="0.25">
      <c r="A3009" s="8" t="s">
        <v>9716</v>
      </c>
      <c r="B3009" s="8" t="s">
        <v>14357</v>
      </c>
      <c r="C3009" s="2">
        <v>46245.416666666664</v>
      </c>
      <c r="D3009" s="8" t="s">
        <v>13935</v>
      </c>
      <c r="E3009" s="8" t="s">
        <v>18</v>
      </c>
      <c r="F3009">
        <v>1</v>
      </c>
      <c r="G3009" s="2">
        <v>46245.75</v>
      </c>
      <c r="H3009" s="2">
        <v>46245.583333333336</v>
      </c>
    </row>
    <row r="3010" spans="1:8" x14ac:dyDescent="0.25">
      <c r="A3010" s="8" t="s">
        <v>9719</v>
      </c>
      <c r="B3010" s="8" t="s">
        <v>14357</v>
      </c>
      <c r="C3010" s="2">
        <v>46245.416666666664</v>
      </c>
      <c r="D3010" s="8" t="s">
        <v>13935</v>
      </c>
      <c r="E3010" s="8" t="s">
        <v>20</v>
      </c>
      <c r="F3010">
        <v>3</v>
      </c>
      <c r="G3010" s="2">
        <v>46245.75</v>
      </c>
      <c r="H3010" s="2">
        <v>46245.583333333336</v>
      </c>
    </row>
    <row r="3011" spans="1:8" x14ac:dyDescent="0.25">
      <c r="A3011" s="8" t="s">
        <v>9722</v>
      </c>
      <c r="B3011" s="8" t="s">
        <v>14357</v>
      </c>
      <c r="C3011" s="2">
        <v>46245.416666666664</v>
      </c>
      <c r="D3011" s="8" t="s">
        <v>13935</v>
      </c>
      <c r="E3011" s="8" t="s">
        <v>22</v>
      </c>
      <c r="F3011">
        <v>4</v>
      </c>
      <c r="G3011" s="2">
        <v>46245.75</v>
      </c>
      <c r="H3011" s="2">
        <v>46245.583333333336</v>
      </c>
    </row>
    <row r="3012" spans="1:8" x14ac:dyDescent="0.25">
      <c r="A3012" s="8" t="s">
        <v>9725</v>
      </c>
      <c r="B3012" s="8" t="s">
        <v>14357</v>
      </c>
      <c r="C3012" s="2">
        <v>46245.416666666664</v>
      </c>
      <c r="D3012" s="8" t="s">
        <v>13935</v>
      </c>
      <c r="E3012" s="8" t="s">
        <v>24</v>
      </c>
      <c r="F3012">
        <v>3</v>
      </c>
      <c r="G3012" s="2">
        <v>46245.75</v>
      </c>
      <c r="H3012" s="2">
        <v>46245.583333333336</v>
      </c>
    </row>
    <row r="3013" spans="1:8" x14ac:dyDescent="0.25">
      <c r="A3013" s="8" t="s">
        <v>9728</v>
      </c>
      <c r="B3013" s="8" t="s">
        <v>14357</v>
      </c>
      <c r="C3013" s="2">
        <v>46245.416666666664</v>
      </c>
      <c r="D3013" s="8" t="s">
        <v>13935</v>
      </c>
      <c r="E3013" s="8" t="s">
        <v>26</v>
      </c>
      <c r="F3013">
        <v>7</v>
      </c>
      <c r="G3013" s="2">
        <v>46245.75</v>
      </c>
      <c r="H3013" s="2">
        <v>46245.583333333336</v>
      </c>
    </row>
    <row r="3014" spans="1:8" x14ac:dyDescent="0.25">
      <c r="A3014" s="8" t="s">
        <v>9731</v>
      </c>
      <c r="B3014" s="8" t="s">
        <v>14357</v>
      </c>
      <c r="C3014" s="2">
        <v>46245.416666666664</v>
      </c>
      <c r="D3014" s="8" t="s">
        <v>13935</v>
      </c>
      <c r="E3014" s="8" t="s">
        <v>32</v>
      </c>
      <c r="F3014">
        <v>7</v>
      </c>
      <c r="G3014" s="2">
        <v>46245.75</v>
      </c>
      <c r="H3014" s="2">
        <v>46245.583333333336</v>
      </c>
    </row>
    <row r="3015" spans="1:8" x14ac:dyDescent="0.25">
      <c r="A3015" s="8" t="s">
        <v>9736</v>
      </c>
      <c r="B3015" s="8" t="s">
        <v>14357</v>
      </c>
      <c r="C3015" s="2">
        <v>46245.416666666664</v>
      </c>
      <c r="D3015" s="8" t="s">
        <v>13935</v>
      </c>
      <c r="E3015" s="8" t="s">
        <v>57</v>
      </c>
      <c r="F3015">
        <v>7</v>
      </c>
      <c r="G3015" s="2">
        <v>46245.75</v>
      </c>
      <c r="H3015" s="2">
        <v>46245.583333333336</v>
      </c>
    </row>
    <row r="3016" spans="1:8" x14ac:dyDescent="0.25">
      <c r="A3016" s="8" t="s">
        <v>9739</v>
      </c>
      <c r="B3016" s="8" t="s">
        <v>14357</v>
      </c>
      <c r="C3016" s="2">
        <v>46245.416666666664</v>
      </c>
      <c r="D3016" s="8" t="s">
        <v>13935</v>
      </c>
      <c r="E3016" s="8" t="s">
        <v>65</v>
      </c>
      <c r="F3016">
        <v>7</v>
      </c>
      <c r="G3016" s="2">
        <v>46245.75</v>
      </c>
      <c r="H3016" s="2">
        <v>46245.583333333336</v>
      </c>
    </row>
    <row r="3017" spans="1:8" x14ac:dyDescent="0.25">
      <c r="A3017" s="8" t="s">
        <v>9742</v>
      </c>
      <c r="B3017" s="8" t="s">
        <v>14357</v>
      </c>
      <c r="C3017" s="2">
        <v>46245.416666666664</v>
      </c>
      <c r="D3017" s="8" t="s">
        <v>13935</v>
      </c>
      <c r="E3017" s="8" t="s">
        <v>67</v>
      </c>
      <c r="F3017">
        <v>7</v>
      </c>
      <c r="G3017" s="2">
        <v>46245.75</v>
      </c>
      <c r="H3017" s="2">
        <v>46245.583333333336</v>
      </c>
    </row>
    <row r="3018" spans="1:8" x14ac:dyDescent="0.25">
      <c r="A3018" s="8" t="s">
        <v>9745</v>
      </c>
      <c r="B3018" s="8" t="s">
        <v>14357</v>
      </c>
      <c r="C3018" s="2">
        <v>46245.416666666664</v>
      </c>
      <c r="D3018" s="8" t="s">
        <v>13935</v>
      </c>
      <c r="E3018" s="8" t="s">
        <v>73</v>
      </c>
      <c r="F3018">
        <v>6</v>
      </c>
      <c r="G3018" s="2">
        <v>46245.75</v>
      </c>
      <c r="H3018" s="2">
        <v>46245.583333333336</v>
      </c>
    </row>
    <row r="3019" spans="1:8" x14ac:dyDescent="0.25">
      <c r="A3019" s="8" t="s">
        <v>9750</v>
      </c>
      <c r="B3019" s="8" t="s">
        <v>14358</v>
      </c>
      <c r="C3019" s="2">
        <v>46245.416666666664</v>
      </c>
      <c r="D3019" s="8" t="s">
        <v>13937</v>
      </c>
      <c r="E3019" s="8" t="s">
        <v>18</v>
      </c>
      <c r="F3019">
        <v>4</v>
      </c>
      <c r="G3019" s="2">
        <v>46245.75</v>
      </c>
      <c r="H3019" s="2">
        <v>46245.583333333336</v>
      </c>
    </row>
    <row r="3020" spans="1:8" x14ac:dyDescent="0.25">
      <c r="A3020" s="8" t="s">
        <v>9753</v>
      </c>
      <c r="B3020" s="8" t="s">
        <v>14358</v>
      </c>
      <c r="C3020" s="2">
        <v>46245.416666666664</v>
      </c>
      <c r="D3020" s="8" t="s">
        <v>13937</v>
      </c>
      <c r="E3020" s="8" t="s">
        <v>22</v>
      </c>
      <c r="F3020">
        <v>4</v>
      </c>
      <c r="G3020" s="2">
        <v>46245.75</v>
      </c>
      <c r="H3020" s="2">
        <v>46245.583333333336</v>
      </c>
    </row>
    <row r="3021" spans="1:8" x14ac:dyDescent="0.25">
      <c r="A3021" s="8" t="s">
        <v>9756</v>
      </c>
      <c r="B3021" s="8" t="s">
        <v>14358</v>
      </c>
      <c r="C3021" s="2">
        <v>46245.416666666664</v>
      </c>
      <c r="D3021" s="8" t="s">
        <v>13937</v>
      </c>
      <c r="E3021" s="8" t="s">
        <v>24</v>
      </c>
      <c r="F3021">
        <v>4</v>
      </c>
      <c r="G3021" s="2">
        <v>46245.75</v>
      </c>
      <c r="H3021" s="2">
        <v>46245.583333333336</v>
      </c>
    </row>
    <row r="3022" spans="1:8" x14ac:dyDescent="0.25">
      <c r="A3022" s="8" t="s">
        <v>9759</v>
      </c>
      <c r="B3022" s="8" t="s">
        <v>14358</v>
      </c>
      <c r="C3022" s="2">
        <v>46245.416666666664</v>
      </c>
      <c r="D3022" s="8" t="s">
        <v>13937</v>
      </c>
      <c r="E3022" s="8" t="s">
        <v>26</v>
      </c>
      <c r="F3022">
        <v>1</v>
      </c>
      <c r="G3022" s="2">
        <v>46245.75</v>
      </c>
      <c r="H3022" s="2">
        <v>46245.583333333336</v>
      </c>
    </row>
    <row r="3023" spans="1:8" x14ac:dyDescent="0.25">
      <c r="A3023" s="8" t="s">
        <v>9762</v>
      </c>
      <c r="B3023" s="8" t="s">
        <v>14358</v>
      </c>
      <c r="C3023" s="2">
        <v>46245.416666666664</v>
      </c>
      <c r="D3023" s="8" t="s">
        <v>13937</v>
      </c>
      <c r="E3023" s="8" t="s">
        <v>30</v>
      </c>
      <c r="F3023">
        <v>4</v>
      </c>
      <c r="G3023" s="2">
        <v>46245.75</v>
      </c>
      <c r="H3023" s="2">
        <v>46245.583333333336</v>
      </c>
    </row>
    <row r="3024" spans="1:8" x14ac:dyDescent="0.25">
      <c r="A3024" s="8" t="s">
        <v>9765</v>
      </c>
      <c r="B3024" s="8" t="s">
        <v>14358</v>
      </c>
      <c r="C3024" s="2">
        <v>46245.416666666664</v>
      </c>
      <c r="D3024" s="8" t="s">
        <v>13937</v>
      </c>
      <c r="E3024" s="8" t="s">
        <v>32</v>
      </c>
      <c r="F3024">
        <v>2</v>
      </c>
      <c r="G3024" s="2">
        <v>46245.75</v>
      </c>
      <c r="H3024" s="2">
        <v>46245.583333333336</v>
      </c>
    </row>
    <row r="3025" spans="1:8" x14ac:dyDescent="0.25">
      <c r="A3025" s="8" t="s">
        <v>9768</v>
      </c>
      <c r="B3025" s="8" t="s">
        <v>14358</v>
      </c>
      <c r="C3025" s="2">
        <v>46245.416666666664</v>
      </c>
      <c r="D3025" s="8" t="s">
        <v>13937</v>
      </c>
      <c r="E3025" s="8" t="s">
        <v>57</v>
      </c>
      <c r="F3025">
        <v>3</v>
      </c>
      <c r="G3025" s="2">
        <v>46245.75</v>
      </c>
      <c r="H3025" s="2">
        <v>46245.583333333336</v>
      </c>
    </row>
    <row r="3026" spans="1:8" x14ac:dyDescent="0.25">
      <c r="A3026" s="8" t="s">
        <v>9771</v>
      </c>
      <c r="B3026" s="8" t="s">
        <v>14358</v>
      </c>
      <c r="C3026" s="2">
        <v>46245.416666666664</v>
      </c>
      <c r="D3026" s="8" t="s">
        <v>13937</v>
      </c>
      <c r="E3026" s="8" t="s">
        <v>65</v>
      </c>
      <c r="F3026">
        <v>2</v>
      </c>
      <c r="G3026" s="2">
        <v>46245.75</v>
      </c>
      <c r="H3026" s="2">
        <v>46245.583333333336</v>
      </c>
    </row>
    <row r="3027" spans="1:8" x14ac:dyDescent="0.25">
      <c r="A3027" s="8" t="s">
        <v>9774</v>
      </c>
      <c r="B3027" s="8" t="s">
        <v>14358</v>
      </c>
      <c r="C3027" s="2">
        <v>46245.416666666664</v>
      </c>
      <c r="D3027" s="8" t="s">
        <v>13937</v>
      </c>
      <c r="E3027" s="8" t="s">
        <v>67</v>
      </c>
      <c r="F3027">
        <v>2</v>
      </c>
      <c r="G3027" s="2">
        <v>46245.75</v>
      </c>
      <c r="H3027" s="2">
        <v>46245.583333333336</v>
      </c>
    </row>
    <row r="3028" spans="1:8" x14ac:dyDescent="0.25">
      <c r="A3028" s="8" t="s">
        <v>9777</v>
      </c>
      <c r="B3028" s="8" t="s">
        <v>14358</v>
      </c>
      <c r="C3028" s="2">
        <v>46245.416666666664</v>
      </c>
      <c r="D3028" s="8" t="s">
        <v>13937</v>
      </c>
      <c r="E3028" s="8" t="s">
        <v>77</v>
      </c>
      <c r="F3028">
        <v>2</v>
      </c>
      <c r="G3028" s="2">
        <v>46245.75</v>
      </c>
      <c r="H3028" s="2">
        <v>46245.583333333336</v>
      </c>
    </row>
    <row r="3029" spans="1:8" x14ac:dyDescent="0.25">
      <c r="A3029" s="8" t="s">
        <v>9780</v>
      </c>
      <c r="B3029" s="8" t="s">
        <v>14359</v>
      </c>
      <c r="C3029" s="2">
        <v>46246.416666666664</v>
      </c>
      <c r="D3029" s="8" t="s">
        <v>13929</v>
      </c>
      <c r="E3029" s="8" t="s">
        <v>18</v>
      </c>
      <c r="F3029">
        <v>2</v>
      </c>
      <c r="G3029" s="2">
        <v>46246.75</v>
      </c>
      <c r="H3029" s="2">
        <v>46246.583333333336</v>
      </c>
    </row>
    <row r="3030" spans="1:8" x14ac:dyDescent="0.25">
      <c r="A3030" s="8" t="s">
        <v>9783</v>
      </c>
      <c r="B3030" s="8" t="s">
        <v>14359</v>
      </c>
      <c r="C3030" s="2">
        <v>46246.416666666664</v>
      </c>
      <c r="D3030" s="8" t="s">
        <v>13929</v>
      </c>
      <c r="E3030" s="8" t="s">
        <v>20</v>
      </c>
      <c r="F3030">
        <v>3</v>
      </c>
      <c r="G3030" s="2">
        <v>46246.75</v>
      </c>
      <c r="H3030" s="2">
        <v>46246.583333333336</v>
      </c>
    </row>
    <row r="3031" spans="1:8" x14ac:dyDescent="0.25">
      <c r="A3031" s="8" t="s">
        <v>9786</v>
      </c>
      <c r="B3031" s="8" t="s">
        <v>14359</v>
      </c>
      <c r="C3031" s="2">
        <v>46246.416666666664</v>
      </c>
      <c r="D3031" s="8" t="s">
        <v>13929</v>
      </c>
      <c r="E3031" s="8" t="s">
        <v>22</v>
      </c>
      <c r="F3031">
        <v>3</v>
      </c>
      <c r="G3031" s="2">
        <v>46246.75</v>
      </c>
      <c r="H3031" s="2">
        <v>46246.583333333336</v>
      </c>
    </row>
    <row r="3032" spans="1:8" x14ac:dyDescent="0.25">
      <c r="A3032" s="8" t="s">
        <v>9789</v>
      </c>
      <c r="B3032" s="8" t="s">
        <v>14359</v>
      </c>
      <c r="C3032" s="2">
        <v>46246.416666666664</v>
      </c>
      <c r="D3032" s="8" t="s">
        <v>13929</v>
      </c>
      <c r="E3032" s="8" t="s">
        <v>24</v>
      </c>
      <c r="F3032">
        <v>2</v>
      </c>
      <c r="G3032" s="2">
        <v>46246.75</v>
      </c>
      <c r="H3032" s="2">
        <v>46246.583333333336</v>
      </c>
    </row>
    <row r="3033" spans="1:8" x14ac:dyDescent="0.25">
      <c r="A3033" s="8" t="s">
        <v>9792</v>
      </c>
      <c r="B3033" s="8" t="s">
        <v>14359</v>
      </c>
      <c r="C3033" s="2">
        <v>46246.416666666664</v>
      </c>
      <c r="D3033" s="8" t="s">
        <v>13929</v>
      </c>
      <c r="E3033" s="8" t="s">
        <v>36</v>
      </c>
      <c r="F3033">
        <v>2</v>
      </c>
      <c r="G3033" s="2">
        <v>46246.75</v>
      </c>
      <c r="H3033" s="2">
        <v>46246.583333333336</v>
      </c>
    </row>
    <row r="3034" spans="1:8" x14ac:dyDescent="0.25">
      <c r="A3034" s="8" t="s">
        <v>9795</v>
      </c>
      <c r="B3034" s="8" t="s">
        <v>14359</v>
      </c>
      <c r="C3034" s="2">
        <v>46246.416666666664</v>
      </c>
      <c r="D3034" s="8" t="s">
        <v>13929</v>
      </c>
      <c r="E3034" s="8" t="s">
        <v>41</v>
      </c>
      <c r="F3034">
        <v>2</v>
      </c>
      <c r="G3034" s="2">
        <v>46246.75</v>
      </c>
      <c r="H3034" s="2">
        <v>46246.583333333336</v>
      </c>
    </row>
    <row r="3035" spans="1:8" x14ac:dyDescent="0.25">
      <c r="A3035" s="8" t="s">
        <v>9798</v>
      </c>
      <c r="B3035" s="8" t="s">
        <v>14359</v>
      </c>
      <c r="C3035" s="2">
        <v>46246.416666666664</v>
      </c>
      <c r="D3035" s="8" t="s">
        <v>13929</v>
      </c>
      <c r="E3035" s="8" t="s">
        <v>55</v>
      </c>
      <c r="F3035">
        <v>2</v>
      </c>
      <c r="G3035" s="2">
        <v>46246.75</v>
      </c>
      <c r="H3035" s="2">
        <v>46246.583333333336</v>
      </c>
    </row>
    <row r="3036" spans="1:8" x14ac:dyDescent="0.25">
      <c r="A3036" s="8" t="s">
        <v>9801</v>
      </c>
      <c r="B3036" s="8" t="s">
        <v>14359</v>
      </c>
      <c r="C3036" s="2">
        <v>46246.416666666664</v>
      </c>
      <c r="D3036" s="8" t="s">
        <v>13929</v>
      </c>
      <c r="E3036" s="8" t="s">
        <v>59</v>
      </c>
      <c r="F3036">
        <v>1</v>
      </c>
      <c r="G3036" s="2">
        <v>46246.75</v>
      </c>
      <c r="H3036" s="2">
        <v>46246.583333333336</v>
      </c>
    </row>
    <row r="3037" spans="1:8" x14ac:dyDescent="0.25">
      <c r="A3037" s="8" t="s">
        <v>9804</v>
      </c>
      <c r="B3037" s="8" t="s">
        <v>14359</v>
      </c>
      <c r="C3037" s="2">
        <v>46246.416666666664</v>
      </c>
      <c r="D3037" s="8" t="s">
        <v>13929</v>
      </c>
      <c r="E3037" s="8" t="s">
        <v>73</v>
      </c>
      <c r="F3037">
        <v>4</v>
      </c>
      <c r="G3037" s="2">
        <v>46246.75</v>
      </c>
      <c r="H3037" s="2">
        <v>46246.583333333336</v>
      </c>
    </row>
    <row r="3038" spans="1:8" x14ac:dyDescent="0.25">
      <c r="A3038" s="8" t="s">
        <v>9807</v>
      </c>
      <c r="B3038" s="8" t="s">
        <v>14360</v>
      </c>
      <c r="C3038" s="2">
        <v>46246.416666666664</v>
      </c>
      <c r="D3038" s="8" t="s">
        <v>13931</v>
      </c>
      <c r="E3038" s="8" t="s">
        <v>11</v>
      </c>
      <c r="F3038">
        <v>2</v>
      </c>
      <c r="G3038" s="2">
        <v>46246.75</v>
      </c>
      <c r="H3038" s="2">
        <v>46246.583333333336</v>
      </c>
    </row>
    <row r="3039" spans="1:8" x14ac:dyDescent="0.25">
      <c r="A3039" s="8" t="s">
        <v>9810</v>
      </c>
      <c r="B3039" s="8" t="s">
        <v>14360</v>
      </c>
      <c r="C3039" s="2">
        <v>46246.416666666664</v>
      </c>
      <c r="D3039" s="8" t="s">
        <v>13931</v>
      </c>
      <c r="E3039" s="8" t="s">
        <v>18</v>
      </c>
      <c r="F3039">
        <v>2</v>
      </c>
      <c r="G3039" s="2">
        <v>46246.75</v>
      </c>
      <c r="H3039" s="2">
        <v>46246.583333333336</v>
      </c>
    </row>
    <row r="3040" spans="1:8" x14ac:dyDescent="0.25">
      <c r="A3040" s="8" t="s">
        <v>9813</v>
      </c>
      <c r="B3040" s="8" t="s">
        <v>14360</v>
      </c>
      <c r="C3040" s="2">
        <v>46246.416666666664</v>
      </c>
      <c r="D3040" s="8" t="s">
        <v>13931</v>
      </c>
      <c r="E3040" s="8" t="s">
        <v>20</v>
      </c>
      <c r="F3040">
        <v>1</v>
      </c>
      <c r="G3040" s="2">
        <v>46246.75</v>
      </c>
      <c r="H3040" s="2">
        <v>46246.583333333336</v>
      </c>
    </row>
    <row r="3041" spans="1:8" x14ac:dyDescent="0.25">
      <c r="A3041" s="8" t="s">
        <v>9816</v>
      </c>
      <c r="B3041" s="8" t="s">
        <v>14360</v>
      </c>
      <c r="C3041" s="2">
        <v>46246.416666666664</v>
      </c>
      <c r="D3041" s="8" t="s">
        <v>13931</v>
      </c>
      <c r="E3041" s="8" t="s">
        <v>22</v>
      </c>
      <c r="F3041">
        <v>4</v>
      </c>
      <c r="G3041" s="2">
        <v>46246.75</v>
      </c>
      <c r="H3041" s="2">
        <v>46246.583333333336</v>
      </c>
    </row>
    <row r="3042" spans="1:8" x14ac:dyDescent="0.25">
      <c r="A3042" s="8" t="s">
        <v>9819</v>
      </c>
      <c r="B3042" s="8" t="s">
        <v>14360</v>
      </c>
      <c r="C3042" s="2">
        <v>46246.416666666664</v>
      </c>
      <c r="D3042" s="8" t="s">
        <v>13931</v>
      </c>
      <c r="E3042" s="8" t="s">
        <v>26</v>
      </c>
      <c r="F3042">
        <v>4</v>
      </c>
      <c r="G3042" s="2">
        <v>46246.75</v>
      </c>
      <c r="H3042" s="2">
        <v>46246.583333333336</v>
      </c>
    </row>
    <row r="3043" spans="1:8" x14ac:dyDescent="0.25">
      <c r="A3043" s="8" t="s">
        <v>9822</v>
      </c>
      <c r="B3043" s="8" t="s">
        <v>14360</v>
      </c>
      <c r="C3043" s="2">
        <v>46246.416666666664</v>
      </c>
      <c r="D3043" s="8" t="s">
        <v>13931</v>
      </c>
      <c r="E3043" s="8" t="s">
        <v>30</v>
      </c>
      <c r="F3043">
        <v>1</v>
      </c>
      <c r="G3043" s="2">
        <v>46246.75</v>
      </c>
      <c r="H3043" s="2">
        <v>46246.583333333336</v>
      </c>
    </row>
    <row r="3044" spans="1:8" x14ac:dyDescent="0.25">
      <c r="A3044" s="8" t="s">
        <v>9825</v>
      </c>
      <c r="B3044" s="8" t="s">
        <v>14360</v>
      </c>
      <c r="C3044" s="2">
        <v>46246.416666666664</v>
      </c>
      <c r="D3044" s="8" t="s">
        <v>13931</v>
      </c>
      <c r="E3044" s="8" t="s">
        <v>57</v>
      </c>
      <c r="F3044">
        <v>4</v>
      </c>
      <c r="G3044" s="2">
        <v>46246.75</v>
      </c>
      <c r="H3044" s="2">
        <v>46246.583333333336</v>
      </c>
    </row>
    <row r="3045" spans="1:8" x14ac:dyDescent="0.25">
      <c r="A3045" s="8" t="s">
        <v>9828</v>
      </c>
      <c r="B3045" s="8" t="s">
        <v>14360</v>
      </c>
      <c r="C3045" s="2">
        <v>46246.416666666664</v>
      </c>
      <c r="D3045" s="8" t="s">
        <v>13931</v>
      </c>
      <c r="E3045" s="8" t="s">
        <v>65</v>
      </c>
      <c r="F3045">
        <v>5</v>
      </c>
      <c r="G3045" s="2">
        <v>46246.75</v>
      </c>
      <c r="H3045" s="2">
        <v>46246.583333333336</v>
      </c>
    </row>
    <row r="3046" spans="1:8" x14ac:dyDescent="0.25">
      <c r="A3046" s="8" t="s">
        <v>9831</v>
      </c>
      <c r="B3046" s="8" t="s">
        <v>14360</v>
      </c>
      <c r="C3046" s="2">
        <v>46246.416666666664</v>
      </c>
      <c r="D3046" s="8" t="s">
        <v>13931</v>
      </c>
      <c r="E3046" s="8" t="s">
        <v>71</v>
      </c>
      <c r="F3046">
        <v>3</v>
      </c>
      <c r="G3046" s="2">
        <v>46246.75</v>
      </c>
      <c r="H3046" s="2">
        <v>46246.583333333336</v>
      </c>
    </row>
    <row r="3047" spans="1:8" x14ac:dyDescent="0.25">
      <c r="A3047" s="8" t="s">
        <v>9834</v>
      </c>
      <c r="B3047" s="8" t="s">
        <v>14361</v>
      </c>
      <c r="C3047" s="2">
        <v>46246.416666666664</v>
      </c>
      <c r="D3047" s="8" t="s">
        <v>13933</v>
      </c>
      <c r="E3047" s="8" t="s">
        <v>11</v>
      </c>
      <c r="F3047">
        <v>6</v>
      </c>
      <c r="G3047" s="2">
        <v>46246.75</v>
      </c>
      <c r="H3047" s="2">
        <v>46246.583333333336</v>
      </c>
    </row>
    <row r="3048" spans="1:8" x14ac:dyDescent="0.25">
      <c r="A3048" s="8" t="s">
        <v>9837</v>
      </c>
      <c r="B3048" s="8" t="s">
        <v>14361</v>
      </c>
      <c r="C3048" s="2">
        <v>46246.416666666664</v>
      </c>
      <c r="D3048" s="8" t="s">
        <v>13933</v>
      </c>
      <c r="E3048" s="8" t="s">
        <v>20</v>
      </c>
      <c r="F3048">
        <v>6</v>
      </c>
      <c r="G3048" s="2">
        <v>46246.75</v>
      </c>
      <c r="H3048" s="2">
        <v>46246.583333333336</v>
      </c>
    </row>
    <row r="3049" spans="1:8" x14ac:dyDescent="0.25">
      <c r="A3049" s="8" t="s">
        <v>9840</v>
      </c>
      <c r="B3049" s="8" t="s">
        <v>14361</v>
      </c>
      <c r="C3049" s="2">
        <v>46246.416666666664</v>
      </c>
      <c r="D3049" s="8" t="s">
        <v>13933</v>
      </c>
      <c r="E3049" s="8" t="s">
        <v>22</v>
      </c>
      <c r="F3049">
        <v>2</v>
      </c>
      <c r="G3049" s="2">
        <v>46246.75</v>
      </c>
      <c r="H3049" s="2">
        <v>46246.583333333336</v>
      </c>
    </row>
    <row r="3050" spans="1:8" x14ac:dyDescent="0.25">
      <c r="A3050" s="8" t="s">
        <v>9843</v>
      </c>
      <c r="B3050" s="8" t="s">
        <v>14361</v>
      </c>
      <c r="C3050" s="2">
        <v>46246.416666666664</v>
      </c>
      <c r="D3050" s="8" t="s">
        <v>13933</v>
      </c>
      <c r="E3050" s="8" t="s">
        <v>24</v>
      </c>
      <c r="F3050">
        <v>6</v>
      </c>
      <c r="G3050" s="2">
        <v>46246.75</v>
      </c>
      <c r="H3050" s="2">
        <v>46246.583333333336</v>
      </c>
    </row>
    <row r="3051" spans="1:8" x14ac:dyDescent="0.25">
      <c r="A3051" s="8" t="s">
        <v>9846</v>
      </c>
      <c r="B3051" s="8" t="s">
        <v>14361</v>
      </c>
      <c r="C3051" s="2">
        <v>46246.416666666664</v>
      </c>
      <c r="D3051" s="8" t="s">
        <v>13933</v>
      </c>
      <c r="E3051" s="8" t="s">
        <v>28</v>
      </c>
      <c r="F3051">
        <v>1</v>
      </c>
      <c r="G3051" s="2">
        <v>46246.75</v>
      </c>
      <c r="H3051" s="2">
        <v>46246.583333333336</v>
      </c>
    </row>
    <row r="3052" spans="1:8" x14ac:dyDescent="0.25">
      <c r="A3052" s="8" t="s">
        <v>9849</v>
      </c>
      <c r="B3052" s="8" t="s">
        <v>14361</v>
      </c>
      <c r="C3052" s="2">
        <v>46246.416666666664</v>
      </c>
      <c r="D3052" s="8" t="s">
        <v>13933</v>
      </c>
      <c r="E3052" s="8" t="s">
        <v>43</v>
      </c>
      <c r="F3052">
        <v>6</v>
      </c>
      <c r="G3052" s="2">
        <v>46246.75</v>
      </c>
      <c r="H3052" s="2">
        <v>46246.583333333336</v>
      </c>
    </row>
    <row r="3053" spans="1:8" x14ac:dyDescent="0.25">
      <c r="A3053" s="8" t="s">
        <v>9852</v>
      </c>
      <c r="B3053" s="8" t="s">
        <v>14361</v>
      </c>
      <c r="C3053" s="2">
        <v>46246.416666666664</v>
      </c>
      <c r="D3053" s="8" t="s">
        <v>13933</v>
      </c>
      <c r="E3053" s="8" t="s">
        <v>53</v>
      </c>
      <c r="F3053">
        <v>5</v>
      </c>
      <c r="G3053" s="2">
        <v>46246.75</v>
      </c>
      <c r="H3053" s="2">
        <v>46246.583333333336</v>
      </c>
    </row>
    <row r="3054" spans="1:8" x14ac:dyDescent="0.25">
      <c r="A3054" s="8" t="s">
        <v>9855</v>
      </c>
      <c r="B3054" s="8" t="s">
        <v>14361</v>
      </c>
      <c r="C3054" s="2">
        <v>46246.416666666664</v>
      </c>
      <c r="D3054" s="8" t="s">
        <v>13933</v>
      </c>
      <c r="E3054" s="8" t="s">
        <v>59</v>
      </c>
      <c r="F3054">
        <v>5</v>
      </c>
      <c r="G3054" s="2">
        <v>46246.75</v>
      </c>
      <c r="H3054" s="2">
        <v>46246.583333333336</v>
      </c>
    </row>
    <row r="3055" spans="1:8" x14ac:dyDescent="0.25">
      <c r="A3055" s="8" t="s">
        <v>9860</v>
      </c>
      <c r="B3055" s="8" t="s">
        <v>14361</v>
      </c>
      <c r="C3055" s="2">
        <v>46246.416666666664</v>
      </c>
      <c r="D3055" s="8" t="s">
        <v>13933</v>
      </c>
      <c r="E3055" s="8" t="s">
        <v>65</v>
      </c>
      <c r="F3055">
        <v>2</v>
      </c>
      <c r="G3055" s="2">
        <v>46246.75</v>
      </c>
      <c r="H3055" s="2">
        <v>46246.583333333336</v>
      </c>
    </row>
    <row r="3056" spans="1:8" x14ac:dyDescent="0.25">
      <c r="A3056" s="8" t="s">
        <v>9863</v>
      </c>
      <c r="B3056" s="8" t="s">
        <v>14361</v>
      </c>
      <c r="C3056" s="2">
        <v>46246.416666666664</v>
      </c>
      <c r="D3056" s="8" t="s">
        <v>13933</v>
      </c>
      <c r="E3056" s="8" t="s">
        <v>71</v>
      </c>
      <c r="F3056">
        <v>2</v>
      </c>
      <c r="G3056" s="2">
        <v>46246.75</v>
      </c>
      <c r="H3056" s="2">
        <v>46246.583333333336</v>
      </c>
    </row>
    <row r="3057" spans="1:8" x14ac:dyDescent="0.25">
      <c r="A3057" s="8" t="s">
        <v>9866</v>
      </c>
      <c r="B3057" s="8" t="s">
        <v>14362</v>
      </c>
      <c r="C3057" s="2">
        <v>46246.416666666664</v>
      </c>
      <c r="D3057" s="8" t="s">
        <v>13935</v>
      </c>
      <c r="E3057" s="8" t="s">
        <v>18</v>
      </c>
      <c r="F3057">
        <v>3</v>
      </c>
      <c r="G3057" s="2">
        <v>46246.75</v>
      </c>
      <c r="H3057" s="2">
        <v>46246.583333333336</v>
      </c>
    </row>
    <row r="3058" spans="1:8" x14ac:dyDescent="0.25">
      <c r="A3058" s="8" t="s">
        <v>9869</v>
      </c>
      <c r="B3058" s="8" t="s">
        <v>14362</v>
      </c>
      <c r="C3058" s="2">
        <v>46246.416666666664</v>
      </c>
      <c r="D3058" s="8" t="s">
        <v>13935</v>
      </c>
      <c r="E3058" s="8" t="s">
        <v>20</v>
      </c>
      <c r="F3058">
        <v>3</v>
      </c>
      <c r="G3058" s="2">
        <v>46246.75</v>
      </c>
      <c r="H3058" s="2">
        <v>46246.583333333336</v>
      </c>
    </row>
    <row r="3059" spans="1:8" x14ac:dyDescent="0.25">
      <c r="A3059" s="8" t="s">
        <v>9872</v>
      </c>
      <c r="B3059" s="8" t="s">
        <v>14362</v>
      </c>
      <c r="C3059" s="2">
        <v>46246.416666666664</v>
      </c>
      <c r="D3059" s="8" t="s">
        <v>13935</v>
      </c>
      <c r="E3059" s="8" t="s">
        <v>22</v>
      </c>
      <c r="F3059">
        <v>4</v>
      </c>
      <c r="G3059" s="2">
        <v>46246.75</v>
      </c>
      <c r="H3059" s="2">
        <v>46246.583333333336</v>
      </c>
    </row>
    <row r="3060" spans="1:8" x14ac:dyDescent="0.25">
      <c r="A3060" s="8" t="s">
        <v>9875</v>
      </c>
      <c r="B3060" s="8" t="s">
        <v>14362</v>
      </c>
      <c r="C3060" s="2">
        <v>46246.416666666664</v>
      </c>
      <c r="D3060" s="8" t="s">
        <v>13935</v>
      </c>
      <c r="E3060" s="8" t="s">
        <v>24</v>
      </c>
      <c r="F3060">
        <v>4</v>
      </c>
      <c r="G3060" s="2">
        <v>46246.75</v>
      </c>
      <c r="H3060" s="2">
        <v>46246.583333333336</v>
      </c>
    </row>
    <row r="3061" spans="1:8" x14ac:dyDescent="0.25">
      <c r="A3061" s="8" t="s">
        <v>9878</v>
      </c>
      <c r="B3061" s="8" t="s">
        <v>14362</v>
      </c>
      <c r="C3061" s="2">
        <v>46246.416666666664</v>
      </c>
      <c r="D3061" s="8" t="s">
        <v>13935</v>
      </c>
      <c r="E3061" s="8" t="s">
        <v>28</v>
      </c>
      <c r="F3061">
        <v>1</v>
      </c>
      <c r="G3061" s="2">
        <v>46246.75</v>
      </c>
      <c r="H3061" s="2">
        <v>46246.583333333336</v>
      </c>
    </row>
    <row r="3062" spans="1:8" x14ac:dyDescent="0.25">
      <c r="A3062" s="8" t="s">
        <v>9881</v>
      </c>
      <c r="B3062" s="8" t="s">
        <v>14362</v>
      </c>
      <c r="C3062" s="2">
        <v>46246.416666666664</v>
      </c>
      <c r="D3062" s="8" t="s">
        <v>13935</v>
      </c>
      <c r="E3062" s="8" t="s">
        <v>30</v>
      </c>
      <c r="F3062">
        <v>1</v>
      </c>
      <c r="G3062" s="2">
        <v>46246.75</v>
      </c>
      <c r="H3062" s="2">
        <v>46246.583333333336</v>
      </c>
    </row>
    <row r="3063" spans="1:8" x14ac:dyDescent="0.25">
      <c r="A3063" s="8" t="s">
        <v>9884</v>
      </c>
      <c r="B3063" s="8" t="s">
        <v>14362</v>
      </c>
      <c r="C3063" s="2">
        <v>46246.416666666664</v>
      </c>
      <c r="D3063" s="8" t="s">
        <v>13935</v>
      </c>
      <c r="E3063" s="8" t="s">
        <v>65</v>
      </c>
      <c r="F3063">
        <v>7</v>
      </c>
      <c r="G3063" s="2">
        <v>46246.75</v>
      </c>
      <c r="H3063" s="2">
        <v>46246.583333333336</v>
      </c>
    </row>
    <row r="3064" spans="1:8" x14ac:dyDescent="0.25">
      <c r="A3064" s="8" t="s">
        <v>9887</v>
      </c>
      <c r="B3064" s="8" t="s">
        <v>14362</v>
      </c>
      <c r="C3064" s="2">
        <v>46246.416666666664</v>
      </c>
      <c r="D3064" s="8" t="s">
        <v>13935</v>
      </c>
      <c r="E3064" s="8" t="s">
        <v>75</v>
      </c>
      <c r="F3064">
        <v>6</v>
      </c>
      <c r="G3064" s="2">
        <v>46246.75</v>
      </c>
      <c r="H3064" s="2">
        <v>46246.583333333336</v>
      </c>
    </row>
    <row r="3065" spans="1:8" x14ac:dyDescent="0.25">
      <c r="A3065" s="8" t="s">
        <v>9890</v>
      </c>
      <c r="B3065" s="8" t="s">
        <v>14363</v>
      </c>
      <c r="C3065" s="2">
        <v>46246.416666666664</v>
      </c>
      <c r="D3065" s="8" t="s">
        <v>13937</v>
      </c>
      <c r="E3065" s="8" t="s">
        <v>11</v>
      </c>
      <c r="F3065">
        <v>1</v>
      </c>
      <c r="G3065" s="2">
        <v>46246.75</v>
      </c>
      <c r="H3065" s="2">
        <v>46246.583333333336</v>
      </c>
    </row>
    <row r="3066" spans="1:8" x14ac:dyDescent="0.25">
      <c r="A3066" s="8" t="s">
        <v>9893</v>
      </c>
      <c r="B3066" s="8" t="s">
        <v>14363</v>
      </c>
      <c r="C3066" s="2">
        <v>46246.416666666664</v>
      </c>
      <c r="D3066" s="8" t="s">
        <v>13937</v>
      </c>
      <c r="E3066" s="8" t="s">
        <v>18</v>
      </c>
      <c r="F3066">
        <v>1</v>
      </c>
      <c r="G3066" s="2">
        <v>46246.75</v>
      </c>
      <c r="H3066" s="2">
        <v>46246.583333333336</v>
      </c>
    </row>
    <row r="3067" spans="1:8" x14ac:dyDescent="0.25">
      <c r="A3067" s="8" t="s">
        <v>9896</v>
      </c>
      <c r="B3067" s="8" t="s">
        <v>14363</v>
      </c>
      <c r="C3067" s="2">
        <v>46246.416666666664</v>
      </c>
      <c r="D3067" s="8" t="s">
        <v>13937</v>
      </c>
      <c r="E3067" s="8" t="s">
        <v>20</v>
      </c>
      <c r="F3067">
        <v>3</v>
      </c>
      <c r="G3067" s="2">
        <v>46246.75</v>
      </c>
      <c r="H3067" s="2">
        <v>46246.583333333336</v>
      </c>
    </row>
    <row r="3068" spans="1:8" x14ac:dyDescent="0.25">
      <c r="A3068" s="8" t="s">
        <v>9899</v>
      </c>
      <c r="B3068" s="8" t="s">
        <v>14363</v>
      </c>
      <c r="C3068" s="2">
        <v>46246.416666666664</v>
      </c>
      <c r="D3068" s="8" t="s">
        <v>13937</v>
      </c>
      <c r="E3068" s="8" t="s">
        <v>24</v>
      </c>
      <c r="F3068">
        <v>4</v>
      </c>
      <c r="G3068" s="2">
        <v>46246.75</v>
      </c>
      <c r="H3068" s="2">
        <v>46246.583333333336</v>
      </c>
    </row>
    <row r="3069" spans="1:8" x14ac:dyDescent="0.25">
      <c r="A3069" s="8" t="s">
        <v>9904</v>
      </c>
      <c r="B3069" s="8" t="s">
        <v>14363</v>
      </c>
      <c r="C3069" s="2">
        <v>46246.416666666664</v>
      </c>
      <c r="D3069" s="8" t="s">
        <v>13937</v>
      </c>
      <c r="E3069" s="8" t="s">
        <v>26</v>
      </c>
      <c r="F3069">
        <v>3</v>
      </c>
      <c r="G3069" s="2">
        <v>46246.75</v>
      </c>
      <c r="H3069" s="2">
        <v>46246.583333333336</v>
      </c>
    </row>
    <row r="3070" spans="1:8" x14ac:dyDescent="0.25">
      <c r="A3070" s="8" t="s">
        <v>9907</v>
      </c>
      <c r="B3070" s="8" t="s">
        <v>14363</v>
      </c>
      <c r="C3070" s="2">
        <v>46246.416666666664</v>
      </c>
      <c r="D3070" s="8" t="s">
        <v>13937</v>
      </c>
      <c r="E3070" s="8" t="s">
        <v>41</v>
      </c>
      <c r="F3070">
        <v>4</v>
      </c>
      <c r="G3070" s="2">
        <v>46246.75</v>
      </c>
      <c r="H3070" s="2">
        <v>46246.583333333336</v>
      </c>
    </row>
    <row r="3071" spans="1:8" x14ac:dyDescent="0.25">
      <c r="A3071" s="8" t="s">
        <v>9910</v>
      </c>
      <c r="B3071" s="8" t="s">
        <v>14363</v>
      </c>
      <c r="C3071" s="2">
        <v>46246.416666666664</v>
      </c>
      <c r="D3071" s="8" t="s">
        <v>13937</v>
      </c>
      <c r="E3071" s="8" t="s">
        <v>43</v>
      </c>
      <c r="F3071">
        <v>4</v>
      </c>
      <c r="G3071" s="2">
        <v>46246.75</v>
      </c>
      <c r="H3071" s="2">
        <v>46246.583333333336</v>
      </c>
    </row>
    <row r="3072" spans="1:8" x14ac:dyDescent="0.25">
      <c r="A3072" s="8" t="s">
        <v>9913</v>
      </c>
      <c r="B3072" s="8" t="s">
        <v>14363</v>
      </c>
      <c r="C3072" s="2">
        <v>46246.416666666664</v>
      </c>
      <c r="D3072" s="8" t="s">
        <v>13937</v>
      </c>
      <c r="E3072" s="8" t="s">
        <v>45</v>
      </c>
      <c r="F3072">
        <v>3</v>
      </c>
      <c r="G3072" s="2">
        <v>46246.75</v>
      </c>
      <c r="H3072" s="2">
        <v>46246.583333333336</v>
      </c>
    </row>
    <row r="3073" spans="1:8" x14ac:dyDescent="0.25">
      <c r="A3073" s="8" t="s">
        <v>9916</v>
      </c>
      <c r="B3073" s="8" t="s">
        <v>14363</v>
      </c>
      <c r="C3073" s="2">
        <v>46246.416666666664</v>
      </c>
      <c r="D3073" s="8" t="s">
        <v>13937</v>
      </c>
      <c r="E3073" s="8" t="s">
        <v>53</v>
      </c>
      <c r="F3073">
        <v>1</v>
      </c>
      <c r="G3073" s="2">
        <v>46246.75</v>
      </c>
      <c r="H3073" s="2">
        <v>46246.583333333336</v>
      </c>
    </row>
    <row r="3074" spans="1:8" x14ac:dyDescent="0.25">
      <c r="A3074" s="8" t="s">
        <v>9919</v>
      </c>
      <c r="B3074" s="8" t="s">
        <v>14363</v>
      </c>
      <c r="C3074" s="2">
        <v>46246.416666666664</v>
      </c>
      <c r="D3074" s="8" t="s">
        <v>13937</v>
      </c>
      <c r="E3074" s="8" t="s">
        <v>67</v>
      </c>
      <c r="F3074">
        <v>3</v>
      </c>
      <c r="G3074" s="2">
        <v>46246.75</v>
      </c>
      <c r="H3074" s="2">
        <v>46246.583333333336</v>
      </c>
    </row>
    <row r="3075" spans="1:8" x14ac:dyDescent="0.25">
      <c r="A3075" s="8" t="s">
        <v>9922</v>
      </c>
      <c r="B3075" s="8" t="s">
        <v>14364</v>
      </c>
      <c r="C3075" s="2">
        <v>46247.416666666664</v>
      </c>
      <c r="D3075" s="8" t="s">
        <v>13929</v>
      </c>
      <c r="E3075" s="8" t="s">
        <v>18</v>
      </c>
      <c r="F3075">
        <v>4</v>
      </c>
      <c r="G3075" s="2">
        <v>46247.75</v>
      </c>
      <c r="H3075" s="2">
        <v>46247.583333333336</v>
      </c>
    </row>
    <row r="3076" spans="1:8" x14ac:dyDescent="0.25">
      <c r="A3076" s="8" t="s">
        <v>9927</v>
      </c>
      <c r="B3076" s="8" t="s">
        <v>14364</v>
      </c>
      <c r="C3076" s="2">
        <v>46247.416666666664</v>
      </c>
      <c r="D3076" s="8" t="s">
        <v>13929</v>
      </c>
      <c r="E3076" s="8" t="s">
        <v>22</v>
      </c>
      <c r="F3076">
        <v>3</v>
      </c>
      <c r="G3076" s="2">
        <v>46247.75</v>
      </c>
      <c r="H3076" s="2">
        <v>46247.583333333336</v>
      </c>
    </row>
    <row r="3077" spans="1:8" x14ac:dyDescent="0.25">
      <c r="A3077" s="8" t="s">
        <v>9930</v>
      </c>
      <c r="B3077" s="8" t="s">
        <v>14364</v>
      </c>
      <c r="C3077" s="2">
        <v>46247.416666666664</v>
      </c>
      <c r="D3077" s="8" t="s">
        <v>13929</v>
      </c>
      <c r="E3077" s="8" t="s">
        <v>26</v>
      </c>
      <c r="F3077">
        <v>2</v>
      </c>
      <c r="G3077" s="2">
        <v>46247.75</v>
      </c>
      <c r="H3077" s="2">
        <v>46247.583333333336</v>
      </c>
    </row>
    <row r="3078" spans="1:8" x14ac:dyDescent="0.25">
      <c r="A3078" s="8" t="s">
        <v>9933</v>
      </c>
      <c r="B3078" s="8" t="s">
        <v>14364</v>
      </c>
      <c r="C3078" s="2">
        <v>46247.416666666664</v>
      </c>
      <c r="D3078" s="8" t="s">
        <v>13929</v>
      </c>
      <c r="E3078" s="8" t="s">
        <v>47</v>
      </c>
      <c r="F3078">
        <v>4</v>
      </c>
      <c r="G3078" s="2">
        <v>46247.75</v>
      </c>
      <c r="H3078" s="2">
        <v>46247.583333333336</v>
      </c>
    </row>
    <row r="3079" spans="1:8" x14ac:dyDescent="0.25">
      <c r="A3079" s="8" t="s">
        <v>9936</v>
      </c>
      <c r="B3079" s="8" t="s">
        <v>14364</v>
      </c>
      <c r="C3079" s="2">
        <v>46247.416666666664</v>
      </c>
      <c r="D3079" s="8" t="s">
        <v>13929</v>
      </c>
      <c r="E3079" s="8" t="s">
        <v>51</v>
      </c>
      <c r="F3079">
        <v>4</v>
      </c>
      <c r="G3079" s="2">
        <v>46247.75</v>
      </c>
      <c r="H3079" s="2">
        <v>46247.583333333336</v>
      </c>
    </row>
    <row r="3080" spans="1:8" x14ac:dyDescent="0.25">
      <c r="A3080" s="8" t="s">
        <v>9939</v>
      </c>
      <c r="B3080" s="8" t="s">
        <v>14364</v>
      </c>
      <c r="C3080" s="2">
        <v>46247.416666666664</v>
      </c>
      <c r="D3080" s="8" t="s">
        <v>13929</v>
      </c>
      <c r="E3080" s="8" t="s">
        <v>55</v>
      </c>
      <c r="F3080">
        <v>1</v>
      </c>
      <c r="G3080" s="2">
        <v>46247.75</v>
      </c>
      <c r="H3080" s="2">
        <v>46247.583333333336</v>
      </c>
    </row>
    <row r="3081" spans="1:8" x14ac:dyDescent="0.25">
      <c r="A3081" s="8" t="s">
        <v>9942</v>
      </c>
      <c r="B3081" s="8" t="s">
        <v>14364</v>
      </c>
      <c r="C3081" s="2">
        <v>46247.416666666664</v>
      </c>
      <c r="D3081" s="8" t="s">
        <v>13929</v>
      </c>
      <c r="E3081" s="8" t="s">
        <v>59</v>
      </c>
      <c r="F3081">
        <v>3</v>
      </c>
      <c r="G3081" s="2">
        <v>46247.75</v>
      </c>
      <c r="H3081" s="2">
        <v>46247.583333333336</v>
      </c>
    </row>
    <row r="3082" spans="1:8" x14ac:dyDescent="0.25">
      <c r="A3082" s="8" t="s">
        <v>9945</v>
      </c>
      <c r="B3082" s="8" t="s">
        <v>14364</v>
      </c>
      <c r="C3082" s="2">
        <v>46247.416666666664</v>
      </c>
      <c r="D3082" s="8" t="s">
        <v>13929</v>
      </c>
      <c r="E3082" s="8" t="s">
        <v>69</v>
      </c>
      <c r="F3082">
        <v>1</v>
      </c>
      <c r="G3082" s="2">
        <v>46247.75</v>
      </c>
      <c r="H3082" s="2">
        <v>46247.583333333336</v>
      </c>
    </row>
    <row r="3083" spans="1:8" x14ac:dyDescent="0.25">
      <c r="A3083" s="8" t="s">
        <v>9948</v>
      </c>
      <c r="B3083" s="8" t="s">
        <v>14364</v>
      </c>
      <c r="C3083" s="2">
        <v>46247.416666666664</v>
      </c>
      <c r="D3083" s="8" t="s">
        <v>13929</v>
      </c>
      <c r="E3083" s="8" t="s">
        <v>71</v>
      </c>
      <c r="F3083">
        <v>3</v>
      </c>
      <c r="G3083" s="2">
        <v>46247.75</v>
      </c>
      <c r="H3083" s="2">
        <v>46247.583333333336</v>
      </c>
    </row>
    <row r="3084" spans="1:8" x14ac:dyDescent="0.25">
      <c r="A3084" s="8" t="s">
        <v>9951</v>
      </c>
      <c r="B3084" s="8" t="s">
        <v>14364</v>
      </c>
      <c r="C3084" s="2">
        <v>46247.416666666664</v>
      </c>
      <c r="D3084" s="8" t="s">
        <v>13929</v>
      </c>
      <c r="E3084" s="8" t="s">
        <v>73</v>
      </c>
      <c r="F3084">
        <v>2</v>
      </c>
      <c r="G3084" s="2">
        <v>46247.75</v>
      </c>
      <c r="H3084" s="2">
        <v>46247.583333333336</v>
      </c>
    </row>
    <row r="3085" spans="1:8" x14ac:dyDescent="0.25">
      <c r="A3085" s="8" t="s">
        <v>9954</v>
      </c>
      <c r="B3085" s="8" t="s">
        <v>14365</v>
      </c>
      <c r="C3085" s="2">
        <v>46247.416666666664</v>
      </c>
      <c r="D3085" s="8" t="s">
        <v>13931</v>
      </c>
      <c r="E3085" s="8" t="s">
        <v>20</v>
      </c>
      <c r="F3085">
        <v>1</v>
      </c>
      <c r="G3085" s="2">
        <v>46247.75</v>
      </c>
      <c r="H3085" s="2">
        <v>46247.583333333336</v>
      </c>
    </row>
    <row r="3086" spans="1:8" x14ac:dyDescent="0.25">
      <c r="A3086" s="8" t="s">
        <v>9957</v>
      </c>
      <c r="B3086" s="8" t="s">
        <v>14365</v>
      </c>
      <c r="C3086" s="2">
        <v>46247.416666666664</v>
      </c>
      <c r="D3086" s="8" t="s">
        <v>13931</v>
      </c>
      <c r="E3086" s="8" t="s">
        <v>28</v>
      </c>
      <c r="F3086">
        <v>3</v>
      </c>
      <c r="G3086" s="2">
        <v>46247.75</v>
      </c>
      <c r="H3086" s="2">
        <v>46247.583333333336</v>
      </c>
    </row>
    <row r="3087" spans="1:8" x14ac:dyDescent="0.25">
      <c r="A3087" s="8" t="s">
        <v>9960</v>
      </c>
      <c r="B3087" s="8" t="s">
        <v>14365</v>
      </c>
      <c r="C3087" s="2">
        <v>46247.416666666664</v>
      </c>
      <c r="D3087" s="8" t="s">
        <v>13931</v>
      </c>
      <c r="E3087" s="8" t="s">
        <v>32</v>
      </c>
      <c r="F3087">
        <v>5</v>
      </c>
      <c r="G3087" s="2">
        <v>46247.75</v>
      </c>
      <c r="H3087" s="2">
        <v>46247.583333333336</v>
      </c>
    </row>
    <row r="3088" spans="1:8" x14ac:dyDescent="0.25">
      <c r="A3088" s="8" t="s">
        <v>9963</v>
      </c>
      <c r="B3088" s="8" t="s">
        <v>14365</v>
      </c>
      <c r="C3088" s="2">
        <v>46247.416666666664</v>
      </c>
      <c r="D3088" s="8" t="s">
        <v>13931</v>
      </c>
      <c r="E3088" s="8" t="s">
        <v>45</v>
      </c>
      <c r="F3088">
        <v>4</v>
      </c>
      <c r="G3088" s="2">
        <v>46247.75</v>
      </c>
      <c r="H3088" s="2">
        <v>46247.583333333336</v>
      </c>
    </row>
    <row r="3089" spans="1:8" x14ac:dyDescent="0.25">
      <c r="A3089" s="8" t="s">
        <v>9966</v>
      </c>
      <c r="B3089" s="8" t="s">
        <v>14365</v>
      </c>
      <c r="C3089" s="2">
        <v>46247.416666666664</v>
      </c>
      <c r="D3089" s="8" t="s">
        <v>13931</v>
      </c>
      <c r="E3089" s="8" t="s">
        <v>57</v>
      </c>
      <c r="F3089">
        <v>2</v>
      </c>
      <c r="G3089" s="2">
        <v>46247.75</v>
      </c>
      <c r="H3089" s="2">
        <v>46247.583333333336</v>
      </c>
    </row>
    <row r="3090" spans="1:8" x14ac:dyDescent="0.25">
      <c r="A3090" s="8" t="s">
        <v>9969</v>
      </c>
      <c r="B3090" s="8" t="s">
        <v>14365</v>
      </c>
      <c r="C3090" s="2">
        <v>46247.416666666664</v>
      </c>
      <c r="D3090" s="8" t="s">
        <v>13931</v>
      </c>
      <c r="E3090" s="8" t="s">
        <v>75</v>
      </c>
      <c r="F3090">
        <v>2</v>
      </c>
      <c r="G3090" s="2">
        <v>46247.75</v>
      </c>
      <c r="H3090" s="2">
        <v>46247.583333333336</v>
      </c>
    </row>
    <row r="3091" spans="1:8" x14ac:dyDescent="0.25">
      <c r="A3091" s="8" t="s">
        <v>9972</v>
      </c>
      <c r="B3091" s="8" t="s">
        <v>14366</v>
      </c>
      <c r="C3091" s="2">
        <v>46247.416666666664</v>
      </c>
      <c r="D3091" s="8" t="s">
        <v>13933</v>
      </c>
      <c r="E3091" s="8" t="s">
        <v>18</v>
      </c>
      <c r="F3091">
        <v>2</v>
      </c>
      <c r="G3091" s="2">
        <v>46247.75</v>
      </c>
      <c r="H3091" s="2">
        <v>46247.583333333336</v>
      </c>
    </row>
    <row r="3092" spans="1:8" x14ac:dyDescent="0.25">
      <c r="A3092" s="8" t="s">
        <v>9975</v>
      </c>
      <c r="B3092" s="8" t="s">
        <v>14366</v>
      </c>
      <c r="C3092" s="2">
        <v>46247.416666666664</v>
      </c>
      <c r="D3092" s="8" t="s">
        <v>13933</v>
      </c>
      <c r="E3092" s="8" t="s">
        <v>22</v>
      </c>
      <c r="F3092">
        <v>1</v>
      </c>
      <c r="G3092" s="2">
        <v>46247.75</v>
      </c>
      <c r="H3092" s="2">
        <v>46247.583333333336</v>
      </c>
    </row>
    <row r="3093" spans="1:8" x14ac:dyDescent="0.25">
      <c r="A3093" s="8" t="s">
        <v>9978</v>
      </c>
      <c r="B3093" s="8" t="s">
        <v>14366</v>
      </c>
      <c r="C3093" s="2">
        <v>46247.416666666664</v>
      </c>
      <c r="D3093" s="8" t="s">
        <v>13933</v>
      </c>
      <c r="E3093" s="8" t="s">
        <v>24</v>
      </c>
      <c r="F3093">
        <v>2</v>
      </c>
      <c r="G3093" s="2">
        <v>46247.75</v>
      </c>
      <c r="H3093" s="2">
        <v>46247.583333333336</v>
      </c>
    </row>
    <row r="3094" spans="1:8" x14ac:dyDescent="0.25">
      <c r="A3094" s="8" t="s">
        <v>9981</v>
      </c>
      <c r="B3094" s="8" t="s">
        <v>14366</v>
      </c>
      <c r="C3094" s="2">
        <v>46247.416666666664</v>
      </c>
      <c r="D3094" s="8" t="s">
        <v>13933</v>
      </c>
      <c r="E3094" s="8" t="s">
        <v>26</v>
      </c>
      <c r="F3094">
        <v>2</v>
      </c>
      <c r="G3094" s="2">
        <v>46247.75</v>
      </c>
      <c r="H3094" s="2">
        <v>46247.583333333336</v>
      </c>
    </row>
    <row r="3095" spans="1:8" x14ac:dyDescent="0.25">
      <c r="A3095" s="8" t="s">
        <v>9984</v>
      </c>
      <c r="B3095" s="8" t="s">
        <v>14366</v>
      </c>
      <c r="C3095" s="2">
        <v>46247.416666666664</v>
      </c>
      <c r="D3095" s="8" t="s">
        <v>13933</v>
      </c>
      <c r="E3095" s="8" t="s">
        <v>41</v>
      </c>
      <c r="F3095">
        <v>1</v>
      </c>
      <c r="G3095" s="2">
        <v>46247.75</v>
      </c>
      <c r="H3095" s="2">
        <v>46247.583333333336</v>
      </c>
    </row>
    <row r="3096" spans="1:8" x14ac:dyDescent="0.25">
      <c r="A3096" s="8" t="s">
        <v>9987</v>
      </c>
      <c r="B3096" s="8" t="s">
        <v>14366</v>
      </c>
      <c r="C3096" s="2">
        <v>46247.416666666664</v>
      </c>
      <c r="D3096" s="8" t="s">
        <v>13933</v>
      </c>
      <c r="E3096" s="8" t="s">
        <v>43</v>
      </c>
      <c r="F3096">
        <v>5</v>
      </c>
      <c r="G3096" s="2">
        <v>46247.75</v>
      </c>
      <c r="H3096" s="2">
        <v>46247.583333333336</v>
      </c>
    </row>
    <row r="3097" spans="1:8" x14ac:dyDescent="0.25">
      <c r="A3097" s="8" t="s">
        <v>9990</v>
      </c>
      <c r="B3097" s="8" t="s">
        <v>14366</v>
      </c>
      <c r="C3097" s="2">
        <v>46247.416666666664</v>
      </c>
      <c r="D3097" s="8" t="s">
        <v>13933</v>
      </c>
      <c r="E3097" s="8" t="s">
        <v>55</v>
      </c>
      <c r="F3097">
        <v>2</v>
      </c>
      <c r="G3097" s="2">
        <v>46247.75</v>
      </c>
      <c r="H3097" s="2">
        <v>46247.583333333336</v>
      </c>
    </row>
    <row r="3098" spans="1:8" x14ac:dyDescent="0.25">
      <c r="A3098" s="8" t="s">
        <v>9993</v>
      </c>
      <c r="B3098" s="8" t="s">
        <v>14366</v>
      </c>
      <c r="C3098" s="2">
        <v>46247.416666666664</v>
      </c>
      <c r="D3098" s="8" t="s">
        <v>13933</v>
      </c>
      <c r="E3098" s="8" t="s">
        <v>59</v>
      </c>
      <c r="F3098">
        <v>5</v>
      </c>
      <c r="G3098" s="2">
        <v>46247.75</v>
      </c>
      <c r="H3098" s="2">
        <v>46247.583333333336</v>
      </c>
    </row>
    <row r="3099" spans="1:8" x14ac:dyDescent="0.25">
      <c r="A3099" s="8" t="s">
        <v>9996</v>
      </c>
      <c r="B3099" s="8" t="s">
        <v>14366</v>
      </c>
      <c r="C3099" s="2">
        <v>46247.416666666664</v>
      </c>
      <c r="D3099" s="8" t="s">
        <v>13933</v>
      </c>
      <c r="E3099" s="8" t="s">
        <v>67</v>
      </c>
      <c r="F3099">
        <v>1</v>
      </c>
      <c r="G3099" s="2">
        <v>46247.75</v>
      </c>
      <c r="H3099" s="2">
        <v>46247.583333333336</v>
      </c>
    </row>
    <row r="3100" spans="1:8" x14ac:dyDescent="0.25">
      <c r="A3100" s="8" t="s">
        <v>9999</v>
      </c>
      <c r="B3100" s="8" t="s">
        <v>14366</v>
      </c>
      <c r="C3100" s="2">
        <v>46247.416666666664</v>
      </c>
      <c r="D3100" s="8" t="s">
        <v>13933</v>
      </c>
      <c r="E3100" s="8" t="s">
        <v>69</v>
      </c>
      <c r="F3100">
        <v>4</v>
      </c>
      <c r="G3100" s="2">
        <v>46247.75</v>
      </c>
      <c r="H3100" s="2">
        <v>46247.583333333336</v>
      </c>
    </row>
    <row r="3101" spans="1:8" x14ac:dyDescent="0.25">
      <c r="A3101" s="8" t="s">
        <v>10002</v>
      </c>
      <c r="B3101" s="8" t="s">
        <v>14366</v>
      </c>
      <c r="C3101" s="2">
        <v>46247.416666666664</v>
      </c>
      <c r="D3101" s="8" t="s">
        <v>13933</v>
      </c>
      <c r="E3101" s="8" t="s">
        <v>77</v>
      </c>
      <c r="F3101">
        <v>1</v>
      </c>
      <c r="G3101" s="2">
        <v>46247.75</v>
      </c>
      <c r="H3101" s="2">
        <v>46247.583333333336</v>
      </c>
    </row>
    <row r="3102" spans="1:8" x14ac:dyDescent="0.25">
      <c r="A3102" s="8" t="s">
        <v>10005</v>
      </c>
      <c r="B3102" s="8" t="s">
        <v>14367</v>
      </c>
      <c r="C3102" s="2">
        <v>46247.416666666664</v>
      </c>
      <c r="D3102" s="8" t="s">
        <v>13935</v>
      </c>
      <c r="E3102" s="8" t="s">
        <v>18</v>
      </c>
      <c r="F3102">
        <v>3</v>
      </c>
      <c r="G3102" s="2">
        <v>46247.75</v>
      </c>
      <c r="H3102" s="2">
        <v>46247.583333333336</v>
      </c>
    </row>
    <row r="3103" spans="1:8" x14ac:dyDescent="0.25">
      <c r="A3103" s="8" t="s">
        <v>10008</v>
      </c>
      <c r="B3103" s="8" t="s">
        <v>14367</v>
      </c>
      <c r="C3103" s="2">
        <v>46247.416666666664</v>
      </c>
      <c r="D3103" s="8" t="s">
        <v>13935</v>
      </c>
      <c r="E3103" s="8" t="s">
        <v>22</v>
      </c>
      <c r="F3103">
        <v>4</v>
      </c>
      <c r="G3103" s="2">
        <v>46247.75</v>
      </c>
      <c r="H3103" s="2">
        <v>46247.583333333336</v>
      </c>
    </row>
    <row r="3104" spans="1:8" x14ac:dyDescent="0.25">
      <c r="A3104" s="8" t="s">
        <v>10011</v>
      </c>
      <c r="B3104" s="8" t="s">
        <v>14367</v>
      </c>
      <c r="C3104" s="2">
        <v>46247.416666666664</v>
      </c>
      <c r="D3104" s="8" t="s">
        <v>13935</v>
      </c>
      <c r="E3104" s="8" t="s">
        <v>24</v>
      </c>
      <c r="F3104">
        <v>3</v>
      </c>
      <c r="G3104" s="2">
        <v>46247.75</v>
      </c>
      <c r="H3104" s="2">
        <v>46247.583333333336</v>
      </c>
    </row>
    <row r="3105" spans="1:8" x14ac:dyDescent="0.25">
      <c r="A3105" s="8" t="s">
        <v>10014</v>
      </c>
      <c r="B3105" s="8" t="s">
        <v>14367</v>
      </c>
      <c r="C3105" s="2">
        <v>46247.416666666664</v>
      </c>
      <c r="D3105" s="8" t="s">
        <v>13935</v>
      </c>
      <c r="E3105" s="8" t="s">
        <v>26</v>
      </c>
      <c r="F3105">
        <v>4</v>
      </c>
      <c r="G3105" s="2">
        <v>46247.75</v>
      </c>
      <c r="H3105" s="2">
        <v>46247.583333333336</v>
      </c>
    </row>
    <row r="3106" spans="1:8" x14ac:dyDescent="0.25">
      <c r="A3106" s="8" t="s">
        <v>10017</v>
      </c>
      <c r="B3106" s="8" t="s">
        <v>14367</v>
      </c>
      <c r="C3106" s="2">
        <v>46247.416666666664</v>
      </c>
      <c r="D3106" s="8" t="s">
        <v>13935</v>
      </c>
      <c r="E3106" s="8" t="s">
        <v>32</v>
      </c>
      <c r="F3106">
        <v>6</v>
      </c>
      <c r="G3106" s="2">
        <v>46247.75</v>
      </c>
      <c r="H3106" s="2">
        <v>46247.583333333336</v>
      </c>
    </row>
    <row r="3107" spans="1:8" x14ac:dyDescent="0.25">
      <c r="A3107" s="8" t="s">
        <v>10020</v>
      </c>
      <c r="B3107" s="8" t="s">
        <v>14367</v>
      </c>
      <c r="C3107" s="2">
        <v>46247.416666666664</v>
      </c>
      <c r="D3107" s="8" t="s">
        <v>13935</v>
      </c>
      <c r="E3107" s="8" t="s">
        <v>47</v>
      </c>
      <c r="F3107">
        <v>4</v>
      </c>
      <c r="G3107" s="2">
        <v>46247.75</v>
      </c>
      <c r="H3107" s="2">
        <v>46247.583333333336</v>
      </c>
    </row>
    <row r="3108" spans="1:8" x14ac:dyDescent="0.25">
      <c r="A3108" s="8" t="s">
        <v>10023</v>
      </c>
      <c r="B3108" s="8" t="s">
        <v>14367</v>
      </c>
      <c r="C3108" s="2">
        <v>46247.416666666664</v>
      </c>
      <c r="D3108" s="8" t="s">
        <v>13935</v>
      </c>
      <c r="E3108" s="8" t="s">
        <v>51</v>
      </c>
      <c r="F3108">
        <v>1</v>
      </c>
      <c r="G3108" s="2">
        <v>46247.75</v>
      </c>
      <c r="H3108" s="2">
        <v>46247.583333333336</v>
      </c>
    </row>
    <row r="3109" spans="1:8" x14ac:dyDescent="0.25">
      <c r="A3109" s="8" t="s">
        <v>10026</v>
      </c>
      <c r="B3109" s="8" t="s">
        <v>14367</v>
      </c>
      <c r="C3109" s="2">
        <v>46247.416666666664</v>
      </c>
      <c r="D3109" s="8" t="s">
        <v>13935</v>
      </c>
      <c r="E3109" s="8" t="s">
        <v>53</v>
      </c>
      <c r="F3109">
        <v>1</v>
      </c>
      <c r="G3109" s="2">
        <v>46247.75</v>
      </c>
      <c r="H3109" s="2">
        <v>46247.583333333336</v>
      </c>
    </row>
    <row r="3110" spans="1:8" x14ac:dyDescent="0.25">
      <c r="A3110" s="8" t="s">
        <v>10029</v>
      </c>
      <c r="B3110" s="8" t="s">
        <v>14367</v>
      </c>
      <c r="C3110" s="2">
        <v>46247.416666666664</v>
      </c>
      <c r="D3110" s="8" t="s">
        <v>13935</v>
      </c>
      <c r="E3110" s="8" t="s">
        <v>71</v>
      </c>
      <c r="F3110">
        <v>4</v>
      </c>
      <c r="G3110" s="2">
        <v>46247.75</v>
      </c>
      <c r="H3110" s="2">
        <v>46247.583333333336</v>
      </c>
    </row>
    <row r="3111" spans="1:8" x14ac:dyDescent="0.25">
      <c r="A3111" s="8" t="s">
        <v>10032</v>
      </c>
      <c r="B3111" s="8" t="s">
        <v>14367</v>
      </c>
      <c r="C3111" s="2">
        <v>46247.416666666664</v>
      </c>
      <c r="D3111" s="8" t="s">
        <v>13935</v>
      </c>
      <c r="E3111" s="8" t="s">
        <v>75</v>
      </c>
      <c r="F3111">
        <v>6</v>
      </c>
      <c r="G3111" s="2">
        <v>46247.75</v>
      </c>
      <c r="H3111" s="2">
        <v>46247.583333333336</v>
      </c>
    </row>
    <row r="3112" spans="1:8" x14ac:dyDescent="0.25">
      <c r="A3112" s="8" t="s">
        <v>10035</v>
      </c>
      <c r="B3112" s="8" t="s">
        <v>14368</v>
      </c>
      <c r="C3112" s="2">
        <v>46247.416666666664</v>
      </c>
      <c r="D3112" s="8" t="s">
        <v>13937</v>
      </c>
      <c r="E3112" s="8" t="s">
        <v>11</v>
      </c>
      <c r="F3112">
        <v>1</v>
      </c>
      <c r="G3112" s="2">
        <v>46247.75</v>
      </c>
      <c r="H3112" s="2">
        <v>46247.583333333336</v>
      </c>
    </row>
    <row r="3113" spans="1:8" x14ac:dyDescent="0.25">
      <c r="A3113" s="8" t="s">
        <v>10038</v>
      </c>
      <c r="B3113" s="8" t="s">
        <v>14368</v>
      </c>
      <c r="C3113" s="2">
        <v>46247.416666666664</v>
      </c>
      <c r="D3113" s="8" t="s">
        <v>13937</v>
      </c>
      <c r="E3113" s="8" t="s">
        <v>22</v>
      </c>
      <c r="F3113">
        <v>1</v>
      </c>
      <c r="G3113" s="2">
        <v>46247.75</v>
      </c>
      <c r="H3113" s="2">
        <v>46247.583333333336</v>
      </c>
    </row>
    <row r="3114" spans="1:8" x14ac:dyDescent="0.25">
      <c r="A3114" s="8" t="s">
        <v>10041</v>
      </c>
      <c r="B3114" s="8" t="s">
        <v>14368</v>
      </c>
      <c r="C3114" s="2">
        <v>46247.416666666664</v>
      </c>
      <c r="D3114" s="8" t="s">
        <v>13937</v>
      </c>
      <c r="E3114" s="8" t="s">
        <v>26</v>
      </c>
      <c r="F3114">
        <v>2</v>
      </c>
      <c r="G3114" s="2">
        <v>46247.75</v>
      </c>
      <c r="H3114" s="2">
        <v>46247.583333333336</v>
      </c>
    </row>
    <row r="3115" spans="1:8" x14ac:dyDescent="0.25">
      <c r="A3115" s="8" t="s">
        <v>10044</v>
      </c>
      <c r="B3115" s="8" t="s">
        <v>14368</v>
      </c>
      <c r="C3115" s="2">
        <v>46247.416666666664</v>
      </c>
      <c r="D3115" s="8" t="s">
        <v>13937</v>
      </c>
      <c r="E3115" s="8" t="s">
        <v>43</v>
      </c>
      <c r="F3115">
        <v>4</v>
      </c>
      <c r="G3115" s="2">
        <v>46247.75</v>
      </c>
      <c r="H3115" s="2">
        <v>46247.583333333336</v>
      </c>
    </row>
    <row r="3116" spans="1:8" x14ac:dyDescent="0.25">
      <c r="A3116" s="8" t="s">
        <v>10047</v>
      </c>
      <c r="B3116" s="8" t="s">
        <v>14368</v>
      </c>
      <c r="C3116" s="2">
        <v>46247.416666666664</v>
      </c>
      <c r="D3116" s="8" t="s">
        <v>13937</v>
      </c>
      <c r="E3116" s="8" t="s">
        <v>57</v>
      </c>
      <c r="F3116">
        <v>2</v>
      </c>
      <c r="G3116" s="2">
        <v>46247.75</v>
      </c>
      <c r="H3116" s="2">
        <v>46247.583333333336</v>
      </c>
    </row>
    <row r="3117" spans="1:8" x14ac:dyDescent="0.25">
      <c r="A3117" s="8" t="s">
        <v>10050</v>
      </c>
      <c r="B3117" s="8" t="s">
        <v>14368</v>
      </c>
      <c r="C3117" s="2">
        <v>46247.416666666664</v>
      </c>
      <c r="D3117" s="8" t="s">
        <v>13937</v>
      </c>
      <c r="E3117" s="8" t="s">
        <v>67</v>
      </c>
      <c r="F3117">
        <v>2</v>
      </c>
      <c r="G3117" s="2">
        <v>46247.75</v>
      </c>
      <c r="H3117" s="2">
        <v>46247.583333333336</v>
      </c>
    </row>
    <row r="3118" spans="1:8" x14ac:dyDescent="0.25">
      <c r="A3118" s="8" t="s">
        <v>10053</v>
      </c>
      <c r="B3118" s="8" t="s">
        <v>14368</v>
      </c>
      <c r="C3118" s="2">
        <v>46247.416666666664</v>
      </c>
      <c r="D3118" s="8" t="s">
        <v>13937</v>
      </c>
      <c r="E3118" s="8" t="s">
        <v>71</v>
      </c>
      <c r="F3118">
        <v>2</v>
      </c>
      <c r="G3118" s="2">
        <v>46247.75</v>
      </c>
      <c r="H3118" s="2">
        <v>46247.583333333336</v>
      </c>
    </row>
    <row r="3119" spans="1:8" x14ac:dyDescent="0.25">
      <c r="A3119" s="8" t="s">
        <v>10056</v>
      </c>
      <c r="B3119" s="8" t="s">
        <v>14368</v>
      </c>
      <c r="C3119" s="2">
        <v>46247.416666666664</v>
      </c>
      <c r="D3119" s="8" t="s">
        <v>13937</v>
      </c>
      <c r="E3119" s="8" t="s">
        <v>73</v>
      </c>
      <c r="F3119">
        <v>4</v>
      </c>
      <c r="G3119" s="2">
        <v>46247.75</v>
      </c>
      <c r="H3119" s="2">
        <v>46247.583333333336</v>
      </c>
    </row>
    <row r="3120" spans="1:8" x14ac:dyDescent="0.25">
      <c r="A3120" s="8" t="s">
        <v>10059</v>
      </c>
      <c r="B3120" s="8" t="s">
        <v>14368</v>
      </c>
      <c r="C3120" s="2">
        <v>46247.416666666664</v>
      </c>
      <c r="D3120" s="8" t="s">
        <v>13937</v>
      </c>
      <c r="E3120" s="8" t="s">
        <v>77</v>
      </c>
      <c r="F3120">
        <v>4</v>
      </c>
      <c r="G3120" s="2">
        <v>46247.75</v>
      </c>
      <c r="H3120" s="2">
        <v>46247.583333333336</v>
      </c>
    </row>
    <row r="3121" spans="1:8" x14ac:dyDescent="0.25">
      <c r="A3121" s="8" t="s">
        <v>10062</v>
      </c>
      <c r="B3121" s="8" t="s">
        <v>14369</v>
      </c>
      <c r="C3121" s="2">
        <v>46248.416666666664</v>
      </c>
      <c r="D3121" s="8" t="s">
        <v>13929</v>
      </c>
      <c r="E3121" s="8" t="s">
        <v>11</v>
      </c>
      <c r="F3121">
        <v>3</v>
      </c>
      <c r="G3121" s="2">
        <v>46248.75</v>
      </c>
      <c r="H3121" s="2">
        <v>46248.583333333336</v>
      </c>
    </row>
    <row r="3122" spans="1:8" x14ac:dyDescent="0.25">
      <c r="A3122" s="8" t="s">
        <v>10065</v>
      </c>
      <c r="B3122" s="8" t="s">
        <v>14369</v>
      </c>
      <c r="C3122" s="2">
        <v>46248.416666666664</v>
      </c>
      <c r="D3122" s="8" t="s">
        <v>13929</v>
      </c>
      <c r="E3122" s="8" t="s">
        <v>18</v>
      </c>
      <c r="F3122">
        <v>2</v>
      </c>
      <c r="G3122" s="2">
        <v>46248.75</v>
      </c>
      <c r="H3122" s="2">
        <v>46248.583333333336</v>
      </c>
    </row>
    <row r="3123" spans="1:8" x14ac:dyDescent="0.25">
      <c r="A3123" s="8" t="s">
        <v>10068</v>
      </c>
      <c r="B3123" s="8" t="s">
        <v>14369</v>
      </c>
      <c r="C3123" s="2">
        <v>46248.416666666664</v>
      </c>
      <c r="D3123" s="8" t="s">
        <v>13929</v>
      </c>
      <c r="E3123" s="8" t="s">
        <v>20</v>
      </c>
      <c r="F3123">
        <v>3</v>
      </c>
      <c r="G3123" s="2">
        <v>46248.75</v>
      </c>
      <c r="H3123" s="2">
        <v>46248.583333333336</v>
      </c>
    </row>
    <row r="3124" spans="1:8" x14ac:dyDescent="0.25">
      <c r="A3124" s="8" t="s">
        <v>10071</v>
      </c>
      <c r="B3124" s="8" t="s">
        <v>14369</v>
      </c>
      <c r="C3124" s="2">
        <v>46248.416666666664</v>
      </c>
      <c r="D3124" s="8" t="s">
        <v>13929</v>
      </c>
      <c r="E3124" s="8" t="s">
        <v>22</v>
      </c>
      <c r="F3124">
        <v>2</v>
      </c>
      <c r="G3124" s="2">
        <v>46248.75</v>
      </c>
      <c r="H3124" s="2">
        <v>46248.583333333336</v>
      </c>
    </row>
    <row r="3125" spans="1:8" x14ac:dyDescent="0.25">
      <c r="A3125" s="8" t="s">
        <v>10074</v>
      </c>
      <c r="B3125" s="8" t="s">
        <v>14369</v>
      </c>
      <c r="C3125" s="2">
        <v>46248.416666666664</v>
      </c>
      <c r="D3125" s="8" t="s">
        <v>13929</v>
      </c>
      <c r="E3125" s="8" t="s">
        <v>28</v>
      </c>
      <c r="F3125">
        <v>4</v>
      </c>
      <c r="G3125" s="2">
        <v>46248.75</v>
      </c>
      <c r="H3125" s="2">
        <v>46248.583333333336</v>
      </c>
    </row>
    <row r="3126" spans="1:8" x14ac:dyDescent="0.25">
      <c r="A3126" s="8" t="s">
        <v>10077</v>
      </c>
      <c r="B3126" s="8" t="s">
        <v>14369</v>
      </c>
      <c r="C3126" s="2">
        <v>46248.416666666664</v>
      </c>
      <c r="D3126" s="8" t="s">
        <v>13929</v>
      </c>
      <c r="E3126" s="8" t="s">
        <v>53</v>
      </c>
      <c r="F3126">
        <v>3</v>
      </c>
      <c r="G3126" s="2">
        <v>46248.75</v>
      </c>
      <c r="H3126" s="2">
        <v>46248.583333333336</v>
      </c>
    </row>
    <row r="3127" spans="1:8" x14ac:dyDescent="0.25">
      <c r="A3127" s="8" t="s">
        <v>10080</v>
      </c>
      <c r="B3127" s="8" t="s">
        <v>14369</v>
      </c>
      <c r="C3127" s="2">
        <v>46248.416666666664</v>
      </c>
      <c r="D3127" s="8" t="s">
        <v>13929</v>
      </c>
      <c r="E3127" s="8" t="s">
        <v>65</v>
      </c>
      <c r="F3127">
        <v>2</v>
      </c>
      <c r="G3127" s="2">
        <v>46248.75</v>
      </c>
      <c r="H3127" s="2">
        <v>46248.583333333336</v>
      </c>
    </row>
    <row r="3128" spans="1:8" x14ac:dyDescent="0.25">
      <c r="A3128" s="8" t="s">
        <v>10083</v>
      </c>
      <c r="B3128" s="8" t="s">
        <v>14369</v>
      </c>
      <c r="C3128" s="2">
        <v>46248.416666666664</v>
      </c>
      <c r="D3128" s="8" t="s">
        <v>13929</v>
      </c>
      <c r="E3128" s="8" t="s">
        <v>67</v>
      </c>
      <c r="F3128">
        <v>2</v>
      </c>
      <c r="G3128" s="2">
        <v>46248.75</v>
      </c>
      <c r="H3128" s="2">
        <v>46248.583333333336</v>
      </c>
    </row>
    <row r="3129" spans="1:8" x14ac:dyDescent="0.25">
      <c r="A3129" s="8" t="s">
        <v>10086</v>
      </c>
      <c r="B3129" s="8" t="s">
        <v>14369</v>
      </c>
      <c r="C3129" s="2">
        <v>46248.416666666664</v>
      </c>
      <c r="D3129" s="8" t="s">
        <v>13929</v>
      </c>
      <c r="E3129" s="8" t="s">
        <v>73</v>
      </c>
      <c r="F3129">
        <v>3</v>
      </c>
      <c r="G3129" s="2">
        <v>46248.75</v>
      </c>
      <c r="H3129" s="2">
        <v>46248.583333333336</v>
      </c>
    </row>
    <row r="3130" spans="1:8" x14ac:dyDescent="0.25">
      <c r="A3130" s="8" t="s">
        <v>10089</v>
      </c>
      <c r="B3130" s="8" t="s">
        <v>14369</v>
      </c>
      <c r="C3130" s="2">
        <v>46248.416666666664</v>
      </c>
      <c r="D3130" s="8" t="s">
        <v>13929</v>
      </c>
      <c r="E3130" s="8" t="s">
        <v>75</v>
      </c>
      <c r="F3130">
        <v>1</v>
      </c>
      <c r="G3130" s="2">
        <v>46248.75</v>
      </c>
      <c r="H3130" s="2">
        <v>46248.583333333336</v>
      </c>
    </row>
    <row r="3131" spans="1:8" x14ac:dyDescent="0.25">
      <c r="A3131" s="8" t="s">
        <v>10092</v>
      </c>
      <c r="B3131" s="8" t="s">
        <v>14370</v>
      </c>
      <c r="C3131" s="2">
        <v>46248.416666666664</v>
      </c>
      <c r="D3131" s="8" t="s">
        <v>13931</v>
      </c>
      <c r="E3131" s="8" t="s">
        <v>11</v>
      </c>
      <c r="F3131">
        <v>4</v>
      </c>
      <c r="G3131" s="2">
        <v>46248.75</v>
      </c>
      <c r="H3131" s="2">
        <v>46248.583333333336</v>
      </c>
    </row>
    <row r="3132" spans="1:8" x14ac:dyDescent="0.25">
      <c r="A3132" s="8" t="s">
        <v>10095</v>
      </c>
      <c r="B3132" s="8" t="s">
        <v>14370</v>
      </c>
      <c r="C3132" s="2">
        <v>46248.416666666664</v>
      </c>
      <c r="D3132" s="8" t="s">
        <v>13931</v>
      </c>
      <c r="E3132" s="8" t="s">
        <v>18</v>
      </c>
      <c r="F3132">
        <v>1</v>
      </c>
      <c r="G3132" s="2">
        <v>46248.75</v>
      </c>
      <c r="H3132" s="2">
        <v>46248.583333333336</v>
      </c>
    </row>
    <row r="3133" spans="1:8" x14ac:dyDescent="0.25">
      <c r="A3133" s="8" t="s">
        <v>10098</v>
      </c>
      <c r="B3133" s="8" t="s">
        <v>14370</v>
      </c>
      <c r="C3133" s="2">
        <v>46248.416666666664</v>
      </c>
      <c r="D3133" s="8" t="s">
        <v>13931</v>
      </c>
      <c r="E3133" s="8" t="s">
        <v>20</v>
      </c>
      <c r="F3133">
        <v>4</v>
      </c>
      <c r="G3133" s="2">
        <v>46248.75</v>
      </c>
      <c r="H3133" s="2">
        <v>46248.583333333336</v>
      </c>
    </row>
    <row r="3134" spans="1:8" x14ac:dyDescent="0.25">
      <c r="A3134" s="8" t="s">
        <v>10101</v>
      </c>
      <c r="B3134" s="8" t="s">
        <v>14370</v>
      </c>
      <c r="C3134" s="2">
        <v>46248.416666666664</v>
      </c>
      <c r="D3134" s="8" t="s">
        <v>13931</v>
      </c>
      <c r="E3134" s="8" t="s">
        <v>45</v>
      </c>
      <c r="F3134">
        <v>4</v>
      </c>
      <c r="G3134" s="2">
        <v>46248.75</v>
      </c>
      <c r="H3134" s="2">
        <v>46248.583333333336</v>
      </c>
    </row>
    <row r="3135" spans="1:8" x14ac:dyDescent="0.25">
      <c r="A3135" s="8" t="s">
        <v>10104</v>
      </c>
      <c r="B3135" s="8" t="s">
        <v>14370</v>
      </c>
      <c r="C3135" s="2">
        <v>46248.416666666664</v>
      </c>
      <c r="D3135" s="8" t="s">
        <v>13931</v>
      </c>
      <c r="E3135" s="8" t="s">
        <v>49</v>
      </c>
      <c r="F3135">
        <v>2</v>
      </c>
      <c r="G3135" s="2">
        <v>46248.75</v>
      </c>
      <c r="H3135" s="2">
        <v>46248.583333333336</v>
      </c>
    </row>
    <row r="3136" spans="1:8" x14ac:dyDescent="0.25">
      <c r="A3136" s="8" t="s">
        <v>10107</v>
      </c>
      <c r="B3136" s="8" t="s">
        <v>14370</v>
      </c>
      <c r="C3136" s="2">
        <v>46248.416666666664</v>
      </c>
      <c r="D3136" s="8" t="s">
        <v>13931</v>
      </c>
      <c r="E3136" s="8" t="s">
        <v>59</v>
      </c>
      <c r="F3136">
        <v>2</v>
      </c>
      <c r="G3136" s="2">
        <v>46248.75</v>
      </c>
      <c r="H3136" s="2">
        <v>46248.583333333336</v>
      </c>
    </row>
    <row r="3137" spans="1:8" x14ac:dyDescent="0.25">
      <c r="A3137" s="8" t="s">
        <v>10110</v>
      </c>
      <c r="B3137" s="8" t="s">
        <v>14370</v>
      </c>
      <c r="C3137" s="2">
        <v>46248.416666666664</v>
      </c>
      <c r="D3137" s="8" t="s">
        <v>13931</v>
      </c>
      <c r="E3137" s="8" t="s">
        <v>75</v>
      </c>
      <c r="F3137">
        <v>5</v>
      </c>
      <c r="G3137" s="2">
        <v>46248.75</v>
      </c>
      <c r="H3137" s="2">
        <v>46248.583333333336</v>
      </c>
    </row>
    <row r="3138" spans="1:8" x14ac:dyDescent="0.25">
      <c r="A3138" s="8" t="s">
        <v>10113</v>
      </c>
      <c r="B3138" s="8" t="s">
        <v>14371</v>
      </c>
      <c r="C3138" s="2">
        <v>46248.416666666664</v>
      </c>
      <c r="D3138" s="8" t="s">
        <v>13933</v>
      </c>
      <c r="E3138" s="8" t="s">
        <v>18</v>
      </c>
      <c r="F3138">
        <v>2</v>
      </c>
      <c r="G3138" s="2">
        <v>46248.75</v>
      </c>
      <c r="H3138" s="2">
        <v>46248.583333333336</v>
      </c>
    </row>
    <row r="3139" spans="1:8" x14ac:dyDescent="0.25">
      <c r="A3139" s="8" t="s">
        <v>10116</v>
      </c>
      <c r="B3139" s="8" t="s">
        <v>14371</v>
      </c>
      <c r="C3139" s="2">
        <v>46248.416666666664</v>
      </c>
      <c r="D3139" s="8" t="s">
        <v>13933</v>
      </c>
      <c r="E3139" s="8" t="s">
        <v>20</v>
      </c>
      <c r="F3139">
        <v>2</v>
      </c>
      <c r="G3139" s="2">
        <v>46248.75</v>
      </c>
      <c r="H3139" s="2">
        <v>46248.583333333336</v>
      </c>
    </row>
    <row r="3140" spans="1:8" x14ac:dyDescent="0.25">
      <c r="A3140" s="8" t="s">
        <v>10119</v>
      </c>
      <c r="B3140" s="8" t="s">
        <v>14371</v>
      </c>
      <c r="C3140" s="2">
        <v>46248.416666666664</v>
      </c>
      <c r="D3140" s="8" t="s">
        <v>13933</v>
      </c>
      <c r="E3140" s="8" t="s">
        <v>24</v>
      </c>
      <c r="F3140">
        <v>4</v>
      </c>
      <c r="G3140" s="2">
        <v>46248.75</v>
      </c>
      <c r="H3140" s="2">
        <v>46248.583333333336</v>
      </c>
    </row>
    <row r="3141" spans="1:8" x14ac:dyDescent="0.25">
      <c r="A3141" s="8" t="s">
        <v>10122</v>
      </c>
      <c r="B3141" s="8" t="s">
        <v>14371</v>
      </c>
      <c r="C3141" s="2">
        <v>46248.416666666664</v>
      </c>
      <c r="D3141" s="8" t="s">
        <v>13933</v>
      </c>
      <c r="E3141" s="8" t="s">
        <v>26</v>
      </c>
      <c r="F3141">
        <v>4</v>
      </c>
      <c r="G3141" s="2">
        <v>46248.75</v>
      </c>
      <c r="H3141" s="2">
        <v>46248.583333333336</v>
      </c>
    </row>
    <row r="3142" spans="1:8" x14ac:dyDescent="0.25">
      <c r="A3142" s="8" t="s">
        <v>10125</v>
      </c>
      <c r="B3142" s="8" t="s">
        <v>14371</v>
      </c>
      <c r="C3142" s="2">
        <v>46248.416666666664</v>
      </c>
      <c r="D3142" s="8" t="s">
        <v>13933</v>
      </c>
      <c r="E3142" s="8" t="s">
        <v>32</v>
      </c>
      <c r="F3142">
        <v>2</v>
      </c>
      <c r="G3142" s="2">
        <v>46248.75</v>
      </c>
      <c r="H3142" s="2">
        <v>46248.583333333336</v>
      </c>
    </row>
    <row r="3143" spans="1:8" x14ac:dyDescent="0.25">
      <c r="A3143" s="8" t="s">
        <v>10128</v>
      </c>
      <c r="B3143" s="8" t="s">
        <v>14371</v>
      </c>
      <c r="C3143" s="2">
        <v>46248.416666666664</v>
      </c>
      <c r="D3143" s="8" t="s">
        <v>13933</v>
      </c>
      <c r="E3143" s="8" t="s">
        <v>43</v>
      </c>
      <c r="F3143">
        <v>1</v>
      </c>
      <c r="G3143" s="2">
        <v>46248.75</v>
      </c>
      <c r="H3143" s="2">
        <v>46248.583333333336</v>
      </c>
    </row>
    <row r="3144" spans="1:8" x14ac:dyDescent="0.25">
      <c r="A3144" s="8" t="s">
        <v>10131</v>
      </c>
      <c r="B3144" s="8" t="s">
        <v>14371</v>
      </c>
      <c r="C3144" s="2">
        <v>46248.416666666664</v>
      </c>
      <c r="D3144" s="8" t="s">
        <v>13933</v>
      </c>
      <c r="E3144" s="8" t="s">
        <v>47</v>
      </c>
      <c r="F3144">
        <v>4</v>
      </c>
      <c r="G3144" s="2">
        <v>46248.75</v>
      </c>
      <c r="H3144" s="2">
        <v>46248.583333333336</v>
      </c>
    </row>
    <row r="3145" spans="1:8" x14ac:dyDescent="0.25">
      <c r="A3145" s="8" t="s">
        <v>10134</v>
      </c>
      <c r="B3145" s="8" t="s">
        <v>14371</v>
      </c>
      <c r="C3145" s="2">
        <v>46248.416666666664</v>
      </c>
      <c r="D3145" s="8" t="s">
        <v>13933</v>
      </c>
      <c r="E3145" s="8" t="s">
        <v>55</v>
      </c>
      <c r="F3145">
        <v>6</v>
      </c>
      <c r="G3145" s="2">
        <v>46248.75</v>
      </c>
      <c r="H3145" s="2">
        <v>46248.583333333336</v>
      </c>
    </row>
    <row r="3146" spans="1:8" x14ac:dyDescent="0.25">
      <c r="A3146" s="8" t="s">
        <v>10137</v>
      </c>
      <c r="B3146" s="8" t="s">
        <v>14371</v>
      </c>
      <c r="C3146" s="2">
        <v>46248.416666666664</v>
      </c>
      <c r="D3146" s="8" t="s">
        <v>13933</v>
      </c>
      <c r="E3146" s="8" t="s">
        <v>65</v>
      </c>
      <c r="F3146">
        <v>4</v>
      </c>
      <c r="G3146" s="2">
        <v>46248.75</v>
      </c>
      <c r="H3146" s="2">
        <v>46248.583333333336</v>
      </c>
    </row>
    <row r="3147" spans="1:8" x14ac:dyDescent="0.25">
      <c r="A3147" s="8" t="s">
        <v>10140</v>
      </c>
      <c r="B3147" s="8" t="s">
        <v>14371</v>
      </c>
      <c r="C3147" s="2">
        <v>46248.416666666664</v>
      </c>
      <c r="D3147" s="8" t="s">
        <v>13933</v>
      </c>
      <c r="E3147" s="8" t="s">
        <v>67</v>
      </c>
      <c r="F3147">
        <v>5</v>
      </c>
      <c r="G3147" s="2">
        <v>46248.75</v>
      </c>
      <c r="H3147" s="2">
        <v>46248.583333333336</v>
      </c>
    </row>
    <row r="3148" spans="1:8" x14ac:dyDescent="0.25">
      <c r="A3148" s="8" t="s">
        <v>10143</v>
      </c>
      <c r="B3148" s="8" t="s">
        <v>14371</v>
      </c>
      <c r="C3148" s="2">
        <v>46248.416666666664</v>
      </c>
      <c r="D3148" s="8" t="s">
        <v>13933</v>
      </c>
      <c r="E3148" s="8" t="s">
        <v>73</v>
      </c>
      <c r="F3148">
        <v>4</v>
      </c>
      <c r="G3148" s="2">
        <v>46248.75</v>
      </c>
      <c r="H3148" s="2">
        <v>46248.583333333336</v>
      </c>
    </row>
    <row r="3149" spans="1:8" x14ac:dyDescent="0.25">
      <c r="A3149" s="8" t="s">
        <v>10146</v>
      </c>
      <c r="B3149" s="8" t="s">
        <v>14372</v>
      </c>
      <c r="C3149" s="2">
        <v>46248.416666666664</v>
      </c>
      <c r="D3149" s="8" t="s">
        <v>13935</v>
      </c>
      <c r="E3149" s="8" t="s">
        <v>11</v>
      </c>
      <c r="F3149">
        <v>1</v>
      </c>
      <c r="G3149" s="2">
        <v>46248.75</v>
      </c>
      <c r="H3149" s="2">
        <v>46248.583333333336</v>
      </c>
    </row>
    <row r="3150" spans="1:8" x14ac:dyDescent="0.25">
      <c r="A3150" s="8" t="s">
        <v>10149</v>
      </c>
      <c r="B3150" s="8" t="s">
        <v>14372</v>
      </c>
      <c r="C3150" s="2">
        <v>46248.416666666664</v>
      </c>
      <c r="D3150" s="8" t="s">
        <v>13935</v>
      </c>
      <c r="E3150" s="8" t="s">
        <v>22</v>
      </c>
      <c r="F3150">
        <v>7</v>
      </c>
      <c r="G3150" s="2">
        <v>46248.75</v>
      </c>
      <c r="H3150" s="2">
        <v>46248.583333333336</v>
      </c>
    </row>
    <row r="3151" spans="1:8" x14ac:dyDescent="0.25">
      <c r="A3151" s="8" t="s">
        <v>10152</v>
      </c>
      <c r="B3151" s="8" t="s">
        <v>14372</v>
      </c>
      <c r="C3151" s="2">
        <v>46248.416666666664</v>
      </c>
      <c r="D3151" s="8" t="s">
        <v>13935</v>
      </c>
      <c r="E3151" s="8" t="s">
        <v>24</v>
      </c>
      <c r="F3151">
        <v>3</v>
      </c>
      <c r="G3151" s="2">
        <v>46248.75</v>
      </c>
      <c r="H3151" s="2">
        <v>46248.583333333336</v>
      </c>
    </row>
    <row r="3152" spans="1:8" x14ac:dyDescent="0.25">
      <c r="A3152" s="8" t="s">
        <v>10155</v>
      </c>
      <c r="B3152" s="8" t="s">
        <v>14372</v>
      </c>
      <c r="C3152" s="2">
        <v>46248.416666666664</v>
      </c>
      <c r="D3152" s="8" t="s">
        <v>13935</v>
      </c>
      <c r="E3152" s="8" t="s">
        <v>36</v>
      </c>
      <c r="F3152">
        <v>6</v>
      </c>
      <c r="G3152" s="2">
        <v>46248.75</v>
      </c>
      <c r="H3152" s="2">
        <v>46248.583333333336</v>
      </c>
    </row>
    <row r="3153" spans="1:8" x14ac:dyDescent="0.25">
      <c r="A3153" s="8" t="s">
        <v>10158</v>
      </c>
      <c r="B3153" s="8" t="s">
        <v>14372</v>
      </c>
      <c r="C3153" s="2">
        <v>46248.416666666664</v>
      </c>
      <c r="D3153" s="8" t="s">
        <v>13935</v>
      </c>
      <c r="E3153" s="8" t="s">
        <v>41</v>
      </c>
      <c r="F3153">
        <v>7</v>
      </c>
      <c r="G3153" s="2">
        <v>46248.75</v>
      </c>
      <c r="H3153" s="2">
        <v>46248.583333333336</v>
      </c>
    </row>
    <row r="3154" spans="1:8" x14ac:dyDescent="0.25">
      <c r="A3154" s="8" t="s">
        <v>10161</v>
      </c>
      <c r="B3154" s="8" t="s">
        <v>14372</v>
      </c>
      <c r="C3154" s="2">
        <v>46248.416666666664</v>
      </c>
      <c r="D3154" s="8" t="s">
        <v>13935</v>
      </c>
      <c r="E3154" s="8" t="s">
        <v>43</v>
      </c>
      <c r="F3154">
        <v>3</v>
      </c>
      <c r="G3154" s="2">
        <v>46248.75</v>
      </c>
      <c r="H3154" s="2">
        <v>46248.583333333336</v>
      </c>
    </row>
    <row r="3155" spans="1:8" x14ac:dyDescent="0.25">
      <c r="A3155" s="8" t="s">
        <v>10164</v>
      </c>
      <c r="B3155" s="8" t="s">
        <v>14372</v>
      </c>
      <c r="C3155" s="2">
        <v>46248.416666666664</v>
      </c>
      <c r="D3155" s="8" t="s">
        <v>13935</v>
      </c>
      <c r="E3155" s="8" t="s">
        <v>71</v>
      </c>
      <c r="F3155">
        <v>6</v>
      </c>
      <c r="G3155" s="2">
        <v>46248.75</v>
      </c>
      <c r="H3155" s="2">
        <v>46248.583333333336</v>
      </c>
    </row>
    <row r="3156" spans="1:8" x14ac:dyDescent="0.25">
      <c r="A3156" s="8" t="s">
        <v>10169</v>
      </c>
      <c r="B3156" s="8" t="s">
        <v>14373</v>
      </c>
      <c r="C3156" s="2">
        <v>46248.416666666664</v>
      </c>
      <c r="D3156" s="8" t="s">
        <v>13937</v>
      </c>
      <c r="E3156" s="8" t="s">
        <v>11</v>
      </c>
      <c r="F3156">
        <v>1</v>
      </c>
      <c r="G3156" s="2">
        <v>46248.75</v>
      </c>
      <c r="H3156" s="2">
        <v>46248.583333333336</v>
      </c>
    </row>
    <row r="3157" spans="1:8" x14ac:dyDescent="0.25">
      <c r="A3157" s="8" t="s">
        <v>10172</v>
      </c>
      <c r="B3157" s="8" t="s">
        <v>14373</v>
      </c>
      <c r="C3157" s="2">
        <v>46248.416666666664</v>
      </c>
      <c r="D3157" s="8" t="s">
        <v>13937</v>
      </c>
      <c r="E3157" s="8" t="s">
        <v>22</v>
      </c>
      <c r="F3157">
        <v>2</v>
      </c>
      <c r="G3157" s="2">
        <v>46248.75</v>
      </c>
      <c r="H3157" s="2">
        <v>46248.583333333336</v>
      </c>
    </row>
    <row r="3158" spans="1:8" x14ac:dyDescent="0.25">
      <c r="A3158" s="8" t="s">
        <v>10175</v>
      </c>
      <c r="B3158" s="8" t="s">
        <v>14373</v>
      </c>
      <c r="C3158" s="2">
        <v>46248.416666666664</v>
      </c>
      <c r="D3158" s="8" t="s">
        <v>13937</v>
      </c>
      <c r="E3158" s="8" t="s">
        <v>24</v>
      </c>
      <c r="F3158">
        <v>2</v>
      </c>
      <c r="G3158" s="2">
        <v>46248.75</v>
      </c>
      <c r="H3158" s="2">
        <v>46248.583333333336</v>
      </c>
    </row>
    <row r="3159" spans="1:8" x14ac:dyDescent="0.25">
      <c r="A3159" s="8" t="s">
        <v>10178</v>
      </c>
      <c r="B3159" s="8" t="s">
        <v>14373</v>
      </c>
      <c r="C3159" s="2">
        <v>46248.416666666664</v>
      </c>
      <c r="D3159" s="8" t="s">
        <v>13937</v>
      </c>
      <c r="E3159" s="8" t="s">
        <v>47</v>
      </c>
      <c r="F3159">
        <v>1</v>
      </c>
      <c r="G3159" s="2">
        <v>46248.75</v>
      </c>
      <c r="H3159" s="2">
        <v>46248.583333333336</v>
      </c>
    </row>
    <row r="3160" spans="1:8" x14ac:dyDescent="0.25">
      <c r="A3160" s="8" t="s">
        <v>10181</v>
      </c>
      <c r="B3160" s="8" t="s">
        <v>14373</v>
      </c>
      <c r="C3160" s="2">
        <v>46248.416666666664</v>
      </c>
      <c r="D3160" s="8" t="s">
        <v>13937</v>
      </c>
      <c r="E3160" s="8" t="s">
        <v>51</v>
      </c>
      <c r="F3160">
        <v>4</v>
      </c>
      <c r="G3160" s="2">
        <v>46248.75</v>
      </c>
      <c r="H3160" s="2">
        <v>46248.583333333336</v>
      </c>
    </row>
    <row r="3161" spans="1:8" x14ac:dyDescent="0.25">
      <c r="A3161" s="8" t="s">
        <v>10184</v>
      </c>
      <c r="B3161" s="8" t="s">
        <v>14373</v>
      </c>
      <c r="C3161" s="2">
        <v>46248.416666666664</v>
      </c>
      <c r="D3161" s="8" t="s">
        <v>13937</v>
      </c>
      <c r="E3161" s="8" t="s">
        <v>55</v>
      </c>
      <c r="F3161">
        <v>4</v>
      </c>
      <c r="G3161" s="2">
        <v>46248.75</v>
      </c>
      <c r="H3161" s="2">
        <v>46248.583333333336</v>
      </c>
    </row>
    <row r="3162" spans="1:8" x14ac:dyDescent="0.25">
      <c r="A3162" s="8" t="s">
        <v>10187</v>
      </c>
      <c r="B3162" s="8" t="s">
        <v>14373</v>
      </c>
      <c r="C3162" s="2">
        <v>46248.416666666664</v>
      </c>
      <c r="D3162" s="8" t="s">
        <v>13937</v>
      </c>
      <c r="E3162" s="8" t="s">
        <v>65</v>
      </c>
      <c r="F3162">
        <v>4</v>
      </c>
      <c r="G3162" s="2">
        <v>46248.75</v>
      </c>
      <c r="H3162" s="2">
        <v>46248.583333333336</v>
      </c>
    </row>
    <row r="3163" spans="1:8" x14ac:dyDescent="0.25">
      <c r="A3163" s="8" t="s">
        <v>10190</v>
      </c>
      <c r="B3163" s="8" t="s">
        <v>14373</v>
      </c>
      <c r="C3163" s="2">
        <v>46248.416666666664</v>
      </c>
      <c r="D3163" s="8" t="s">
        <v>13937</v>
      </c>
      <c r="E3163" s="8" t="s">
        <v>67</v>
      </c>
      <c r="F3163">
        <v>4</v>
      </c>
      <c r="G3163" s="2">
        <v>46248.75</v>
      </c>
      <c r="H3163" s="2">
        <v>46248.583333333336</v>
      </c>
    </row>
    <row r="3164" spans="1:8" x14ac:dyDescent="0.25">
      <c r="A3164" s="8" t="s">
        <v>10195</v>
      </c>
      <c r="B3164" s="8" t="s">
        <v>14373</v>
      </c>
      <c r="C3164" s="2">
        <v>46248.416666666664</v>
      </c>
      <c r="D3164" s="8" t="s">
        <v>13937</v>
      </c>
      <c r="E3164" s="8" t="s">
        <v>71</v>
      </c>
      <c r="F3164">
        <v>1</v>
      </c>
      <c r="G3164" s="2">
        <v>46248.75</v>
      </c>
      <c r="H3164" s="2">
        <v>46248.583333333336</v>
      </c>
    </row>
    <row r="3165" spans="1:8" x14ac:dyDescent="0.25">
      <c r="A3165" s="8" t="s">
        <v>10198</v>
      </c>
      <c r="B3165" s="8" t="s">
        <v>14374</v>
      </c>
      <c r="C3165" s="2">
        <v>46249.416666666664</v>
      </c>
      <c r="D3165" s="8" t="s">
        <v>13929</v>
      </c>
      <c r="E3165" s="8" t="s">
        <v>20</v>
      </c>
      <c r="F3165">
        <v>5</v>
      </c>
      <c r="G3165" s="2">
        <v>46249.75</v>
      </c>
      <c r="H3165" s="2">
        <v>46249.583333333336</v>
      </c>
    </row>
    <row r="3166" spans="1:8" x14ac:dyDescent="0.25">
      <c r="A3166" s="8" t="s">
        <v>10201</v>
      </c>
      <c r="B3166" s="8" t="s">
        <v>14374</v>
      </c>
      <c r="C3166" s="2">
        <v>46249.416666666664</v>
      </c>
      <c r="D3166" s="8" t="s">
        <v>13929</v>
      </c>
      <c r="E3166" s="8" t="s">
        <v>22</v>
      </c>
      <c r="F3166">
        <v>5</v>
      </c>
      <c r="G3166" s="2">
        <v>46249.75</v>
      </c>
      <c r="H3166" s="2">
        <v>46249.583333333336</v>
      </c>
    </row>
    <row r="3167" spans="1:8" x14ac:dyDescent="0.25">
      <c r="A3167" s="8" t="s">
        <v>10204</v>
      </c>
      <c r="B3167" s="8" t="s">
        <v>14374</v>
      </c>
      <c r="C3167" s="2">
        <v>46249.416666666664</v>
      </c>
      <c r="D3167" s="8" t="s">
        <v>13929</v>
      </c>
      <c r="E3167" s="8" t="s">
        <v>24</v>
      </c>
      <c r="F3167">
        <v>4</v>
      </c>
      <c r="G3167" s="2">
        <v>46249.75</v>
      </c>
      <c r="H3167" s="2">
        <v>46249.583333333336</v>
      </c>
    </row>
    <row r="3168" spans="1:8" x14ac:dyDescent="0.25">
      <c r="A3168" s="8" t="s">
        <v>10207</v>
      </c>
      <c r="B3168" s="8" t="s">
        <v>14374</v>
      </c>
      <c r="C3168" s="2">
        <v>46249.416666666664</v>
      </c>
      <c r="D3168" s="8" t="s">
        <v>13929</v>
      </c>
      <c r="E3168" s="8" t="s">
        <v>28</v>
      </c>
      <c r="F3168">
        <v>1</v>
      </c>
      <c r="G3168" s="2">
        <v>46249.75</v>
      </c>
      <c r="H3168" s="2">
        <v>46249.583333333336</v>
      </c>
    </row>
    <row r="3169" spans="1:8" x14ac:dyDescent="0.25">
      <c r="A3169" s="8" t="s">
        <v>10210</v>
      </c>
      <c r="B3169" s="8" t="s">
        <v>14374</v>
      </c>
      <c r="C3169" s="2">
        <v>46249.416666666664</v>
      </c>
      <c r="D3169" s="8" t="s">
        <v>13929</v>
      </c>
      <c r="E3169" s="8" t="s">
        <v>32</v>
      </c>
      <c r="F3169">
        <v>3</v>
      </c>
      <c r="G3169" s="2">
        <v>46249.75</v>
      </c>
      <c r="H3169" s="2">
        <v>46249.583333333336</v>
      </c>
    </row>
    <row r="3170" spans="1:8" x14ac:dyDescent="0.25">
      <c r="A3170" s="8" t="s">
        <v>10213</v>
      </c>
      <c r="B3170" s="8" t="s">
        <v>14374</v>
      </c>
      <c r="C3170" s="2">
        <v>46249.416666666664</v>
      </c>
      <c r="D3170" s="8" t="s">
        <v>13929</v>
      </c>
      <c r="E3170" s="8" t="s">
        <v>41</v>
      </c>
      <c r="F3170">
        <v>1</v>
      </c>
      <c r="G3170" s="2">
        <v>46249.75</v>
      </c>
      <c r="H3170" s="2">
        <v>46249.583333333336</v>
      </c>
    </row>
    <row r="3171" spans="1:8" x14ac:dyDescent="0.25">
      <c r="A3171" s="8" t="s">
        <v>10216</v>
      </c>
      <c r="B3171" s="8" t="s">
        <v>14375</v>
      </c>
      <c r="C3171" s="2">
        <v>46249.416666666664</v>
      </c>
      <c r="D3171" s="8" t="s">
        <v>13931</v>
      </c>
      <c r="E3171" s="8" t="s">
        <v>11</v>
      </c>
      <c r="F3171">
        <v>4</v>
      </c>
      <c r="G3171" s="2">
        <v>46249.75</v>
      </c>
      <c r="H3171" s="2">
        <v>46249.583333333336</v>
      </c>
    </row>
    <row r="3172" spans="1:8" x14ac:dyDescent="0.25">
      <c r="A3172" s="8" t="s">
        <v>10219</v>
      </c>
      <c r="B3172" s="8" t="s">
        <v>14375</v>
      </c>
      <c r="C3172" s="2">
        <v>46249.416666666664</v>
      </c>
      <c r="D3172" s="8" t="s">
        <v>13931</v>
      </c>
      <c r="E3172" s="8" t="s">
        <v>18</v>
      </c>
      <c r="F3172">
        <v>3</v>
      </c>
      <c r="G3172" s="2">
        <v>46249.75</v>
      </c>
      <c r="H3172" s="2">
        <v>46249.583333333336</v>
      </c>
    </row>
    <row r="3173" spans="1:8" x14ac:dyDescent="0.25">
      <c r="A3173" s="8" t="s">
        <v>10222</v>
      </c>
      <c r="B3173" s="8" t="s">
        <v>14375</v>
      </c>
      <c r="C3173" s="2">
        <v>46249.416666666664</v>
      </c>
      <c r="D3173" s="8" t="s">
        <v>13931</v>
      </c>
      <c r="E3173" s="8" t="s">
        <v>22</v>
      </c>
      <c r="F3173">
        <v>5</v>
      </c>
      <c r="G3173" s="2">
        <v>46249.75</v>
      </c>
      <c r="H3173" s="2">
        <v>46249.583333333336</v>
      </c>
    </row>
    <row r="3174" spans="1:8" x14ac:dyDescent="0.25">
      <c r="A3174" s="8" t="s">
        <v>10225</v>
      </c>
      <c r="B3174" s="8" t="s">
        <v>14375</v>
      </c>
      <c r="C3174" s="2">
        <v>46249.416666666664</v>
      </c>
      <c r="D3174" s="8" t="s">
        <v>13931</v>
      </c>
      <c r="E3174" s="8" t="s">
        <v>24</v>
      </c>
      <c r="F3174">
        <v>3</v>
      </c>
      <c r="G3174" s="2">
        <v>46249.75</v>
      </c>
      <c r="H3174" s="2">
        <v>46249.583333333336</v>
      </c>
    </row>
    <row r="3175" spans="1:8" x14ac:dyDescent="0.25">
      <c r="A3175" s="8" t="s">
        <v>10228</v>
      </c>
      <c r="B3175" s="8" t="s">
        <v>14375</v>
      </c>
      <c r="C3175" s="2">
        <v>46249.416666666664</v>
      </c>
      <c r="D3175" s="8" t="s">
        <v>13931</v>
      </c>
      <c r="E3175" s="8" t="s">
        <v>26</v>
      </c>
      <c r="F3175">
        <v>6</v>
      </c>
      <c r="G3175" s="2">
        <v>46249.75</v>
      </c>
      <c r="H3175" s="2">
        <v>46249.583333333336</v>
      </c>
    </row>
    <row r="3176" spans="1:8" x14ac:dyDescent="0.25">
      <c r="A3176" s="8" t="s">
        <v>10231</v>
      </c>
      <c r="B3176" s="8" t="s">
        <v>14375</v>
      </c>
      <c r="C3176" s="2">
        <v>46249.416666666664</v>
      </c>
      <c r="D3176" s="8" t="s">
        <v>13931</v>
      </c>
      <c r="E3176" s="8" t="s">
        <v>36</v>
      </c>
      <c r="F3176">
        <v>6</v>
      </c>
      <c r="G3176" s="2">
        <v>46249.75</v>
      </c>
      <c r="H3176" s="2">
        <v>46249.583333333336</v>
      </c>
    </row>
    <row r="3177" spans="1:8" x14ac:dyDescent="0.25">
      <c r="A3177" s="8" t="s">
        <v>10234</v>
      </c>
      <c r="B3177" s="8" t="s">
        <v>14375</v>
      </c>
      <c r="C3177" s="2">
        <v>46249.416666666664</v>
      </c>
      <c r="D3177" s="8" t="s">
        <v>13931</v>
      </c>
      <c r="E3177" s="8" t="s">
        <v>65</v>
      </c>
      <c r="F3177">
        <v>1</v>
      </c>
      <c r="G3177" s="2">
        <v>46249.75</v>
      </c>
      <c r="H3177" s="2">
        <v>46249.583333333336</v>
      </c>
    </row>
    <row r="3178" spans="1:8" x14ac:dyDescent="0.25">
      <c r="A3178" s="8" t="s">
        <v>10237</v>
      </c>
      <c r="B3178" s="8" t="s">
        <v>14375</v>
      </c>
      <c r="C3178" s="2">
        <v>46249.416666666664</v>
      </c>
      <c r="D3178" s="8" t="s">
        <v>13931</v>
      </c>
      <c r="E3178" s="8" t="s">
        <v>71</v>
      </c>
      <c r="F3178">
        <v>3</v>
      </c>
      <c r="G3178" s="2">
        <v>46249.75</v>
      </c>
      <c r="H3178" s="2">
        <v>46249.583333333336</v>
      </c>
    </row>
    <row r="3179" spans="1:8" x14ac:dyDescent="0.25">
      <c r="A3179" s="8" t="s">
        <v>10240</v>
      </c>
      <c r="B3179" s="8" t="s">
        <v>14376</v>
      </c>
      <c r="C3179" s="2">
        <v>46249.416666666664</v>
      </c>
      <c r="D3179" s="8" t="s">
        <v>13933</v>
      </c>
      <c r="E3179" s="8" t="s">
        <v>11</v>
      </c>
      <c r="F3179">
        <v>6</v>
      </c>
      <c r="G3179" s="2">
        <v>46249.75</v>
      </c>
      <c r="H3179" s="2">
        <v>46249.583333333336</v>
      </c>
    </row>
    <row r="3180" spans="1:8" x14ac:dyDescent="0.25">
      <c r="A3180" s="8" t="s">
        <v>10243</v>
      </c>
      <c r="B3180" s="8" t="s">
        <v>14376</v>
      </c>
      <c r="C3180" s="2">
        <v>46249.416666666664</v>
      </c>
      <c r="D3180" s="8" t="s">
        <v>13933</v>
      </c>
      <c r="E3180" s="8" t="s">
        <v>28</v>
      </c>
      <c r="F3180">
        <v>2</v>
      </c>
      <c r="G3180" s="2">
        <v>46249.75</v>
      </c>
      <c r="H3180" s="2">
        <v>46249.583333333336</v>
      </c>
    </row>
    <row r="3181" spans="1:8" x14ac:dyDescent="0.25">
      <c r="A3181" s="8" t="s">
        <v>10246</v>
      </c>
      <c r="B3181" s="8" t="s">
        <v>14376</v>
      </c>
      <c r="C3181" s="2">
        <v>46249.416666666664</v>
      </c>
      <c r="D3181" s="8" t="s">
        <v>13933</v>
      </c>
      <c r="E3181" s="8" t="s">
        <v>32</v>
      </c>
      <c r="F3181">
        <v>8</v>
      </c>
      <c r="G3181" s="2">
        <v>46249.75</v>
      </c>
      <c r="H3181" s="2">
        <v>46249.583333333336</v>
      </c>
    </row>
    <row r="3182" spans="1:8" x14ac:dyDescent="0.25">
      <c r="A3182" s="8" t="s">
        <v>10249</v>
      </c>
      <c r="B3182" s="8" t="s">
        <v>14376</v>
      </c>
      <c r="C3182" s="2">
        <v>46249.416666666664</v>
      </c>
      <c r="D3182" s="8" t="s">
        <v>13933</v>
      </c>
      <c r="E3182" s="8" t="s">
        <v>36</v>
      </c>
      <c r="F3182">
        <v>8</v>
      </c>
      <c r="G3182" s="2">
        <v>46249.75</v>
      </c>
      <c r="H3182" s="2">
        <v>46249.583333333336</v>
      </c>
    </row>
    <row r="3183" spans="1:8" x14ac:dyDescent="0.25">
      <c r="A3183" s="8" t="s">
        <v>10252</v>
      </c>
      <c r="B3183" s="8" t="s">
        <v>14376</v>
      </c>
      <c r="C3183" s="2">
        <v>46249.416666666664</v>
      </c>
      <c r="D3183" s="8" t="s">
        <v>13933</v>
      </c>
      <c r="E3183" s="8" t="s">
        <v>43</v>
      </c>
      <c r="F3183">
        <v>5</v>
      </c>
      <c r="G3183" s="2">
        <v>46249.75</v>
      </c>
      <c r="H3183" s="2">
        <v>46249.583333333336</v>
      </c>
    </row>
    <row r="3184" spans="1:8" x14ac:dyDescent="0.25">
      <c r="A3184" s="8" t="s">
        <v>10257</v>
      </c>
      <c r="B3184" s="8" t="s">
        <v>14376</v>
      </c>
      <c r="C3184" s="2">
        <v>46249.416666666664</v>
      </c>
      <c r="D3184" s="8" t="s">
        <v>13933</v>
      </c>
      <c r="E3184" s="8" t="s">
        <v>55</v>
      </c>
      <c r="F3184">
        <v>2</v>
      </c>
      <c r="G3184" s="2">
        <v>46249.75</v>
      </c>
      <c r="H3184" s="2">
        <v>46249.583333333336</v>
      </c>
    </row>
    <row r="3185" spans="1:8" x14ac:dyDescent="0.25">
      <c r="A3185" s="8" t="s">
        <v>10260</v>
      </c>
      <c r="B3185" s="8" t="s">
        <v>14377</v>
      </c>
      <c r="C3185" s="2">
        <v>46249.416666666664</v>
      </c>
      <c r="D3185" s="8" t="s">
        <v>13935</v>
      </c>
      <c r="E3185" s="8" t="s">
        <v>20</v>
      </c>
      <c r="F3185">
        <v>2</v>
      </c>
      <c r="G3185" s="2">
        <v>46249.75</v>
      </c>
      <c r="H3185" s="2">
        <v>46249.583333333336</v>
      </c>
    </row>
    <row r="3186" spans="1:8" x14ac:dyDescent="0.25">
      <c r="A3186" s="8" t="s">
        <v>10263</v>
      </c>
      <c r="B3186" s="8" t="s">
        <v>14377</v>
      </c>
      <c r="C3186" s="2">
        <v>46249.416666666664</v>
      </c>
      <c r="D3186" s="8" t="s">
        <v>13935</v>
      </c>
      <c r="E3186" s="8" t="s">
        <v>22</v>
      </c>
      <c r="F3186">
        <v>5</v>
      </c>
      <c r="G3186" s="2">
        <v>46249.75</v>
      </c>
      <c r="H3186" s="2">
        <v>46249.583333333336</v>
      </c>
    </row>
    <row r="3187" spans="1:8" x14ac:dyDescent="0.25">
      <c r="A3187" s="8" t="s">
        <v>10268</v>
      </c>
      <c r="B3187" s="8" t="s">
        <v>14377</v>
      </c>
      <c r="C3187" s="2">
        <v>46249.416666666664</v>
      </c>
      <c r="D3187" s="8" t="s">
        <v>13935</v>
      </c>
      <c r="E3187" s="8" t="s">
        <v>26</v>
      </c>
      <c r="F3187">
        <v>9</v>
      </c>
      <c r="G3187" s="2">
        <v>46249.75</v>
      </c>
      <c r="H3187" s="2">
        <v>46249.583333333336</v>
      </c>
    </row>
    <row r="3188" spans="1:8" x14ac:dyDescent="0.25">
      <c r="A3188" s="8" t="s">
        <v>10271</v>
      </c>
      <c r="B3188" s="8" t="s">
        <v>14377</v>
      </c>
      <c r="C3188" s="2">
        <v>46249.416666666664</v>
      </c>
      <c r="D3188" s="8" t="s">
        <v>13935</v>
      </c>
      <c r="E3188" s="8" t="s">
        <v>28</v>
      </c>
      <c r="F3188">
        <v>9</v>
      </c>
      <c r="G3188" s="2">
        <v>46249.75</v>
      </c>
      <c r="H3188" s="2">
        <v>46249.583333333336</v>
      </c>
    </row>
    <row r="3189" spans="1:8" x14ac:dyDescent="0.25">
      <c r="A3189" s="8" t="s">
        <v>10274</v>
      </c>
      <c r="B3189" s="8" t="s">
        <v>14377</v>
      </c>
      <c r="C3189" s="2">
        <v>46249.416666666664</v>
      </c>
      <c r="D3189" s="8" t="s">
        <v>13935</v>
      </c>
      <c r="E3189" s="8" t="s">
        <v>41</v>
      </c>
      <c r="F3189">
        <v>5</v>
      </c>
      <c r="G3189" s="2">
        <v>46249.75</v>
      </c>
      <c r="H3189" s="2">
        <v>46249.583333333336</v>
      </c>
    </row>
    <row r="3190" spans="1:8" x14ac:dyDescent="0.25">
      <c r="A3190" s="8" t="s">
        <v>10277</v>
      </c>
      <c r="B3190" s="8" t="s">
        <v>14377</v>
      </c>
      <c r="C3190" s="2">
        <v>46249.416666666664</v>
      </c>
      <c r="D3190" s="8" t="s">
        <v>13935</v>
      </c>
      <c r="E3190" s="8" t="s">
        <v>43</v>
      </c>
      <c r="F3190">
        <v>4</v>
      </c>
      <c r="G3190" s="2">
        <v>46249.75</v>
      </c>
      <c r="H3190" s="2">
        <v>46249.583333333336</v>
      </c>
    </row>
    <row r="3191" spans="1:8" x14ac:dyDescent="0.25">
      <c r="A3191" s="8" t="s">
        <v>10280</v>
      </c>
      <c r="B3191" s="8" t="s">
        <v>14377</v>
      </c>
      <c r="C3191" s="2">
        <v>46249.416666666664</v>
      </c>
      <c r="D3191" s="8" t="s">
        <v>13935</v>
      </c>
      <c r="E3191" s="8" t="s">
        <v>55</v>
      </c>
      <c r="F3191">
        <v>4</v>
      </c>
      <c r="G3191" s="2">
        <v>46249.75</v>
      </c>
      <c r="H3191" s="2">
        <v>46249.583333333336</v>
      </c>
    </row>
    <row r="3192" spans="1:8" x14ac:dyDescent="0.25">
      <c r="A3192" s="8" t="s">
        <v>10283</v>
      </c>
      <c r="B3192" s="8" t="s">
        <v>14377</v>
      </c>
      <c r="C3192" s="2">
        <v>46249.416666666664</v>
      </c>
      <c r="D3192" s="8" t="s">
        <v>13935</v>
      </c>
      <c r="E3192" s="8" t="s">
        <v>59</v>
      </c>
      <c r="F3192">
        <v>5</v>
      </c>
      <c r="G3192" s="2">
        <v>46249.75</v>
      </c>
      <c r="H3192" s="2">
        <v>46249.583333333336</v>
      </c>
    </row>
    <row r="3193" spans="1:8" x14ac:dyDescent="0.25">
      <c r="A3193" s="8" t="s">
        <v>10286</v>
      </c>
      <c r="B3193" s="8" t="s">
        <v>14377</v>
      </c>
      <c r="C3193" s="2">
        <v>46249.416666666664</v>
      </c>
      <c r="D3193" s="8" t="s">
        <v>13935</v>
      </c>
      <c r="E3193" s="8" t="s">
        <v>67</v>
      </c>
      <c r="F3193">
        <v>7</v>
      </c>
      <c r="G3193" s="2">
        <v>46249.75</v>
      </c>
      <c r="H3193" s="2">
        <v>46249.583333333336</v>
      </c>
    </row>
    <row r="3194" spans="1:8" x14ac:dyDescent="0.25">
      <c r="A3194" s="8" t="s">
        <v>10289</v>
      </c>
      <c r="B3194" s="8" t="s">
        <v>14377</v>
      </c>
      <c r="C3194" s="2">
        <v>46249.416666666664</v>
      </c>
      <c r="D3194" s="8" t="s">
        <v>13935</v>
      </c>
      <c r="E3194" s="8" t="s">
        <v>77</v>
      </c>
      <c r="F3194">
        <v>7</v>
      </c>
      <c r="G3194" s="2">
        <v>46249.75</v>
      </c>
      <c r="H3194" s="2">
        <v>46249.583333333336</v>
      </c>
    </row>
    <row r="3195" spans="1:8" x14ac:dyDescent="0.25">
      <c r="A3195" s="8" t="s">
        <v>10292</v>
      </c>
      <c r="B3195" s="8" t="s">
        <v>14378</v>
      </c>
      <c r="C3195" s="2">
        <v>46249.416666666664</v>
      </c>
      <c r="D3195" s="8" t="s">
        <v>13937</v>
      </c>
      <c r="E3195" s="8" t="s">
        <v>18</v>
      </c>
      <c r="F3195">
        <v>6</v>
      </c>
      <c r="G3195" s="2">
        <v>46249.75</v>
      </c>
      <c r="H3195" s="2">
        <v>46249.583333333336</v>
      </c>
    </row>
    <row r="3196" spans="1:8" x14ac:dyDescent="0.25">
      <c r="A3196" s="8" t="s">
        <v>10295</v>
      </c>
      <c r="B3196" s="8" t="s">
        <v>14378</v>
      </c>
      <c r="C3196" s="2">
        <v>46249.416666666664</v>
      </c>
      <c r="D3196" s="8" t="s">
        <v>13937</v>
      </c>
      <c r="E3196" s="8" t="s">
        <v>20</v>
      </c>
      <c r="F3196">
        <v>2</v>
      </c>
      <c r="G3196" s="2">
        <v>46249.75</v>
      </c>
      <c r="H3196" s="2">
        <v>46249.583333333336</v>
      </c>
    </row>
    <row r="3197" spans="1:8" x14ac:dyDescent="0.25">
      <c r="A3197" s="8" t="s">
        <v>10298</v>
      </c>
      <c r="B3197" s="8" t="s">
        <v>14378</v>
      </c>
      <c r="C3197" s="2">
        <v>46249.416666666664</v>
      </c>
      <c r="D3197" s="8" t="s">
        <v>13937</v>
      </c>
      <c r="E3197" s="8" t="s">
        <v>22</v>
      </c>
      <c r="F3197">
        <v>1</v>
      </c>
      <c r="G3197" s="2">
        <v>46249.75</v>
      </c>
      <c r="H3197" s="2">
        <v>46249.583333333336</v>
      </c>
    </row>
    <row r="3198" spans="1:8" x14ac:dyDescent="0.25">
      <c r="A3198" s="8" t="s">
        <v>10301</v>
      </c>
      <c r="B3198" s="8" t="s">
        <v>14378</v>
      </c>
      <c r="C3198" s="2">
        <v>46249.416666666664</v>
      </c>
      <c r="D3198" s="8" t="s">
        <v>13937</v>
      </c>
      <c r="E3198" s="8" t="s">
        <v>24</v>
      </c>
      <c r="F3198">
        <v>5</v>
      </c>
      <c r="G3198" s="2">
        <v>46249.75</v>
      </c>
      <c r="H3198" s="2">
        <v>46249.583333333336</v>
      </c>
    </row>
    <row r="3199" spans="1:8" x14ac:dyDescent="0.25">
      <c r="A3199" s="8" t="s">
        <v>10304</v>
      </c>
      <c r="B3199" s="8" t="s">
        <v>14378</v>
      </c>
      <c r="C3199" s="2">
        <v>46249.416666666664</v>
      </c>
      <c r="D3199" s="8" t="s">
        <v>13937</v>
      </c>
      <c r="E3199" s="8" t="s">
        <v>26</v>
      </c>
      <c r="F3199">
        <v>1</v>
      </c>
      <c r="G3199" s="2">
        <v>46249.75</v>
      </c>
      <c r="H3199" s="2">
        <v>46249.583333333336</v>
      </c>
    </row>
    <row r="3200" spans="1:8" x14ac:dyDescent="0.25">
      <c r="A3200" s="8" t="s">
        <v>10307</v>
      </c>
      <c r="B3200" s="8" t="s">
        <v>14378</v>
      </c>
      <c r="C3200" s="2">
        <v>46249.416666666664</v>
      </c>
      <c r="D3200" s="8" t="s">
        <v>13937</v>
      </c>
      <c r="E3200" s="8" t="s">
        <v>28</v>
      </c>
      <c r="F3200">
        <v>5</v>
      </c>
      <c r="G3200" s="2">
        <v>46249.75</v>
      </c>
      <c r="H3200" s="2">
        <v>46249.583333333336</v>
      </c>
    </row>
    <row r="3201" spans="1:8" x14ac:dyDescent="0.25">
      <c r="A3201" s="8" t="s">
        <v>10310</v>
      </c>
      <c r="B3201" s="8" t="s">
        <v>14378</v>
      </c>
      <c r="C3201" s="2">
        <v>46249.416666666664</v>
      </c>
      <c r="D3201" s="8" t="s">
        <v>13937</v>
      </c>
      <c r="E3201" s="8" t="s">
        <v>47</v>
      </c>
      <c r="F3201">
        <v>4</v>
      </c>
      <c r="G3201" s="2">
        <v>46249.75</v>
      </c>
      <c r="H3201" s="2">
        <v>46249.583333333336</v>
      </c>
    </row>
    <row r="3202" spans="1:8" x14ac:dyDescent="0.25">
      <c r="A3202" s="8" t="s">
        <v>10313</v>
      </c>
      <c r="B3202" s="8" t="s">
        <v>14378</v>
      </c>
      <c r="C3202" s="2">
        <v>46249.416666666664</v>
      </c>
      <c r="D3202" s="8" t="s">
        <v>13937</v>
      </c>
      <c r="E3202" s="8" t="s">
        <v>51</v>
      </c>
      <c r="F3202">
        <v>1</v>
      </c>
      <c r="G3202" s="2">
        <v>46249.75</v>
      </c>
      <c r="H3202" s="2">
        <v>46249.583333333336</v>
      </c>
    </row>
    <row r="3203" spans="1:8" x14ac:dyDescent="0.25">
      <c r="A3203" s="8" t="s">
        <v>10316</v>
      </c>
      <c r="B3203" s="8" t="s">
        <v>14378</v>
      </c>
      <c r="C3203" s="2">
        <v>46249.416666666664</v>
      </c>
      <c r="D3203" s="8" t="s">
        <v>13937</v>
      </c>
      <c r="E3203" s="8" t="s">
        <v>59</v>
      </c>
      <c r="F3203">
        <v>1</v>
      </c>
      <c r="G3203" s="2">
        <v>46249.75</v>
      </c>
      <c r="H3203" s="2">
        <v>46249.583333333336</v>
      </c>
    </row>
    <row r="3204" spans="1:8" x14ac:dyDescent="0.25">
      <c r="A3204" s="8" t="s">
        <v>10319</v>
      </c>
      <c r="B3204" s="8" t="s">
        <v>14378</v>
      </c>
      <c r="C3204" s="2">
        <v>46249.416666666664</v>
      </c>
      <c r="D3204" s="8" t="s">
        <v>13937</v>
      </c>
      <c r="E3204" s="8" t="s">
        <v>73</v>
      </c>
      <c r="F3204">
        <v>2</v>
      </c>
      <c r="G3204" s="2">
        <v>46249.75</v>
      </c>
      <c r="H3204" s="2">
        <v>46249.583333333336</v>
      </c>
    </row>
    <row r="3205" spans="1:8" x14ac:dyDescent="0.25">
      <c r="A3205" s="8" t="s">
        <v>10322</v>
      </c>
      <c r="B3205" s="8" t="s">
        <v>14379</v>
      </c>
      <c r="C3205" s="2">
        <v>46250.416666666664</v>
      </c>
      <c r="D3205" s="8" t="s">
        <v>13929</v>
      </c>
      <c r="E3205" s="8" t="s">
        <v>11</v>
      </c>
      <c r="F3205">
        <v>1</v>
      </c>
      <c r="G3205" s="2">
        <v>46250.75</v>
      </c>
      <c r="H3205" s="2">
        <v>46250.583333333336</v>
      </c>
    </row>
    <row r="3206" spans="1:8" x14ac:dyDescent="0.25">
      <c r="A3206" s="8" t="s">
        <v>10325</v>
      </c>
      <c r="B3206" s="8" t="s">
        <v>14379</v>
      </c>
      <c r="C3206" s="2">
        <v>46250.416666666664</v>
      </c>
      <c r="D3206" s="8" t="s">
        <v>13929</v>
      </c>
      <c r="E3206" s="8" t="s">
        <v>18</v>
      </c>
      <c r="F3206">
        <v>3</v>
      </c>
      <c r="G3206" s="2">
        <v>46250.75</v>
      </c>
      <c r="H3206" s="2">
        <v>46250.583333333336</v>
      </c>
    </row>
    <row r="3207" spans="1:8" x14ac:dyDescent="0.25">
      <c r="A3207" s="8" t="s">
        <v>10328</v>
      </c>
      <c r="B3207" s="8" t="s">
        <v>14379</v>
      </c>
      <c r="C3207" s="2">
        <v>46250.416666666664</v>
      </c>
      <c r="D3207" s="8" t="s">
        <v>13929</v>
      </c>
      <c r="E3207" s="8" t="s">
        <v>20</v>
      </c>
      <c r="F3207">
        <v>4</v>
      </c>
      <c r="G3207" s="2">
        <v>46250.75</v>
      </c>
      <c r="H3207" s="2">
        <v>46250.583333333336</v>
      </c>
    </row>
    <row r="3208" spans="1:8" x14ac:dyDescent="0.25">
      <c r="A3208" s="8" t="s">
        <v>10331</v>
      </c>
      <c r="B3208" s="8" t="s">
        <v>14379</v>
      </c>
      <c r="C3208" s="2">
        <v>46250.416666666664</v>
      </c>
      <c r="D3208" s="8" t="s">
        <v>13929</v>
      </c>
      <c r="E3208" s="8" t="s">
        <v>24</v>
      </c>
      <c r="F3208">
        <v>4</v>
      </c>
      <c r="G3208" s="2">
        <v>46250.75</v>
      </c>
      <c r="H3208" s="2">
        <v>46250.583333333336</v>
      </c>
    </row>
    <row r="3209" spans="1:8" x14ac:dyDescent="0.25">
      <c r="A3209" s="8" t="s">
        <v>10334</v>
      </c>
      <c r="B3209" s="8" t="s">
        <v>14379</v>
      </c>
      <c r="C3209" s="2">
        <v>46250.416666666664</v>
      </c>
      <c r="D3209" s="8" t="s">
        <v>13929</v>
      </c>
      <c r="E3209" s="8" t="s">
        <v>26</v>
      </c>
      <c r="F3209">
        <v>5</v>
      </c>
      <c r="G3209" s="2">
        <v>46250.75</v>
      </c>
      <c r="H3209" s="2">
        <v>46250.583333333336</v>
      </c>
    </row>
    <row r="3210" spans="1:8" x14ac:dyDescent="0.25">
      <c r="A3210" s="8" t="s">
        <v>10337</v>
      </c>
      <c r="B3210" s="8" t="s">
        <v>14379</v>
      </c>
      <c r="C3210" s="2">
        <v>46250.416666666664</v>
      </c>
      <c r="D3210" s="8" t="s">
        <v>13929</v>
      </c>
      <c r="E3210" s="8" t="s">
        <v>28</v>
      </c>
      <c r="F3210">
        <v>5</v>
      </c>
      <c r="G3210" s="2">
        <v>46250.75</v>
      </c>
      <c r="H3210" s="2">
        <v>46250.583333333336</v>
      </c>
    </row>
    <row r="3211" spans="1:8" x14ac:dyDescent="0.25">
      <c r="A3211" s="8" t="s">
        <v>10340</v>
      </c>
      <c r="B3211" s="8" t="s">
        <v>14379</v>
      </c>
      <c r="C3211" s="2">
        <v>46250.416666666664</v>
      </c>
      <c r="D3211" s="8" t="s">
        <v>13929</v>
      </c>
      <c r="E3211" s="8" t="s">
        <v>30</v>
      </c>
      <c r="F3211">
        <v>3</v>
      </c>
      <c r="G3211" s="2">
        <v>46250.75</v>
      </c>
      <c r="H3211" s="2">
        <v>46250.583333333336</v>
      </c>
    </row>
    <row r="3212" spans="1:8" x14ac:dyDescent="0.25">
      <c r="A3212" s="8" t="s">
        <v>10343</v>
      </c>
      <c r="B3212" s="8" t="s">
        <v>14379</v>
      </c>
      <c r="C3212" s="2">
        <v>46250.416666666664</v>
      </c>
      <c r="D3212" s="8" t="s">
        <v>13929</v>
      </c>
      <c r="E3212" s="8" t="s">
        <v>43</v>
      </c>
      <c r="F3212">
        <v>5</v>
      </c>
      <c r="G3212" s="2">
        <v>46250.75</v>
      </c>
      <c r="H3212" s="2">
        <v>46250.583333333336</v>
      </c>
    </row>
    <row r="3213" spans="1:8" x14ac:dyDescent="0.25">
      <c r="A3213" s="8" t="s">
        <v>10346</v>
      </c>
      <c r="B3213" s="8" t="s">
        <v>14379</v>
      </c>
      <c r="C3213" s="2">
        <v>46250.416666666664</v>
      </c>
      <c r="D3213" s="8" t="s">
        <v>13929</v>
      </c>
      <c r="E3213" s="8" t="s">
        <v>55</v>
      </c>
      <c r="F3213">
        <v>5</v>
      </c>
      <c r="G3213" s="2">
        <v>46250.75</v>
      </c>
      <c r="H3213" s="2">
        <v>46250.583333333336</v>
      </c>
    </row>
    <row r="3214" spans="1:8" x14ac:dyDescent="0.25">
      <c r="A3214" s="8" t="s">
        <v>10349</v>
      </c>
      <c r="B3214" s="8" t="s">
        <v>14379</v>
      </c>
      <c r="C3214" s="2">
        <v>46250.416666666664</v>
      </c>
      <c r="D3214" s="8" t="s">
        <v>13929</v>
      </c>
      <c r="E3214" s="8" t="s">
        <v>69</v>
      </c>
      <c r="F3214">
        <v>2</v>
      </c>
      <c r="G3214" s="2">
        <v>46250.75</v>
      </c>
      <c r="H3214" s="2">
        <v>46250.583333333336</v>
      </c>
    </row>
    <row r="3215" spans="1:8" x14ac:dyDescent="0.25">
      <c r="A3215" s="8" t="s">
        <v>10352</v>
      </c>
      <c r="B3215" s="8" t="s">
        <v>14380</v>
      </c>
      <c r="C3215" s="2">
        <v>46250.416666666664</v>
      </c>
      <c r="D3215" s="8" t="s">
        <v>13931</v>
      </c>
      <c r="E3215" s="8" t="s">
        <v>11</v>
      </c>
      <c r="F3215">
        <v>5</v>
      </c>
      <c r="G3215" s="2">
        <v>46250.75</v>
      </c>
      <c r="H3215" s="2">
        <v>46250.583333333336</v>
      </c>
    </row>
    <row r="3216" spans="1:8" x14ac:dyDescent="0.25">
      <c r="A3216" s="8" t="s">
        <v>10355</v>
      </c>
      <c r="B3216" s="8" t="s">
        <v>14380</v>
      </c>
      <c r="C3216" s="2">
        <v>46250.416666666664</v>
      </c>
      <c r="D3216" s="8" t="s">
        <v>13931</v>
      </c>
      <c r="E3216" s="8" t="s">
        <v>20</v>
      </c>
      <c r="F3216">
        <v>6</v>
      </c>
      <c r="G3216" s="2">
        <v>46250.75</v>
      </c>
      <c r="H3216" s="2">
        <v>46250.583333333336</v>
      </c>
    </row>
    <row r="3217" spans="1:8" x14ac:dyDescent="0.25">
      <c r="A3217" s="8" t="s">
        <v>10358</v>
      </c>
      <c r="B3217" s="8" t="s">
        <v>14380</v>
      </c>
      <c r="C3217" s="2">
        <v>46250.416666666664</v>
      </c>
      <c r="D3217" s="8" t="s">
        <v>13931</v>
      </c>
      <c r="E3217" s="8" t="s">
        <v>22</v>
      </c>
      <c r="F3217">
        <v>5</v>
      </c>
      <c r="G3217" s="2">
        <v>46250.75</v>
      </c>
      <c r="H3217" s="2">
        <v>46250.583333333336</v>
      </c>
    </row>
    <row r="3218" spans="1:8" x14ac:dyDescent="0.25">
      <c r="A3218" s="8" t="s">
        <v>10361</v>
      </c>
      <c r="B3218" s="8" t="s">
        <v>14380</v>
      </c>
      <c r="C3218" s="2">
        <v>46250.416666666664</v>
      </c>
      <c r="D3218" s="8" t="s">
        <v>13931</v>
      </c>
      <c r="E3218" s="8" t="s">
        <v>26</v>
      </c>
      <c r="F3218">
        <v>4</v>
      </c>
      <c r="G3218" s="2">
        <v>46250.75</v>
      </c>
      <c r="H3218" s="2">
        <v>46250.583333333336</v>
      </c>
    </row>
    <row r="3219" spans="1:8" x14ac:dyDescent="0.25">
      <c r="A3219" s="8" t="s">
        <v>10364</v>
      </c>
      <c r="B3219" s="8" t="s">
        <v>14380</v>
      </c>
      <c r="C3219" s="2">
        <v>46250.416666666664</v>
      </c>
      <c r="D3219" s="8" t="s">
        <v>13931</v>
      </c>
      <c r="E3219" s="8" t="s">
        <v>41</v>
      </c>
      <c r="F3219">
        <v>4</v>
      </c>
      <c r="G3219" s="2">
        <v>46250.75</v>
      </c>
      <c r="H3219" s="2">
        <v>46250.583333333336</v>
      </c>
    </row>
    <row r="3220" spans="1:8" x14ac:dyDescent="0.25">
      <c r="A3220" s="8" t="s">
        <v>10367</v>
      </c>
      <c r="B3220" s="8" t="s">
        <v>14380</v>
      </c>
      <c r="C3220" s="2">
        <v>46250.416666666664</v>
      </c>
      <c r="D3220" s="8" t="s">
        <v>13931</v>
      </c>
      <c r="E3220" s="8" t="s">
        <v>47</v>
      </c>
      <c r="F3220">
        <v>3</v>
      </c>
      <c r="G3220" s="2">
        <v>46250.75</v>
      </c>
      <c r="H3220" s="2">
        <v>46250.583333333336</v>
      </c>
    </row>
    <row r="3221" spans="1:8" x14ac:dyDescent="0.25">
      <c r="A3221" s="8" t="s">
        <v>10370</v>
      </c>
      <c r="B3221" s="8" t="s">
        <v>14380</v>
      </c>
      <c r="C3221" s="2">
        <v>46250.416666666664</v>
      </c>
      <c r="D3221" s="8" t="s">
        <v>13931</v>
      </c>
      <c r="E3221" s="8" t="s">
        <v>65</v>
      </c>
      <c r="F3221">
        <v>3</v>
      </c>
      <c r="G3221" s="2">
        <v>46250.75</v>
      </c>
      <c r="H3221" s="2">
        <v>46250.583333333336</v>
      </c>
    </row>
    <row r="3222" spans="1:8" x14ac:dyDescent="0.25">
      <c r="A3222" s="8" t="s">
        <v>10373</v>
      </c>
      <c r="B3222" s="8" t="s">
        <v>14381</v>
      </c>
      <c r="C3222" s="2">
        <v>46250.416666666664</v>
      </c>
      <c r="D3222" s="8" t="s">
        <v>13933</v>
      </c>
      <c r="E3222" s="8" t="s">
        <v>11</v>
      </c>
      <c r="F3222">
        <v>8</v>
      </c>
      <c r="G3222" s="2">
        <v>46250.75</v>
      </c>
      <c r="H3222" s="2">
        <v>46250.583333333336</v>
      </c>
    </row>
    <row r="3223" spans="1:8" x14ac:dyDescent="0.25">
      <c r="A3223" s="8" t="s">
        <v>10376</v>
      </c>
      <c r="B3223" s="8" t="s">
        <v>14381</v>
      </c>
      <c r="C3223" s="2">
        <v>46250.416666666664</v>
      </c>
      <c r="D3223" s="8" t="s">
        <v>13933</v>
      </c>
      <c r="E3223" s="8" t="s">
        <v>18</v>
      </c>
      <c r="F3223">
        <v>5</v>
      </c>
      <c r="G3223" s="2">
        <v>46250.75</v>
      </c>
      <c r="H3223" s="2">
        <v>46250.583333333336</v>
      </c>
    </row>
    <row r="3224" spans="1:8" x14ac:dyDescent="0.25">
      <c r="A3224" s="8" t="s">
        <v>10379</v>
      </c>
      <c r="B3224" s="8" t="s">
        <v>14381</v>
      </c>
      <c r="C3224" s="2">
        <v>46250.416666666664</v>
      </c>
      <c r="D3224" s="8" t="s">
        <v>13933</v>
      </c>
      <c r="E3224" s="8" t="s">
        <v>28</v>
      </c>
      <c r="F3224">
        <v>2</v>
      </c>
      <c r="G3224" s="2">
        <v>46250.75</v>
      </c>
      <c r="H3224" s="2">
        <v>46250.583333333336</v>
      </c>
    </row>
    <row r="3225" spans="1:8" x14ac:dyDescent="0.25">
      <c r="A3225" s="8" t="s">
        <v>10382</v>
      </c>
      <c r="B3225" s="8" t="s">
        <v>14381</v>
      </c>
      <c r="C3225" s="2">
        <v>46250.416666666664</v>
      </c>
      <c r="D3225" s="8" t="s">
        <v>13933</v>
      </c>
      <c r="E3225" s="8" t="s">
        <v>30</v>
      </c>
      <c r="F3225">
        <v>3</v>
      </c>
      <c r="G3225" s="2">
        <v>46250.75</v>
      </c>
      <c r="H3225" s="2">
        <v>46250.583333333336</v>
      </c>
    </row>
    <row r="3226" spans="1:8" x14ac:dyDescent="0.25">
      <c r="A3226" s="8" t="s">
        <v>10385</v>
      </c>
      <c r="B3226" s="8" t="s">
        <v>14381</v>
      </c>
      <c r="C3226" s="2">
        <v>46250.416666666664</v>
      </c>
      <c r="D3226" s="8" t="s">
        <v>13933</v>
      </c>
      <c r="E3226" s="8" t="s">
        <v>43</v>
      </c>
      <c r="F3226">
        <v>6</v>
      </c>
      <c r="G3226" s="2">
        <v>46250.75</v>
      </c>
      <c r="H3226" s="2">
        <v>46250.583333333336</v>
      </c>
    </row>
    <row r="3227" spans="1:8" x14ac:dyDescent="0.25">
      <c r="A3227" s="8" t="s">
        <v>10388</v>
      </c>
      <c r="B3227" s="8" t="s">
        <v>14381</v>
      </c>
      <c r="C3227" s="2">
        <v>46250.416666666664</v>
      </c>
      <c r="D3227" s="8" t="s">
        <v>13933</v>
      </c>
      <c r="E3227" s="8" t="s">
        <v>51</v>
      </c>
      <c r="F3227">
        <v>2</v>
      </c>
      <c r="G3227" s="2">
        <v>46250.75</v>
      </c>
      <c r="H3227" s="2">
        <v>46250.583333333336</v>
      </c>
    </row>
    <row r="3228" spans="1:8" x14ac:dyDescent="0.25">
      <c r="A3228" s="8" t="s">
        <v>10391</v>
      </c>
      <c r="B3228" s="8" t="s">
        <v>14381</v>
      </c>
      <c r="C3228" s="2">
        <v>46250.416666666664</v>
      </c>
      <c r="D3228" s="8" t="s">
        <v>13933</v>
      </c>
      <c r="E3228" s="8" t="s">
        <v>55</v>
      </c>
      <c r="F3228">
        <v>3</v>
      </c>
      <c r="G3228" s="2">
        <v>46250.75</v>
      </c>
      <c r="H3228" s="2">
        <v>46250.583333333336</v>
      </c>
    </row>
    <row r="3229" spans="1:8" x14ac:dyDescent="0.25">
      <c r="A3229" s="8" t="s">
        <v>10394</v>
      </c>
      <c r="B3229" s="8" t="s">
        <v>14381</v>
      </c>
      <c r="C3229" s="2">
        <v>46250.416666666664</v>
      </c>
      <c r="D3229" s="8" t="s">
        <v>13933</v>
      </c>
      <c r="E3229" s="8" t="s">
        <v>67</v>
      </c>
      <c r="F3229">
        <v>3</v>
      </c>
      <c r="G3229" s="2">
        <v>46250.75</v>
      </c>
      <c r="H3229" s="2">
        <v>46250.583333333336</v>
      </c>
    </row>
    <row r="3230" spans="1:8" x14ac:dyDescent="0.25">
      <c r="A3230" s="8" t="s">
        <v>10397</v>
      </c>
      <c r="B3230" s="8" t="s">
        <v>14381</v>
      </c>
      <c r="C3230" s="2">
        <v>46250.416666666664</v>
      </c>
      <c r="D3230" s="8" t="s">
        <v>13933</v>
      </c>
      <c r="E3230" s="8" t="s">
        <v>75</v>
      </c>
      <c r="F3230">
        <v>6</v>
      </c>
      <c r="G3230" s="2">
        <v>46250.75</v>
      </c>
      <c r="H3230" s="2">
        <v>46250.583333333336</v>
      </c>
    </row>
    <row r="3231" spans="1:8" x14ac:dyDescent="0.25">
      <c r="A3231" s="8" t="s">
        <v>10400</v>
      </c>
      <c r="B3231" s="8" t="s">
        <v>14382</v>
      </c>
      <c r="C3231" s="2">
        <v>46250.416666666664</v>
      </c>
      <c r="D3231" s="8" t="s">
        <v>13935</v>
      </c>
      <c r="E3231" s="8" t="s">
        <v>18</v>
      </c>
      <c r="F3231">
        <v>4</v>
      </c>
      <c r="G3231" s="2">
        <v>46250.75</v>
      </c>
      <c r="H3231" s="2">
        <v>46250.583333333336</v>
      </c>
    </row>
    <row r="3232" spans="1:8" x14ac:dyDescent="0.25">
      <c r="A3232" s="8" t="s">
        <v>10403</v>
      </c>
      <c r="B3232" s="8" t="s">
        <v>14382</v>
      </c>
      <c r="C3232" s="2">
        <v>46250.416666666664</v>
      </c>
      <c r="D3232" s="8" t="s">
        <v>13935</v>
      </c>
      <c r="E3232" s="8" t="s">
        <v>20</v>
      </c>
      <c r="F3232">
        <v>9</v>
      </c>
      <c r="G3232" s="2">
        <v>46250.75</v>
      </c>
      <c r="H3232" s="2">
        <v>46250.583333333336</v>
      </c>
    </row>
    <row r="3233" spans="1:8" x14ac:dyDescent="0.25">
      <c r="A3233" s="8" t="s">
        <v>10406</v>
      </c>
      <c r="B3233" s="8" t="s">
        <v>14382</v>
      </c>
      <c r="C3233" s="2">
        <v>46250.416666666664</v>
      </c>
      <c r="D3233" s="8" t="s">
        <v>13935</v>
      </c>
      <c r="E3233" s="8" t="s">
        <v>26</v>
      </c>
      <c r="F3233">
        <v>9</v>
      </c>
      <c r="G3233" s="2">
        <v>46250.75</v>
      </c>
      <c r="H3233" s="2">
        <v>46250.583333333336</v>
      </c>
    </row>
    <row r="3234" spans="1:8" x14ac:dyDescent="0.25">
      <c r="A3234" s="8" t="s">
        <v>10409</v>
      </c>
      <c r="B3234" s="8" t="s">
        <v>14382</v>
      </c>
      <c r="C3234" s="2">
        <v>46250.416666666664</v>
      </c>
      <c r="D3234" s="8" t="s">
        <v>13935</v>
      </c>
      <c r="E3234" s="8" t="s">
        <v>30</v>
      </c>
      <c r="F3234">
        <v>2</v>
      </c>
      <c r="G3234" s="2">
        <v>46250.75</v>
      </c>
      <c r="H3234" s="2">
        <v>46250.583333333336</v>
      </c>
    </row>
    <row r="3235" spans="1:8" x14ac:dyDescent="0.25">
      <c r="A3235" s="8" t="s">
        <v>10412</v>
      </c>
      <c r="B3235" s="8" t="s">
        <v>14382</v>
      </c>
      <c r="C3235" s="2">
        <v>46250.416666666664</v>
      </c>
      <c r="D3235" s="8" t="s">
        <v>13935</v>
      </c>
      <c r="E3235" s="8" t="s">
        <v>32</v>
      </c>
      <c r="F3235">
        <v>2</v>
      </c>
      <c r="G3235" s="2">
        <v>46250.75</v>
      </c>
      <c r="H3235" s="2">
        <v>46250.583333333336</v>
      </c>
    </row>
    <row r="3236" spans="1:8" x14ac:dyDescent="0.25">
      <c r="A3236" s="8" t="s">
        <v>10415</v>
      </c>
      <c r="B3236" s="8" t="s">
        <v>14382</v>
      </c>
      <c r="C3236" s="2">
        <v>46250.416666666664</v>
      </c>
      <c r="D3236" s="8" t="s">
        <v>13935</v>
      </c>
      <c r="E3236" s="8" t="s">
        <v>47</v>
      </c>
      <c r="F3236">
        <v>4</v>
      </c>
      <c r="G3236" s="2">
        <v>46250.75</v>
      </c>
      <c r="H3236" s="2">
        <v>46250.583333333336</v>
      </c>
    </row>
    <row r="3237" spans="1:8" x14ac:dyDescent="0.25">
      <c r="A3237" s="8" t="s">
        <v>10418</v>
      </c>
      <c r="B3237" s="8" t="s">
        <v>14382</v>
      </c>
      <c r="C3237" s="2">
        <v>46250.416666666664</v>
      </c>
      <c r="D3237" s="8" t="s">
        <v>13935</v>
      </c>
      <c r="E3237" s="8" t="s">
        <v>49</v>
      </c>
      <c r="F3237">
        <v>7</v>
      </c>
      <c r="G3237" s="2">
        <v>46250.75</v>
      </c>
      <c r="H3237" s="2">
        <v>46250.583333333336</v>
      </c>
    </row>
    <row r="3238" spans="1:8" x14ac:dyDescent="0.25">
      <c r="A3238" s="8" t="s">
        <v>10421</v>
      </c>
      <c r="B3238" s="8" t="s">
        <v>14382</v>
      </c>
      <c r="C3238" s="2">
        <v>46250.416666666664</v>
      </c>
      <c r="D3238" s="8" t="s">
        <v>13935</v>
      </c>
      <c r="E3238" s="8" t="s">
        <v>59</v>
      </c>
      <c r="F3238">
        <v>5</v>
      </c>
      <c r="G3238" s="2">
        <v>46250.75</v>
      </c>
      <c r="H3238" s="2">
        <v>46250.583333333336</v>
      </c>
    </row>
    <row r="3239" spans="1:8" x14ac:dyDescent="0.25">
      <c r="A3239" s="8" t="s">
        <v>10424</v>
      </c>
      <c r="B3239" s="8" t="s">
        <v>14382</v>
      </c>
      <c r="C3239" s="2">
        <v>46250.416666666664</v>
      </c>
      <c r="D3239" s="8" t="s">
        <v>13935</v>
      </c>
      <c r="E3239" s="8" t="s">
        <v>65</v>
      </c>
      <c r="F3239">
        <v>9</v>
      </c>
      <c r="G3239" s="2">
        <v>46250.75</v>
      </c>
      <c r="H3239" s="2">
        <v>46250.583333333336</v>
      </c>
    </row>
    <row r="3240" spans="1:8" x14ac:dyDescent="0.25">
      <c r="A3240" s="8" t="s">
        <v>10427</v>
      </c>
      <c r="B3240" s="8" t="s">
        <v>14382</v>
      </c>
      <c r="C3240" s="2">
        <v>46250.416666666664</v>
      </c>
      <c r="D3240" s="8" t="s">
        <v>13935</v>
      </c>
      <c r="E3240" s="8" t="s">
        <v>67</v>
      </c>
      <c r="F3240">
        <v>4</v>
      </c>
      <c r="G3240" s="2">
        <v>46250.75</v>
      </c>
      <c r="H3240" s="2">
        <v>46250.583333333336</v>
      </c>
    </row>
    <row r="3241" spans="1:8" x14ac:dyDescent="0.25">
      <c r="A3241" s="8" t="s">
        <v>10430</v>
      </c>
      <c r="B3241" s="8" t="s">
        <v>14383</v>
      </c>
      <c r="C3241" s="2">
        <v>46250.416666666664</v>
      </c>
      <c r="D3241" s="8" t="s">
        <v>13937</v>
      </c>
      <c r="E3241" s="8" t="s">
        <v>11</v>
      </c>
      <c r="F3241">
        <v>6</v>
      </c>
      <c r="G3241" s="2">
        <v>46250.75</v>
      </c>
      <c r="H3241" s="2">
        <v>46250.583333333336</v>
      </c>
    </row>
    <row r="3242" spans="1:8" x14ac:dyDescent="0.25">
      <c r="A3242" s="8" t="s">
        <v>10433</v>
      </c>
      <c r="B3242" s="8" t="s">
        <v>14383</v>
      </c>
      <c r="C3242" s="2">
        <v>46250.416666666664</v>
      </c>
      <c r="D3242" s="8" t="s">
        <v>13937</v>
      </c>
      <c r="E3242" s="8" t="s">
        <v>22</v>
      </c>
      <c r="F3242">
        <v>2</v>
      </c>
      <c r="G3242" s="2">
        <v>46250.75</v>
      </c>
      <c r="H3242" s="2">
        <v>46250.583333333336</v>
      </c>
    </row>
    <row r="3243" spans="1:8" x14ac:dyDescent="0.25">
      <c r="A3243" s="8" t="s">
        <v>10436</v>
      </c>
      <c r="B3243" s="8" t="s">
        <v>14383</v>
      </c>
      <c r="C3243" s="2">
        <v>46250.416666666664</v>
      </c>
      <c r="D3243" s="8" t="s">
        <v>13937</v>
      </c>
      <c r="E3243" s="8" t="s">
        <v>24</v>
      </c>
      <c r="F3243">
        <v>6</v>
      </c>
      <c r="G3243" s="2">
        <v>46250.75</v>
      </c>
      <c r="H3243" s="2">
        <v>46250.583333333336</v>
      </c>
    </row>
    <row r="3244" spans="1:8" x14ac:dyDescent="0.25">
      <c r="A3244" s="8" t="s">
        <v>10439</v>
      </c>
      <c r="B3244" s="8" t="s">
        <v>14383</v>
      </c>
      <c r="C3244" s="2">
        <v>46250.416666666664</v>
      </c>
      <c r="D3244" s="8" t="s">
        <v>13937</v>
      </c>
      <c r="E3244" s="8" t="s">
        <v>36</v>
      </c>
      <c r="F3244">
        <v>4</v>
      </c>
      <c r="G3244" s="2">
        <v>46250.75</v>
      </c>
      <c r="H3244" s="2">
        <v>46250.583333333336</v>
      </c>
    </row>
    <row r="3245" spans="1:8" x14ac:dyDescent="0.25">
      <c r="A3245" s="8" t="s">
        <v>10442</v>
      </c>
      <c r="B3245" s="8" t="s">
        <v>14383</v>
      </c>
      <c r="C3245" s="2">
        <v>46250.416666666664</v>
      </c>
      <c r="D3245" s="8" t="s">
        <v>13937</v>
      </c>
      <c r="E3245" s="8" t="s">
        <v>45</v>
      </c>
      <c r="F3245">
        <v>6</v>
      </c>
      <c r="G3245" s="2">
        <v>46250.75</v>
      </c>
      <c r="H3245" s="2">
        <v>46250.583333333336</v>
      </c>
    </row>
    <row r="3246" spans="1:8" x14ac:dyDescent="0.25">
      <c r="A3246" s="8" t="s">
        <v>10445</v>
      </c>
      <c r="B3246" s="8" t="s">
        <v>14383</v>
      </c>
      <c r="C3246" s="2">
        <v>46250.416666666664</v>
      </c>
      <c r="D3246" s="8" t="s">
        <v>13937</v>
      </c>
      <c r="E3246" s="8" t="s">
        <v>51</v>
      </c>
      <c r="F3246">
        <v>1</v>
      </c>
      <c r="G3246" s="2">
        <v>46250.75</v>
      </c>
      <c r="H3246" s="2">
        <v>46250.583333333336</v>
      </c>
    </row>
    <row r="3247" spans="1:8" x14ac:dyDescent="0.25">
      <c r="A3247" s="8" t="s">
        <v>10448</v>
      </c>
      <c r="B3247" s="8" t="s">
        <v>14383</v>
      </c>
      <c r="C3247" s="2">
        <v>46250.416666666664</v>
      </c>
      <c r="D3247" s="8" t="s">
        <v>13937</v>
      </c>
      <c r="E3247" s="8" t="s">
        <v>73</v>
      </c>
      <c r="F3247">
        <v>5</v>
      </c>
      <c r="G3247" s="2">
        <v>46250.75</v>
      </c>
      <c r="H3247" s="2">
        <v>46250.583333333336</v>
      </c>
    </row>
    <row r="3248" spans="1:8" x14ac:dyDescent="0.25">
      <c r="A3248" s="8" t="s">
        <v>10451</v>
      </c>
      <c r="B3248" s="8" t="s">
        <v>14383</v>
      </c>
      <c r="C3248" s="2">
        <v>46250.416666666664</v>
      </c>
      <c r="D3248" s="8" t="s">
        <v>13937</v>
      </c>
      <c r="E3248" s="8" t="s">
        <v>77</v>
      </c>
      <c r="F3248">
        <v>5</v>
      </c>
      <c r="G3248" s="2">
        <v>46250.75</v>
      </c>
      <c r="H3248" s="2">
        <v>46250.583333333336</v>
      </c>
    </row>
    <row r="3249" spans="1:8" x14ac:dyDescent="0.25">
      <c r="A3249" s="8" t="s">
        <v>10454</v>
      </c>
      <c r="B3249" s="8" t="s">
        <v>14384</v>
      </c>
      <c r="C3249" s="2">
        <v>46251.416666666664</v>
      </c>
      <c r="D3249" s="8" t="s">
        <v>13929</v>
      </c>
      <c r="E3249" s="8" t="s">
        <v>18</v>
      </c>
      <c r="F3249">
        <v>2</v>
      </c>
      <c r="G3249" s="2">
        <v>46251.75</v>
      </c>
      <c r="H3249" s="2">
        <v>46251.583333333336</v>
      </c>
    </row>
    <row r="3250" spans="1:8" x14ac:dyDescent="0.25">
      <c r="A3250" s="8" t="s">
        <v>10457</v>
      </c>
      <c r="B3250" s="8" t="s">
        <v>14384</v>
      </c>
      <c r="C3250" s="2">
        <v>46251.416666666664</v>
      </c>
      <c r="D3250" s="8" t="s">
        <v>13929</v>
      </c>
      <c r="E3250" s="8" t="s">
        <v>22</v>
      </c>
      <c r="F3250">
        <v>2</v>
      </c>
      <c r="G3250" s="2">
        <v>46251.75</v>
      </c>
      <c r="H3250" s="2">
        <v>46251.583333333336</v>
      </c>
    </row>
    <row r="3251" spans="1:8" x14ac:dyDescent="0.25">
      <c r="A3251" s="8" t="s">
        <v>10460</v>
      </c>
      <c r="B3251" s="8" t="s">
        <v>14384</v>
      </c>
      <c r="C3251" s="2">
        <v>46251.416666666664</v>
      </c>
      <c r="D3251" s="8" t="s">
        <v>13929</v>
      </c>
      <c r="E3251" s="8" t="s">
        <v>24</v>
      </c>
      <c r="F3251">
        <v>4</v>
      </c>
      <c r="G3251" s="2">
        <v>46251.75</v>
      </c>
      <c r="H3251" s="2">
        <v>46251.583333333336</v>
      </c>
    </row>
    <row r="3252" spans="1:8" x14ac:dyDescent="0.25">
      <c r="A3252" s="8" t="s">
        <v>10463</v>
      </c>
      <c r="B3252" s="8" t="s">
        <v>14384</v>
      </c>
      <c r="C3252" s="2">
        <v>46251.416666666664</v>
      </c>
      <c r="D3252" s="8" t="s">
        <v>13929</v>
      </c>
      <c r="E3252" s="8" t="s">
        <v>45</v>
      </c>
      <c r="F3252">
        <v>3</v>
      </c>
      <c r="G3252" s="2">
        <v>46251.75</v>
      </c>
      <c r="H3252" s="2">
        <v>46251.583333333336</v>
      </c>
    </row>
    <row r="3253" spans="1:8" x14ac:dyDescent="0.25">
      <c r="A3253" s="8" t="s">
        <v>10466</v>
      </c>
      <c r="B3253" s="8" t="s">
        <v>14384</v>
      </c>
      <c r="C3253" s="2">
        <v>46251.416666666664</v>
      </c>
      <c r="D3253" s="8" t="s">
        <v>13929</v>
      </c>
      <c r="E3253" s="8" t="s">
        <v>55</v>
      </c>
      <c r="F3253">
        <v>2</v>
      </c>
      <c r="G3253" s="2">
        <v>46251.75</v>
      </c>
      <c r="H3253" s="2">
        <v>46251.583333333336</v>
      </c>
    </row>
    <row r="3254" spans="1:8" x14ac:dyDescent="0.25">
      <c r="A3254" s="8" t="s">
        <v>10469</v>
      </c>
      <c r="B3254" s="8" t="s">
        <v>14384</v>
      </c>
      <c r="C3254" s="2">
        <v>46251.416666666664</v>
      </c>
      <c r="D3254" s="8" t="s">
        <v>13929</v>
      </c>
      <c r="E3254" s="8" t="s">
        <v>65</v>
      </c>
      <c r="F3254">
        <v>4</v>
      </c>
      <c r="G3254" s="2">
        <v>46251.75</v>
      </c>
      <c r="H3254" s="2">
        <v>46251.583333333336</v>
      </c>
    </row>
    <row r="3255" spans="1:8" x14ac:dyDescent="0.25">
      <c r="A3255" s="8" t="s">
        <v>10472</v>
      </c>
      <c r="B3255" s="8" t="s">
        <v>14384</v>
      </c>
      <c r="C3255" s="2">
        <v>46251.416666666664</v>
      </c>
      <c r="D3255" s="8" t="s">
        <v>13929</v>
      </c>
      <c r="E3255" s="8" t="s">
        <v>73</v>
      </c>
      <c r="F3255">
        <v>3</v>
      </c>
      <c r="G3255" s="2">
        <v>46251.75</v>
      </c>
      <c r="H3255" s="2">
        <v>46251.583333333336</v>
      </c>
    </row>
    <row r="3256" spans="1:8" x14ac:dyDescent="0.25">
      <c r="A3256" s="8" t="s">
        <v>10475</v>
      </c>
      <c r="B3256" s="8" t="s">
        <v>14384</v>
      </c>
      <c r="C3256" s="2">
        <v>46251.416666666664</v>
      </c>
      <c r="D3256" s="8" t="s">
        <v>13929</v>
      </c>
      <c r="E3256" s="8" t="s">
        <v>75</v>
      </c>
      <c r="F3256">
        <v>4</v>
      </c>
      <c r="G3256" s="2">
        <v>46251.75</v>
      </c>
      <c r="H3256" s="2">
        <v>46251.583333333336</v>
      </c>
    </row>
    <row r="3257" spans="1:8" x14ac:dyDescent="0.25">
      <c r="A3257" s="8" t="s">
        <v>10478</v>
      </c>
      <c r="B3257" s="8" t="s">
        <v>14384</v>
      </c>
      <c r="C3257" s="2">
        <v>46251.416666666664</v>
      </c>
      <c r="D3257" s="8" t="s">
        <v>13929</v>
      </c>
      <c r="E3257" s="8" t="s">
        <v>77</v>
      </c>
      <c r="F3257">
        <v>2</v>
      </c>
      <c r="G3257" s="2">
        <v>46251.75</v>
      </c>
      <c r="H3257" s="2">
        <v>46251.583333333336</v>
      </c>
    </row>
    <row r="3258" spans="1:8" x14ac:dyDescent="0.25">
      <c r="A3258" s="8" t="s">
        <v>10481</v>
      </c>
      <c r="B3258" s="8" t="s">
        <v>14385</v>
      </c>
      <c r="C3258" s="2">
        <v>46251.416666666664</v>
      </c>
      <c r="D3258" s="8" t="s">
        <v>13931</v>
      </c>
      <c r="E3258" s="8" t="s">
        <v>20</v>
      </c>
      <c r="F3258">
        <v>2</v>
      </c>
      <c r="G3258" s="2">
        <v>46251.75</v>
      </c>
      <c r="H3258" s="2">
        <v>46251.583333333336</v>
      </c>
    </row>
    <row r="3259" spans="1:8" x14ac:dyDescent="0.25">
      <c r="A3259" s="8" t="s">
        <v>10484</v>
      </c>
      <c r="B3259" s="8" t="s">
        <v>14385</v>
      </c>
      <c r="C3259" s="2">
        <v>46251.416666666664</v>
      </c>
      <c r="D3259" s="8" t="s">
        <v>13931</v>
      </c>
      <c r="E3259" s="8" t="s">
        <v>22</v>
      </c>
      <c r="F3259">
        <v>5</v>
      </c>
      <c r="G3259" s="2">
        <v>46251.75</v>
      </c>
      <c r="H3259" s="2">
        <v>46251.583333333336</v>
      </c>
    </row>
    <row r="3260" spans="1:8" x14ac:dyDescent="0.25">
      <c r="A3260" s="8" t="s">
        <v>10487</v>
      </c>
      <c r="B3260" s="8" t="s">
        <v>14385</v>
      </c>
      <c r="C3260" s="2">
        <v>46251.416666666664</v>
      </c>
      <c r="D3260" s="8" t="s">
        <v>13931</v>
      </c>
      <c r="E3260" s="8" t="s">
        <v>24</v>
      </c>
      <c r="F3260">
        <v>3</v>
      </c>
      <c r="G3260" s="2">
        <v>46251.75</v>
      </c>
      <c r="H3260" s="2">
        <v>46251.583333333336</v>
      </c>
    </row>
    <row r="3261" spans="1:8" x14ac:dyDescent="0.25">
      <c r="A3261" s="8" t="s">
        <v>10490</v>
      </c>
      <c r="B3261" s="8" t="s">
        <v>14385</v>
      </c>
      <c r="C3261" s="2">
        <v>46251.416666666664</v>
      </c>
      <c r="D3261" s="8" t="s">
        <v>13931</v>
      </c>
      <c r="E3261" s="8" t="s">
        <v>28</v>
      </c>
      <c r="F3261">
        <v>5</v>
      </c>
      <c r="G3261" s="2">
        <v>46251.75</v>
      </c>
      <c r="H3261" s="2">
        <v>46251.583333333336</v>
      </c>
    </row>
    <row r="3262" spans="1:8" x14ac:dyDescent="0.25">
      <c r="A3262" s="8" t="s">
        <v>10493</v>
      </c>
      <c r="B3262" s="8" t="s">
        <v>14385</v>
      </c>
      <c r="C3262" s="2">
        <v>46251.416666666664</v>
      </c>
      <c r="D3262" s="8" t="s">
        <v>13931</v>
      </c>
      <c r="E3262" s="8" t="s">
        <v>32</v>
      </c>
      <c r="F3262">
        <v>4</v>
      </c>
      <c r="G3262" s="2">
        <v>46251.75</v>
      </c>
      <c r="H3262" s="2">
        <v>46251.583333333336</v>
      </c>
    </row>
    <row r="3263" spans="1:8" x14ac:dyDescent="0.25">
      <c r="A3263" s="8" t="s">
        <v>10496</v>
      </c>
      <c r="B3263" s="8" t="s">
        <v>14385</v>
      </c>
      <c r="C3263" s="2">
        <v>46251.416666666664</v>
      </c>
      <c r="D3263" s="8" t="s">
        <v>13931</v>
      </c>
      <c r="E3263" s="8" t="s">
        <v>41</v>
      </c>
      <c r="F3263">
        <v>5</v>
      </c>
      <c r="G3263" s="2">
        <v>46251.75</v>
      </c>
      <c r="H3263" s="2">
        <v>46251.583333333336</v>
      </c>
    </row>
    <row r="3264" spans="1:8" x14ac:dyDescent="0.25">
      <c r="A3264" s="8" t="s">
        <v>10499</v>
      </c>
      <c r="B3264" s="8" t="s">
        <v>14385</v>
      </c>
      <c r="C3264" s="2">
        <v>46251.416666666664</v>
      </c>
      <c r="D3264" s="8" t="s">
        <v>13931</v>
      </c>
      <c r="E3264" s="8" t="s">
        <v>47</v>
      </c>
      <c r="F3264">
        <v>4</v>
      </c>
      <c r="G3264" s="2">
        <v>46251.75</v>
      </c>
      <c r="H3264" s="2">
        <v>46251.583333333336</v>
      </c>
    </row>
    <row r="3265" spans="1:8" x14ac:dyDescent="0.25">
      <c r="A3265" s="8" t="s">
        <v>10502</v>
      </c>
      <c r="B3265" s="8" t="s">
        <v>14385</v>
      </c>
      <c r="C3265" s="2">
        <v>46251.416666666664</v>
      </c>
      <c r="D3265" s="8" t="s">
        <v>13931</v>
      </c>
      <c r="E3265" s="8" t="s">
        <v>51</v>
      </c>
      <c r="F3265">
        <v>3</v>
      </c>
      <c r="G3265" s="2">
        <v>46251.75</v>
      </c>
      <c r="H3265" s="2">
        <v>46251.583333333336</v>
      </c>
    </row>
    <row r="3266" spans="1:8" x14ac:dyDescent="0.25">
      <c r="A3266" s="8" t="s">
        <v>10505</v>
      </c>
      <c r="B3266" s="8" t="s">
        <v>14385</v>
      </c>
      <c r="C3266" s="2">
        <v>46251.416666666664</v>
      </c>
      <c r="D3266" s="8" t="s">
        <v>13931</v>
      </c>
      <c r="E3266" s="8" t="s">
        <v>59</v>
      </c>
      <c r="F3266">
        <v>1</v>
      </c>
      <c r="G3266" s="2">
        <v>46251.75</v>
      </c>
      <c r="H3266" s="2">
        <v>46251.583333333336</v>
      </c>
    </row>
    <row r="3267" spans="1:8" x14ac:dyDescent="0.25">
      <c r="A3267" s="8" t="s">
        <v>10508</v>
      </c>
      <c r="B3267" s="8" t="s">
        <v>14385</v>
      </c>
      <c r="C3267" s="2">
        <v>46251.416666666664</v>
      </c>
      <c r="D3267" s="8" t="s">
        <v>13931</v>
      </c>
      <c r="E3267" s="8" t="s">
        <v>65</v>
      </c>
      <c r="F3267">
        <v>3</v>
      </c>
      <c r="G3267" s="2">
        <v>46251.75</v>
      </c>
      <c r="H3267" s="2">
        <v>46251.583333333336</v>
      </c>
    </row>
    <row r="3268" spans="1:8" x14ac:dyDescent="0.25">
      <c r="A3268" s="8" t="s">
        <v>10511</v>
      </c>
      <c r="B3268" s="8" t="s">
        <v>14385</v>
      </c>
      <c r="C3268" s="2">
        <v>46251.416666666664</v>
      </c>
      <c r="D3268" s="8" t="s">
        <v>13931</v>
      </c>
      <c r="E3268" s="8" t="s">
        <v>67</v>
      </c>
      <c r="F3268">
        <v>4</v>
      </c>
      <c r="G3268" s="2">
        <v>46251.75</v>
      </c>
      <c r="H3268" s="2">
        <v>46251.583333333336</v>
      </c>
    </row>
    <row r="3269" spans="1:8" x14ac:dyDescent="0.25">
      <c r="A3269" s="8" t="s">
        <v>10514</v>
      </c>
      <c r="B3269" s="8" t="s">
        <v>14385</v>
      </c>
      <c r="C3269" s="2">
        <v>46251.416666666664</v>
      </c>
      <c r="D3269" s="8" t="s">
        <v>13931</v>
      </c>
      <c r="E3269" s="8" t="s">
        <v>71</v>
      </c>
      <c r="F3269">
        <v>5</v>
      </c>
      <c r="G3269" s="2">
        <v>46251.75</v>
      </c>
      <c r="H3269" s="2">
        <v>46251.583333333336</v>
      </c>
    </row>
    <row r="3270" spans="1:8" x14ac:dyDescent="0.25">
      <c r="A3270" s="8" t="s">
        <v>10517</v>
      </c>
      <c r="B3270" s="8" t="s">
        <v>14386</v>
      </c>
      <c r="C3270" s="2">
        <v>46251.416666666664</v>
      </c>
      <c r="D3270" s="8" t="s">
        <v>13933</v>
      </c>
      <c r="E3270" s="8" t="s">
        <v>11</v>
      </c>
      <c r="F3270">
        <v>2</v>
      </c>
      <c r="G3270" s="2">
        <v>46251.75</v>
      </c>
      <c r="H3270" s="2">
        <v>46251.583333333336</v>
      </c>
    </row>
    <row r="3271" spans="1:8" x14ac:dyDescent="0.25">
      <c r="A3271" s="8" t="s">
        <v>10520</v>
      </c>
      <c r="B3271" s="8" t="s">
        <v>14386</v>
      </c>
      <c r="C3271" s="2">
        <v>46251.416666666664</v>
      </c>
      <c r="D3271" s="8" t="s">
        <v>13933</v>
      </c>
      <c r="E3271" s="8" t="s">
        <v>18</v>
      </c>
      <c r="F3271">
        <v>2</v>
      </c>
      <c r="G3271" s="2">
        <v>46251.75</v>
      </c>
      <c r="H3271" s="2">
        <v>46251.583333333336</v>
      </c>
    </row>
    <row r="3272" spans="1:8" x14ac:dyDescent="0.25">
      <c r="A3272" s="8" t="s">
        <v>10523</v>
      </c>
      <c r="B3272" s="8" t="s">
        <v>14386</v>
      </c>
      <c r="C3272" s="2">
        <v>46251.416666666664</v>
      </c>
      <c r="D3272" s="8" t="s">
        <v>13933</v>
      </c>
      <c r="E3272" s="8" t="s">
        <v>20</v>
      </c>
      <c r="F3272">
        <v>5</v>
      </c>
      <c r="G3272" s="2">
        <v>46251.75</v>
      </c>
      <c r="H3272" s="2">
        <v>46251.583333333336</v>
      </c>
    </row>
    <row r="3273" spans="1:8" x14ac:dyDescent="0.25">
      <c r="A3273" s="8" t="s">
        <v>10526</v>
      </c>
      <c r="B3273" s="8" t="s">
        <v>14386</v>
      </c>
      <c r="C3273" s="2">
        <v>46251.416666666664</v>
      </c>
      <c r="D3273" s="8" t="s">
        <v>13933</v>
      </c>
      <c r="E3273" s="8" t="s">
        <v>22</v>
      </c>
      <c r="F3273">
        <v>4</v>
      </c>
      <c r="G3273" s="2">
        <v>46251.75</v>
      </c>
      <c r="H3273" s="2">
        <v>46251.583333333336</v>
      </c>
    </row>
    <row r="3274" spans="1:8" x14ac:dyDescent="0.25">
      <c r="A3274" s="8" t="s">
        <v>10529</v>
      </c>
      <c r="B3274" s="8" t="s">
        <v>14386</v>
      </c>
      <c r="C3274" s="2">
        <v>46251.416666666664</v>
      </c>
      <c r="D3274" s="8" t="s">
        <v>13933</v>
      </c>
      <c r="E3274" s="8" t="s">
        <v>24</v>
      </c>
      <c r="F3274">
        <v>1</v>
      </c>
      <c r="G3274" s="2">
        <v>46251.75</v>
      </c>
      <c r="H3274" s="2">
        <v>46251.583333333336</v>
      </c>
    </row>
    <row r="3275" spans="1:8" x14ac:dyDescent="0.25">
      <c r="A3275" s="8" t="s">
        <v>10532</v>
      </c>
      <c r="B3275" s="8" t="s">
        <v>14386</v>
      </c>
      <c r="C3275" s="2">
        <v>46251.416666666664</v>
      </c>
      <c r="D3275" s="8" t="s">
        <v>13933</v>
      </c>
      <c r="E3275" s="8" t="s">
        <v>26</v>
      </c>
      <c r="F3275">
        <v>1</v>
      </c>
      <c r="G3275" s="2">
        <v>46251.75</v>
      </c>
      <c r="H3275" s="2">
        <v>46251.583333333336</v>
      </c>
    </row>
    <row r="3276" spans="1:8" x14ac:dyDescent="0.25">
      <c r="A3276" s="8" t="s">
        <v>10535</v>
      </c>
      <c r="B3276" s="8" t="s">
        <v>14386</v>
      </c>
      <c r="C3276" s="2">
        <v>46251.416666666664</v>
      </c>
      <c r="D3276" s="8" t="s">
        <v>13933</v>
      </c>
      <c r="E3276" s="8" t="s">
        <v>32</v>
      </c>
      <c r="F3276">
        <v>1</v>
      </c>
      <c r="G3276" s="2">
        <v>46251.75</v>
      </c>
      <c r="H3276" s="2">
        <v>46251.583333333336</v>
      </c>
    </row>
    <row r="3277" spans="1:8" x14ac:dyDescent="0.25">
      <c r="A3277" s="8" t="s">
        <v>10538</v>
      </c>
      <c r="B3277" s="8" t="s">
        <v>14386</v>
      </c>
      <c r="C3277" s="2">
        <v>46251.416666666664</v>
      </c>
      <c r="D3277" s="8" t="s">
        <v>13933</v>
      </c>
      <c r="E3277" s="8" t="s">
        <v>51</v>
      </c>
      <c r="F3277">
        <v>2</v>
      </c>
      <c r="G3277" s="2">
        <v>46251.75</v>
      </c>
      <c r="H3277" s="2">
        <v>46251.583333333336</v>
      </c>
    </row>
    <row r="3278" spans="1:8" x14ac:dyDescent="0.25">
      <c r="A3278" s="8" t="s">
        <v>10541</v>
      </c>
      <c r="B3278" s="8" t="s">
        <v>14386</v>
      </c>
      <c r="C3278" s="2">
        <v>46251.416666666664</v>
      </c>
      <c r="D3278" s="8" t="s">
        <v>13933</v>
      </c>
      <c r="E3278" s="8" t="s">
        <v>53</v>
      </c>
      <c r="F3278">
        <v>5</v>
      </c>
      <c r="G3278" s="2">
        <v>46251.75</v>
      </c>
      <c r="H3278" s="2">
        <v>46251.583333333336</v>
      </c>
    </row>
    <row r="3279" spans="1:8" x14ac:dyDescent="0.25">
      <c r="A3279" s="8" t="s">
        <v>10544</v>
      </c>
      <c r="B3279" s="8" t="s">
        <v>14386</v>
      </c>
      <c r="C3279" s="2">
        <v>46251.416666666664</v>
      </c>
      <c r="D3279" s="8" t="s">
        <v>13933</v>
      </c>
      <c r="E3279" s="8" t="s">
        <v>55</v>
      </c>
      <c r="F3279">
        <v>2</v>
      </c>
      <c r="G3279" s="2">
        <v>46251.75</v>
      </c>
      <c r="H3279" s="2">
        <v>46251.583333333336</v>
      </c>
    </row>
    <row r="3280" spans="1:8" x14ac:dyDescent="0.25">
      <c r="A3280" s="8" t="s">
        <v>10547</v>
      </c>
      <c r="B3280" s="8" t="s">
        <v>14386</v>
      </c>
      <c r="C3280" s="2">
        <v>46251.416666666664</v>
      </c>
      <c r="D3280" s="8" t="s">
        <v>13933</v>
      </c>
      <c r="E3280" s="8" t="s">
        <v>77</v>
      </c>
      <c r="F3280">
        <v>1</v>
      </c>
      <c r="G3280" s="2">
        <v>46251.75</v>
      </c>
      <c r="H3280" s="2">
        <v>46251.583333333336</v>
      </c>
    </row>
    <row r="3281" spans="1:8" x14ac:dyDescent="0.25">
      <c r="A3281" s="8" t="s">
        <v>10550</v>
      </c>
      <c r="B3281" s="8" t="s">
        <v>14387</v>
      </c>
      <c r="C3281" s="2">
        <v>46251.416666666664</v>
      </c>
      <c r="D3281" s="8" t="s">
        <v>13935</v>
      </c>
      <c r="E3281" s="8" t="s">
        <v>11</v>
      </c>
      <c r="F3281">
        <v>4</v>
      </c>
      <c r="G3281" s="2">
        <v>46251.75</v>
      </c>
      <c r="H3281" s="2">
        <v>46251.583333333336</v>
      </c>
    </row>
    <row r="3282" spans="1:8" x14ac:dyDescent="0.25">
      <c r="A3282" s="8" t="s">
        <v>10553</v>
      </c>
      <c r="B3282" s="8" t="s">
        <v>14387</v>
      </c>
      <c r="C3282" s="2">
        <v>46251.416666666664</v>
      </c>
      <c r="D3282" s="8" t="s">
        <v>13935</v>
      </c>
      <c r="E3282" s="8" t="s">
        <v>18</v>
      </c>
      <c r="F3282">
        <v>3</v>
      </c>
      <c r="G3282" s="2">
        <v>46251.75</v>
      </c>
      <c r="H3282" s="2">
        <v>46251.583333333336</v>
      </c>
    </row>
    <row r="3283" spans="1:8" x14ac:dyDescent="0.25">
      <c r="A3283" s="8" t="s">
        <v>10556</v>
      </c>
      <c r="B3283" s="8" t="s">
        <v>14387</v>
      </c>
      <c r="C3283" s="2">
        <v>46251.416666666664</v>
      </c>
      <c r="D3283" s="8" t="s">
        <v>13935</v>
      </c>
      <c r="E3283" s="8" t="s">
        <v>20</v>
      </c>
      <c r="F3283">
        <v>6</v>
      </c>
      <c r="G3283" s="2">
        <v>46251.75</v>
      </c>
      <c r="H3283" s="2">
        <v>46251.583333333336</v>
      </c>
    </row>
    <row r="3284" spans="1:8" x14ac:dyDescent="0.25">
      <c r="A3284" s="8" t="s">
        <v>10559</v>
      </c>
      <c r="B3284" s="8" t="s">
        <v>14387</v>
      </c>
      <c r="C3284" s="2">
        <v>46251.416666666664</v>
      </c>
      <c r="D3284" s="8" t="s">
        <v>13935</v>
      </c>
      <c r="E3284" s="8" t="s">
        <v>22</v>
      </c>
      <c r="F3284">
        <v>1</v>
      </c>
      <c r="G3284" s="2">
        <v>46251.75</v>
      </c>
      <c r="H3284" s="2">
        <v>46251.583333333336</v>
      </c>
    </row>
    <row r="3285" spans="1:8" x14ac:dyDescent="0.25">
      <c r="A3285" s="8" t="s">
        <v>10562</v>
      </c>
      <c r="B3285" s="8" t="s">
        <v>14387</v>
      </c>
      <c r="C3285" s="2">
        <v>46251.416666666664</v>
      </c>
      <c r="D3285" s="8" t="s">
        <v>13935</v>
      </c>
      <c r="E3285" s="8" t="s">
        <v>26</v>
      </c>
      <c r="F3285">
        <v>1</v>
      </c>
      <c r="G3285" s="2">
        <v>46251.75</v>
      </c>
      <c r="H3285" s="2">
        <v>46251.583333333336</v>
      </c>
    </row>
    <row r="3286" spans="1:8" x14ac:dyDescent="0.25">
      <c r="A3286" s="8" t="s">
        <v>10565</v>
      </c>
      <c r="B3286" s="8" t="s">
        <v>14387</v>
      </c>
      <c r="C3286" s="2">
        <v>46251.416666666664</v>
      </c>
      <c r="D3286" s="8" t="s">
        <v>13935</v>
      </c>
      <c r="E3286" s="8" t="s">
        <v>67</v>
      </c>
      <c r="F3286">
        <v>7</v>
      </c>
      <c r="G3286" s="2">
        <v>46251.75</v>
      </c>
      <c r="H3286" s="2">
        <v>46251.583333333336</v>
      </c>
    </row>
    <row r="3287" spans="1:8" x14ac:dyDescent="0.25">
      <c r="A3287" s="8" t="s">
        <v>10568</v>
      </c>
      <c r="B3287" s="8" t="s">
        <v>14387</v>
      </c>
      <c r="C3287" s="2">
        <v>46251.416666666664</v>
      </c>
      <c r="D3287" s="8" t="s">
        <v>13935</v>
      </c>
      <c r="E3287" s="8" t="s">
        <v>73</v>
      </c>
      <c r="F3287">
        <v>6</v>
      </c>
      <c r="G3287" s="2">
        <v>46251.75</v>
      </c>
      <c r="H3287" s="2">
        <v>46251.583333333336</v>
      </c>
    </row>
    <row r="3288" spans="1:8" x14ac:dyDescent="0.25">
      <c r="A3288" s="8" t="s">
        <v>10571</v>
      </c>
      <c r="B3288" s="8" t="s">
        <v>14387</v>
      </c>
      <c r="C3288" s="2">
        <v>46251.416666666664</v>
      </c>
      <c r="D3288" s="8" t="s">
        <v>13935</v>
      </c>
      <c r="E3288" s="8" t="s">
        <v>75</v>
      </c>
      <c r="F3288">
        <v>7</v>
      </c>
      <c r="G3288" s="2">
        <v>46251.75</v>
      </c>
      <c r="H3288" s="2">
        <v>46251.583333333336</v>
      </c>
    </row>
    <row r="3289" spans="1:8" x14ac:dyDescent="0.25">
      <c r="A3289" s="8" t="s">
        <v>10574</v>
      </c>
      <c r="B3289" s="8" t="s">
        <v>14388</v>
      </c>
      <c r="C3289" s="2">
        <v>46251.416666666664</v>
      </c>
      <c r="D3289" s="8" t="s">
        <v>13937</v>
      </c>
      <c r="E3289" s="8" t="s">
        <v>11</v>
      </c>
      <c r="F3289">
        <v>3</v>
      </c>
      <c r="G3289" s="2">
        <v>46251.75</v>
      </c>
      <c r="H3289" s="2">
        <v>46251.583333333336</v>
      </c>
    </row>
    <row r="3290" spans="1:8" x14ac:dyDescent="0.25">
      <c r="A3290" s="8" t="s">
        <v>10577</v>
      </c>
      <c r="B3290" s="8" t="s">
        <v>14388</v>
      </c>
      <c r="C3290" s="2">
        <v>46251.416666666664</v>
      </c>
      <c r="D3290" s="8" t="s">
        <v>13937</v>
      </c>
      <c r="E3290" s="8" t="s">
        <v>18</v>
      </c>
      <c r="F3290">
        <v>3</v>
      </c>
      <c r="G3290" s="2">
        <v>46251.75</v>
      </c>
      <c r="H3290" s="2">
        <v>46251.583333333336</v>
      </c>
    </row>
    <row r="3291" spans="1:8" x14ac:dyDescent="0.25">
      <c r="A3291" s="8" t="s">
        <v>10582</v>
      </c>
      <c r="B3291" s="8" t="s">
        <v>14388</v>
      </c>
      <c r="C3291" s="2">
        <v>46251.416666666664</v>
      </c>
      <c r="D3291" s="8" t="s">
        <v>13937</v>
      </c>
      <c r="E3291" s="8" t="s">
        <v>20</v>
      </c>
      <c r="F3291">
        <v>4</v>
      </c>
      <c r="G3291" s="2">
        <v>46251.75</v>
      </c>
      <c r="H3291" s="2">
        <v>46251.583333333336</v>
      </c>
    </row>
    <row r="3292" spans="1:8" x14ac:dyDescent="0.25">
      <c r="A3292" s="8" t="s">
        <v>10585</v>
      </c>
      <c r="B3292" s="8" t="s">
        <v>14388</v>
      </c>
      <c r="C3292" s="2">
        <v>46251.416666666664</v>
      </c>
      <c r="D3292" s="8" t="s">
        <v>13937</v>
      </c>
      <c r="E3292" s="8" t="s">
        <v>22</v>
      </c>
      <c r="F3292">
        <v>4</v>
      </c>
      <c r="G3292" s="2">
        <v>46251.75</v>
      </c>
      <c r="H3292" s="2">
        <v>46251.583333333336</v>
      </c>
    </row>
    <row r="3293" spans="1:8" x14ac:dyDescent="0.25">
      <c r="A3293" s="8" t="s">
        <v>10588</v>
      </c>
      <c r="B3293" s="8" t="s">
        <v>14388</v>
      </c>
      <c r="C3293" s="2">
        <v>46251.416666666664</v>
      </c>
      <c r="D3293" s="8" t="s">
        <v>13937</v>
      </c>
      <c r="E3293" s="8" t="s">
        <v>24</v>
      </c>
      <c r="F3293">
        <v>3</v>
      </c>
      <c r="G3293" s="2">
        <v>46251.75</v>
      </c>
      <c r="H3293" s="2">
        <v>46251.583333333336</v>
      </c>
    </row>
    <row r="3294" spans="1:8" x14ac:dyDescent="0.25">
      <c r="A3294" s="8" t="s">
        <v>10591</v>
      </c>
      <c r="B3294" s="8" t="s">
        <v>14388</v>
      </c>
      <c r="C3294" s="2">
        <v>46251.416666666664</v>
      </c>
      <c r="D3294" s="8" t="s">
        <v>13937</v>
      </c>
      <c r="E3294" s="8" t="s">
        <v>26</v>
      </c>
      <c r="F3294">
        <v>1</v>
      </c>
      <c r="G3294" s="2">
        <v>46251.75</v>
      </c>
      <c r="H3294" s="2">
        <v>46251.583333333336</v>
      </c>
    </row>
    <row r="3295" spans="1:8" x14ac:dyDescent="0.25">
      <c r="A3295" s="8" t="s">
        <v>10594</v>
      </c>
      <c r="B3295" s="8" t="s">
        <v>14388</v>
      </c>
      <c r="C3295" s="2">
        <v>46251.416666666664</v>
      </c>
      <c r="D3295" s="8" t="s">
        <v>13937</v>
      </c>
      <c r="E3295" s="8" t="s">
        <v>28</v>
      </c>
      <c r="F3295">
        <v>4</v>
      </c>
      <c r="G3295" s="2">
        <v>46251.75</v>
      </c>
      <c r="H3295" s="2">
        <v>46251.583333333336</v>
      </c>
    </row>
    <row r="3296" spans="1:8" x14ac:dyDescent="0.25">
      <c r="A3296" s="8" t="s">
        <v>10597</v>
      </c>
      <c r="B3296" s="8" t="s">
        <v>14388</v>
      </c>
      <c r="C3296" s="2">
        <v>46251.416666666664</v>
      </c>
      <c r="D3296" s="8" t="s">
        <v>13937</v>
      </c>
      <c r="E3296" s="8" t="s">
        <v>32</v>
      </c>
      <c r="F3296">
        <v>4</v>
      </c>
      <c r="G3296" s="2">
        <v>46251.75</v>
      </c>
      <c r="H3296" s="2">
        <v>46251.583333333336</v>
      </c>
    </row>
    <row r="3297" spans="1:8" x14ac:dyDescent="0.25">
      <c r="A3297" s="8" t="s">
        <v>10600</v>
      </c>
      <c r="B3297" s="8" t="s">
        <v>14388</v>
      </c>
      <c r="C3297" s="2">
        <v>46251.416666666664</v>
      </c>
      <c r="D3297" s="8" t="s">
        <v>13937</v>
      </c>
      <c r="E3297" s="8" t="s">
        <v>36</v>
      </c>
      <c r="F3297">
        <v>4</v>
      </c>
      <c r="G3297" s="2">
        <v>46251.75</v>
      </c>
      <c r="H3297" s="2">
        <v>46251.583333333336</v>
      </c>
    </row>
    <row r="3298" spans="1:8" x14ac:dyDescent="0.25">
      <c r="A3298" s="8" t="s">
        <v>10603</v>
      </c>
      <c r="B3298" s="8" t="s">
        <v>14388</v>
      </c>
      <c r="C3298" s="2">
        <v>46251.416666666664</v>
      </c>
      <c r="D3298" s="8" t="s">
        <v>13937</v>
      </c>
      <c r="E3298" s="8" t="s">
        <v>41</v>
      </c>
      <c r="F3298">
        <v>4</v>
      </c>
      <c r="G3298" s="2">
        <v>46251.75</v>
      </c>
      <c r="H3298" s="2">
        <v>46251.583333333336</v>
      </c>
    </row>
    <row r="3299" spans="1:8" x14ac:dyDescent="0.25">
      <c r="A3299" s="8" t="s">
        <v>10606</v>
      </c>
      <c r="B3299" s="8" t="s">
        <v>14388</v>
      </c>
      <c r="C3299" s="2">
        <v>46251.416666666664</v>
      </c>
      <c r="D3299" s="8" t="s">
        <v>13937</v>
      </c>
      <c r="E3299" s="8" t="s">
        <v>51</v>
      </c>
      <c r="F3299">
        <v>4</v>
      </c>
      <c r="G3299" s="2">
        <v>46251.75</v>
      </c>
      <c r="H3299" s="2">
        <v>46251.583333333336</v>
      </c>
    </row>
    <row r="3300" spans="1:8" x14ac:dyDescent="0.25">
      <c r="A3300" s="8" t="s">
        <v>10609</v>
      </c>
      <c r="B3300" s="8" t="s">
        <v>14388</v>
      </c>
      <c r="C3300" s="2">
        <v>46251.416666666664</v>
      </c>
      <c r="D3300" s="8" t="s">
        <v>13937</v>
      </c>
      <c r="E3300" s="8" t="s">
        <v>55</v>
      </c>
      <c r="F3300">
        <v>4</v>
      </c>
      <c r="G3300" s="2">
        <v>46251.75</v>
      </c>
      <c r="H3300" s="2">
        <v>46251.583333333336</v>
      </c>
    </row>
    <row r="3301" spans="1:8" x14ac:dyDescent="0.25">
      <c r="A3301" s="8" t="s">
        <v>10612</v>
      </c>
      <c r="B3301" s="8" t="s">
        <v>14388</v>
      </c>
      <c r="C3301" s="2">
        <v>46251.416666666664</v>
      </c>
      <c r="D3301" s="8" t="s">
        <v>13937</v>
      </c>
      <c r="E3301" s="8" t="s">
        <v>67</v>
      </c>
      <c r="F3301">
        <v>4</v>
      </c>
      <c r="G3301" s="2">
        <v>46251.75</v>
      </c>
      <c r="H3301" s="2">
        <v>46251.583333333336</v>
      </c>
    </row>
    <row r="3302" spans="1:8" x14ac:dyDescent="0.25">
      <c r="A3302" s="8" t="s">
        <v>10651</v>
      </c>
      <c r="B3302" s="8" t="s">
        <v>14389</v>
      </c>
      <c r="C3302" s="2">
        <v>46252.416666666664</v>
      </c>
      <c r="D3302" s="8" t="s">
        <v>13929</v>
      </c>
      <c r="E3302" s="8" t="s">
        <v>11</v>
      </c>
      <c r="F3302">
        <v>4</v>
      </c>
      <c r="G3302" s="2">
        <v>46252.75</v>
      </c>
      <c r="H3302" s="2">
        <v>46252.583333333336</v>
      </c>
    </row>
    <row r="3303" spans="1:8" x14ac:dyDescent="0.25">
      <c r="A3303" s="8" t="s">
        <v>10654</v>
      </c>
      <c r="B3303" s="8" t="s">
        <v>14389</v>
      </c>
      <c r="C3303" s="2">
        <v>46252.416666666664</v>
      </c>
      <c r="D3303" s="8" t="s">
        <v>13929</v>
      </c>
      <c r="E3303" s="8" t="s">
        <v>24</v>
      </c>
      <c r="F3303">
        <v>2</v>
      </c>
      <c r="G3303" s="2">
        <v>46252.75</v>
      </c>
      <c r="H3303" s="2">
        <v>46252.583333333336</v>
      </c>
    </row>
    <row r="3304" spans="1:8" x14ac:dyDescent="0.25">
      <c r="A3304" s="8" t="s">
        <v>10657</v>
      </c>
      <c r="B3304" s="8" t="s">
        <v>14389</v>
      </c>
      <c r="C3304" s="2">
        <v>46252.416666666664</v>
      </c>
      <c r="D3304" s="8" t="s">
        <v>13929</v>
      </c>
      <c r="E3304" s="8" t="s">
        <v>26</v>
      </c>
      <c r="F3304">
        <v>2</v>
      </c>
      <c r="G3304" s="2">
        <v>46252.75</v>
      </c>
      <c r="H3304" s="2">
        <v>46252.583333333336</v>
      </c>
    </row>
    <row r="3305" spans="1:8" x14ac:dyDescent="0.25">
      <c r="A3305" s="8" t="s">
        <v>10660</v>
      </c>
      <c r="B3305" s="8" t="s">
        <v>14389</v>
      </c>
      <c r="C3305" s="2">
        <v>46252.416666666664</v>
      </c>
      <c r="D3305" s="8" t="s">
        <v>13929</v>
      </c>
      <c r="E3305" s="8" t="s">
        <v>30</v>
      </c>
      <c r="F3305">
        <v>3</v>
      </c>
      <c r="G3305" s="2">
        <v>46252.75</v>
      </c>
      <c r="H3305" s="2">
        <v>46252.583333333336</v>
      </c>
    </row>
    <row r="3306" spans="1:8" x14ac:dyDescent="0.25">
      <c r="A3306" s="8" t="s">
        <v>10663</v>
      </c>
      <c r="B3306" s="8" t="s">
        <v>14389</v>
      </c>
      <c r="C3306" s="2">
        <v>46252.416666666664</v>
      </c>
      <c r="D3306" s="8" t="s">
        <v>13929</v>
      </c>
      <c r="E3306" s="8" t="s">
        <v>45</v>
      </c>
      <c r="F3306">
        <v>2</v>
      </c>
      <c r="G3306" s="2">
        <v>46252.75</v>
      </c>
      <c r="H3306" s="2">
        <v>46252.583333333336</v>
      </c>
    </row>
    <row r="3307" spans="1:8" x14ac:dyDescent="0.25">
      <c r="A3307" s="8" t="s">
        <v>10666</v>
      </c>
      <c r="B3307" s="8" t="s">
        <v>14389</v>
      </c>
      <c r="C3307" s="2">
        <v>46252.416666666664</v>
      </c>
      <c r="D3307" s="8" t="s">
        <v>13929</v>
      </c>
      <c r="E3307" s="8" t="s">
        <v>69</v>
      </c>
      <c r="F3307">
        <v>1</v>
      </c>
      <c r="G3307" s="2">
        <v>46252.75</v>
      </c>
      <c r="H3307" s="2">
        <v>46252.583333333336</v>
      </c>
    </row>
    <row r="3308" spans="1:8" x14ac:dyDescent="0.25">
      <c r="A3308" s="8" t="s">
        <v>10669</v>
      </c>
      <c r="B3308" s="8" t="s">
        <v>14389</v>
      </c>
      <c r="C3308" s="2">
        <v>46252.416666666664</v>
      </c>
      <c r="D3308" s="8" t="s">
        <v>13929</v>
      </c>
      <c r="E3308" s="8" t="s">
        <v>71</v>
      </c>
      <c r="F3308">
        <v>2</v>
      </c>
      <c r="G3308" s="2">
        <v>46252.75</v>
      </c>
      <c r="H3308" s="2">
        <v>46252.583333333336</v>
      </c>
    </row>
    <row r="3309" spans="1:8" x14ac:dyDescent="0.25">
      <c r="A3309" s="8" t="s">
        <v>10672</v>
      </c>
      <c r="B3309" s="8" t="s">
        <v>14389</v>
      </c>
      <c r="C3309" s="2">
        <v>46252.416666666664</v>
      </c>
      <c r="D3309" s="8" t="s">
        <v>13929</v>
      </c>
      <c r="E3309" s="8" t="s">
        <v>73</v>
      </c>
      <c r="F3309">
        <v>4</v>
      </c>
      <c r="G3309" s="2">
        <v>46252.75</v>
      </c>
      <c r="H3309" s="2">
        <v>46252.583333333336</v>
      </c>
    </row>
    <row r="3310" spans="1:8" x14ac:dyDescent="0.25">
      <c r="A3310" s="8" t="s">
        <v>10675</v>
      </c>
      <c r="B3310" s="8" t="s">
        <v>14389</v>
      </c>
      <c r="C3310" s="2">
        <v>46252.416666666664</v>
      </c>
      <c r="D3310" s="8" t="s">
        <v>13929</v>
      </c>
      <c r="E3310" s="8" t="s">
        <v>75</v>
      </c>
      <c r="F3310">
        <v>1</v>
      </c>
      <c r="G3310" s="2">
        <v>46252.75</v>
      </c>
      <c r="H3310" s="2">
        <v>46252.583333333336</v>
      </c>
    </row>
    <row r="3311" spans="1:8" x14ac:dyDescent="0.25">
      <c r="A3311" s="8" t="s">
        <v>10678</v>
      </c>
      <c r="B3311" s="8" t="s">
        <v>14389</v>
      </c>
      <c r="C3311" s="2">
        <v>46252.416666666664</v>
      </c>
      <c r="D3311" s="8" t="s">
        <v>13929</v>
      </c>
      <c r="E3311" s="8" t="s">
        <v>77</v>
      </c>
      <c r="F3311">
        <v>2</v>
      </c>
      <c r="G3311" s="2">
        <v>46252.75</v>
      </c>
      <c r="H3311" s="2">
        <v>46252.583333333336</v>
      </c>
    </row>
    <row r="3312" spans="1:8" x14ac:dyDescent="0.25">
      <c r="A3312" s="8" t="s">
        <v>10681</v>
      </c>
      <c r="B3312" s="8" t="s">
        <v>14390</v>
      </c>
      <c r="C3312" s="2">
        <v>46252.416666666664</v>
      </c>
      <c r="D3312" s="8" t="s">
        <v>13931</v>
      </c>
      <c r="E3312" s="8" t="s">
        <v>11</v>
      </c>
      <c r="F3312">
        <v>2</v>
      </c>
      <c r="G3312" s="2">
        <v>46252.75</v>
      </c>
      <c r="H3312" s="2">
        <v>46252.583333333336</v>
      </c>
    </row>
    <row r="3313" spans="1:8" x14ac:dyDescent="0.25">
      <c r="A3313" s="8" t="s">
        <v>10684</v>
      </c>
      <c r="B3313" s="8" t="s">
        <v>14390</v>
      </c>
      <c r="C3313" s="2">
        <v>46252.416666666664</v>
      </c>
      <c r="D3313" s="8" t="s">
        <v>13931</v>
      </c>
      <c r="E3313" s="8" t="s">
        <v>20</v>
      </c>
      <c r="F3313">
        <v>4</v>
      </c>
      <c r="G3313" s="2">
        <v>46252.75</v>
      </c>
      <c r="H3313" s="2">
        <v>46252.583333333336</v>
      </c>
    </row>
    <row r="3314" spans="1:8" x14ac:dyDescent="0.25">
      <c r="A3314" s="8" t="s">
        <v>10687</v>
      </c>
      <c r="B3314" s="8" t="s">
        <v>14390</v>
      </c>
      <c r="C3314" s="2">
        <v>46252.416666666664</v>
      </c>
      <c r="D3314" s="8" t="s">
        <v>13931</v>
      </c>
      <c r="E3314" s="8" t="s">
        <v>26</v>
      </c>
      <c r="F3314">
        <v>5</v>
      </c>
      <c r="G3314" s="2">
        <v>46252.75</v>
      </c>
      <c r="H3314" s="2">
        <v>46252.583333333336</v>
      </c>
    </row>
    <row r="3315" spans="1:8" x14ac:dyDescent="0.25">
      <c r="A3315" s="8" t="s">
        <v>10690</v>
      </c>
      <c r="B3315" s="8" t="s">
        <v>14390</v>
      </c>
      <c r="C3315" s="2">
        <v>46252.416666666664</v>
      </c>
      <c r="D3315" s="8" t="s">
        <v>13931</v>
      </c>
      <c r="E3315" s="8" t="s">
        <v>57</v>
      </c>
      <c r="F3315">
        <v>2</v>
      </c>
      <c r="G3315" s="2">
        <v>46252.75</v>
      </c>
      <c r="H3315" s="2">
        <v>46252.583333333336</v>
      </c>
    </row>
    <row r="3316" spans="1:8" x14ac:dyDescent="0.25">
      <c r="A3316" s="8" t="s">
        <v>10693</v>
      </c>
      <c r="B3316" s="8" t="s">
        <v>14390</v>
      </c>
      <c r="C3316" s="2">
        <v>46252.416666666664</v>
      </c>
      <c r="D3316" s="8" t="s">
        <v>13931</v>
      </c>
      <c r="E3316" s="8" t="s">
        <v>69</v>
      </c>
      <c r="F3316">
        <v>5</v>
      </c>
      <c r="G3316" s="2">
        <v>46252.75</v>
      </c>
      <c r="H3316" s="2">
        <v>46252.583333333336</v>
      </c>
    </row>
    <row r="3317" spans="1:8" x14ac:dyDescent="0.25">
      <c r="A3317" s="8" t="s">
        <v>10696</v>
      </c>
      <c r="B3317" s="8" t="s">
        <v>14390</v>
      </c>
      <c r="C3317" s="2">
        <v>46252.416666666664</v>
      </c>
      <c r="D3317" s="8" t="s">
        <v>13931</v>
      </c>
      <c r="E3317" s="8" t="s">
        <v>75</v>
      </c>
      <c r="F3317">
        <v>1</v>
      </c>
      <c r="G3317" s="2">
        <v>46252.75</v>
      </c>
      <c r="H3317" s="2">
        <v>46252.583333333336</v>
      </c>
    </row>
    <row r="3318" spans="1:8" x14ac:dyDescent="0.25">
      <c r="A3318" s="8" t="s">
        <v>10699</v>
      </c>
      <c r="B3318" s="8" t="s">
        <v>14390</v>
      </c>
      <c r="C3318" s="2">
        <v>46252.416666666664</v>
      </c>
      <c r="D3318" s="8" t="s">
        <v>13931</v>
      </c>
      <c r="E3318" s="8" t="s">
        <v>77</v>
      </c>
      <c r="F3318">
        <v>2</v>
      </c>
      <c r="G3318" s="2">
        <v>46252.75</v>
      </c>
      <c r="H3318" s="2">
        <v>46252.583333333336</v>
      </c>
    </row>
    <row r="3319" spans="1:8" x14ac:dyDescent="0.25">
      <c r="A3319" s="8" t="s">
        <v>10702</v>
      </c>
      <c r="B3319" s="8" t="s">
        <v>14391</v>
      </c>
      <c r="C3319" s="2">
        <v>46252.416666666664</v>
      </c>
      <c r="D3319" s="8" t="s">
        <v>13933</v>
      </c>
      <c r="E3319" s="8" t="s">
        <v>18</v>
      </c>
      <c r="F3319">
        <v>6</v>
      </c>
      <c r="G3319" s="2">
        <v>46252.75</v>
      </c>
      <c r="H3319" s="2">
        <v>46252.583333333336</v>
      </c>
    </row>
    <row r="3320" spans="1:8" x14ac:dyDescent="0.25">
      <c r="A3320" s="8" t="s">
        <v>10705</v>
      </c>
      <c r="B3320" s="8" t="s">
        <v>14391</v>
      </c>
      <c r="C3320" s="2">
        <v>46252.416666666664</v>
      </c>
      <c r="D3320" s="8" t="s">
        <v>13933</v>
      </c>
      <c r="E3320" s="8" t="s">
        <v>20</v>
      </c>
      <c r="F3320">
        <v>1</v>
      </c>
      <c r="G3320" s="2">
        <v>46252.75</v>
      </c>
      <c r="H3320" s="2">
        <v>46252.583333333336</v>
      </c>
    </row>
    <row r="3321" spans="1:8" x14ac:dyDescent="0.25">
      <c r="A3321" s="8" t="s">
        <v>10708</v>
      </c>
      <c r="B3321" s="8" t="s">
        <v>14391</v>
      </c>
      <c r="C3321" s="2">
        <v>46252.416666666664</v>
      </c>
      <c r="D3321" s="8" t="s">
        <v>13933</v>
      </c>
      <c r="E3321" s="8" t="s">
        <v>22</v>
      </c>
      <c r="F3321">
        <v>1</v>
      </c>
      <c r="G3321" s="2">
        <v>46252.75</v>
      </c>
      <c r="H3321" s="2">
        <v>46252.583333333336</v>
      </c>
    </row>
    <row r="3322" spans="1:8" x14ac:dyDescent="0.25">
      <c r="A3322" s="8" t="s">
        <v>10711</v>
      </c>
      <c r="B3322" s="8" t="s">
        <v>14391</v>
      </c>
      <c r="C3322" s="2">
        <v>46252.416666666664</v>
      </c>
      <c r="D3322" s="8" t="s">
        <v>13933</v>
      </c>
      <c r="E3322" s="8" t="s">
        <v>24</v>
      </c>
      <c r="F3322">
        <v>5</v>
      </c>
      <c r="G3322" s="2">
        <v>46252.75</v>
      </c>
      <c r="H3322" s="2">
        <v>46252.583333333336</v>
      </c>
    </row>
    <row r="3323" spans="1:8" x14ac:dyDescent="0.25">
      <c r="A3323" s="8" t="s">
        <v>10714</v>
      </c>
      <c r="B3323" s="8" t="s">
        <v>14391</v>
      </c>
      <c r="C3323" s="2">
        <v>46252.416666666664</v>
      </c>
      <c r="D3323" s="8" t="s">
        <v>13933</v>
      </c>
      <c r="E3323" s="8" t="s">
        <v>32</v>
      </c>
      <c r="F3323">
        <v>2</v>
      </c>
      <c r="G3323" s="2">
        <v>46252.75</v>
      </c>
      <c r="H3323" s="2">
        <v>46252.583333333336</v>
      </c>
    </row>
    <row r="3324" spans="1:8" x14ac:dyDescent="0.25">
      <c r="A3324" s="8" t="s">
        <v>10717</v>
      </c>
      <c r="B3324" s="8" t="s">
        <v>14391</v>
      </c>
      <c r="C3324" s="2">
        <v>46252.416666666664</v>
      </c>
      <c r="D3324" s="8" t="s">
        <v>13933</v>
      </c>
      <c r="E3324" s="8" t="s">
        <v>36</v>
      </c>
      <c r="F3324">
        <v>2</v>
      </c>
      <c r="G3324" s="2">
        <v>46252.75</v>
      </c>
      <c r="H3324" s="2">
        <v>46252.583333333336</v>
      </c>
    </row>
    <row r="3325" spans="1:8" x14ac:dyDescent="0.25">
      <c r="A3325" s="8" t="s">
        <v>10720</v>
      </c>
      <c r="B3325" s="8" t="s">
        <v>14391</v>
      </c>
      <c r="C3325" s="2">
        <v>46252.416666666664</v>
      </c>
      <c r="D3325" s="8" t="s">
        <v>13933</v>
      </c>
      <c r="E3325" s="8" t="s">
        <v>43</v>
      </c>
      <c r="F3325">
        <v>6</v>
      </c>
      <c r="G3325" s="2">
        <v>46252.75</v>
      </c>
      <c r="H3325" s="2">
        <v>46252.583333333336</v>
      </c>
    </row>
    <row r="3326" spans="1:8" x14ac:dyDescent="0.25">
      <c r="A3326" s="8" t="s">
        <v>10723</v>
      </c>
      <c r="B3326" s="8" t="s">
        <v>14391</v>
      </c>
      <c r="C3326" s="2">
        <v>46252.416666666664</v>
      </c>
      <c r="D3326" s="8" t="s">
        <v>13933</v>
      </c>
      <c r="E3326" s="8" t="s">
        <v>55</v>
      </c>
      <c r="F3326">
        <v>4</v>
      </c>
      <c r="G3326" s="2">
        <v>46252.75</v>
      </c>
      <c r="H3326" s="2">
        <v>46252.583333333336</v>
      </c>
    </row>
    <row r="3327" spans="1:8" x14ac:dyDescent="0.25">
      <c r="A3327" s="8" t="s">
        <v>10726</v>
      </c>
      <c r="B3327" s="8" t="s">
        <v>14391</v>
      </c>
      <c r="C3327" s="2">
        <v>46252.416666666664</v>
      </c>
      <c r="D3327" s="8" t="s">
        <v>13933</v>
      </c>
      <c r="E3327" s="8" t="s">
        <v>75</v>
      </c>
      <c r="F3327">
        <v>6</v>
      </c>
      <c r="G3327" s="2">
        <v>46252.75</v>
      </c>
      <c r="H3327" s="2">
        <v>46252.583333333336</v>
      </c>
    </row>
    <row r="3328" spans="1:8" x14ac:dyDescent="0.25">
      <c r="A3328" s="8" t="s">
        <v>10729</v>
      </c>
      <c r="B3328" s="8" t="s">
        <v>14392</v>
      </c>
      <c r="C3328" s="2">
        <v>46252.416666666664</v>
      </c>
      <c r="D3328" s="8" t="s">
        <v>13935</v>
      </c>
      <c r="E3328" s="8" t="s">
        <v>11</v>
      </c>
      <c r="F3328">
        <v>7</v>
      </c>
      <c r="G3328" s="2">
        <v>46252.75</v>
      </c>
      <c r="H3328" s="2">
        <v>46252.583333333336</v>
      </c>
    </row>
    <row r="3329" spans="1:8" x14ac:dyDescent="0.25">
      <c r="A3329" s="8" t="s">
        <v>10732</v>
      </c>
      <c r="B3329" s="8" t="s">
        <v>14392</v>
      </c>
      <c r="C3329" s="2">
        <v>46252.416666666664</v>
      </c>
      <c r="D3329" s="8" t="s">
        <v>13935</v>
      </c>
      <c r="E3329" s="8" t="s">
        <v>18</v>
      </c>
      <c r="F3329">
        <v>1</v>
      </c>
      <c r="G3329" s="2">
        <v>46252.75</v>
      </c>
      <c r="H3329" s="2">
        <v>46252.583333333336</v>
      </c>
    </row>
    <row r="3330" spans="1:8" x14ac:dyDescent="0.25">
      <c r="A3330" s="8" t="s">
        <v>10735</v>
      </c>
      <c r="B3330" s="8" t="s">
        <v>14392</v>
      </c>
      <c r="C3330" s="2">
        <v>46252.416666666664</v>
      </c>
      <c r="D3330" s="8" t="s">
        <v>13935</v>
      </c>
      <c r="E3330" s="8" t="s">
        <v>24</v>
      </c>
      <c r="F3330">
        <v>6</v>
      </c>
      <c r="G3330" s="2">
        <v>46252.75</v>
      </c>
      <c r="H3330" s="2">
        <v>46252.583333333336</v>
      </c>
    </row>
    <row r="3331" spans="1:8" x14ac:dyDescent="0.25">
      <c r="A3331" s="8" t="s">
        <v>10738</v>
      </c>
      <c r="B3331" s="8" t="s">
        <v>14392</v>
      </c>
      <c r="C3331" s="2">
        <v>46252.416666666664</v>
      </c>
      <c r="D3331" s="8" t="s">
        <v>13935</v>
      </c>
      <c r="E3331" s="8" t="s">
        <v>28</v>
      </c>
      <c r="F3331">
        <v>4</v>
      </c>
      <c r="G3331" s="2">
        <v>46252.75</v>
      </c>
      <c r="H3331" s="2">
        <v>46252.583333333336</v>
      </c>
    </row>
    <row r="3332" spans="1:8" x14ac:dyDescent="0.25">
      <c r="A3332" s="8" t="s">
        <v>10741</v>
      </c>
      <c r="B3332" s="8" t="s">
        <v>14392</v>
      </c>
      <c r="C3332" s="2">
        <v>46252.416666666664</v>
      </c>
      <c r="D3332" s="8" t="s">
        <v>13935</v>
      </c>
      <c r="E3332" s="8" t="s">
        <v>32</v>
      </c>
      <c r="F3332">
        <v>1</v>
      </c>
      <c r="G3332" s="2">
        <v>46252.75</v>
      </c>
      <c r="H3332" s="2">
        <v>46252.583333333336</v>
      </c>
    </row>
    <row r="3333" spans="1:8" x14ac:dyDescent="0.25">
      <c r="A3333" s="8" t="s">
        <v>10744</v>
      </c>
      <c r="B3333" s="8" t="s">
        <v>14392</v>
      </c>
      <c r="C3333" s="2">
        <v>46252.416666666664</v>
      </c>
      <c r="D3333" s="8" t="s">
        <v>13935</v>
      </c>
      <c r="E3333" s="8" t="s">
        <v>65</v>
      </c>
      <c r="F3333">
        <v>4</v>
      </c>
      <c r="G3333" s="2">
        <v>46252.75</v>
      </c>
      <c r="H3333" s="2">
        <v>46252.583333333336</v>
      </c>
    </row>
    <row r="3334" spans="1:8" x14ac:dyDescent="0.25">
      <c r="A3334" s="8" t="s">
        <v>10747</v>
      </c>
      <c r="B3334" s="8" t="s">
        <v>14392</v>
      </c>
      <c r="C3334" s="2">
        <v>46252.416666666664</v>
      </c>
      <c r="D3334" s="8" t="s">
        <v>13935</v>
      </c>
      <c r="E3334" s="8" t="s">
        <v>71</v>
      </c>
      <c r="F3334">
        <v>3</v>
      </c>
      <c r="G3334" s="2">
        <v>46252.75</v>
      </c>
      <c r="H3334" s="2">
        <v>46252.583333333336</v>
      </c>
    </row>
    <row r="3335" spans="1:8" x14ac:dyDescent="0.25">
      <c r="A3335" s="8" t="s">
        <v>10750</v>
      </c>
      <c r="B3335" s="8" t="s">
        <v>14392</v>
      </c>
      <c r="C3335" s="2">
        <v>46252.416666666664</v>
      </c>
      <c r="D3335" s="8" t="s">
        <v>13935</v>
      </c>
      <c r="E3335" s="8" t="s">
        <v>73</v>
      </c>
      <c r="F3335">
        <v>3</v>
      </c>
      <c r="G3335" s="2">
        <v>46252.75</v>
      </c>
      <c r="H3335" s="2">
        <v>46252.583333333336</v>
      </c>
    </row>
    <row r="3336" spans="1:8" x14ac:dyDescent="0.25">
      <c r="A3336" s="8" t="s">
        <v>10753</v>
      </c>
      <c r="B3336" s="8" t="s">
        <v>14392</v>
      </c>
      <c r="C3336" s="2">
        <v>46252.416666666664</v>
      </c>
      <c r="D3336" s="8" t="s">
        <v>13935</v>
      </c>
      <c r="E3336" s="8" t="s">
        <v>75</v>
      </c>
      <c r="F3336">
        <v>4</v>
      </c>
      <c r="G3336" s="2">
        <v>46252.75</v>
      </c>
      <c r="H3336" s="2">
        <v>46252.583333333336</v>
      </c>
    </row>
    <row r="3337" spans="1:8" x14ac:dyDescent="0.25">
      <c r="A3337" s="8" t="s">
        <v>10756</v>
      </c>
      <c r="B3337" s="8" t="s">
        <v>14393</v>
      </c>
      <c r="C3337" s="2">
        <v>46252.416666666664</v>
      </c>
      <c r="D3337" s="8" t="s">
        <v>13937</v>
      </c>
      <c r="E3337" s="8" t="s">
        <v>11</v>
      </c>
      <c r="F3337">
        <v>4</v>
      </c>
      <c r="G3337" s="2">
        <v>46252.75</v>
      </c>
      <c r="H3337" s="2">
        <v>46252.583333333336</v>
      </c>
    </row>
    <row r="3338" spans="1:8" x14ac:dyDescent="0.25">
      <c r="A3338" s="8" t="s">
        <v>10759</v>
      </c>
      <c r="B3338" s="8" t="s">
        <v>14393</v>
      </c>
      <c r="C3338" s="2">
        <v>46252.416666666664</v>
      </c>
      <c r="D3338" s="8" t="s">
        <v>13937</v>
      </c>
      <c r="E3338" s="8" t="s">
        <v>18</v>
      </c>
      <c r="F3338">
        <v>1</v>
      </c>
      <c r="G3338" s="2">
        <v>46252.75</v>
      </c>
      <c r="H3338" s="2">
        <v>46252.583333333336</v>
      </c>
    </row>
    <row r="3339" spans="1:8" x14ac:dyDescent="0.25">
      <c r="A3339" s="8" t="s">
        <v>10762</v>
      </c>
      <c r="B3339" s="8" t="s">
        <v>14393</v>
      </c>
      <c r="C3339" s="2">
        <v>46252.416666666664</v>
      </c>
      <c r="D3339" s="8" t="s">
        <v>13937</v>
      </c>
      <c r="E3339" s="8" t="s">
        <v>20</v>
      </c>
      <c r="F3339">
        <v>3</v>
      </c>
      <c r="G3339" s="2">
        <v>46252.75</v>
      </c>
      <c r="H3339" s="2">
        <v>46252.583333333336</v>
      </c>
    </row>
    <row r="3340" spans="1:8" x14ac:dyDescent="0.25">
      <c r="A3340" s="8" t="s">
        <v>10765</v>
      </c>
      <c r="B3340" s="8" t="s">
        <v>14393</v>
      </c>
      <c r="C3340" s="2">
        <v>46252.416666666664</v>
      </c>
      <c r="D3340" s="8" t="s">
        <v>13937</v>
      </c>
      <c r="E3340" s="8" t="s">
        <v>22</v>
      </c>
      <c r="F3340">
        <v>4</v>
      </c>
      <c r="G3340" s="2">
        <v>46252.75</v>
      </c>
      <c r="H3340" s="2">
        <v>46252.583333333336</v>
      </c>
    </row>
    <row r="3341" spans="1:8" x14ac:dyDescent="0.25">
      <c r="A3341" s="8" t="s">
        <v>10768</v>
      </c>
      <c r="B3341" s="8" t="s">
        <v>14393</v>
      </c>
      <c r="C3341" s="2">
        <v>46252.416666666664</v>
      </c>
      <c r="D3341" s="8" t="s">
        <v>13937</v>
      </c>
      <c r="E3341" s="8" t="s">
        <v>24</v>
      </c>
      <c r="F3341">
        <v>4</v>
      </c>
      <c r="G3341" s="2">
        <v>46252.75</v>
      </c>
      <c r="H3341" s="2">
        <v>46252.583333333336</v>
      </c>
    </row>
    <row r="3342" spans="1:8" x14ac:dyDescent="0.25">
      <c r="A3342" s="8" t="s">
        <v>10771</v>
      </c>
      <c r="B3342" s="8" t="s">
        <v>14393</v>
      </c>
      <c r="C3342" s="2">
        <v>46252.416666666664</v>
      </c>
      <c r="D3342" s="8" t="s">
        <v>13937</v>
      </c>
      <c r="E3342" s="8" t="s">
        <v>32</v>
      </c>
      <c r="F3342">
        <v>3</v>
      </c>
      <c r="G3342" s="2">
        <v>46252.75</v>
      </c>
      <c r="H3342" s="2">
        <v>46252.583333333336</v>
      </c>
    </row>
    <row r="3343" spans="1:8" x14ac:dyDescent="0.25">
      <c r="A3343" s="8" t="s">
        <v>10776</v>
      </c>
      <c r="B3343" s="8" t="s">
        <v>14393</v>
      </c>
      <c r="C3343" s="2">
        <v>46252.416666666664</v>
      </c>
      <c r="D3343" s="8" t="s">
        <v>13937</v>
      </c>
      <c r="E3343" s="8" t="s">
        <v>43</v>
      </c>
      <c r="F3343">
        <v>4</v>
      </c>
      <c r="G3343" s="2">
        <v>46252.75</v>
      </c>
      <c r="H3343" s="2">
        <v>46252.583333333336</v>
      </c>
    </row>
    <row r="3344" spans="1:8" x14ac:dyDescent="0.25">
      <c r="A3344" s="8" t="s">
        <v>10779</v>
      </c>
      <c r="B3344" s="8" t="s">
        <v>14393</v>
      </c>
      <c r="C3344" s="2">
        <v>46252.416666666664</v>
      </c>
      <c r="D3344" s="8" t="s">
        <v>13937</v>
      </c>
      <c r="E3344" s="8" t="s">
        <v>53</v>
      </c>
      <c r="F3344">
        <v>1</v>
      </c>
      <c r="G3344" s="2">
        <v>46252.75</v>
      </c>
      <c r="H3344" s="2">
        <v>46252.583333333336</v>
      </c>
    </row>
    <row r="3345" spans="1:8" x14ac:dyDescent="0.25">
      <c r="A3345" s="8" t="s">
        <v>10782</v>
      </c>
      <c r="B3345" s="8" t="s">
        <v>14393</v>
      </c>
      <c r="C3345" s="2">
        <v>46252.416666666664</v>
      </c>
      <c r="D3345" s="8" t="s">
        <v>13937</v>
      </c>
      <c r="E3345" s="8" t="s">
        <v>73</v>
      </c>
      <c r="F3345">
        <v>1</v>
      </c>
      <c r="G3345" s="2">
        <v>46252.75</v>
      </c>
      <c r="H3345" s="2">
        <v>46252.583333333336</v>
      </c>
    </row>
    <row r="3346" spans="1:8" x14ac:dyDescent="0.25">
      <c r="A3346" s="8" t="s">
        <v>10785</v>
      </c>
      <c r="B3346" s="8" t="s">
        <v>14393</v>
      </c>
      <c r="C3346" s="2">
        <v>46252.416666666664</v>
      </c>
      <c r="D3346" s="8" t="s">
        <v>13937</v>
      </c>
      <c r="E3346" s="8" t="s">
        <v>77</v>
      </c>
      <c r="F3346">
        <v>1</v>
      </c>
      <c r="G3346" s="2">
        <v>46252.75</v>
      </c>
      <c r="H3346" s="2">
        <v>46252.583333333336</v>
      </c>
    </row>
    <row r="3347" spans="1:8" x14ac:dyDescent="0.25">
      <c r="A3347" s="8" t="s">
        <v>10788</v>
      </c>
      <c r="B3347" s="8" t="s">
        <v>14394</v>
      </c>
      <c r="C3347" s="2">
        <v>46253.416666666664</v>
      </c>
      <c r="D3347" s="8" t="s">
        <v>13929</v>
      </c>
      <c r="E3347" s="8" t="s">
        <v>18</v>
      </c>
      <c r="F3347">
        <v>1</v>
      </c>
      <c r="G3347" s="2">
        <v>46253.75</v>
      </c>
      <c r="H3347" s="2">
        <v>46253.583333333336</v>
      </c>
    </row>
    <row r="3348" spans="1:8" x14ac:dyDescent="0.25">
      <c r="A3348" s="8" t="s">
        <v>10791</v>
      </c>
      <c r="B3348" s="8" t="s">
        <v>14394</v>
      </c>
      <c r="C3348" s="2">
        <v>46253.416666666664</v>
      </c>
      <c r="D3348" s="8" t="s">
        <v>13929</v>
      </c>
      <c r="E3348" s="8" t="s">
        <v>20</v>
      </c>
      <c r="F3348">
        <v>2</v>
      </c>
      <c r="G3348" s="2">
        <v>46253.75</v>
      </c>
      <c r="H3348" s="2">
        <v>46253.583333333336</v>
      </c>
    </row>
    <row r="3349" spans="1:8" x14ac:dyDescent="0.25">
      <c r="A3349" s="8" t="s">
        <v>10794</v>
      </c>
      <c r="B3349" s="8" t="s">
        <v>14394</v>
      </c>
      <c r="C3349" s="2">
        <v>46253.416666666664</v>
      </c>
      <c r="D3349" s="8" t="s">
        <v>13929</v>
      </c>
      <c r="E3349" s="8" t="s">
        <v>26</v>
      </c>
      <c r="F3349">
        <v>2</v>
      </c>
      <c r="G3349" s="2">
        <v>46253.75</v>
      </c>
      <c r="H3349" s="2">
        <v>46253.583333333336</v>
      </c>
    </row>
    <row r="3350" spans="1:8" x14ac:dyDescent="0.25">
      <c r="A3350" s="8" t="s">
        <v>10797</v>
      </c>
      <c r="B3350" s="8" t="s">
        <v>14394</v>
      </c>
      <c r="C3350" s="2">
        <v>46253.416666666664</v>
      </c>
      <c r="D3350" s="8" t="s">
        <v>13929</v>
      </c>
      <c r="E3350" s="8" t="s">
        <v>32</v>
      </c>
      <c r="F3350">
        <v>2</v>
      </c>
      <c r="G3350" s="2">
        <v>46253.75</v>
      </c>
      <c r="H3350" s="2">
        <v>46253.583333333336</v>
      </c>
    </row>
    <row r="3351" spans="1:8" x14ac:dyDescent="0.25">
      <c r="A3351" s="8" t="s">
        <v>10800</v>
      </c>
      <c r="B3351" s="8" t="s">
        <v>14394</v>
      </c>
      <c r="C3351" s="2">
        <v>46253.416666666664</v>
      </c>
      <c r="D3351" s="8" t="s">
        <v>13929</v>
      </c>
      <c r="E3351" s="8" t="s">
        <v>51</v>
      </c>
      <c r="F3351">
        <v>2</v>
      </c>
      <c r="G3351" s="2">
        <v>46253.75</v>
      </c>
      <c r="H3351" s="2">
        <v>46253.583333333336</v>
      </c>
    </row>
    <row r="3352" spans="1:8" x14ac:dyDescent="0.25">
      <c r="A3352" s="8" t="s">
        <v>10803</v>
      </c>
      <c r="B3352" s="8" t="s">
        <v>14394</v>
      </c>
      <c r="C3352" s="2">
        <v>46253.416666666664</v>
      </c>
      <c r="D3352" s="8" t="s">
        <v>13929</v>
      </c>
      <c r="E3352" s="8" t="s">
        <v>59</v>
      </c>
      <c r="F3352">
        <v>2</v>
      </c>
      <c r="G3352" s="2">
        <v>46253.75</v>
      </c>
      <c r="H3352" s="2">
        <v>46253.583333333336</v>
      </c>
    </row>
    <row r="3353" spans="1:8" x14ac:dyDescent="0.25">
      <c r="A3353" s="8" t="s">
        <v>10806</v>
      </c>
      <c r="B3353" s="8" t="s">
        <v>14394</v>
      </c>
      <c r="C3353" s="2">
        <v>46253.416666666664</v>
      </c>
      <c r="D3353" s="8" t="s">
        <v>13929</v>
      </c>
      <c r="E3353" s="8" t="s">
        <v>65</v>
      </c>
      <c r="F3353">
        <v>2</v>
      </c>
      <c r="G3353" s="2">
        <v>46253.75</v>
      </c>
      <c r="H3353" s="2">
        <v>46253.583333333336</v>
      </c>
    </row>
    <row r="3354" spans="1:8" x14ac:dyDescent="0.25">
      <c r="A3354" s="8" t="s">
        <v>10809</v>
      </c>
      <c r="B3354" s="8" t="s">
        <v>14394</v>
      </c>
      <c r="C3354" s="2">
        <v>46253.416666666664</v>
      </c>
      <c r="D3354" s="8" t="s">
        <v>13929</v>
      </c>
      <c r="E3354" s="8" t="s">
        <v>71</v>
      </c>
      <c r="F3354">
        <v>4</v>
      </c>
      <c r="G3354" s="2">
        <v>46253.75</v>
      </c>
      <c r="H3354" s="2">
        <v>46253.583333333336</v>
      </c>
    </row>
    <row r="3355" spans="1:8" x14ac:dyDescent="0.25">
      <c r="A3355" s="8" t="s">
        <v>10812</v>
      </c>
      <c r="B3355" s="8" t="s">
        <v>14395</v>
      </c>
      <c r="C3355" s="2">
        <v>46253.416666666664</v>
      </c>
      <c r="D3355" s="8" t="s">
        <v>13931</v>
      </c>
      <c r="E3355" s="8" t="s">
        <v>18</v>
      </c>
      <c r="F3355">
        <v>4</v>
      </c>
      <c r="G3355" s="2">
        <v>46253.75</v>
      </c>
      <c r="H3355" s="2">
        <v>46253.583333333336</v>
      </c>
    </row>
    <row r="3356" spans="1:8" x14ac:dyDescent="0.25">
      <c r="A3356" s="8" t="s">
        <v>10815</v>
      </c>
      <c r="B3356" s="8" t="s">
        <v>14395</v>
      </c>
      <c r="C3356" s="2">
        <v>46253.416666666664</v>
      </c>
      <c r="D3356" s="8" t="s">
        <v>13931</v>
      </c>
      <c r="E3356" s="8" t="s">
        <v>20</v>
      </c>
      <c r="F3356">
        <v>5</v>
      </c>
      <c r="G3356" s="2">
        <v>46253.75</v>
      </c>
      <c r="H3356" s="2">
        <v>46253.583333333336</v>
      </c>
    </row>
    <row r="3357" spans="1:8" x14ac:dyDescent="0.25">
      <c r="A3357" s="8" t="s">
        <v>10818</v>
      </c>
      <c r="B3357" s="8" t="s">
        <v>14395</v>
      </c>
      <c r="C3357" s="2">
        <v>46253.416666666664</v>
      </c>
      <c r="D3357" s="8" t="s">
        <v>13931</v>
      </c>
      <c r="E3357" s="8" t="s">
        <v>22</v>
      </c>
      <c r="F3357">
        <v>1</v>
      </c>
      <c r="G3357" s="2">
        <v>46253.75</v>
      </c>
      <c r="H3357" s="2">
        <v>46253.583333333336</v>
      </c>
    </row>
    <row r="3358" spans="1:8" x14ac:dyDescent="0.25">
      <c r="A3358" s="8" t="s">
        <v>10821</v>
      </c>
      <c r="B3358" s="8" t="s">
        <v>14395</v>
      </c>
      <c r="C3358" s="2">
        <v>46253.416666666664</v>
      </c>
      <c r="D3358" s="8" t="s">
        <v>13931</v>
      </c>
      <c r="E3358" s="8" t="s">
        <v>30</v>
      </c>
      <c r="F3358">
        <v>1</v>
      </c>
      <c r="G3358" s="2">
        <v>46253.75</v>
      </c>
      <c r="H3358" s="2">
        <v>46253.583333333336</v>
      </c>
    </row>
    <row r="3359" spans="1:8" x14ac:dyDescent="0.25">
      <c r="A3359" s="8" t="s">
        <v>10824</v>
      </c>
      <c r="B3359" s="8" t="s">
        <v>14395</v>
      </c>
      <c r="C3359" s="2">
        <v>46253.416666666664</v>
      </c>
      <c r="D3359" s="8" t="s">
        <v>13931</v>
      </c>
      <c r="E3359" s="8" t="s">
        <v>32</v>
      </c>
      <c r="F3359">
        <v>2</v>
      </c>
      <c r="G3359" s="2">
        <v>46253.75</v>
      </c>
      <c r="H3359" s="2">
        <v>46253.583333333336</v>
      </c>
    </row>
    <row r="3360" spans="1:8" x14ac:dyDescent="0.25">
      <c r="A3360" s="8" t="s">
        <v>10827</v>
      </c>
      <c r="B3360" s="8" t="s">
        <v>14395</v>
      </c>
      <c r="C3360" s="2">
        <v>46253.416666666664</v>
      </c>
      <c r="D3360" s="8" t="s">
        <v>13931</v>
      </c>
      <c r="E3360" s="8" t="s">
        <v>36</v>
      </c>
      <c r="F3360">
        <v>3</v>
      </c>
      <c r="G3360" s="2">
        <v>46253.75</v>
      </c>
      <c r="H3360" s="2">
        <v>46253.583333333336</v>
      </c>
    </row>
    <row r="3361" spans="1:8" x14ac:dyDescent="0.25">
      <c r="A3361" s="8" t="s">
        <v>10830</v>
      </c>
      <c r="B3361" s="8" t="s">
        <v>14395</v>
      </c>
      <c r="C3361" s="2">
        <v>46253.416666666664</v>
      </c>
      <c r="D3361" s="8" t="s">
        <v>13931</v>
      </c>
      <c r="E3361" s="8" t="s">
        <v>41</v>
      </c>
      <c r="F3361">
        <v>1</v>
      </c>
      <c r="G3361" s="2">
        <v>46253.75</v>
      </c>
      <c r="H3361" s="2">
        <v>46253.583333333336</v>
      </c>
    </row>
    <row r="3362" spans="1:8" x14ac:dyDescent="0.25">
      <c r="A3362" s="8" t="s">
        <v>10833</v>
      </c>
      <c r="B3362" s="8" t="s">
        <v>14395</v>
      </c>
      <c r="C3362" s="2">
        <v>46253.416666666664</v>
      </c>
      <c r="D3362" s="8" t="s">
        <v>13931</v>
      </c>
      <c r="E3362" s="8" t="s">
        <v>47</v>
      </c>
      <c r="F3362">
        <v>4</v>
      </c>
      <c r="G3362" s="2">
        <v>46253.75</v>
      </c>
      <c r="H3362" s="2">
        <v>46253.583333333336</v>
      </c>
    </row>
    <row r="3363" spans="1:8" x14ac:dyDescent="0.25">
      <c r="A3363" s="8" t="s">
        <v>10836</v>
      </c>
      <c r="B3363" s="8" t="s">
        <v>14395</v>
      </c>
      <c r="C3363" s="2">
        <v>46253.416666666664</v>
      </c>
      <c r="D3363" s="8" t="s">
        <v>13931</v>
      </c>
      <c r="E3363" s="8" t="s">
        <v>51</v>
      </c>
      <c r="F3363">
        <v>2</v>
      </c>
      <c r="G3363" s="2">
        <v>46253.75</v>
      </c>
      <c r="H3363" s="2">
        <v>46253.583333333336</v>
      </c>
    </row>
    <row r="3364" spans="1:8" x14ac:dyDescent="0.25">
      <c r="A3364" s="8" t="s">
        <v>10839</v>
      </c>
      <c r="B3364" s="8" t="s">
        <v>14395</v>
      </c>
      <c r="C3364" s="2">
        <v>46253.416666666664</v>
      </c>
      <c r="D3364" s="8" t="s">
        <v>13931</v>
      </c>
      <c r="E3364" s="8" t="s">
        <v>53</v>
      </c>
      <c r="F3364">
        <v>3</v>
      </c>
      <c r="G3364" s="2">
        <v>46253.75</v>
      </c>
      <c r="H3364" s="2">
        <v>46253.583333333336</v>
      </c>
    </row>
    <row r="3365" spans="1:8" x14ac:dyDescent="0.25">
      <c r="A3365" s="8" t="s">
        <v>10842</v>
      </c>
      <c r="B3365" s="8" t="s">
        <v>14395</v>
      </c>
      <c r="C3365" s="2">
        <v>46253.416666666664</v>
      </c>
      <c r="D3365" s="8" t="s">
        <v>13931</v>
      </c>
      <c r="E3365" s="8" t="s">
        <v>57</v>
      </c>
      <c r="F3365">
        <v>3</v>
      </c>
      <c r="G3365" s="2">
        <v>46253.75</v>
      </c>
      <c r="H3365" s="2">
        <v>46253.583333333336</v>
      </c>
    </row>
    <row r="3366" spans="1:8" x14ac:dyDescent="0.25">
      <c r="A3366" s="8" t="s">
        <v>10845</v>
      </c>
      <c r="B3366" s="8" t="s">
        <v>14395</v>
      </c>
      <c r="C3366" s="2">
        <v>46253.416666666664</v>
      </c>
      <c r="D3366" s="8" t="s">
        <v>13931</v>
      </c>
      <c r="E3366" s="8" t="s">
        <v>73</v>
      </c>
      <c r="F3366">
        <v>1</v>
      </c>
      <c r="G3366" s="2">
        <v>46253.75</v>
      </c>
      <c r="H3366" s="2">
        <v>46253.583333333336</v>
      </c>
    </row>
    <row r="3367" spans="1:8" x14ac:dyDescent="0.25">
      <c r="A3367" s="8" t="s">
        <v>10848</v>
      </c>
      <c r="B3367" s="8" t="s">
        <v>14396</v>
      </c>
      <c r="C3367" s="2">
        <v>46253.416666666664</v>
      </c>
      <c r="D3367" s="8" t="s">
        <v>13933</v>
      </c>
      <c r="E3367" s="8" t="s">
        <v>22</v>
      </c>
      <c r="F3367">
        <v>6</v>
      </c>
      <c r="G3367" s="2">
        <v>46253.75</v>
      </c>
      <c r="H3367" s="2">
        <v>46253.583333333336</v>
      </c>
    </row>
    <row r="3368" spans="1:8" x14ac:dyDescent="0.25">
      <c r="A3368" s="8" t="s">
        <v>10853</v>
      </c>
      <c r="B3368" s="8" t="s">
        <v>14396</v>
      </c>
      <c r="C3368" s="2">
        <v>46253.416666666664</v>
      </c>
      <c r="D3368" s="8" t="s">
        <v>13933</v>
      </c>
      <c r="E3368" s="8" t="s">
        <v>24</v>
      </c>
      <c r="F3368">
        <v>1</v>
      </c>
      <c r="G3368" s="2">
        <v>46253.75</v>
      </c>
      <c r="H3368" s="2">
        <v>46253.583333333336</v>
      </c>
    </row>
    <row r="3369" spans="1:8" x14ac:dyDescent="0.25">
      <c r="A3369" s="8" t="s">
        <v>10856</v>
      </c>
      <c r="B3369" s="8" t="s">
        <v>14396</v>
      </c>
      <c r="C3369" s="2">
        <v>46253.416666666664</v>
      </c>
      <c r="D3369" s="8" t="s">
        <v>13933</v>
      </c>
      <c r="E3369" s="8" t="s">
        <v>26</v>
      </c>
      <c r="F3369">
        <v>1</v>
      </c>
      <c r="G3369" s="2">
        <v>46253.75</v>
      </c>
      <c r="H3369" s="2">
        <v>46253.583333333336</v>
      </c>
    </row>
    <row r="3370" spans="1:8" x14ac:dyDescent="0.25">
      <c r="A3370" s="8" t="s">
        <v>10859</v>
      </c>
      <c r="B3370" s="8" t="s">
        <v>14396</v>
      </c>
      <c r="C3370" s="2">
        <v>46253.416666666664</v>
      </c>
      <c r="D3370" s="8" t="s">
        <v>13933</v>
      </c>
      <c r="E3370" s="8" t="s">
        <v>32</v>
      </c>
      <c r="F3370">
        <v>4</v>
      </c>
      <c r="G3370" s="2">
        <v>46253.75</v>
      </c>
      <c r="H3370" s="2">
        <v>46253.583333333336</v>
      </c>
    </row>
    <row r="3371" spans="1:8" x14ac:dyDescent="0.25">
      <c r="A3371" s="8" t="s">
        <v>10862</v>
      </c>
      <c r="B3371" s="8" t="s">
        <v>14396</v>
      </c>
      <c r="C3371" s="2">
        <v>46253.416666666664</v>
      </c>
      <c r="D3371" s="8" t="s">
        <v>13933</v>
      </c>
      <c r="E3371" s="8" t="s">
        <v>49</v>
      </c>
      <c r="F3371">
        <v>6</v>
      </c>
      <c r="G3371" s="2">
        <v>46253.75</v>
      </c>
      <c r="H3371" s="2">
        <v>46253.583333333336</v>
      </c>
    </row>
    <row r="3372" spans="1:8" x14ac:dyDescent="0.25">
      <c r="A3372" s="8" t="s">
        <v>10865</v>
      </c>
      <c r="B3372" s="8" t="s">
        <v>14396</v>
      </c>
      <c r="C3372" s="2">
        <v>46253.416666666664</v>
      </c>
      <c r="D3372" s="8" t="s">
        <v>13933</v>
      </c>
      <c r="E3372" s="8" t="s">
        <v>51</v>
      </c>
      <c r="F3372">
        <v>6</v>
      </c>
      <c r="G3372" s="2">
        <v>46253.75</v>
      </c>
      <c r="H3372" s="2">
        <v>46253.583333333336</v>
      </c>
    </row>
    <row r="3373" spans="1:8" x14ac:dyDescent="0.25">
      <c r="A3373" s="8" t="s">
        <v>10868</v>
      </c>
      <c r="B3373" s="8" t="s">
        <v>14396</v>
      </c>
      <c r="C3373" s="2">
        <v>46253.416666666664</v>
      </c>
      <c r="D3373" s="8" t="s">
        <v>13933</v>
      </c>
      <c r="E3373" s="8" t="s">
        <v>55</v>
      </c>
      <c r="F3373">
        <v>2</v>
      </c>
      <c r="G3373" s="2">
        <v>46253.75</v>
      </c>
      <c r="H3373" s="2">
        <v>46253.583333333336</v>
      </c>
    </row>
    <row r="3374" spans="1:8" x14ac:dyDescent="0.25">
      <c r="A3374" s="8" t="s">
        <v>10871</v>
      </c>
      <c r="B3374" s="8" t="s">
        <v>14396</v>
      </c>
      <c r="C3374" s="2">
        <v>46253.416666666664</v>
      </c>
      <c r="D3374" s="8" t="s">
        <v>13933</v>
      </c>
      <c r="E3374" s="8" t="s">
        <v>59</v>
      </c>
      <c r="F3374">
        <v>2</v>
      </c>
      <c r="G3374" s="2">
        <v>46253.75</v>
      </c>
      <c r="H3374" s="2">
        <v>46253.583333333336</v>
      </c>
    </row>
    <row r="3375" spans="1:8" x14ac:dyDescent="0.25">
      <c r="A3375" s="8" t="s">
        <v>10874</v>
      </c>
      <c r="B3375" s="8" t="s">
        <v>14396</v>
      </c>
      <c r="C3375" s="2">
        <v>46253.416666666664</v>
      </c>
      <c r="D3375" s="8" t="s">
        <v>13933</v>
      </c>
      <c r="E3375" s="8" t="s">
        <v>71</v>
      </c>
      <c r="F3375">
        <v>4</v>
      </c>
      <c r="G3375" s="2">
        <v>46253.75</v>
      </c>
      <c r="H3375" s="2">
        <v>46253.583333333336</v>
      </c>
    </row>
    <row r="3376" spans="1:8" x14ac:dyDescent="0.25">
      <c r="A3376" s="8" t="s">
        <v>10877</v>
      </c>
      <c r="B3376" s="8" t="s">
        <v>14397</v>
      </c>
      <c r="C3376" s="2">
        <v>46253.416666666664</v>
      </c>
      <c r="D3376" s="8" t="s">
        <v>13935</v>
      </c>
      <c r="E3376" s="8" t="s">
        <v>11</v>
      </c>
      <c r="F3376">
        <v>7</v>
      </c>
      <c r="G3376" s="2">
        <v>46253.75</v>
      </c>
      <c r="H3376" s="2">
        <v>46253.583333333336</v>
      </c>
    </row>
    <row r="3377" spans="1:8" x14ac:dyDescent="0.25">
      <c r="A3377" s="8" t="s">
        <v>10880</v>
      </c>
      <c r="B3377" s="8" t="s">
        <v>14397</v>
      </c>
      <c r="C3377" s="2">
        <v>46253.416666666664</v>
      </c>
      <c r="D3377" s="8" t="s">
        <v>13935</v>
      </c>
      <c r="E3377" s="8" t="s">
        <v>20</v>
      </c>
      <c r="F3377">
        <v>1</v>
      </c>
      <c r="G3377" s="2">
        <v>46253.75</v>
      </c>
      <c r="H3377" s="2">
        <v>46253.583333333336</v>
      </c>
    </row>
    <row r="3378" spans="1:8" x14ac:dyDescent="0.25">
      <c r="A3378" s="8" t="s">
        <v>10883</v>
      </c>
      <c r="B3378" s="8" t="s">
        <v>14397</v>
      </c>
      <c r="C3378" s="2">
        <v>46253.416666666664</v>
      </c>
      <c r="D3378" s="8" t="s">
        <v>13935</v>
      </c>
      <c r="E3378" s="8" t="s">
        <v>22</v>
      </c>
      <c r="F3378">
        <v>3</v>
      </c>
      <c r="G3378" s="2">
        <v>46253.75</v>
      </c>
      <c r="H3378" s="2">
        <v>46253.583333333336</v>
      </c>
    </row>
    <row r="3379" spans="1:8" x14ac:dyDescent="0.25">
      <c r="A3379" s="8" t="s">
        <v>10886</v>
      </c>
      <c r="B3379" s="8" t="s">
        <v>14397</v>
      </c>
      <c r="C3379" s="2">
        <v>46253.416666666664</v>
      </c>
      <c r="D3379" s="8" t="s">
        <v>13935</v>
      </c>
      <c r="E3379" s="8" t="s">
        <v>45</v>
      </c>
      <c r="F3379">
        <v>1</v>
      </c>
      <c r="G3379" s="2">
        <v>46253.75</v>
      </c>
      <c r="H3379" s="2">
        <v>46253.583333333336</v>
      </c>
    </row>
    <row r="3380" spans="1:8" x14ac:dyDescent="0.25">
      <c r="A3380" s="8" t="s">
        <v>10889</v>
      </c>
      <c r="B3380" s="8" t="s">
        <v>14397</v>
      </c>
      <c r="C3380" s="2">
        <v>46253.416666666664</v>
      </c>
      <c r="D3380" s="8" t="s">
        <v>13935</v>
      </c>
      <c r="E3380" s="8" t="s">
        <v>55</v>
      </c>
      <c r="F3380">
        <v>6</v>
      </c>
      <c r="G3380" s="2">
        <v>46253.75</v>
      </c>
      <c r="H3380" s="2">
        <v>46253.583333333336</v>
      </c>
    </row>
    <row r="3381" spans="1:8" x14ac:dyDescent="0.25">
      <c r="A3381" s="8" t="s">
        <v>10892</v>
      </c>
      <c r="B3381" s="8" t="s">
        <v>14397</v>
      </c>
      <c r="C3381" s="2">
        <v>46253.416666666664</v>
      </c>
      <c r="D3381" s="8" t="s">
        <v>13935</v>
      </c>
      <c r="E3381" s="8" t="s">
        <v>59</v>
      </c>
      <c r="F3381">
        <v>6</v>
      </c>
      <c r="G3381" s="2">
        <v>46253.75</v>
      </c>
      <c r="H3381" s="2">
        <v>46253.583333333336</v>
      </c>
    </row>
    <row r="3382" spans="1:8" x14ac:dyDescent="0.25">
      <c r="A3382" s="8" t="s">
        <v>10895</v>
      </c>
      <c r="B3382" s="8" t="s">
        <v>14397</v>
      </c>
      <c r="C3382" s="2">
        <v>46253.416666666664</v>
      </c>
      <c r="D3382" s="8" t="s">
        <v>13935</v>
      </c>
      <c r="E3382" s="8" t="s">
        <v>67</v>
      </c>
      <c r="F3382">
        <v>3</v>
      </c>
      <c r="G3382" s="2">
        <v>46253.75</v>
      </c>
      <c r="H3382" s="2">
        <v>46253.583333333336</v>
      </c>
    </row>
    <row r="3383" spans="1:8" x14ac:dyDescent="0.25">
      <c r="A3383" s="8" t="s">
        <v>10898</v>
      </c>
      <c r="B3383" s="8" t="s">
        <v>14397</v>
      </c>
      <c r="C3383" s="2">
        <v>46253.416666666664</v>
      </c>
      <c r="D3383" s="8" t="s">
        <v>13935</v>
      </c>
      <c r="E3383" s="8" t="s">
        <v>75</v>
      </c>
      <c r="F3383">
        <v>4</v>
      </c>
      <c r="G3383" s="2">
        <v>46253.75</v>
      </c>
      <c r="H3383" s="2">
        <v>46253.583333333336</v>
      </c>
    </row>
    <row r="3384" spans="1:8" x14ac:dyDescent="0.25">
      <c r="A3384" s="8" t="s">
        <v>10901</v>
      </c>
      <c r="B3384" s="8" t="s">
        <v>14398</v>
      </c>
      <c r="C3384" s="2">
        <v>46253.416666666664</v>
      </c>
      <c r="D3384" s="8" t="s">
        <v>13937</v>
      </c>
      <c r="E3384" s="8" t="s">
        <v>11</v>
      </c>
      <c r="F3384">
        <v>1</v>
      </c>
      <c r="G3384" s="2">
        <v>46253.75</v>
      </c>
      <c r="H3384" s="2">
        <v>46253.583333333336</v>
      </c>
    </row>
    <row r="3385" spans="1:8" x14ac:dyDescent="0.25">
      <c r="A3385" s="8" t="s">
        <v>10904</v>
      </c>
      <c r="B3385" s="8" t="s">
        <v>14398</v>
      </c>
      <c r="C3385" s="2">
        <v>46253.416666666664</v>
      </c>
      <c r="D3385" s="8" t="s">
        <v>13937</v>
      </c>
      <c r="E3385" s="8" t="s">
        <v>20</v>
      </c>
      <c r="F3385">
        <v>2</v>
      </c>
      <c r="G3385" s="2">
        <v>46253.75</v>
      </c>
      <c r="H3385" s="2">
        <v>46253.583333333336</v>
      </c>
    </row>
    <row r="3386" spans="1:8" x14ac:dyDescent="0.25">
      <c r="A3386" s="8" t="s">
        <v>10907</v>
      </c>
      <c r="B3386" s="8" t="s">
        <v>14398</v>
      </c>
      <c r="C3386" s="2">
        <v>46253.416666666664</v>
      </c>
      <c r="D3386" s="8" t="s">
        <v>13937</v>
      </c>
      <c r="E3386" s="8" t="s">
        <v>22</v>
      </c>
      <c r="F3386">
        <v>1</v>
      </c>
      <c r="G3386" s="2">
        <v>46253.75</v>
      </c>
      <c r="H3386" s="2">
        <v>46253.583333333336</v>
      </c>
    </row>
    <row r="3387" spans="1:8" x14ac:dyDescent="0.25">
      <c r="A3387" s="8" t="s">
        <v>10910</v>
      </c>
      <c r="B3387" s="8" t="s">
        <v>14398</v>
      </c>
      <c r="C3387" s="2">
        <v>46253.416666666664</v>
      </c>
      <c r="D3387" s="8" t="s">
        <v>13937</v>
      </c>
      <c r="E3387" s="8" t="s">
        <v>24</v>
      </c>
      <c r="F3387">
        <v>1</v>
      </c>
      <c r="G3387" s="2">
        <v>46253.75</v>
      </c>
      <c r="H3387" s="2">
        <v>46253.583333333336</v>
      </c>
    </row>
    <row r="3388" spans="1:8" x14ac:dyDescent="0.25">
      <c r="A3388" s="8" t="s">
        <v>10913</v>
      </c>
      <c r="B3388" s="8" t="s">
        <v>14398</v>
      </c>
      <c r="C3388" s="2">
        <v>46253.416666666664</v>
      </c>
      <c r="D3388" s="8" t="s">
        <v>13937</v>
      </c>
      <c r="E3388" s="8" t="s">
        <v>26</v>
      </c>
      <c r="F3388">
        <v>1</v>
      </c>
      <c r="G3388" s="2">
        <v>46253.75</v>
      </c>
      <c r="H3388" s="2">
        <v>46253.583333333336</v>
      </c>
    </row>
    <row r="3389" spans="1:8" x14ac:dyDescent="0.25">
      <c r="A3389" s="8" t="s">
        <v>10916</v>
      </c>
      <c r="B3389" s="8" t="s">
        <v>14398</v>
      </c>
      <c r="C3389" s="2">
        <v>46253.416666666664</v>
      </c>
      <c r="D3389" s="8" t="s">
        <v>13937</v>
      </c>
      <c r="E3389" s="8" t="s">
        <v>30</v>
      </c>
      <c r="F3389">
        <v>4</v>
      </c>
      <c r="G3389" s="2">
        <v>46253.75</v>
      </c>
      <c r="H3389" s="2">
        <v>46253.583333333336</v>
      </c>
    </row>
    <row r="3390" spans="1:8" x14ac:dyDescent="0.25">
      <c r="A3390" s="8" t="s">
        <v>10919</v>
      </c>
      <c r="B3390" s="8" t="s">
        <v>14398</v>
      </c>
      <c r="C3390" s="2">
        <v>46253.416666666664</v>
      </c>
      <c r="D3390" s="8" t="s">
        <v>13937</v>
      </c>
      <c r="E3390" s="8" t="s">
        <v>53</v>
      </c>
      <c r="F3390">
        <v>2</v>
      </c>
      <c r="G3390" s="2">
        <v>46253.75</v>
      </c>
      <c r="H3390" s="2">
        <v>46253.583333333336</v>
      </c>
    </row>
    <row r="3391" spans="1:8" x14ac:dyDescent="0.25">
      <c r="A3391" s="8" t="s">
        <v>10922</v>
      </c>
      <c r="B3391" s="8" t="s">
        <v>14398</v>
      </c>
      <c r="C3391" s="2">
        <v>46253.416666666664</v>
      </c>
      <c r="D3391" s="8" t="s">
        <v>13937</v>
      </c>
      <c r="E3391" s="8" t="s">
        <v>55</v>
      </c>
      <c r="F3391">
        <v>4</v>
      </c>
      <c r="G3391" s="2">
        <v>46253.75</v>
      </c>
      <c r="H3391" s="2">
        <v>46253.583333333336</v>
      </c>
    </row>
    <row r="3392" spans="1:8" x14ac:dyDescent="0.25">
      <c r="A3392" s="8" t="s">
        <v>10925</v>
      </c>
      <c r="B3392" s="8" t="s">
        <v>14398</v>
      </c>
      <c r="C3392" s="2">
        <v>46253.416666666664</v>
      </c>
      <c r="D3392" s="8" t="s">
        <v>13937</v>
      </c>
      <c r="E3392" s="8" t="s">
        <v>67</v>
      </c>
      <c r="F3392">
        <v>1</v>
      </c>
      <c r="G3392" s="2">
        <v>46253.75</v>
      </c>
      <c r="H3392" s="2">
        <v>46253.583333333336</v>
      </c>
    </row>
    <row r="3393" spans="1:8" x14ac:dyDescent="0.25">
      <c r="A3393" s="8" t="s">
        <v>10928</v>
      </c>
      <c r="B3393" s="8" t="s">
        <v>14398</v>
      </c>
      <c r="C3393" s="2">
        <v>46253.416666666664</v>
      </c>
      <c r="D3393" s="8" t="s">
        <v>13937</v>
      </c>
      <c r="E3393" s="8" t="s">
        <v>73</v>
      </c>
      <c r="F3393">
        <v>2</v>
      </c>
      <c r="G3393" s="2">
        <v>46253.75</v>
      </c>
      <c r="H3393" s="2">
        <v>46253.583333333336</v>
      </c>
    </row>
    <row r="3394" spans="1:8" x14ac:dyDescent="0.25">
      <c r="A3394" s="8" t="s">
        <v>10931</v>
      </c>
      <c r="B3394" s="8" t="s">
        <v>14398</v>
      </c>
      <c r="C3394" s="2">
        <v>46253.416666666664</v>
      </c>
      <c r="D3394" s="8" t="s">
        <v>13937</v>
      </c>
      <c r="E3394" s="8" t="s">
        <v>77</v>
      </c>
      <c r="F3394">
        <v>1</v>
      </c>
      <c r="G3394" s="2">
        <v>46253.75</v>
      </c>
      <c r="H3394" s="2">
        <v>46253.583333333336</v>
      </c>
    </row>
    <row r="3395" spans="1:8" x14ac:dyDescent="0.25">
      <c r="A3395" s="8" t="s">
        <v>10934</v>
      </c>
      <c r="B3395" s="8" t="s">
        <v>14399</v>
      </c>
      <c r="C3395" s="2">
        <v>46254.416666666664</v>
      </c>
      <c r="D3395" s="8" t="s">
        <v>13929</v>
      </c>
      <c r="E3395" s="8" t="s">
        <v>11</v>
      </c>
      <c r="F3395">
        <v>1</v>
      </c>
      <c r="G3395" s="2">
        <v>46254.75</v>
      </c>
      <c r="H3395" s="2">
        <v>46254.583333333336</v>
      </c>
    </row>
    <row r="3396" spans="1:8" x14ac:dyDescent="0.25">
      <c r="A3396" s="8" t="s">
        <v>10937</v>
      </c>
      <c r="B3396" s="8" t="s">
        <v>14399</v>
      </c>
      <c r="C3396" s="2">
        <v>46254.416666666664</v>
      </c>
      <c r="D3396" s="8" t="s">
        <v>13929</v>
      </c>
      <c r="E3396" s="8" t="s">
        <v>18</v>
      </c>
      <c r="F3396">
        <v>2</v>
      </c>
      <c r="G3396" s="2">
        <v>46254.75</v>
      </c>
      <c r="H3396" s="2">
        <v>46254.583333333336</v>
      </c>
    </row>
    <row r="3397" spans="1:8" x14ac:dyDescent="0.25">
      <c r="A3397" s="8" t="s">
        <v>10940</v>
      </c>
      <c r="B3397" s="8" t="s">
        <v>14399</v>
      </c>
      <c r="C3397" s="2">
        <v>46254.416666666664</v>
      </c>
      <c r="D3397" s="8" t="s">
        <v>13929</v>
      </c>
      <c r="E3397" s="8" t="s">
        <v>20</v>
      </c>
      <c r="F3397">
        <v>1</v>
      </c>
      <c r="G3397" s="2">
        <v>46254.75</v>
      </c>
      <c r="H3397" s="2">
        <v>46254.583333333336</v>
      </c>
    </row>
    <row r="3398" spans="1:8" x14ac:dyDescent="0.25">
      <c r="A3398" s="8" t="s">
        <v>10943</v>
      </c>
      <c r="B3398" s="8" t="s">
        <v>14399</v>
      </c>
      <c r="C3398" s="2">
        <v>46254.416666666664</v>
      </c>
      <c r="D3398" s="8" t="s">
        <v>13929</v>
      </c>
      <c r="E3398" s="8" t="s">
        <v>24</v>
      </c>
      <c r="F3398">
        <v>2</v>
      </c>
      <c r="G3398" s="2">
        <v>46254.75</v>
      </c>
      <c r="H3398" s="2">
        <v>46254.583333333336</v>
      </c>
    </row>
    <row r="3399" spans="1:8" x14ac:dyDescent="0.25">
      <c r="A3399" s="8" t="s">
        <v>10946</v>
      </c>
      <c r="B3399" s="8" t="s">
        <v>14399</v>
      </c>
      <c r="C3399" s="2">
        <v>46254.416666666664</v>
      </c>
      <c r="D3399" s="8" t="s">
        <v>13929</v>
      </c>
      <c r="E3399" s="8" t="s">
        <v>26</v>
      </c>
      <c r="F3399">
        <v>4</v>
      </c>
      <c r="G3399" s="2">
        <v>46254.75</v>
      </c>
      <c r="H3399" s="2">
        <v>46254.583333333336</v>
      </c>
    </row>
    <row r="3400" spans="1:8" x14ac:dyDescent="0.25">
      <c r="A3400" s="8" t="s">
        <v>10949</v>
      </c>
      <c r="B3400" s="8" t="s">
        <v>14399</v>
      </c>
      <c r="C3400" s="2">
        <v>46254.416666666664</v>
      </c>
      <c r="D3400" s="8" t="s">
        <v>13929</v>
      </c>
      <c r="E3400" s="8" t="s">
        <v>45</v>
      </c>
      <c r="F3400">
        <v>2</v>
      </c>
      <c r="G3400" s="2">
        <v>46254.75</v>
      </c>
      <c r="H3400" s="2">
        <v>46254.583333333336</v>
      </c>
    </row>
    <row r="3401" spans="1:8" x14ac:dyDescent="0.25">
      <c r="A3401" s="8" t="s">
        <v>10952</v>
      </c>
      <c r="B3401" s="8" t="s">
        <v>14399</v>
      </c>
      <c r="C3401" s="2">
        <v>46254.416666666664</v>
      </c>
      <c r="D3401" s="8" t="s">
        <v>13929</v>
      </c>
      <c r="E3401" s="8" t="s">
        <v>49</v>
      </c>
      <c r="F3401">
        <v>2</v>
      </c>
      <c r="G3401" s="2">
        <v>46254.75</v>
      </c>
      <c r="H3401" s="2">
        <v>46254.583333333336</v>
      </c>
    </row>
    <row r="3402" spans="1:8" x14ac:dyDescent="0.25">
      <c r="A3402" s="8" t="s">
        <v>10955</v>
      </c>
      <c r="B3402" s="8" t="s">
        <v>14399</v>
      </c>
      <c r="C3402" s="2">
        <v>46254.416666666664</v>
      </c>
      <c r="D3402" s="8" t="s">
        <v>13929</v>
      </c>
      <c r="E3402" s="8" t="s">
        <v>53</v>
      </c>
      <c r="F3402">
        <v>2</v>
      </c>
      <c r="G3402" s="2">
        <v>46254.75</v>
      </c>
      <c r="H3402" s="2">
        <v>46254.583333333336</v>
      </c>
    </row>
    <row r="3403" spans="1:8" x14ac:dyDescent="0.25">
      <c r="A3403" s="8" t="s">
        <v>10958</v>
      </c>
      <c r="B3403" s="8" t="s">
        <v>14399</v>
      </c>
      <c r="C3403" s="2">
        <v>46254.416666666664</v>
      </c>
      <c r="D3403" s="8" t="s">
        <v>13929</v>
      </c>
      <c r="E3403" s="8" t="s">
        <v>59</v>
      </c>
      <c r="F3403">
        <v>2</v>
      </c>
      <c r="G3403" s="2">
        <v>46254.75</v>
      </c>
      <c r="H3403" s="2">
        <v>46254.583333333336</v>
      </c>
    </row>
    <row r="3404" spans="1:8" x14ac:dyDescent="0.25">
      <c r="A3404" s="8" t="s">
        <v>10961</v>
      </c>
      <c r="B3404" s="8" t="s">
        <v>14399</v>
      </c>
      <c r="C3404" s="2">
        <v>46254.416666666664</v>
      </c>
      <c r="D3404" s="8" t="s">
        <v>13929</v>
      </c>
      <c r="E3404" s="8" t="s">
        <v>71</v>
      </c>
      <c r="F3404">
        <v>1</v>
      </c>
      <c r="G3404" s="2">
        <v>46254.75</v>
      </c>
      <c r="H3404" s="2">
        <v>46254.583333333336</v>
      </c>
    </row>
    <row r="3405" spans="1:8" x14ac:dyDescent="0.25">
      <c r="A3405" s="8" t="s">
        <v>10964</v>
      </c>
      <c r="B3405" s="8" t="s">
        <v>14399</v>
      </c>
      <c r="C3405" s="2">
        <v>46254.416666666664</v>
      </c>
      <c r="D3405" s="8" t="s">
        <v>13929</v>
      </c>
      <c r="E3405" s="8" t="s">
        <v>75</v>
      </c>
      <c r="F3405">
        <v>4</v>
      </c>
      <c r="G3405" s="2">
        <v>46254.75</v>
      </c>
      <c r="H3405" s="2">
        <v>46254.583333333336</v>
      </c>
    </row>
    <row r="3406" spans="1:8" x14ac:dyDescent="0.25">
      <c r="A3406" s="8" t="s">
        <v>10967</v>
      </c>
      <c r="B3406" s="8" t="s">
        <v>14399</v>
      </c>
      <c r="C3406" s="2">
        <v>46254.416666666664</v>
      </c>
      <c r="D3406" s="8" t="s">
        <v>13929</v>
      </c>
      <c r="E3406" s="8" t="s">
        <v>77</v>
      </c>
      <c r="F3406">
        <v>4</v>
      </c>
      <c r="G3406" s="2">
        <v>46254.75</v>
      </c>
      <c r="H3406" s="2">
        <v>46254.583333333336</v>
      </c>
    </row>
    <row r="3407" spans="1:8" x14ac:dyDescent="0.25">
      <c r="A3407" s="8" t="s">
        <v>10972</v>
      </c>
      <c r="B3407" s="8" t="s">
        <v>14400</v>
      </c>
      <c r="C3407" s="2">
        <v>46254.416666666664</v>
      </c>
      <c r="D3407" s="8" t="s">
        <v>13931</v>
      </c>
      <c r="E3407" s="8" t="s">
        <v>11</v>
      </c>
      <c r="F3407">
        <v>2</v>
      </c>
      <c r="G3407" s="2">
        <v>46254.75</v>
      </c>
      <c r="H3407" s="2">
        <v>46254.583333333336</v>
      </c>
    </row>
    <row r="3408" spans="1:8" x14ac:dyDescent="0.25">
      <c r="A3408" s="8" t="s">
        <v>10975</v>
      </c>
      <c r="B3408" s="8" t="s">
        <v>14400</v>
      </c>
      <c r="C3408" s="2">
        <v>46254.416666666664</v>
      </c>
      <c r="D3408" s="8" t="s">
        <v>13931</v>
      </c>
      <c r="E3408" s="8" t="s">
        <v>18</v>
      </c>
      <c r="F3408">
        <v>5</v>
      </c>
      <c r="G3408" s="2">
        <v>46254.75</v>
      </c>
      <c r="H3408" s="2">
        <v>46254.583333333336</v>
      </c>
    </row>
    <row r="3409" spans="1:8" x14ac:dyDescent="0.25">
      <c r="A3409" s="8" t="s">
        <v>10978</v>
      </c>
      <c r="B3409" s="8" t="s">
        <v>14400</v>
      </c>
      <c r="C3409" s="2">
        <v>46254.416666666664</v>
      </c>
      <c r="D3409" s="8" t="s">
        <v>13931</v>
      </c>
      <c r="E3409" s="8" t="s">
        <v>24</v>
      </c>
      <c r="F3409">
        <v>2</v>
      </c>
      <c r="G3409" s="2">
        <v>46254.75</v>
      </c>
      <c r="H3409" s="2">
        <v>46254.583333333336</v>
      </c>
    </row>
    <row r="3410" spans="1:8" x14ac:dyDescent="0.25">
      <c r="A3410" s="8" t="s">
        <v>10981</v>
      </c>
      <c r="B3410" s="8" t="s">
        <v>14400</v>
      </c>
      <c r="C3410" s="2">
        <v>46254.416666666664</v>
      </c>
      <c r="D3410" s="8" t="s">
        <v>13931</v>
      </c>
      <c r="E3410" s="8" t="s">
        <v>26</v>
      </c>
      <c r="F3410">
        <v>5</v>
      </c>
      <c r="G3410" s="2">
        <v>46254.75</v>
      </c>
      <c r="H3410" s="2">
        <v>46254.583333333336</v>
      </c>
    </row>
    <row r="3411" spans="1:8" x14ac:dyDescent="0.25">
      <c r="A3411" s="8" t="s">
        <v>10984</v>
      </c>
      <c r="B3411" s="8" t="s">
        <v>14400</v>
      </c>
      <c r="C3411" s="2">
        <v>46254.416666666664</v>
      </c>
      <c r="D3411" s="8" t="s">
        <v>13931</v>
      </c>
      <c r="E3411" s="8" t="s">
        <v>45</v>
      </c>
      <c r="F3411">
        <v>5</v>
      </c>
      <c r="G3411" s="2">
        <v>46254.75</v>
      </c>
      <c r="H3411" s="2">
        <v>46254.583333333336</v>
      </c>
    </row>
    <row r="3412" spans="1:8" x14ac:dyDescent="0.25">
      <c r="A3412" s="8" t="s">
        <v>10987</v>
      </c>
      <c r="B3412" s="8" t="s">
        <v>14400</v>
      </c>
      <c r="C3412" s="2">
        <v>46254.416666666664</v>
      </c>
      <c r="D3412" s="8" t="s">
        <v>13931</v>
      </c>
      <c r="E3412" s="8" t="s">
        <v>49</v>
      </c>
      <c r="F3412">
        <v>1</v>
      </c>
      <c r="G3412" s="2">
        <v>46254.75</v>
      </c>
      <c r="H3412" s="2">
        <v>46254.583333333336</v>
      </c>
    </row>
    <row r="3413" spans="1:8" x14ac:dyDescent="0.25">
      <c r="A3413" s="8" t="s">
        <v>10990</v>
      </c>
      <c r="B3413" s="8" t="s">
        <v>14400</v>
      </c>
      <c r="C3413" s="2">
        <v>46254.416666666664</v>
      </c>
      <c r="D3413" s="8" t="s">
        <v>13931</v>
      </c>
      <c r="E3413" s="8" t="s">
        <v>55</v>
      </c>
      <c r="F3413">
        <v>3</v>
      </c>
      <c r="G3413" s="2">
        <v>46254.75</v>
      </c>
      <c r="H3413" s="2">
        <v>46254.583333333336</v>
      </c>
    </row>
    <row r="3414" spans="1:8" x14ac:dyDescent="0.25">
      <c r="A3414" s="8" t="s">
        <v>10993</v>
      </c>
      <c r="B3414" s="8" t="s">
        <v>14400</v>
      </c>
      <c r="C3414" s="2">
        <v>46254.416666666664</v>
      </c>
      <c r="D3414" s="8" t="s">
        <v>13931</v>
      </c>
      <c r="E3414" s="8" t="s">
        <v>67</v>
      </c>
      <c r="F3414">
        <v>4</v>
      </c>
      <c r="G3414" s="2">
        <v>46254.75</v>
      </c>
      <c r="H3414" s="2">
        <v>46254.583333333336</v>
      </c>
    </row>
    <row r="3415" spans="1:8" x14ac:dyDescent="0.25">
      <c r="A3415" s="8" t="s">
        <v>10996</v>
      </c>
      <c r="B3415" s="8" t="s">
        <v>14400</v>
      </c>
      <c r="C3415" s="2">
        <v>46254.416666666664</v>
      </c>
      <c r="D3415" s="8" t="s">
        <v>13931</v>
      </c>
      <c r="E3415" s="8" t="s">
        <v>73</v>
      </c>
      <c r="F3415">
        <v>1</v>
      </c>
      <c r="G3415" s="2">
        <v>46254.75</v>
      </c>
      <c r="H3415" s="2">
        <v>46254.583333333336</v>
      </c>
    </row>
    <row r="3416" spans="1:8" x14ac:dyDescent="0.25">
      <c r="A3416" s="8" t="s">
        <v>10999</v>
      </c>
      <c r="B3416" s="8" t="s">
        <v>14400</v>
      </c>
      <c r="C3416" s="2">
        <v>46254.416666666664</v>
      </c>
      <c r="D3416" s="8" t="s">
        <v>13931</v>
      </c>
      <c r="E3416" s="8" t="s">
        <v>75</v>
      </c>
      <c r="F3416">
        <v>4</v>
      </c>
      <c r="G3416" s="2">
        <v>46254.75</v>
      </c>
      <c r="H3416" s="2">
        <v>46254.583333333336</v>
      </c>
    </row>
    <row r="3417" spans="1:8" x14ac:dyDescent="0.25">
      <c r="A3417" s="8" t="s">
        <v>11004</v>
      </c>
      <c r="B3417" s="8" t="s">
        <v>14400</v>
      </c>
      <c r="C3417" s="2">
        <v>46254.416666666664</v>
      </c>
      <c r="D3417" s="8" t="s">
        <v>13931</v>
      </c>
      <c r="E3417" s="8" t="s">
        <v>77</v>
      </c>
      <c r="F3417">
        <v>3</v>
      </c>
      <c r="G3417" s="2">
        <v>46254.75</v>
      </c>
      <c r="H3417" s="2">
        <v>46254.583333333336</v>
      </c>
    </row>
    <row r="3418" spans="1:8" x14ac:dyDescent="0.25">
      <c r="A3418" s="8" t="s">
        <v>11007</v>
      </c>
      <c r="B3418" s="8" t="s">
        <v>14401</v>
      </c>
      <c r="C3418" s="2">
        <v>46254.416666666664</v>
      </c>
      <c r="D3418" s="8" t="s">
        <v>13933</v>
      </c>
      <c r="E3418" s="8" t="s">
        <v>18</v>
      </c>
      <c r="F3418">
        <v>6</v>
      </c>
      <c r="G3418" s="2">
        <v>46254.75</v>
      </c>
      <c r="H3418" s="2">
        <v>46254.583333333336</v>
      </c>
    </row>
    <row r="3419" spans="1:8" x14ac:dyDescent="0.25">
      <c r="A3419" s="8" t="s">
        <v>11010</v>
      </c>
      <c r="B3419" s="8" t="s">
        <v>14401</v>
      </c>
      <c r="C3419" s="2">
        <v>46254.416666666664</v>
      </c>
      <c r="D3419" s="8" t="s">
        <v>13933</v>
      </c>
      <c r="E3419" s="8" t="s">
        <v>20</v>
      </c>
      <c r="F3419">
        <v>2</v>
      </c>
      <c r="G3419" s="2">
        <v>46254.75</v>
      </c>
      <c r="H3419" s="2">
        <v>46254.583333333336</v>
      </c>
    </row>
    <row r="3420" spans="1:8" x14ac:dyDescent="0.25">
      <c r="A3420" s="8" t="s">
        <v>11013</v>
      </c>
      <c r="B3420" s="8" t="s">
        <v>14401</v>
      </c>
      <c r="C3420" s="2">
        <v>46254.416666666664</v>
      </c>
      <c r="D3420" s="8" t="s">
        <v>13933</v>
      </c>
      <c r="E3420" s="8" t="s">
        <v>24</v>
      </c>
      <c r="F3420">
        <v>5</v>
      </c>
      <c r="G3420" s="2">
        <v>46254.75</v>
      </c>
      <c r="H3420" s="2">
        <v>46254.583333333336</v>
      </c>
    </row>
    <row r="3421" spans="1:8" x14ac:dyDescent="0.25">
      <c r="A3421" s="8" t="s">
        <v>11016</v>
      </c>
      <c r="B3421" s="8" t="s">
        <v>14401</v>
      </c>
      <c r="C3421" s="2">
        <v>46254.416666666664</v>
      </c>
      <c r="D3421" s="8" t="s">
        <v>13933</v>
      </c>
      <c r="E3421" s="8" t="s">
        <v>30</v>
      </c>
      <c r="F3421">
        <v>5</v>
      </c>
      <c r="G3421" s="2">
        <v>46254.75</v>
      </c>
      <c r="H3421" s="2">
        <v>46254.583333333336</v>
      </c>
    </row>
    <row r="3422" spans="1:8" x14ac:dyDescent="0.25">
      <c r="A3422" s="8" t="s">
        <v>11019</v>
      </c>
      <c r="B3422" s="8" t="s">
        <v>14401</v>
      </c>
      <c r="C3422" s="2">
        <v>46254.416666666664</v>
      </c>
      <c r="D3422" s="8" t="s">
        <v>13933</v>
      </c>
      <c r="E3422" s="8" t="s">
        <v>41</v>
      </c>
      <c r="F3422">
        <v>6</v>
      </c>
      <c r="G3422" s="2">
        <v>46254.75</v>
      </c>
      <c r="H3422" s="2">
        <v>46254.583333333336</v>
      </c>
    </row>
    <row r="3423" spans="1:8" x14ac:dyDescent="0.25">
      <c r="A3423" s="8" t="s">
        <v>11022</v>
      </c>
      <c r="B3423" s="8" t="s">
        <v>14401</v>
      </c>
      <c r="C3423" s="2">
        <v>46254.416666666664</v>
      </c>
      <c r="D3423" s="8" t="s">
        <v>13933</v>
      </c>
      <c r="E3423" s="8" t="s">
        <v>43</v>
      </c>
      <c r="F3423">
        <v>5</v>
      </c>
      <c r="G3423" s="2">
        <v>46254.75</v>
      </c>
      <c r="H3423" s="2">
        <v>46254.583333333336</v>
      </c>
    </row>
    <row r="3424" spans="1:8" x14ac:dyDescent="0.25">
      <c r="A3424" s="8" t="s">
        <v>11025</v>
      </c>
      <c r="B3424" s="8" t="s">
        <v>14401</v>
      </c>
      <c r="C3424" s="2">
        <v>46254.416666666664</v>
      </c>
      <c r="D3424" s="8" t="s">
        <v>13933</v>
      </c>
      <c r="E3424" s="8" t="s">
        <v>45</v>
      </c>
      <c r="F3424">
        <v>5</v>
      </c>
      <c r="G3424" s="2">
        <v>46254.75</v>
      </c>
      <c r="H3424" s="2">
        <v>46254.583333333336</v>
      </c>
    </row>
    <row r="3425" spans="1:8" x14ac:dyDescent="0.25">
      <c r="A3425" s="8" t="s">
        <v>11028</v>
      </c>
      <c r="B3425" s="8" t="s">
        <v>14401</v>
      </c>
      <c r="C3425" s="2">
        <v>46254.416666666664</v>
      </c>
      <c r="D3425" s="8" t="s">
        <v>13933</v>
      </c>
      <c r="E3425" s="8" t="s">
        <v>65</v>
      </c>
      <c r="F3425">
        <v>2</v>
      </c>
      <c r="G3425" s="2">
        <v>46254.75</v>
      </c>
      <c r="H3425" s="2">
        <v>46254.583333333336</v>
      </c>
    </row>
    <row r="3426" spans="1:8" x14ac:dyDescent="0.25">
      <c r="A3426" s="8" t="s">
        <v>11031</v>
      </c>
      <c r="B3426" s="8" t="s">
        <v>14401</v>
      </c>
      <c r="C3426" s="2">
        <v>46254.416666666664</v>
      </c>
      <c r="D3426" s="8" t="s">
        <v>13933</v>
      </c>
      <c r="E3426" s="8" t="s">
        <v>67</v>
      </c>
      <c r="F3426">
        <v>2</v>
      </c>
      <c r="G3426" s="2">
        <v>46254.75</v>
      </c>
      <c r="H3426" s="2">
        <v>46254.583333333336</v>
      </c>
    </row>
    <row r="3427" spans="1:8" x14ac:dyDescent="0.25">
      <c r="A3427" s="8" t="s">
        <v>11034</v>
      </c>
      <c r="B3427" s="8" t="s">
        <v>14402</v>
      </c>
      <c r="C3427" s="2">
        <v>46254.416666666664</v>
      </c>
      <c r="D3427" s="8" t="s">
        <v>13935</v>
      </c>
      <c r="E3427" s="8" t="s">
        <v>18</v>
      </c>
      <c r="F3427">
        <v>4</v>
      </c>
      <c r="G3427" s="2">
        <v>46254.75</v>
      </c>
      <c r="H3427" s="2">
        <v>46254.583333333336</v>
      </c>
    </row>
    <row r="3428" spans="1:8" x14ac:dyDescent="0.25">
      <c r="A3428" s="8" t="s">
        <v>11037</v>
      </c>
      <c r="B3428" s="8" t="s">
        <v>14402</v>
      </c>
      <c r="C3428" s="2">
        <v>46254.416666666664</v>
      </c>
      <c r="D3428" s="8" t="s">
        <v>13935</v>
      </c>
      <c r="E3428" s="8" t="s">
        <v>36</v>
      </c>
      <c r="F3428">
        <v>4</v>
      </c>
      <c r="G3428" s="2">
        <v>46254.75</v>
      </c>
      <c r="H3428" s="2">
        <v>46254.583333333336</v>
      </c>
    </row>
    <row r="3429" spans="1:8" x14ac:dyDescent="0.25">
      <c r="A3429" s="8" t="s">
        <v>11040</v>
      </c>
      <c r="B3429" s="8" t="s">
        <v>14402</v>
      </c>
      <c r="C3429" s="2">
        <v>46254.416666666664</v>
      </c>
      <c r="D3429" s="8" t="s">
        <v>13935</v>
      </c>
      <c r="E3429" s="8" t="s">
        <v>47</v>
      </c>
      <c r="F3429">
        <v>6</v>
      </c>
      <c r="G3429" s="2">
        <v>46254.75</v>
      </c>
      <c r="H3429" s="2">
        <v>46254.583333333336</v>
      </c>
    </row>
    <row r="3430" spans="1:8" x14ac:dyDescent="0.25">
      <c r="A3430" s="8" t="s">
        <v>11043</v>
      </c>
      <c r="B3430" s="8" t="s">
        <v>14402</v>
      </c>
      <c r="C3430" s="2">
        <v>46254.416666666664</v>
      </c>
      <c r="D3430" s="8" t="s">
        <v>13935</v>
      </c>
      <c r="E3430" s="8" t="s">
        <v>59</v>
      </c>
      <c r="F3430">
        <v>6</v>
      </c>
      <c r="G3430" s="2">
        <v>46254.75</v>
      </c>
      <c r="H3430" s="2">
        <v>46254.583333333336</v>
      </c>
    </row>
    <row r="3431" spans="1:8" x14ac:dyDescent="0.25">
      <c r="A3431" s="8" t="s">
        <v>11046</v>
      </c>
      <c r="B3431" s="8" t="s">
        <v>14403</v>
      </c>
      <c r="C3431" s="2">
        <v>46254.416666666664</v>
      </c>
      <c r="D3431" s="8" t="s">
        <v>13937</v>
      </c>
      <c r="E3431" s="8" t="s">
        <v>11</v>
      </c>
      <c r="F3431">
        <v>2</v>
      </c>
      <c r="G3431" s="2">
        <v>46254.75</v>
      </c>
      <c r="H3431" s="2">
        <v>46254.583333333336</v>
      </c>
    </row>
    <row r="3432" spans="1:8" x14ac:dyDescent="0.25">
      <c r="A3432" s="8" t="s">
        <v>11051</v>
      </c>
      <c r="B3432" s="8" t="s">
        <v>14403</v>
      </c>
      <c r="C3432" s="2">
        <v>46254.416666666664</v>
      </c>
      <c r="D3432" s="8" t="s">
        <v>13937</v>
      </c>
      <c r="E3432" s="8" t="s">
        <v>20</v>
      </c>
      <c r="F3432">
        <v>1</v>
      </c>
      <c r="G3432" s="2">
        <v>46254.75</v>
      </c>
      <c r="H3432" s="2">
        <v>46254.583333333336</v>
      </c>
    </row>
    <row r="3433" spans="1:8" x14ac:dyDescent="0.25">
      <c r="A3433" s="8" t="s">
        <v>11054</v>
      </c>
      <c r="B3433" s="8" t="s">
        <v>14403</v>
      </c>
      <c r="C3433" s="2">
        <v>46254.416666666664</v>
      </c>
      <c r="D3433" s="8" t="s">
        <v>13937</v>
      </c>
      <c r="E3433" s="8" t="s">
        <v>22</v>
      </c>
      <c r="F3433">
        <v>4</v>
      </c>
      <c r="G3433" s="2">
        <v>46254.75</v>
      </c>
      <c r="H3433" s="2">
        <v>46254.583333333336</v>
      </c>
    </row>
    <row r="3434" spans="1:8" x14ac:dyDescent="0.25">
      <c r="A3434" s="8" t="s">
        <v>11057</v>
      </c>
      <c r="B3434" s="8" t="s">
        <v>14403</v>
      </c>
      <c r="C3434" s="2">
        <v>46254.416666666664</v>
      </c>
      <c r="D3434" s="8" t="s">
        <v>13937</v>
      </c>
      <c r="E3434" s="8" t="s">
        <v>24</v>
      </c>
      <c r="F3434">
        <v>4</v>
      </c>
      <c r="G3434" s="2">
        <v>46254.75</v>
      </c>
      <c r="H3434" s="2">
        <v>46254.583333333336</v>
      </c>
    </row>
    <row r="3435" spans="1:8" x14ac:dyDescent="0.25">
      <c r="A3435" s="8" t="s">
        <v>11060</v>
      </c>
      <c r="B3435" s="8" t="s">
        <v>14403</v>
      </c>
      <c r="C3435" s="2">
        <v>46254.416666666664</v>
      </c>
      <c r="D3435" s="8" t="s">
        <v>13937</v>
      </c>
      <c r="E3435" s="8" t="s">
        <v>32</v>
      </c>
      <c r="F3435">
        <v>3</v>
      </c>
      <c r="G3435" s="2">
        <v>46254.75</v>
      </c>
      <c r="H3435" s="2">
        <v>46254.583333333336</v>
      </c>
    </row>
    <row r="3436" spans="1:8" x14ac:dyDescent="0.25">
      <c r="A3436" s="8" t="s">
        <v>11063</v>
      </c>
      <c r="B3436" s="8" t="s">
        <v>14403</v>
      </c>
      <c r="C3436" s="2">
        <v>46254.416666666664</v>
      </c>
      <c r="D3436" s="8" t="s">
        <v>13937</v>
      </c>
      <c r="E3436" s="8" t="s">
        <v>36</v>
      </c>
      <c r="F3436">
        <v>4</v>
      </c>
      <c r="G3436" s="2">
        <v>46254.75</v>
      </c>
      <c r="H3436" s="2">
        <v>46254.583333333336</v>
      </c>
    </row>
    <row r="3437" spans="1:8" x14ac:dyDescent="0.25">
      <c r="A3437" s="8" t="s">
        <v>11066</v>
      </c>
      <c r="B3437" s="8" t="s">
        <v>14403</v>
      </c>
      <c r="C3437" s="2">
        <v>46254.416666666664</v>
      </c>
      <c r="D3437" s="8" t="s">
        <v>13937</v>
      </c>
      <c r="E3437" s="8" t="s">
        <v>49</v>
      </c>
      <c r="F3437">
        <v>3</v>
      </c>
      <c r="G3437" s="2">
        <v>46254.75</v>
      </c>
      <c r="H3437" s="2">
        <v>46254.583333333336</v>
      </c>
    </row>
    <row r="3438" spans="1:8" x14ac:dyDescent="0.25">
      <c r="A3438" s="8" t="s">
        <v>11069</v>
      </c>
      <c r="B3438" s="8" t="s">
        <v>14403</v>
      </c>
      <c r="C3438" s="2">
        <v>46254.416666666664</v>
      </c>
      <c r="D3438" s="8" t="s">
        <v>13937</v>
      </c>
      <c r="E3438" s="8" t="s">
        <v>51</v>
      </c>
      <c r="F3438">
        <v>3</v>
      </c>
      <c r="G3438" s="2">
        <v>46254.75</v>
      </c>
      <c r="H3438" s="2">
        <v>46254.583333333336</v>
      </c>
    </row>
    <row r="3439" spans="1:8" x14ac:dyDescent="0.25">
      <c r="A3439" s="8" t="s">
        <v>11072</v>
      </c>
      <c r="B3439" s="8" t="s">
        <v>14403</v>
      </c>
      <c r="C3439" s="2">
        <v>46254.416666666664</v>
      </c>
      <c r="D3439" s="8" t="s">
        <v>13937</v>
      </c>
      <c r="E3439" s="8" t="s">
        <v>69</v>
      </c>
      <c r="F3439">
        <v>1</v>
      </c>
      <c r="G3439" s="2">
        <v>46254.75</v>
      </c>
      <c r="H3439" s="2">
        <v>46254.583333333336</v>
      </c>
    </row>
    <row r="3440" spans="1:8" x14ac:dyDescent="0.25">
      <c r="A3440" s="8" t="s">
        <v>11075</v>
      </c>
      <c r="B3440" s="8" t="s">
        <v>14403</v>
      </c>
      <c r="C3440" s="2">
        <v>46254.416666666664</v>
      </c>
      <c r="D3440" s="8" t="s">
        <v>13937</v>
      </c>
      <c r="E3440" s="8" t="s">
        <v>71</v>
      </c>
      <c r="F3440">
        <v>4</v>
      </c>
      <c r="G3440" s="2">
        <v>46254.75</v>
      </c>
      <c r="H3440" s="2">
        <v>46254.583333333336</v>
      </c>
    </row>
    <row r="3441" spans="1:8" x14ac:dyDescent="0.25">
      <c r="A3441" s="8" t="s">
        <v>11078</v>
      </c>
      <c r="B3441" s="8" t="s">
        <v>14403</v>
      </c>
      <c r="C3441" s="2">
        <v>46254.416666666664</v>
      </c>
      <c r="D3441" s="8" t="s">
        <v>13937</v>
      </c>
      <c r="E3441" s="8" t="s">
        <v>73</v>
      </c>
      <c r="F3441">
        <v>3</v>
      </c>
      <c r="G3441" s="2">
        <v>46254.75</v>
      </c>
      <c r="H3441" s="2">
        <v>46254.583333333336</v>
      </c>
    </row>
    <row r="3442" spans="1:8" x14ac:dyDescent="0.25">
      <c r="A3442" s="8" t="s">
        <v>11081</v>
      </c>
      <c r="B3442" s="8" t="s">
        <v>14403</v>
      </c>
      <c r="C3442" s="2">
        <v>46254.416666666664</v>
      </c>
      <c r="D3442" s="8" t="s">
        <v>13937</v>
      </c>
      <c r="E3442" s="8" t="s">
        <v>77</v>
      </c>
      <c r="F3442">
        <v>1</v>
      </c>
      <c r="G3442" s="2">
        <v>46254.75</v>
      </c>
      <c r="H3442" s="2">
        <v>46254.583333333336</v>
      </c>
    </row>
    <row r="3443" spans="1:8" x14ac:dyDescent="0.25">
      <c r="A3443" s="8" t="s">
        <v>11084</v>
      </c>
      <c r="B3443" s="8" t="s">
        <v>14404</v>
      </c>
      <c r="C3443" s="2">
        <v>46255.416666666664</v>
      </c>
      <c r="D3443" s="8" t="s">
        <v>13929</v>
      </c>
      <c r="E3443" s="8" t="s">
        <v>11</v>
      </c>
      <c r="F3443">
        <v>4</v>
      </c>
      <c r="G3443" s="2">
        <v>46255.75</v>
      </c>
      <c r="H3443" s="2">
        <v>46255.583333333336</v>
      </c>
    </row>
    <row r="3444" spans="1:8" x14ac:dyDescent="0.25">
      <c r="A3444" s="8" t="s">
        <v>11087</v>
      </c>
      <c r="B3444" s="8" t="s">
        <v>14404</v>
      </c>
      <c r="C3444" s="2">
        <v>46255.416666666664</v>
      </c>
      <c r="D3444" s="8" t="s">
        <v>13929</v>
      </c>
      <c r="E3444" s="8" t="s">
        <v>20</v>
      </c>
      <c r="F3444">
        <v>1</v>
      </c>
      <c r="G3444" s="2">
        <v>46255.75</v>
      </c>
      <c r="H3444" s="2">
        <v>46255.583333333336</v>
      </c>
    </row>
    <row r="3445" spans="1:8" x14ac:dyDescent="0.25">
      <c r="A3445" s="8" t="s">
        <v>11090</v>
      </c>
      <c r="B3445" s="8" t="s">
        <v>14404</v>
      </c>
      <c r="C3445" s="2">
        <v>46255.416666666664</v>
      </c>
      <c r="D3445" s="8" t="s">
        <v>13929</v>
      </c>
      <c r="E3445" s="8" t="s">
        <v>24</v>
      </c>
      <c r="F3445">
        <v>2</v>
      </c>
      <c r="G3445" s="2">
        <v>46255.75</v>
      </c>
      <c r="H3445" s="2">
        <v>46255.583333333336</v>
      </c>
    </row>
    <row r="3446" spans="1:8" x14ac:dyDescent="0.25">
      <c r="A3446" s="8" t="s">
        <v>11093</v>
      </c>
      <c r="B3446" s="8" t="s">
        <v>14404</v>
      </c>
      <c r="C3446" s="2">
        <v>46255.416666666664</v>
      </c>
      <c r="D3446" s="8" t="s">
        <v>13929</v>
      </c>
      <c r="E3446" s="8" t="s">
        <v>26</v>
      </c>
      <c r="F3446">
        <v>2</v>
      </c>
      <c r="G3446" s="2">
        <v>46255.75</v>
      </c>
      <c r="H3446" s="2">
        <v>46255.583333333336</v>
      </c>
    </row>
    <row r="3447" spans="1:8" x14ac:dyDescent="0.25">
      <c r="A3447" s="8" t="s">
        <v>11096</v>
      </c>
      <c r="B3447" s="8" t="s">
        <v>14404</v>
      </c>
      <c r="C3447" s="2">
        <v>46255.416666666664</v>
      </c>
      <c r="D3447" s="8" t="s">
        <v>13929</v>
      </c>
      <c r="E3447" s="8" t="s">
        <v>45</v>
      </c>
      <c r="F3447">
        <v>4</v>
      </c>
      <c r="G3447" s="2">
        <v>46255.75</v>
      </c>
      <c r="H3447" s="2">
        <v>46255.583333333336</v>
      </c>
    </row>
    <row r="3448" spans="1:8" x14ac:dyDescent="0.25">
      <c r="A3448" s="8" t="s">
        <v>11099</v>
      </c>
      <c r="B3448" s="8" t="s">
        <v>14404</v>
      </c>
      <c r="C3448" s="2">
        <v>46255.416666666664</v>
      </c>
      <c r="D3448" s="8" t="s">
        <v>13929</v>
      </c>
      <c r="E3448" s="8" t="s">
        <v>49</v>
      </c>
      <c r="F3448">
        <v>1</v>
      </c>
      <c r="G3448" s="2">
        <v>46255.75</v>
      </c>
      <c r="H3448" s="2">
        <v>46255.583333333336</v>
      </c>
    </row>
    <row r="3449" spans="1:8" x14ac:dyDescent="0.25">
      <c r="A3449" s="8" t="s">
        <v>11102</v>
      </c>
      <c r="B3449" s="8" t="s">
        <v>14404</v>
      </c>
      <c r="C3449" s="2">
        <v>46255.416666666664</v>
      </c>
      <c r="D3449" s="8" t="s">
        <v>13929</v>
      </c>
      <c r="E3449" s="8" t="s">
        <v>51</v>
      </c>
      <c r="F3449">
        <v>1</v>
      </c>
      <c r="G3449" s="2">
        <v>46255.75</v>
      </c>
      <c r="H3449" s="2">
        <v>46255.583333333336</v>
      </c>
    </row>
    <row r="3450" spans="1:8" x14ac:dyDescent="0.25">
      <c r="A3450" s="8" t="s">
        <v>11105</v>
      </c>
      <c r="B3450" s="8" t="s">
        <v>14404</v>
      </c>
      <c r="C3450" s="2">
        <v>46255.416666666664</v>
      </c>
      <c r="D3450" s="8" t="s">
        <v>13929</v>
      </c>
      <c r="E3450" s="8" t="s">
        <v>65</v>
      </c>
      <c r="F3450">
        <v>3</v>
      </c>
      <c r="G3450" s="2">
        <v>46255.75</v>
      </c>
      <c r="H3450" s="2">
        <v>46255.583333333336</v>
      </c>
    </row>
    <row r="3451" spans="1:8" x14ac:dyDescent="0.25">
      <c r="A3451" s="8" t="s">
        <v>11108</v>
      </c>
      <c r="B3451" s="8" t="s">
        <v>14404</v>
      </c>
      <c r="C3451" s="2">
        <v>46255.416666666664</v>
      </c>
      <c r="D3451" s="8" t="s">
        <v>13929</v>
      </c>
      <c r="E3451" s="8" t="s">
        <v>69</v>
      </c>
      <c r="F3451">
        <v>2</v>
      </c>
      <c r="G3451" s="2">
        <v>46255.75</v>
      </c>
      <c r="H3451" s="2">
        <v>46255.583333333336</v>
      </c>
    </row>
    <row r="3452" spans="1:8" x14ac:dyDescent="0.25">
      <c r="A3452" s="8" t="s">
        <v>11111</v>
      </c>
      <c r="B3452" s="8" t="s">
        <v>14405</v>
      </c>
      <c r="C3452" s="2">
        <v>46255.416666666664</v>
      </c>
      <c r="D3452" s="8" t="s">
        <v>13931</v>
      </c>
      <c r="E3452" s="8" t="s">
        <v>18</v>
      </c>
      <c r="F3452">
        <v>4</v>
      </c>
      <c r="G3452" s="2">
        <v>46255.75</v>
      </c>
      <c r="H3452" s="2">
        <v>46255.583333333336</v>
      </c>
    </row>
    <row r="3453" spans="1:8" x14ac:dyDescent="0.25">
      <c r="A3453" s="8" t="s">
        <v>11114</v>
      </c>
      <c r="B3453" s="8" t="s">
        <v>14405</v>
      </c>
      <c r="C3453" s="2">
        <v>46255.416666666664</v>
      </c>
      <c r="D3453" s="8" t="s">
        <v>13931</v>
      </c>
      <c r="E3453" s="8" t="s">
        <v>20</v>
      </c>
      <c r="F3453">
        <v>4</v>
      </c>
      <c r="G3453" s="2">
        <v>46255.75</v>
      </c>
      <c r="H3453" s="2">
        <v>46255.583333333336</v>
      </c>
    </row>
    <row r="3454" spans="1:8" x14ac:dyDescent="0.25">
      <c r="A3454" s="8" t="s">
        <v>11117</v>
      </c>
      <c r="B3454" s="8" t="s">
        <v>14405</v>
      </c>
      <c r="C3454" s="2">
        <v>46255.416666666664</v>
      </c>
      <c r="D3454" s="8" t="s">
        <v>13931</v>
      </c>
      <c r="E3454" s="8" t="s">
        <v>22</v>
      </c>
      <c r="F3454">
        <v>3</v>
      </c>
      <c r="G3454" s="2">
        <v>46255.75</v>
      </c>
      <c r="H3454" s="2">
        <v>46255.583333333336</v>
      </c>
    </row>
    <row r="3455" spans="1:8" x14ac:dyDescent="0.25">
      <c r="A3455" s="8" t="s">
        <v>11120</v>
      </c>
      <c r="B3455" s="8" t="s">
        <v>14405</v>
      </c>
      <c r="C3455" s="2">
        <v>46255.416666666664</v>
      </c>
      <c r="D3455" s="8" t="s">
        <v>13931</v>
      </c>
      <c r="E3455" s="8" t="s">
        <v>24</v>
      </c>
      <c r="F3455">
        <v>5</v>
      </c>
      <c r="G3455" s="2">
        <v>46255.75</v>
      </c>
      <c r="H3455" s="2">
        <v>46255.583333333336</v>
      </c>
    </row>
    <row r="3456" spans="1:8" x14ac:dyDescent="0.25">
      <c r="A3456" s="8" t="s">
        <v>11123</v>
      </c>
      <c r="B3456" s="8" t="s">
        <v>14405</v>
      </c>
      <c r="C3456" s="2">
        <v>46255.416666666664</v>
      </c>
      <c r="D3456" s="8" t="s">
        <v>13931</v>
      </c>
      <c r="E3456" s="8" t="s">
        <v>32</v>
      </c>
      <c r="F3456">
        <v>1</v>
      </c>
      <c r="G3456" s="2">
        <v>46255.75</v>
      </c>
      <c r="H3456" s="2">
        <v>46255.583333333336</v>
      </c>
    </row>
    <row r="3457" spans="1:8" x14ac:dyDescent="0.25">
      <c r="A3457" s="8" t="s">
        <v>11126</v>
      </c>
      <c r="B3457" s="8" t="s">
        <v>14406</v>
      </c>
      <c r="C3457" s="2">
        <v>46255.416666666664</v>
      </c>
      <c r="D3457" s="8" t="s">
        <v>13933</v>
      </c>
      <c r="E3457" s="8" t="s">
        <v>11</v>
      </c>
      <c r="F3457">
        <v>5</v>
      </c>
      <c r="G3457" s="2">
        <v>46255.75</v>
      </c>
      <c r="H3457" s="2">
        <v>46255.583333333336</v>
      </c>
    </row>
    <row r="3458" spans="1:8" x14ac:dyDescent="0.25">
      <c r="A3458" s="8" t="s">
        <v>11129</v>
      </c>
      <c r="B3458" s="8" t="s">
        <v>14406</v>
      </c>
      <c r="C3458" s="2">
        <v>46255.416666666664</v>
      </c>
      <c r="D3458" s="8" t="s">
        <v>13933</v>
      </c>
      <c r="E3458" s="8" t="s">
        <v>20</v>
      </c>
      <c r="F3458">
        <v>2</v>
      </c>
      <c r="G3458" s="2">
        <v>46255.75</v>
      </c>
      <c r="H3458" s="2">
        <v>46255.583333333336</v>
      </c>
    </row>
    <row r="3459" spans="1:8" x14ac:dyDescent="0.25">
      <c r="A3459" s="8" t="s">
        <v>11132</v>
      </c>
      <c r="B3459" s="8" t="s">
        <v>14406</v>
      </c>
      <c r="C3459" s="2">
        <v>46255.416666666664</v>
      </c>
      <c r="D3459" s="8" t="s">
        <v>13933</v>
      </c>
      <c r="E3459" s="8" t="s">
        <v>22</v>
      </c>
      <c r="F3459">
        <v>1</v>
      </c>
      <c r="G3459" s="2">
        <v>46255.75</v>
      </c>
      <c r="H3459" s="2">
        <v>46255.583333333336</v>
      </c>
    </row>
    <row r="3460" spans="1:8" x14ac:dyDescent="0.25">
      <c r="A3460" s="8" t="s">
        <v>11135</v>
      </c>
      <c r="B3460" s="8" t="s">
        <v>14406</v>
      </c>
      <c r="C3460" s="2">
        <v>46255.416666666664</v>
      </c>
      <c r="D3460" s="8" t="s">
        <v>13933</v>
      </c>
      <c r="E3460" s="8" t="s">
        <v>24</v>
      </c>
      <c r="F3460">
        <v>5</v>
      </c>
      <c r="G3460" s="2">
        <v>46255.75</v>
      </c>
      <c r="H3460" s="2">
        <v>46255.583333333336</v>
      </c>
    </row>
    <row r="3461" spans="1:8" x14ac:dyDescent="0.25">
      <c r="A3461" s="8" t="s">
        <v>11138</v>
      </c>
      <c r="B3461" s="8" t="s">
        <v>14406</v>
      </c>
      <c r="C3461" s="2">
        <v>46255.416666666664</v>
      </c>
      <c r="D3461" s="8" t="s">
        <v>13933</v>
      </c>
      <c r="E3461" s="8" t="s">
        <v>26</v>
      </c>
      <c r="F3461">
        <v>4</v>
      </c>
      <c r="G3461" s="2">
        <v>46255.75</v>
      </c>
      <c r="H3461" s="2">
        <v>46255.583333333336</v>
      </c>
    </row>
    <row r="3462" spans="1:8" x14ac:dyDescent="0.25">
      <c r="A3462" s="8" t="s">
        <v>11141</v>
      </c>
      <c r="B3462" s="8" t="s">
        <v>14406</v>
      </c>
      <c r="C3462" s="2">
        <v>46255.416666666664</v>
      </c>
      <c r="D3462" s="8" t="s">
        <v>13933</v>
      </c>
      <c r="E3462" s="8" t="s">
        <v>28</v>
      </c>
      <c r="F3462">
        <v>6</v>
      </c>
      <c r="G3462" s="2">
        <v>46255.75</v>
      </c>
      <c r="H3462" s="2">
        <v>46255.583333333336</v>
      </c>
    </row>
    <row r="3463" spans="1:8" x14ac:dyDescent="0.25">
      <c r="A3463" s="8" t="s">
        <v>11144</v>
      </c>
      <c r="B3463" s="8" t="s">
        <v>14406</v>
      </c>
      <c r="C3463" s="2">
        <v>46255.416666666664</v>
      </c>
      <c r="D3463" s="8" t="s">
        <v>13933</v>
      </c>
      <c r="E3463" s="8" t="s">
        <v>30</v>
      </c>
      <c r="F3463">
        <v>4</v>
      </c>
      <c r="G3463" s="2">
        <v>46255.75</v>
      </c>
      <c r="H3463" s="2">
        <v>46255.583333333336</v>
      </c>
    </row>
    <row r="3464" spans="1:8" x14ac:dyDescent="0.25">
      <c r="A3464" s="8" t="s">
        <v>11147</v>
      </c>
      <c r="B3464" s="8" t="s">
        <v>14406</v>
      </c>
      <c r="C3464" s="2">
        <v>46255.416666666664</v>
      </c>
      <c r="D3464" s="8" t="s">
        <v>13933</v>
      </c>
      <c r="E3464" s="8" t="s">
        <v>47</v>
      </c>
      <c r="F3464">
        <v>2</v>
      </c>
      <c r="G3464" s="2">
        <v>46255.75</v>
      </c>
      <c r="H3464" s="2">
        <v>46255.583333333336</v>
      </c>
    </row>
    <row r="3465" spans="1:8" x14ac:dyDescent="0.25">
      <c r="A3465" s="8" t="s">
        <v>11150</v>
      </c>
      <c r="B3465" s="8" t="s">
        <v>14406</v>
      </c>
      <c r="C3465" s="2">
        <v>46255.416666666664</v>
      </c>
      <c r="D3465" s="8" t="s">
        <v>13933</v>
      </c>
      <c r="E3465" s="8" t="s">
        <v>53</v>
      </c>
      <c r="F3465">
        <v>6</v>
      </c>
      <c r="G3465" s="2">
        <v>46255.75</v>
      </c>
      <c r="H3465" s="2">
        <v>46255.583333333336</v>
      </c>
    </row>
    <row r="3466" spans="1:8" x14ac:dyDescent="0.25">
      <c r="A3466" s="8" t="s">
        <v>11153</v>
      </c>
      <c r="B3466" s="8" t="s">
        <v>14407</v>
      </c>
      <c r="C3466" s="2">
        <v>46255.416666666664</v>
      </c>
      <c r="D3466" s="8" t="s">
        <v>13935</v>
      </c>
      <c r="E3466" s="8" t="s">
        <v>22</v>
      </c>
      <c r="F3466">
        <v>7</v>
      </c>
      <c r="G3466" s="2">
        <v>46255.75</v>
      </c>
      <c r="H3466" s="2">
        <v>46255.583333333336</v>
      </c>
    </row>
    <row r="3467" spans="1:8" x14ac:dyDescent="0.25">
      <c r="A3467" s="8" t="s">
        <v>11156</v>
      </c>
      <c r="B3467" s="8" t="s">
        <v>14407</v>
      </c>
      <c r="C3467" s="2">
        <v>46255.416666666664</v>
      </c>
      <c r="D3467" s="8" t="s">
        <v>13935</v>
      </c>
      <c r="E3467" s="8" t="s">
        <v>26</v>
      </c>
      <c r="F3467">
        <v>6</v>
      </c>
      <c r="G3467" s="2">
        <v>46255.75</v>
      </c>
      <c r="H3467" s="2">
        <v>46255.583333333336</v>
      </c>
    </row>
    <row r="3468" spans="1:8" x14ac:dyDescent="0.25">
      <c r="A3468" s="8" t="s">
        <v>11159</v>
      </c>
      <c r="B3468" s="8" t="s">
        <v>14407</v>
      </c>
      <c r="C3468" s="2">
        <v>46255.416666666664</v>
      </c>
      <c r="D3468" s="8" t="s">
        <v>13935</v>
      </c>
      <c r="E3468" s="8" t="s">
        <v>32</v>
      </c>
      <c r="F3468">
        <v>4</v>
      </c>
      <c r="G3468" s="2">
        <v>46255.75</v>
      </c>
      <c r="H3468" s="2">
        <v>46255.583333333336</v>
      </c>
    </row>
    <row r="3469" spans="1:8" x14ac:dyDescent="0.25">
      <c r="A3469" s="8" t="s">
        <v>11162</v>
      </c>
      <c r="B3469" s="8" t="s">
        <v>14407</v>
      </c>
      <c r="C3469" s="2">
        <v>46255.416666666664</v>
      </c>
      <c r="D3469" s="8" t="s">
        <v>13935</v>
      </c>
      <c r="E3469" s="8" t="s">
        <v>53</v>
      </c>
      <c r="F3469">
        <v>3</v>
      </c>
      <c r="G3469" s="2">
        <v>46255.75</v>
      </c>
      <c r="H3469" s="2">
        <v>46255.583333333336</v>
      </c>
    </row>
    <row r="3470" spans="1:8" x14ac:dyDescent="0.25">
      <c r="A3470" s="8" t="s">
        <v>11165</v>
      </c>
      <c r="B3470" s="8" t="s">
        <v>14407</v>
      </c>
      <c r="C3470" s="2">
        <v>46255.416666666664</v>
      </c>
      <c r="D3470" s="8" t="s">
        <v>13935</v>
      </c>
      <c r="E3470" s="8" t="s">
        <v>73</v>
      </c>
      <c r="F3470">
        <v>1</v>
      </c>
      <c r="G3470" s="2">
        <v>46255.75</v>
      </c>
      <c r="H3470" s="2">
        <v>46255.583333333336</v>
      </c>
    </row>
    <row r="3471" spans="1:8" x14ac:dyDescent="0.25">
      <c r="A3471" s="8" t="s">
        <v>11168</v>
      </c>
      <c r="B3471" s="8" t="s">
        <v>14407</v>
      </c>
      <c r="C3471" s="2">
        <v>46255.416666666664</v>
      </c>
      <c r="D3471" s="8" t="s">
        <v>13935</v>
      </c>
      <c r="E3471" s="8" t="s">
        <v>77</v>
      </c>
      <c r="F3471">
        <v>1</v>
      </c>
      <c r="G3471" s="2">
        <v>46255.75</v>
      </c>
      <c r="H3471" s="2">
        <v>46255.583333333336</v>
      </c>
    </row>
    <row r="3472" spans="1:8" x14ac:dyDescent="0.25">
      <c r="A3472" s="8" t="s">
        <v>11171</v>
      </c>
      <c r="B3472" s="8" t="s">
        <v>14408</v>
      </c>
      <c r="C3472" s="2">
        <v>46255.416666666664</v>
      </c>
      <c r="D3472" s="8" t="s">
        <v>13937</v>
      </c>
      <c r="E3472" s="8" t="s">
        <v>18</v>
      </c>
      <c r="F3472">
        <v>2</v>
      </c>
      <c r="G3472" s="2">
        <v>46255.75</v>
      </c>
      <c r="H3472" s="2">
        <v>46255.583333333336</v>
      </c>
    </row>
    <row r="3473" spans="1:8" x14ac:dyDescent="0.25">
      <c r="A3473" s="8" t="s">
        <v>11174</v>
      </c>
      <c r="B3473" s="8" t="s">
        <v>14408</v>
      </c>
      <c r="C3473" s="2">
        <v>46255.416666666664</v>
      </c>
      <c r="D3473" s="8" t="s">
        <v>13937</v>
      </c>
      <c r="E3473" s="8" t="s">
        <v>22</v>
      </c>
      <c r="F3473">
        <v>4</v>
      </c>
      <c r="G3473" s="2">
        <v>46255.75</v>
      </c>
      <c r="H3473" s="2">
        <v>46255.583333333336</v>
      </c>
    </row>
    <row r="3474" spans="1:8" x14ac:dyDescent="0.25">
      <c r="A3474" s="8" t="s">
        <v>11177</v>
      </c>
      <c r="B3474" s="8" t="s">
        <v>14408</v>
      </c>
      <c r="C3474" s="2">
        <v>46255.416666666664</v>
      </c>
      <c r="D3474" s="8" t="s">
        <v>13937</v>
      </c>
      <c r="E3474" s="8" t="s">
        <v>24</v>
      </c>
      <c r="F3474">
        <v>4</v>
      </c>
      <c r="G3474" s="2">
        <v>46255.75</v>
      </c>
      <c r="H3474" s="2">
        <v>46255.583333333336</v>
      </c>
    </row>
    <row r="3475" spans="1:8" x14ac:dyDescent="0.25">
      <c r="A3475" s="8" t="s">
        <v>11180</v>
      </c>
      <c r="B3475" s="8" t="s">
        <v>14408</v>
      </c>
      <c r="C3475" s="2">
        <v>46255.416666666664</v>
      </c>
      <c r="D3475" s="8" t="s">
        <v>13937</v>
      </c>
      <c r="E3475" s="8" t="s">
        <v>30</v>
      </c>
      <c r="F3475">
        <v>2</v>
      </c>
      <c r="G3475" s="2">
        <v>46255.75</v>
      </c>
      <c r="H3475" s="2">
        <v>46255.583333333336</v>
      </c>
    </row>
    <row r="3476" spans="1:8" x14ac:dyDescent="0.25">
      <c r="A3476" s="8" t="s">
        <v>11183</v>
      </c>
      <c r="B3476" s="8" t="s">
        <v>14408</v>
      </c>
      <c r="C3476" s="2">
        <v>46255.416666666664</v>
      </c>
      <c r="D3476" s="8" t="s">
        <v>13937</v>
      </c>
      <c r="E3476" s="8" t="s">
        <v>43</v>
      </c>
      <c r="F3476">
        <v>4</v>
      </c>
      <c r="G3476" s="2">
        <v>46255.75</v>
      </c>
      <c r="H3476" s="2">
        <v>46255.583333333336</v>
      </c>
    </row>
    <row r="3477" spans="1:8" x14ac:dyDescent="0.25">
      <c r="A3477" s="8" t="s">
        <v>11186</v>
      </c>
      <c r="B3477" s="8" t="s">
        <v>14408</v>
      </c>
      <c r="C3477" s="2">
        <v>46255.416666666664</v>
      </c>
      <c r="D3477" s="8" t="s">
        <v>13937</v>
      </c>
      <c r="E3477" s="8" t="s">
        <v>49</v>
      </c>
      <c r="F3477">
        <v>3</v>
      </c>
      <c r="G3477" s="2">
        <v>46255.75</v>
      </c>
      <c r="H3477" s="2">
        <v>46255.583333333336</v>
      </c>
    </row>
    <row r="3478" spans="1:8" x14ac:dyDescent="0.25">
      <c r="A3478" s="8" t="s">
        <v>11189</v>
      </c>
      <c r="B3478" s="8" t="s">
        <v>14408</v>
      </c>
      <c r="C3478" s="2">
        <v>46255.416666666664</v>
      </c>
      <c r="D3478" s="8" t="s">
        <v>13937</v>
      </c>
      <c r="E3478" s="8" t="s">
        <v>51</v>
      </c>
      <c r="F3478">
        <v>4</v>
      </c>
      <c r="G3478" s="2">
        <v>46255.75</v>
      </c>
      <c r="H3478" s="2">
        <v>46255.583333333336</v>
      </c>
    </row>
    <row r="3479" spans="1:8" x14ac:dyDescent="0.25">
      <c r="A3479" s="8" t="s">
        <v>11192</v>
      </c>
      <c r="B3479" s="8" t="s">
        <v>14408</v>
      </c>
      <c r="C3479" s="2">
        <v>46255.416666666664</v>
      </c>
      <c r="D3479" s="8" t="s">
        <v>13937</v>
      </c>
      <c r="E3479" s="8" t="s">
        <v>53</v>
      </c>
      <c r="F3479">
        <v>4</v>
      </c>
      <c r="G3479" s="2">
        <v>46255.75</v>
      </c>
      <c r="H3479" s="2">
        <v>46255.583333333336</v>
      </c>
    </row>
    <row r="3480" spans="1:8" x14ac:dyDescent="0.25">
      <c r="A3480" s="8" t="s">
        <v>11195</v>
      </c>
      <c r="B3480" s="8" t="s">
        <v>14408</v>
      </c>
      <c r="C3480" s="2">
        <v>46255.416666666664</v>
      </c>
      <c r="D3480" s="8" t="s">
        <v>13937</v>
      </c>
      <c r="E3480" s="8" t="s">
        <v>59</v>
      </c>
      <c r="F3480">
        <v>4</v>
      </c>
      <c r="G3480" s="2">
        <v>46255.75</v>
      </c>
      <c r="H3480" s="2">
        <v>46255.583333333336</v>
      </c>
    </row>
    <row r="3481" spans="1:8" x14ac:dyDescent="0.25">
      <c r="A3481" s="8" t="s">
        <v>11198</v>
      </c>
      <c r="B3481" s="8" t="s">
        <v>14408</v>
      </c>
      <c r="C3481" s="2">
        <v>46255.416666666664</v>
      </c>
      <c r="D3481" s="8" t="s">
        <v>13937</v>
      </c>
      <c r="E3481" s="8" t="s">
        <v>73</v>
      </c>
      <c r="F3481">
        <v>2</v>
      </c>
      <c r="G3481" s="2">
        <v>46255.75</v>
      </c>
      <c r="H3481" s="2">
        <v>46255.583333333336</v>
      </c>
    </row>
    <row r="3482" spans="1:8" x14ac:dyDescent="0.25">
      <c r="A3482" s="8" t="s">
        <v>11201</v>
      </c>
      <c r="B3482" s="8" t="s">
        <v>14408</v>
      </c>
      <c r="C3482" s="2">
        <v>46255.416666666664</v>
      </c>
      <c r="D3482" s="8" t="s">
        <v>13937</v>
      </c>
      <c r="E3482" s="8" t="s">
        <v>75</v>
      </c>
      <c r="F3482">
        <v>1</v>
      </c>
      <c r="G3482" s="2">
        <v>46255.75</v>
      </c>
      <c r="H3482" s="2">
        <v>46255.583333333336</v>
      </c>
    </row>
    <row r="3483" spans="1:8" x14ac:dyDescent="0.25">
      <c r="A3483" s="8" t="s">
        <v>11204</v>
      </c>
      <c r="B3483" s="8" t="s">
        <v>14409</v>
      </c>
      <c r="C3483" s="2">
        <v>46256.416666666664</v>
      </c>
      <c r="D3483" s="8" t="s">
        <v>13929</v>
      </c>
      <c r="E3483" s="8" t="s">
        <v>18</v>
      </c>
      <c r="F3483">
        <v>3</v>
      </c>
      <c r="G3483" s="2">
        <v>46256.75</v>
      </c>
      <c r="H3483" s="2">
        <v>46256.583333333336</v>
      </c>
    </row>
    <row r="3484" spans="1:8" x14ac:dyDescent="0.25">
      <c r="A3484" s="8" t="s">
        <v>11207</v>
      </c>
      <c r="B3484" s="8" t="s">
        <v>14409</v>
      </c>
      <c r="C3484" s="2">
        <v>46256.416666666664</v>
      </c>
      <c r="D3484" s="8" t="s">
        <v>13929</v>
      </c>
      <c r="E3484" s="8" t="s">
        <v>22</v>
      </c>
      <c r="F3484">
        <v>4</v>
      </c>
      <c r="G3484" s="2">
        <v>46256.75</v>
      </c>
      <c r="H3484" s="2">
        <v>46256.583333333336</v>
      </c>
    </row>
    <row r="3485" spans="1:8" x14ac:dyDescent="0.25">
      <c r="A3485" s="8" t="s">
        <v>11210</v>
      </c>
      <c r="B3485" s="8" t="s">
        <v>14409</v>
      </c>
      <c r="C3485" s="2">
        <v>46256.416666666664</v>
      </c>
      <c r="D3485" s="8" t="s">
        <v>13929</v>
      </c>
      <c r="E3485" s="8" t="s">
        <v>24</v>
      </c>
      <c r="F3485">
        <v>2</v>
      </c>
      <c r="G3485" s="2">
        <v>46256.75</v>
      </c>
      <c r="H3485" s="2">
        <v>46256.583333333336</v>
      </c>
    </row>
    <row r="3486" spans="1:8" x14ac:dyDescent="0.25">
      <c r="A3486" s="8" t="s">
        <v>11213</v>
      </c>
      <c r="B3486" s="8" t="s">
        <v>14409</v>
      </c>
      <c r="C3486" s="2">
        <v>46256.416666666664</v>
      </c>
      <c r="D3486" s="8" t="s">
        <v>13929</v>
      </c>
      <c r="E3486" s="8" t="s">
        <v>26</v>
      </c>
      <c r="F3486">
        <v>5</v>
      </c>
      <c r="G3486" s="2">
        <v>46256.75</v>
      </c>
      <c r="H3486" s="2">
        <v>46256.583333333336</v>
      </c>
    </row>
    <row r="3487" spans="1:8" x14ac:dyDescent="0.25">
      <c r="A3487" s="8" t="s">
        <v>11216</v>
      </c>
      <c r="B3487" s="8" t="s">
        <v>14409</v>
      </c>
      <c r="C3487" s="2">
        <v>46256.416666666664</v>
      </c>
      <c r="D3487" s="8" t="s">
        <v>13929</v>
      </c>
      <c r="E3487" s="8" t="s">
        <v>45</v>
      </c>
      <c r="F3487">
        <v>1</v>
      </c>
      <c r="G3487" s="2">
        <v>46256.75</v>
      </c>
      <c r="H3487" s="2">
        <v>46256.583333333336</v>
      </c>
    </row>
    <row r="3488" spans="1:8" x14ac:dyDescent="0.25">
      <c r="A3488" s="8" t="s">
        <v>11219</v>
      </c>
      <c r="B3488" s="8" t="s">
        <v>14409</v>
      </c>
      <c r="C3488" s="2">
        <v>46256.416666666664</v>
      </c>
      <c r="D3488" s="8" t="s">
        <v>13929</v>
      </c>
      <c r="E3488" s="8" t="s">
        <v>65</v>
      </c>
      <c r="F3488">
        <v>1</v>
      </c>
      <c r="G3488" s="2">
        <v>46256.75</v>
      </c>
      <c r="H3488" s="2">
        <v>46256.583333333336</v>
      </c>
    </row>
    <row r="3489" spans="1:8" x14ac:dyDescent="0.25">
      <c r="A3489" s="8" t="s">
        <v>11222</v>
      </c>
      <c r="B3489" s="8" t="s">
        <v>14409</v>
      </c>
      <c r="C3489" s="2">
        <v>46256.416666666664</v>
      </c>
      <c r="D3489" s="8" t="s">
        <v>13929</v>
      </c>
      <c r="E3489" s="8" t="s">
        <v>67</v>
      </c>
      <c r="F3489">
        <v>1</v>
      </c>
      <c r="G3489" s="2">
        <v>46256.75</v>
      </c>
      <c r="H3489" s="2">
        <v>46256.583333333336</v>
      </c>
    </row>
    <row r="3490" spans="1:8" x14ac:dyDescent="0.25">
      <c r="A3490" s="8" t="s">
        <v>11225</v>
      </c>
      <c r="B3490" s="8" t="s">
        <v>14409</v>
      </c>
      <c r="C3490" s="2">
        <v>46256.416666666664</v>
      </c>
      <c r="D3490" s="8" t="s">
        <v>13929</v>
      </c>
      <c r="E3490" s="8" t="s">
        <v>73</v>
      </c>
      <c r="F3490">
        <v>5</v>
      </c>
      <c r="G3490" s="2">
        <v>46256.75</v>
      </c>
      <c r="H3490" s="2">
        <v>46256.583333333336</v>
      </c>
    </row>
    <row r="3491" spans="1:8" x14ac:dyDescent="0.25">
      <c r="A3491" s="8" t="s">
        <v>11228</v>
      </c>
      <c r="B3491" s="8" t="s">
        <v>14410</v>
      </c>
      <c r="C3491" s="2">
        <v>46256.416666666664</v>
      </c>
      <c r="D3491" s="8" t="s">
        <v>13931</v>
      </c>
      <c r="E3491" s="8" t="s">
        <v>20</v>
      </c>
      <c r="F3491">
        <v>5</v>
      </c>
      <c r="G3491" s="2">
        <v>46256.75</v>
      </c>
      <c r="H3491" s="2">
        <v>46256.583333333336</v>
      </c>
    </row>
    <row r="3492" spans="1:8" x14ac:dyDescent="0.25">
      <c r="A3492" s="8" t="s">
        <v>11231</v>
      </c>
      <c r="B3492" s="8" t="s">
        <v>14410</v>
      </c>
      <c r="C3492" s="2">
        <v>46256.416666666664</v>
      </c>
      <c r="D3492" s="8" t="s">
        <v>13931</v>
      </c>
      <c r="E3492" s="8" t="s">
        <v>24</v>
      </c>
      <c r="F3492">
        <v>6</v>
      </c>
      <c r="G3492" s="2">
        <v>46256.75</v>
      </c>
      <c r="H3492" s="2">
        <v>46256.583333333336</v>
      </c>
    </row>
    <row r="3493" spans="1:8" x14ac:dyDescent="0.25">
      <c r="A3493" s="8" t="s">
        <v>11234</v>
      </c>
      <c r="B3493" s="8" t="s">
        <v>14410</v>
      </c>
      <c r="C3493" s="2">
        <v>46256.416666666664</v>
      </c>
      <c r="D3493" s="8" t="s">
        <v>13931</v>
      </c>
      <c r="E3493" s="8" t="s">
        <v>32</v>
      </c>
      <c r="F3493">
        <v>5</v>
      </c>
      <c r="G3493" s="2">
        <v>46256.75</v>
      </c>
      <c r="H3493" s="2">
        <v>46256.583333333336</v>
      </c>
    </row>
    <row r="3494" spans="1:8" x14ac:dyDescent="0.25">
      <c r="A3494" s="8" t="s">
        <v>11237</v>
      </c>
      <c r="B3494" s="8" t="s">
        <v>14410</v>
      </c>
      <c r="C3494" s="2">
        <v>46256.416666666664</v>
      </c>
      <c r="D3494" s="8" t="s">
        <v>13931</v>
      </c>
      <c r="E3494" s="8" t="s">
        <v>41</v>
      </c>
      <c r="F3494">
        <v>3</v>
      </c>
      <c r="G3494" s="2">
        <v>46256.75</v>
      </c>
      <c r="H3494" s="2">
        <v>46256.583333333336</v>
      </c>
    </row>
    <row r="3495" spans="1:8" x14ac:dyDescent="0.25">
      <c r="A3495" s="8" t="s">
        <v>11240</v>
      </c>
      <c r="B3495" s="8" t="s">
        <v>14410</v>
      </c>
      <c r="C3495" s="2">
        <v>46256.416666666664</v>
      </c>
      <c r="D3495" s="8" t="s">
        <v>13931</v>
      </c>
      <c r="E3495" s="8" t="s">
        <v>49</v>
      </c>
      <c r="F3495">
        <v>5</v>
      </c>
      <c r="G3495" s="2">
        <v>46256.75</v>
      </c>
      <c r="H3495" s="2">
        <v>46256.583333333336</v>
      </c>
    </row>
    <row r="3496" spans="1:8" x14ac:dyDescent="0.25">
      <c r="A3496" s="8" t="s">
        <v>11243</v>
      </c>
      <c r="B3496" s="8" t="s">
        <v>14410</v>
      </c>
      <c r="C3496" s="2">
        <v>46256.416666666664</v>
      </c>
      <c r="D3496" s="8" t="s">
        <v>13931</v>
      </c>
      <c r="E3496" s="8" t="s">
        <v>53</v>
      </c>
      <c r="F3496">
        <v>6</v>
      </c>
      <c r="G3496" s="2">
        <v>46256.75</v>
      </c>
      <c r="H3496" s="2">
        <v>46256.583333333336</v>
      </c>
    </row>
    <row r="3497" spans="1:8" x14ac:dyDescent="0.25">
      <c r="A3497" s="8" t="s">
        <v>11246</v>
      </c>
      <c r="B3497" s="8" t="s">
        <v>14410</v>
      </c>
      <c r="C3497" s="2">
        <v>46256.416666666664</v>
      </c>
      <c r="D3497" s="8" t="s">
        <v>13931</v>
      </c>
      <c r="E3497" s="8" t="s">
        <v>65</v>
      </c>
      <c r="F3497">
        <v>5</v>
      </c>
      <c r="G3497" s="2">
        <v>46256.75</v>
      </c>
      <c r="H3497" s="2">
        <v>46256.583333333336</v>
      </c>
    </row>
    <row r="3498" spans="1:8" x14ac:dyDescent="0.25">
      <c r="A3498" s="8" t="s">
        <v>11249</v>
      </c>
      <c r="B3498" s="8" t="s">
        <v>14410</v>
      </c>
      <c r="C3498" s="2">
        <v>46256.416666666664</v>
      </c>
      <c r="D3498" s="8" t="s">
        <v>13931</v>
      </c>
      <c r="E3498" s="8" t="s">
        <v>69</v>
      </c>
      <c r="F3498">
        <v>3</v>
      </c>
      <c r="G3498" s="2">
        <v>46256.75</v>
      </c>
      <c r="H3498" s="2">
        <v>46256.583333333336</v>
      </c>
    </row>
    <row r="3499" spans="1:8" x14ac:dyDescent="0.25">
      <c r="A3499" s="8" t="s">
        <v>11252</v>
      </c>
      <c r="B3499" s="8" t="s">
        <v>14410</v>
      </c>
      <c r="C3499" s="2">
        <v>46256.416666666664</v>
      </c>
      <c r="D3499" s="8" t="s">
        <v>13931</v>
      </c>
      <c r="E3499" s="8" t="s">
        <v>75</v>
      </c>
      <c r="F3499">
        <v>1</v>
      </c>
      <c r="G3499" s="2">
        <v>46256.75</v>
      </c>
      <c r="H3499" s="2">
        <v>46256.583333333336</v>
      </c>
    </row>
    <row r="3500" spans="1:8" x14ac:dyDescent="0.25">
      <c r="A3500" s="8" t="s">
        <v>11255</v>
      </c>
      <c r="B3500" s="8" t="s">
        <v>14411</v>
      </c>
      <c r="C3500" s="2">
        <v>46256.416666666664</v>
      </c>
      <c r="D3500" s="8" t="s">
        <v>13933</v>
      </c>
      <c r="E3500" s="8" t="s">
        <v>11</v>
      </c>
      <c r="F3500">
        <v>8</v>
      </c>
      <c r="G3500" s="2">
        <v>46256.75</v>
      </c>
      <c r="H3500" s="2">
        <v>46256.583333333336</v>
      </c>
    </row>
    <row r="3501" spans="1:8" x14ac:dyDescent="0.25">
      <c r="A3501" s="8" t="s">
        <v>11258</v>
      </c>
      <c r="B3501" s="8" t="s">
        <v>14411</v>
      </c>
      <c r="C3501" s="2">
        <v>46256.416666666664</v>
      </c>
      <c r="D3501" s="8" t="s">
        <v>13933</v>
      </c>
      <c r="E3501" s="8" t="s">
        <v>18</v>
      </c>
      <c r="F3501">
        <v>8</v>
      </c>
      <c r="G3501" s="2">
        <v>46256.75</v>
      </c>
      <c r="H3501" s="2">
        <v>46256.583333333336</v>
      </c>
    </row>
    <row r="3502" spans="1:8" x14ac:dyDescent="0.25">
      <c r="A3502" s="8" t="s">
        <v>11261</v>
      </c>
      <c r="B3502" s="8" t="s">
        <v>14411</v>
      </c>
      <c r="C3502" s="2">
        <v>46256.416666666664</v>
      </c>
      <c r="D3502" s="8" t="s">
        <v>13933</v>
      </c>
      <c r="E3502" s="8" t="s">
        <v>20</v>
      </c>
      <c r="F3502">
        <v>8</v>
      </c>
      <c r="G3502" s="2">
        <v>46256.75</v>
      </c>
      <c r="H3502" s="2">
        <v>46256.583333333336</v>
      </c>
    </row>
    <row r="3503" spans="1:8" x14ac:dyDescent="0.25">
      <c r="A3503" s="8" t="s">
        <v>11264</v>
      </c>
      <c r="B3503" s="8" t="s">
        <v>14411</v>
      </c>
      <c r="C3503" s="2">
        <v>46256.416666666664</v>
      </c>
      <c r="D3503" s="8" t="s">
        <v>13933</v>
      </c>
      <c r="E3503" s="8" t="s">
        <v>22</v>
      </c>
      <c r="F3503">
        <v>3</v>
      </c>
      <c r="G3503" s="2">
        <v>46256.75</v>
      </c>
      <c r="H3503" s="2">
        <v>46256.583333333336</v>
      </c>
    </row>
    <row r="3504" spans="1:8" x14ac:dyDescent="0.25">
      <c r="A3504" s="8" t="s">
        <v>11267</v>
      </c>
      <c r="B3504" s="8" t="s">
        <v>14411</v>
      </c>
      <c r="C3504" s="2">
        <v>46256.416666666664</v>
      </c>
      <c r="D3504" s="8" t="s">
        <v>13933</v>
      </c>
      <c r="E3504" s="8" t="s">
        <v>26</v>
      </c>
      <c r="F3504">
        <v>3</v>
      </c>
      <c r="G3504" s="2">
        <v>46256.75</v>
      </c>
      <c r="H3504" s="2">
        <v>46256.583333333336</v>
      </c>
    </row>
    <row r="3505" spans="1:8" x14ac:dyDescent="0.25">
      <c r="A3505" s="8" t="s">
        <v>11270</v>
      </c>
      <c r="B3505" s="8" t="s">
        <v>14411</v>
      </c>
      <c r="C3505" s="2">
        <v>46256.416666666664</v>
      </c>
      <c r="D3505" s="8" t="s">
        <v>13933</v>
      </c>
      <c r="E3505" s="8" t="s">
        <v>28</v>
      </c>
      <c r="F3505">
        <v>3</v>
      </c>
      <c r="G3505" s="2">
        <v>46256.75</v>
      </c>
      <c r="H3505" s="2">
        <v>46256.583333333336</v>
      </c>
    </row>
    <row r="3506" spans="1:8" x14ac:dyDescent="0.25">
      <c r="A3506" s="8" t="s">
        <v>11273</v>
      </c>
      <c r="B3506" s="8" t="s">
        <v>14411</v>
      </c>
      <c r="C3506" s="2">
        <v>46256.416666666664</v>
      </c>
      <c r="D3506" s="8" t="s">
        <v>13933</v>
      </c>
      <c r="E3506" s="8" t="s">
        <v>43</v>
      </c>
      <c r="F3506">
        <v>8</v>
      </c>
      <c r="G3506" s="2">
        <v>46256.75</v>
      </c>
      <c r="H3506" s="2">
        <v>46256.583333333336</v>
      </c>
    </row>
    <row r="3507" spans="1:8" x14ac:dyDescent="0.25">
      <c r="A3507" s="8" t="s">
        <v>11276</v>
      </c>
      <c r="B3507" s="8" t="s">
        <v>14411</v>
      </c>
      <c r="C3507" s="2">
        <v>46256.416666666664</v>
      </c>
      <c r="D3507" s="8" t="s">
        <v>13933</v>
      </c>
      <c r="E3507" s="8" t="s">
        <v>45</v>
      </c>
      <c r="F3507">
        <v>8</v>
      </c>
      <c r="G3507" s="2">
        <v>46256.75</v>
      </c>
      <c r="H3507" s="2">
        <v>46256.583333333336</v>
      </c>
    </row>
    <row r="3508" spans="1:8" x14ac:dyDescent="0.25">
      <c r="A3508" s="8" t="s">
        <v>11281</v>
      </c>
      <c r="B3508" s="8" t="s">
        <v>14411</v>
      </c>
      <c r="C3508" s="2">
        <v>46256.416666666664</v>
      </c>
      <c r="D3508" s="8" t="s">
        <v>13933</v>
      </c>
      <c r="E3508" s="8" t="s">
        <v>53</v>
      </c>
      <c r="F3508">
        <v>5</v>
      </c>
      <c r="G3508" s="2">
        <v>46256.75</v>
      </c>
      <c r="H3508" s="2">
        <v>46256.583333333336</v>
      </c>
    </row>
    <row r="3509" spans="1:8" x14ac:dyDescent="0.25">
      <c r="A3509" s="8" t="s">
        <v>11284</v>
      </c>
      <c r="B3509" s="8" t="s">
        <v>14411</v>
      </c>
      <c r="C3509" s="2">
        <v>46256.416666666664</v>
      </c>
      <c r="D3509" s="8" t="s">
        <v>13933</v>
      </c>
      <c r="E3509" s="8" t="s">
        <v>57</v>
      </c>
      <c r="F3509">
        <v>3</v>
      </c>
      <c r="G3509" s="2">
        <v>46256.75</v>
      </c>
      <c r="H3509" s="2">
        <v>46256.583333333336</v>
      </c>
    </row>
    <row r="3510" spans="1:8" x14ac:dyDescent="0.25">
      <c r="A3510" s="8" t="s">
        <v>11287</v>
      </c>
      <c r="B3510" s="8" t="s">
        <v>14411</v>
      </c>
      <c r="C3510" s="2">
        <v>46256.416666666664</v>
      </c>
      <c r="D3510" s="8" t="s">
        <v>13933</v>
      </c>
      <c r="E3510" s="8" t="s">
        <v>65</v>
      </c>
      <c r="F3510">
        <v>6</v>
      </c>
      <c r="G3510" s="2">
        <v>46256.75</v>
      </c>
      <c r="H3510" s="2">
        <v>46256.583333333336</v>
      </c>
    </row>
    <row r="3511" spans="1:8" x14ac:dyDescent="0.25">
      <c r="A3511" s="8" t="s">
        <v>11290</v>
      </c>
      <c r="B3511" s="8" t="s">
        <v>14411</v>
      </c>
      <c r="C3511" s="2">
        <v>46256.416666666664</v>
      </c>
      <c r="D3511" s="8" t="s">
        <v>13933</v>
      </c>
      <c r="E3511" s="8" t="s">
        <v>67</v>
      </c>
      <c r="F3511">
        <v>6</v>
      </c>
      <c r="G3511" s="2">
        <v>46256.75</v>
      </c>
      <c r="H3511" s="2">
        <v>46256.583333333336</v>
      </c>
    </row>
    <row r="3512" spans="1:8" x14ac:dyDescent="0.25">
      <c r="A3512" s="8" t="s">
        <v>11293</v>
      </c>
      <c r="B3512" s="8" t="s">
        <v>14411</v>
      </c>
      <c r="C3512" s="2">
        <v>46256.416666666664</v>
      </c>
      <c r="D3512" s="8" t="s">
        <v>13933</v>
      </c>
      <c r="E3512" s="8" t="s">
        <v>73</v>
      </c>
      <c r="F3512">
        <v>5</v>
      </c>
      <c r="G3512" s="2">
        <v>46256.75</v>
      </c>
      <c r="H3512" s="2">
        <v>46256.583333333336</v>
      </c>
    </row>
    <row r="3513" spans="1:8" x14ac:dyDescent="0.25">
      <c r="A3513" s="8" t="s">
        <v>11296</v>
      </c>
      <c r="B3513" s="8" t="s">
        <v>14411</v>
      </c>
      <c r="C3513" s="2">
        <v>46256.416666666664</v>
      </c>
      <c r="D3513" s="8" t="s">
        <v>13933</v>
      </c>
      <c r="E3513" s="8" t="s">
        <v>77</v>
      </c>
      <c r="F3513">
        <v>8</v>
      </c>
      <c r="G3513" s="2">
        <v>46256.75</v>
      </c>
      <c r="H3513" s="2">
        <v>46256.583333333336</v>
      </c>
    </row>
    <row r="3514" spans="1:8" x14ac:dyDescent="0.25">
      <c r="A3514" s="8" t="s">
        <v>11299</v>
      </c>
      <c r="B3514" s="8" t="s">
        <v>14412</v>
      </c>
      <c r="C3514" s="2">
        <v>46256.416666666664</v>
      </c>
      <c r="D3514" s="8" t="s">
        <v>13935</v>
      </c>
      <c r="E3514" s="8" t="s">
        <v>11</v>
      </c>
      <c r="F3514">
        <v>4</v>
      </c>
      <c r="G3514" s="2">
        <v>46256.75</v>
      </c>
      <c r="H3514" s="2">
        <v>46256.583333333336</v>
      </c>
    </row>
    <row r="3515" spans="1:8" x14ac:dyDescent="0.25">
      <c r="A3515" s="8" t="s">
        <v>11302</v>
      </c>
      <c r="B3515" s="8" t="s">
        <v>14412</v>
      </c>
      <c r="C3515" s="2">
        <v>46256.416666666664</v>
      </c>
      <c r="D3515" s="8" t="s">
        <v>13935</v>
      </c>
      <c r="E3515" s="8" t="s">
        <v>28</v>
      </c>
      <c r="F3515">
        <v>9</v>
      </c>
      <c r="G3515" s="2">
        <v>46256.75</v>
      </c>
      <c r="H3515" s="2">
        <v>46256.583333333336</v>
      </c>
    </row>
    <row r="3516" spans="1:8" x14ac:dyDescent="0.25">
      <c r="A3516" s="8" t="s">
        <v>11307</v>
      </c>
      <c r="B3516" s="8" t="s">
        <v>14412</v>
      </c>
      <c r="C3516" s="2">
        <v>46256.416666666664</v>
      </c>
      <c r="D3516" s="8" t="s">
        <v>13935</v>
      </c>
      <c r="E3516" s="8" t="s">
        <v>30</v>
      </c>
      <c r="F3516">
        <v>4</v>
      </c>
      <c r="G3516" s="2">
        <v>46256.75</v>
      </c>
      <c r="H3516" s="2">
        <v>46256.583333333336</v>
      </c>
    </row>
    <row r="3517" spans="1:8" x14ac:dyDescent="0.25">
      <c r="A3517" s="8" t="s">
        <v>11310</v>
      </c>
      <c r="B3517" s="8" t="s">
        <v>14412</v>
      </c>
      <c r="C3517" s="2">
        <v>46256.416666666664</v>
      </c>
      <c r="D3517" s="8" t="s">
        <v>13935</v>
      </c>
      <c r="E3517" s="8" t="s">
        <v>36</v>
      </c>
      <c r="F3517">
        <v>2</v>
      </c>
      <c r="G3517" s="2">
        <v>46256.75</v>
      </c>
      <c r="H3517" s="2">
        <v>46256.583333333336</v>
      </c>
    </row>
    <row r="3518" spans="1:8" x14ac:dyDescent="0.25">
      <c r="A3518" s="8" t="s">
        <v>11313</v>
      </c>
      <c r="B3518" s="8" t="s">
        <v>14412</v>
      </c>
      <c r="C3518" s="2">
        <v>46256.416666666664</v>
      </c>
      <c r="D3518" s="8" t="s">
        <v>13935</v>
      </c>
      <c r="E3518" s="8" t="s">
        <v>47</v>
      </c>
      <c r="F3518">
        <v>5</v>
      </c>
      <c r="G3518" s="2">
        <v>46256.75</v>
      </c>
      <c r="H3518" s="2">
        <v>46256.583333333336</v>
      </c>
    </row>
    <row r="3519" spans="1:8" x14ac:dyDescent="0.25">
      <c r="A3519" s="8" t="s">
        <v>11316</v>
      </c>
      <c r="B3519" s="8" t="s">
        <v>14412</v>
      </c>
      <c r="C3519" s="2">
        <v>46256.416666666664</v>
      </c>
      <c r="D3519" s="8" t="s">
        <v>13935</v>
      </c>
      <c r="E3519" s="8" t="s">
        <v>59</v>
      </c>
      <c r="F3519">
        <v>2</v>
      </c>
      <c r="G3519" s="2">
        <v>46256.75</v>
      </c>
      <c r="H3519" s="2">
        <v>46256.583333333336</v>
      </c>
    </row>
    <row r="3520" spans="1:8" x14ac:dyDescent="0.25">
      <c r="A3520" s="8" t="s">
        <v>11319</v>
      </c>
      <c r="B3520" s="8" t="s">
        <v>14412</v>
      </c>
      <c r="C3520" s="2">
        <v>46256.416666666664</v>
      </c>
      <c r="D3520" s="8" t="s">
        <v>13935</v>
      </c>
      <c r="E3520" s="8" t="s">
        <v>73</v>
      </c>
      <c r="F3520">
        <v>2</v>
      </c>
      <c r="G3520" s="2">
        <v>46256.75</v>
      </c>
      <c r="H3520" s="2">
        <v>46256.583333333336</v>
      </c>
    </row>
    <row r="3521" spans="1:8" x14ac:dyDescent="0.25">
      <c r="A3521" s="8" t="s">
        <v>11322</v>
      </c>
      <c r="B3521" s="8" t="s">
        <v>14413</v>
      </c>
      <c r="C3521" s="2">
        <v>46256.416666666664</v>
      </c>
      <c r="D3521" s="8" t="s">
        <v>13937</v>
      </c>
      <c r="E3521" s="8" t="s">
        <v>11</v>
      </c>
      <c r="F3521">
        <v>4</v>
      </c>
      <c r="G3521" s="2">
        <v>46256.75</v>
      </c>
      <c r="H3521" s="2">
        <v>46256.583333333336</v>
      </c>
    </row>
    <row r="3522" spans="1:8" x14ac:dyDescent="0.25">
      <c r="A3522" s="8" t="s">
        <v>11325</v>
      </c>
      <c r="B3522" s="8" t="s">
        <v>14413</v>
      </c>
      <c r="C3522" s="2">
        <v>46256.416666666664</v>
      </c>
      <c r="D3522" s="8" t="s">
        <v>13937</v>
      </c>
      <c r="E3522" s="8" t="s">
        <v>18</v>
      </c>
      <c r="F3522">
        <v>4</v>
      </c>
      <c r="G3522" s="2">
        <v>46256.75</v>
      </c>
      <c r="H3522" s="2">
        <v>46256.583333333336</v>
      </c>
    </row>
    <row r="3523" spans="1:8" x14ac:dyDescent="0.25">
      <c r="A3523" s="8" t="s">
        <v>11328</v>
      </c>
      <c r="B3523" s="8" t="s">
        <v>14413</v>
      </c>
      <c r="C3523" s="2">
        <v>46256.416666666664</v>
      </c>
      <c r="D3523" s="8" t="s">
        <v>13937</v>
      </c>
      <c r="E3523" s="8" t="s">
        <v>20</v>
      </c>
      <c r="F3523">
        <v>1</v>
      </c>
      <c r="G3523" s="2">
        <v>46256.75</v>
      </c>
      <c r="H3523" s="2">
        <v>46256.583333333336</v>
      </c>
    </row>
    <row r="3524" spans="1:8" x14ac:dyDescent="0.25">
      <c r="A3524" s="8" t="s">
        <v>11331</v>
      </c>
      <c r="B3524" s="8" t="s">
        <v>14413</v>
      </c>
      <c r="C3524" s="2">
        <v>46256.416666666664</v>
      </c>
      <c r="D3524" s="8" t="s">
        <v>13937</v>
      </c>
      <c r="E3524" s="8" t="s">
        <v>22</v>
      </c>
      <c r="F3524">
        <v>1</v>
      </c>
      <c r="G3524" s="2">
        <v>46256.75</v>
      </c>
      <c r="H3524" s="2">
        <v>46256.583333333336</v>
      </c>
    </row>
    <row r="3525" spans="1:8" x14ac:dyDescent="0.25">
      <c r="A3525" s="8" t="s">
        <v>11334</v>
      </c>
      <c r="B3525" s="8" t="s">
        <v>14413</v>
      </c>
      <c r="C3525" s="2">
        <v>46256.416666666664</v>
      </c>
      <c r="D3525" s="8" t="s">
        <v>13937</v>
      </c>
      <c r="E3525" s="8" t="s">
        <v>24</v>
      </c>
      <c r="F3525">
        <v>6</v>
      </c>
      <c r="G3525" s="2">
        <v>46256.75</v>
      </c>
      <c r="H3525" s="2">
        <v>46256.583333333336</v>
      </c>
    </row>
    <row r="3526" spans="1:8" x14ac:dyDescent="0.25">
      <c r="A3526" s="8" t="s">
        <v>11337</v>
      </c>
      <c r="B3526" s="8" t="s">
        <v>14413</v>
      </c>
      <c r="C3526" s="2">
        <v>46256.416666666664</v>
      </c>
      <c r="D3526" s="8" t="s">
        <v>13937</v>
      </c>
      <c r="E3526" s="8" t="s">
        <v>57</v>
      </c>
      <c r="F3526">
        <v>1</v>
      </c>
      <c r="G3526" s="2">
        <v>46256.75</v>
      </c>
      <c r="H3526" s="2">
        <v>46256.583333333336</v>
      </c>
    </row>
    <row r="3527" spans="1:8" x14ac:dyDescent="0.25">
      <c r="A3527" s="8" t="s">
        <v>11340</v>
      </c>
      <c r="B3527" s="8" t="s">
        <v>14413</v>
      </c>
      <c r="C3527" s="2">
        <v>46256.416666666664</v>
      </c>
      <c r="D3527" s="8" t="s">
        <v>13937</v>
      </c>
      <c r="E3527" s="8" t="s">
        <v>59</v>
      </c>
      <c r="F3527">
        <v>5</v>
      </c>
      <c r="G3527" s="2">
        <v>46256.75</v>
      </c>
      <c r="H3527" s="2">
        <v>46256.583333333336</v>
      </c>
    </row>
    <row r="3528" spans="1:8" x14ac:dyDescent="0.25">
      <c r="A3528" s="8" t="s">
        <v>11343</v>
      </c>
      <c r="B3528" s="8" t="s">
        <v>14413</v>
      </c>
      <c r="C3528" s="2">
        <v>46256.416666666664</v>
      </c>
      <c r="D3528" s="8" t="s">
        <v>13937</v>
      </c>
      <c r="E3528" s="8" t="s">
        <v>77</v>
      </c>
      <c r="F3528">
        <v>5</v>
      </c>
      <c r="G3528" s="2">
        <v>46256.75</v>
      </c>
      <c r="H3528" s="2">
        <v>46256.583333333336</v>
      </c>
    </row>
    <row r="3529" spans="1:8" x14ac:dyDescent="0.25">
      <c r="A3529" s="8" t="s">
        <v>11346</v>
      </c>
      <c r="B3529" s="8" t="s">
        <v>14414</v>
      </c>
      <c r="C3529" s="2">
        <v>46257.416666666664</v>
      </c>
      <c r="D3529" s="8" t="s">
        <v>13929</v>
      </c>
      <c r="E3529" s="8" t="s">
        <v>11</v>
      </c>
      <c r="F3529">
        <v>4</v>
      </c>
      <c r="G3529" s="2">
        <v>46257.75</v>
      </c>
      <c r="H3529" s="2">
        <v>46257.583333333336</v>
      </c>
    </row>
    <row r="3530" spans="1:8" x14ac:dyDescent="0.25">
      <c r="A3530" s="8" t="s">
        <v>11349</v>
      </c>
      <c r="B3530" s="8" t="s">
        <v>14414</v>
      </c>
      <c r="C3530" s="2">
        <v>46257.416666666664</v>
      </c>
      <c r="D3530" s="8" t="s">
        <v>13929</v>
      </c>
      <c r="E3530" s="8" t="s">
        <v>20</v>
      </c>
      <c r="F3530">
        <v>3</v>
      </c>
      <c r="G3530" s="2">
        <v>46257.75</v>
      </c>
      <c r="H3530" s="2">
        <v>46257.583333333336</v>
      </c>
    </row>
    <row r="3531" spans="1:8" x14ac:dyDescent="0.25">
      <c r="A3531" s="8" t="s">
        <v>11352</v>
      </c>
      <c r="B3531" s="8" t="s">
        <v>14414</v>
      </c>
      <c r="C3531" s="2">
        <v>46257.416666666664</v>
      </c>
      <c r="D3531" s="8" t="s">
        <v>13929</v>
      </c>
      <c r="E3531" s="8" t="s">
        <v>22</v>
      </c>
      <c r="F3531">
        <v>4</v>
      </c>
      <c r="G3531" s="2">
        <v>46257.75</v>
      </c>
      <c r="H3531" s="2">
        <v>46257.583333333336</v>
      </c>
    </row>
    <row r="3532" spans="1:8" x14ac:dyDescent="0.25">
      <c r="A3532" s="8" t="s">
        <v>11355</v>
      </c>
      <c r="B3532" s="8" t="s">
        <v>14414</v>
      </c>
      <c r="C3532" s="2">
        <v>46257.416666666664</v>
      </c>
      <c r="D3532" s="8" t="s">
        <v>13929</v>
      </c>
      <c r="E3532" s="8" t="s">
        <v>24</v>
      </c>
      <c r="F3532">
        <v>3</v>
      </c>
      <c r="G3532" s="2">
        <v>46257.75</v>
      </c>
      <c r="H3532" s="2">
        <v>46257.583333333336</v>
      </c>
    </row>
    <row r="3533" spans="1:8" x14ac:dyDescent="0.25">
      <c r="A3533" s="8" t="s">
        <v>11358</v>
      </c>
      <c r="B3533" s="8" t="s">
        <v>14414</v>
      </c>
      <c r="C3533" s="2">
        <v>46257.416666666664</v>
      </c>
      <c r="D3533" s="8" t="s">
        <v>13929</v>
      </c>
      <c r="E3533" s="8" t="s">
        <v>30</v>
      </c>
      <c r="F3533">
        <v>2</v>
      </c>
      <c r="G3533" s="2">
        <v>46257.75</v>
      </c>
      <c r="H3533" s="2">
        <v>46257.583333333336</v>
      </c>
    </row>
    <row r="3534" spans="1:8" x14ac:dyDescent="0.25">
      <c r="A3534" s="8" t="s">
        <v>11361</v>
      </c>
      <c r="B3534" s="8" t="s">
        <v>14414</v>
      </c>
      <c r="C3534" s="2">
        <v>46257.416666666664</v>
      </c>
      <c r="D3534" s="8" t="s">
        <v>13929</v>
      </c>
      <c r="E3534" s="8" t="s">
        <v>43</v>
      </c>
      <c r="F3534">
        <v>5</v>
      </c>
      <c r="G3534" s="2">
        <v>46257.75</v>
      </c>
      <c r="H3534" s="2">
        <v>46257.583333333336</v>
      </c>
    </row>
    <row r="3535" spans="1:8" x14ac:dyDescent="0.25">
      <c r="A3535" s="8" t="s">
        <v>11364</v>
      </c>
      <c r="B3535" s="8" t="s">
        <v>14414</v>
      </c>
      <c r="C3535" s="2">
        <v>46257.416666666664</v>
      </c>
      <c r="D3535" s="8" t="s">
        <v>13929</v>
      </c>
      <c r="E3535" s="8" t="s">
        <v>49</v>
      </c>
      <c r="F3535">
        <v>5</v>
      </c>
      <c r="G3535" s="2">
        <v>46257.75</v>
      </c>
      <c r="H3535" s="2">
        <v>46257.583333333336</v>
      </c>
    </row>
    <row r="3536" spans="1:8" x14ac:dyDescent="0.25">
      <c r="A3536" s="8" t="s">
        <v>11367</v>
      </c>
      <c r="B3536" s="8" t="s">
        <v>14414</v>
      </c>
      <c r="C3536" s="2">
        <v>46257.416666666664</v>
      </c>
      <c r="D3536" s="8" t="s">
        <v>13929</v>
      </c>
      <c r="E3536" s="8" t="s">
        <v>57</v>
      </c>
      <c r="F3536">
        <v>2</v>
      </c>
      <c r="G3536" s="2">
        <v>46257.75</v>
      </c>
      <c r="H3536" s="2">
        <v>46257.583333333336</v>
      </c>
    </row>
    <row r="3537" spans="1:8" x14ac:dyDescent="0.25">
      <c r="A3537" s="8" t="s">
        <v>11370</v>
      </c>
      <c r="B3537" s="8" t="s">
        <v>14414</v>
      </c>
      <c r="C3537" s="2">
        <v>46257.416666666664</v>
      </c>
      <c r="D3537" s="8" t="s">
        <v>13929</v>
      </c>
      <c r="E3537" s="8" t="s">
        <v>69</v>
      </c>
      <c r="F3537">
        <v>2</v>
      </c>
      <c r="G3537" s="2">
        <v>46257.75</v>
      </c>
      <c r="H3537" s="2">
        <v>46257.583333333336</v>
      </c>
    </row>
    <row r="3538" spans="1:8" x14ac:dyDescent="0.25">
      <c r="A3538" s="8" t="s">
        <v>11373</v>
      </c>
      <c r="B3538" s="8" t="s">
        <v>14414</v>
      </c>
      <c r="C3538" s="2">
        <v>46257.416666666664</v>
      </c>
      <c r="D3538" s="8" t="s">
        <v>13929</v>
      </c>
      <c r="E3538" s="8" t="s">
        <v>71</v>
      </c>
      <c r="F3538">
        <v>2</v>
      </c>
      <c r="G3538" s="2">
        <v>46257.75</v>
      </c>
      <c r="H3538" s="2">
        <v>46257.583333333336</v>
      </c>
    </row>
    <row r="3539" spans="1:8" x14ac:dyDescent="0.25">
      <c r="A3539" s="8" t="s">
        <v>11376</v>
      </c>
      <c r="B3539" s="8" t="s">
        <v>14415</v>
      </c>
      <c r="C3539" s="2">
        <v>46257.416666666664</v>
      </c>
      <c r="D3539" s="8" t="s">
        <v>13931</v>
      </c>
      <c r="E3539" s="8" t="s">
        <v>18</v>
      </c>
      <c r="F3539">
        <v>1</v>
      </c>
      <c r="G3539" s="2">
        <v>46257.75</v>
      </c>
      <c r="H3539" s="2">
        <v>46257.583333333336</v>
      </c>
    </row>
    <row r="3540" spans="1:8" x14ac:dyDescent="0.25">
      <c r="A3540" s="8" t="s">
        <v>11379</v>
      </c>
      <c r="B3540" s="8" t="s">
        <v>14415</v>
      </c>
      <c r="C3540" s="2">
        <v>46257.416666666664</v>
      </c>
      <c r="D3540" s="8" t="s">
        <v>13931</v>
      </c>
      <c r="E3540" s="8" t="s">
        <v>20</v>
      </c>
      <c r="F3540">
        <v>4</v>
      </c>
      <c r="G3540" s="2">
        <v>46257.75</v>
      </c>
      <c r="H3540" s="2">
        <v>46257.583333333336</v>
      </c>
    </row>
    <row r="3541" spans="1:8" x14ac:dyDescent="0.25">
      <c r="A3541" s="8" t="s">
        <v>11382</v>
      </c>
      <c r="B3541" s="8" t="s">
        <v>14415</v>
      </c>
      <c r="C3541" s="2">
        <v>46257.416666666664</v>
      </c>
      <c r="D3541" s="8" t="s">
        <v>13931</v>
      </c>
      <c r="E3541" s="8" t="s">
        <v>22</v>
      </c>
      <c r="F3541">
        <v>5</v>
      </c>
      <c r="G3541" s="2">
        <v>46257.75</v>
      </c>
      <c r="H3541" s="2">
        <v>46257.583333333336</v>
      </c>
    </row>
    <row r="3542" spans="1:8" x14ac:dyDescent="0.25">
      <c r="A3542" s="8" t="s">
        <v>11385</v>
      </c>
      <c r="B3542" s="8" t="s">
        <v>14415</v>
      </c>
      <c r="C3542" s="2">
        <v>46257.416666666664</v>
      </c>
      <c r="D3542" s="8" t="s">
        <v>13931</v>
      </c>
      <c r="E3542" s="8" t="s">
        <v>26</v>
      </c>
      <c r="F3542">
        <v>6</v>
      </c>
      <c r="G3542" s="2">
        <v>46257.75</v>
      </c>
      <c r="H3542" s="2">
        <v>46257.583333333336</v>
      </c>
    </row>
    <row r="3543" spans="1:8" x14ac:dyDescent="0.25">
      <c r="A3543" s="8" t="s">
        <v>11388</v>
      </c>
      <c r="B3543" s="8" t="s">
        <v>14415</v>
      </c>
      <c r="C3543" s="2">
        <v>46257.416666666664</v>
      </c>
      <c r="D3543" s="8" t="s">
        <v>13931</v>
      </c>
      <c r="E3543" s="8" t="s">
        <v>30</v>
      </c>
      <c r="F3543">
        <v>3</v>
      </c>
      <c r="G3543" s="2">
        <v>46257.75</v>
      </c>
      <c r="H3543" s="2">
        <v>46257.583333333336</v>
      </c>
    </row>
    <row r="3544" spans="1:8" x14ac:dyDescent="0.25">
      <c r="A3544" s="8" t="s">
        <v>11391</v>
      </c>
      <c r="B3544" s="8" t="s">
        <v>14415</v>
      </c>
      <c r="C3544" s="2">
        <v>46257.416666666664</v>
      </c>
      <c r="D3544" s="8" t="s">
        <v>13931</v>
      </c>
      <c r="E3544" s="8" t="s">
        <v>51</v>
      </c>
      <c r="F3544">
        <v>6</v>
      </c>
      <c r="G3544" s="2">
        <v>46257.75</v>
      </c>
      <c r="H3544" s="2">
        <v>46257.583333333336</v>
      </c>
    </row>
    <row r="3545" spans="1:8" x14ac:dyDescent="0.25">
      <c r="A3545" s="8" t="s">
        <v>11394</v>
      </c>
      <c r="B3545" s="8" t="s">
        <v>14415</v>
      </c>
      <c r="C3545" s="2">
        <v>46257.416666666664</v>
      </c>
      <c r="D3545" s="8" t="s">
        <v>13931</v>
      </c>
      <c r="E3545" s="8" t="s">
        <v>59</v>
      </c>
      <c r="F3545">
        <v>3</v>
      </c>
      <c r="G3545" s="2">
        <v>46257.75</v>
      </c>
      <c r="H3545" s="2">
        <v>46257.583333333336</v>
      </c>
    </row>
    <row r="3546" spans="1:8" x14ac:dyDescent="0.25">
      <c r="A3546" s="8" t="s">
        <v>11397</v>
      </c>
      <c r="B3546" s="8" t="s">
        <v>14415</v>
      </c>
      <c r="C3546" s="2">
        <v>46257.416666666664</v>
      </c>
      <c r="D3546" s="8" t="s">
        <v>13931</v>
      </c>
      <c r="E3546" s="8" t="s">
        <v>69</v>
      </c>
      <c r="F3546">
        <v>5</v>
      </c>
      <c r="G3546" s="2">
        <v>46257.75</v>
      </c>
      <c r="H3546" s="2">
        <v>46257.583333333336</v>
      </c>
    </row>
    <row r="3547" spans="1:8" x14ac:dyDescent="0.25">
      <c r="A3547" s="8" t="s">
        <v>11400</v>
      </c>
      <c r="B3547" s="8" t="s">
        <v>14415</v>
      </c>
      <c r="C3547" s="2">
        <v>46257.416666666664</v>
      </c>
      <c r="D3547" s="8" t="s">
        <v>13931</v>
      </c>
      <c r="E3547" s="8" t="s">
        <v>71</v>
      </c>
      <c r="F3547">
        <v>6</v>
      </c>
      <c r="G3547" s="2">
        <v>46257.75</v>
      </c>
      <c r="H3547" s="2">
        <v>46257.583333333336</v>
      </c>
    </row>
    <row r="3548" spans="1:8" x14ac:dyDescent="0.25">
      <c r="A3548" s="8" t="s">
        <v>11403</v>
      </c>
      <c r="B3548" s="8" t="s">
        <v>14416</v>
      </c>
      <c r="C3548" s="2">
        <v>46257.416666666664</v>
      </c>
      <c r="D3548" s="8" t="s">
        <v>13933</v>
      </c>
      <c r="E3548" s="8" t="s">
        <v>11</v>
      </c>
      <c r="F3548">
        <v>5</v>
      </c>
      <c r="G3548" s="2">
        <v>46257.75</v>
      </c>
      <c r="H3548" s="2">
        <v>46257.583333333336</v>
      </c>
    </row>
    <row r="3549" spans="1:8" x14ac:dyDescent="0.25">
      <c r="A3549" s="8" t="s">
        <v>11406</v>
      </c>
      <c r="B3549" s="8" t="s">
        <v>14416</v>
      </c>
      <c r="C3549" s="2">
        <v>46257.416666666664</v>
      </c>
      <c r="D3549" s="8" t="s">
        <v>13933</v>
      </c>
      <c r="E3549" s="8" t="s">
        <v>18</v>
      </c>
      <c r="F3549">
        <v>3</v>
      </c>
      <c r="G3549" s="2">
        <v>46257.75</v>
      </c>
      <c r="H3549" s="2">
        <v>46257.583333333336</v>
      </c>
    </row>
    <row r="3550" spans="1:8" x14ac:dyDescent="0.25">
      <c r="A3550" s="8" t="s">
        <v>11409</v>
      </c>
      <c r="B3550" s="8" t="s">
        <v>14416</v>
      </c>
      <c r="C3550" s="2">
        <v>46257.416666666664</v>
      </c>
      <c r="D3550" s="8" t="s">
        <v>13933</v>
      </c>
      <c r="E3550" s="8" t="s">
        <v>20</v>
      </c>
      <c r="F3550">
        <v>3</v>
      </c>
      <c r="G3550" s="2">
        <v>46257.75</v>
      </c>
      <c r="H3550" s="2">
        <v>46257.583333333336</v>
      </c>
    </row>
    <row r="3551" spans="1:8" x14ac:dyDescent="0.25">
      <c r="A3551" s="8" t="s">
        <v>11412</v>
      </c>
      <c r="B3551" s="8" t="s">
        <v>14416</v>
      </c>
      <c r="C3551" s="2">
        <v>46257.416666666664</v>
      </c>
      <c r="D3551" s="8" t="s">
        <v>13933</v>
      </c>
      <c r="E3551" s="8" t="s">
        <v>22</v>
      </c>
      <c r="F3551">
        <v>5</v>
      </c>
      <c r="G3551" s="2">
        <v>46257.75</v>
      </c>
      <c r="H3551" s="2">
        <v>46257.583333333336</v>
      </c>
    </row>
    <row r="3552" spans="1:8" x14ac:dyDescent="0.25">
      <c r="A3552" s="8" t="s">
        <v>11415</v>
      </c>
      <c r="B3552" s="8" t="s">
        <v>14416</v>
      </c>
      <c r="C3552" s="2">
        <v>46257.416666666664</v>
      </c>
      <c r="D3552" s="8" t="s">
        <v>13933</v>
      </c>
      <c r="E3552" s="8" t="s">
        <v>26</v>
      </c>
      <c r="F3552">
        <v>6</v>
      </c>
      <c r="G3552" s="2">
        <v>46257.75</v>
      </c>
      <c r="H3552" s="2">
        <v>46257.583333333336</v>
      </c>
    </row>
    <row r="3553" spans="1:8" x14ac:dyDescent="0.25">
      <c r="A3553" s="8" t="s">
        <v>11418</v>
      </c>
      <c r="B3553" s="8" t="s">
        <v>14416</v>
      </c>
      <c r="C3553" s="2">
        <v>46257.416666666664</v>
      </c>
      <c r="D3553" s="8" t="s">
        <v>13933</v>
      </c>
      <c r="E3553" s="8" t="s">
        <v>32</v>
      </c>
      <c r="F3553">
        <v>2</v>
      </c>
      <c r="G3553" s="2">
        <v>46257.75</v>
      </c>
      <c r="H3553" s="2">
        <v>46257.583333333336</v>
      </c>
    </row>
    <row r="3554" spans="1:8" x14ac:dyDescent="0.25">
      <c r="A3554" s="8" t="s">
        <v>11421</v>
      </c>
      <c r="B3554" s="8" t="s">
        <v>14416</v>
      </c>
      <c r="C3554" s="2">
        <v>46257.416666666664</v>
      </c>
      <c r="D3554" s="8" t="s">
        <v>13933</v>
      </c>
      <c r="E3554" s="8" t="s">
        <v>36</v>
      </c>
      <c r="F3554">
        <v>5</v>
      </c>
      <c r="G3554" s="2">
        <v>46257.75</v>
      </c>
      <c r="H3554" s="2">
        <v>46257.583333333336</v>
      </c>
    </row>
    <row r="3555" spans="1:8" x14ac:dyDescent="0.25">
      <c r="A3555" s="8" t="s">
        <v>11424</v>
      </c>
      <c r="B3555" s="8" t="s">
        <v>14416</v>
      </c>
      <c r="C3555" s="2">
        <v>46257.416666666664</v>
      </c>
      <c r="D3555" s="8" t="s">
        <v>13933</v>
      </c>
      <c r="E3555" s="8" t="s">
        <v>41</v>
      </c>
      <c r="F3555">
        <v>3</v>
      </c>
      <c r="G3555" s="2">
        <v>46257.75</v>
      </c>
      <c r="H3555" s="2">
        <v>46257.583333333336</v>
      </c>
    </row>
    <row r="3556" spans="1:8" x14ac:dyDescent="0.25">
      <c r="A3556" s="8" t="s">
        <v>11427</v>
      </c>
      <c r="B3556" s="8" t="s">
        <v>14416</v>
      </c>
      <c r="C3556" s="2">
        <v>46257.416666666664</v>
      </c>
      <c r="D3556" s="8" t="s">
        <v>13933</v>
      </c>
      <c r="E3556" s="8" t="s">
        <v>47</v>
      </c>
      <c r="F3556">
        <v>6</v>
      </c>
      <c r="G3556" s="2">
        <v>46257.75</v>
      </c>
      <c r="H3556" s="2">
        <v>46257.583333333336</v>
      </c>
    </row>
    <row r="3557" spans="1:8" x14ac:dyDescent="0.25">
      <c r="A3557" s="8" t="s">
        <v>11432</v>
      </c>
      <c r="B3557" s="8" t="s">
        <v>14416</v>
      </c>
      <c r="C3557" s="2">
        <v>46257.416666666664</v>
      </c>
      <c r="D3557" s="8" t="s">
        <v>13933</v>
      </c>
      <c r="E3557" s="8" t="s">
        <v>65</v>
      </c>
      <c r="F3557">
        <v>6</v>
      </c>
      <c r="G3557" s="2">
        <v>46257.75</v>
      </c>
      <c r="H3557" s="2">
        <v>46257.583333333336</v>
      </c>
    </row>
    <row r="3558" spans="1:8" x14ac:dyDescent="0.25">
      <c r="A3558" s="8" t="s">
        <v>11435</v>
      </c>
      <c r="B3558" s="8" t="s">
        <v>14416</v>
      </c>
      <c r="C3558" s="2">
        <v>46257.416666666664</v>
      </c>
      <c r="D3558" s="8" t="s">
        <v>13933</v>
      </c>
      <c r="E3558" s="8" t="s">
        <v>67</v>
      </c>
      <c r="F3558">
        <v>3</v>
      </c>
      <c r="G3558" s="2">
        <v>46257.75</v>
      </c>
      <c r="H3558" s="2">
        <v>46257.583333333336</v>
      </c>
    </row>
    <row r="3559" spans="1:8" x14ac:dyDescent="0.25">
      <c r="A3559" s="8" t="s">
        <v>11438</v>
      </c>
      <c r="B3559" s="8" t="s">
        <v>14417</v>
      </c>
      <c r="C3559" s="2">
        <v>46257.416666666664</v>
      </c>
      <c r="D3559" s="8" t="s">
        <v>13935</v>
      </c>
      <c r="E3559" s="8" t="s">
        <v>11</v>
      </c>
      <c r="F3559">
        <v>7</v>
      </c>
      <c r="G3559" s="2">
        <v>46257.75</v>
      </c>
      <c r="H3559" s="2">
        <v>46257.583333333336</v>
      </c>
    </row>
    <row r="3560" spans="1:8" x14ac:dyDescent="0.25">
      <c r="A3560" s="8" t="s">
        <v>11441</v>
      </c>
      <c r="B3560" s="8" t="s">
        <v>14417</v>
      </c>
      <c r="C3560" s="2">
        <v>46257.416666666664</v>
      </c>
      <c r="D3560" s="8" t="s">
        <v>13935</v>
      </c>
      <c r="E3560" s="8" t="s">
        <v>18</v>
      </c>
      <c r="F3560">
        <v>2</v>
      </c>
      <c r="G3560" s="2">
        <v>46257.75</v>
      </c>
      <c r="H3560" s="2">
        <v>46257.583333333336</v>
      </c>
    </row>
    <row r="3561" spans="1:8" x14ac:dyDescent="0.25">
      <c r="A3561" s="8" t="s">
        <v>11444</v>
      </c>
      <c r="B3561" s="8" t="s">
        <v>14417</v>
      </c>
      <c r="C3561" s="2">
        <v>46257.416666666664</v>
      </c>
      <c r="D3561" s="8" t="s">
        <v>13935</v>
      </c>
      <c r="E3561" s="8" t="s">
        <v>20</v>
      </c>
      <c r="F3561">
        <v>4</v>
      </c>
      <c r="G3561" s="2">
        <v>46257.75</v>
      </c>
      <c r="H3561" s="2">
        <v>46257.583333333336</v>
      </c>
    </row>
    <row r="3562" spans="1:8" x14ac:dyDescent="0.25">
      <c r="A3562" s="8" t="s">
        <v>11447</v>
      </c>
      <c r="B3562" s="8" t="s">
        <v>14417</v>
      </c>
      <c r="C3562" s="2">
        <v>46257.416666666664</v>
      </c>
      <c r="D3562" s="8" t="s">
        <v>13935</v>
      </c>
      <c r="E3562" s="8" t="s">
        <v>22</v>
      </c>
      <c r="F3562">
        <v>5</v>
      </c>
      <c r="G3562" s="2">
        <v>46257.75</v>
      </c>
      <c r="H3562" s="2">
        <v>46257.583333333336</v>
      </c>
    </row>
    <row r="3563" spans="1:8" x14ac:dyDescent="0.25">
      <c r="A3563" s="8" t="s">
        <v>11450</v>
      </c>
      <c r="B3563" s="8" t="s">
        <v>14417</v>
      </c>
      <c r="C3563" s="2">
        <v>46257.416666666664</v>
      </c>
      <c r="D3563" s="8" t="s">
        <v>13935</v>
      </c>
      <c r="E3563" s="8" t="s">
        <v>24</v>
      </c>
      <c r="F3563">
        <v>4</v>
      </c>
      <c r="G3563" s="2">
        <v>46257.75</v>
      </c>
      <c r="H3563" s="2">
        <v>46257.583333333336</v>
      </c>
    </row>
    <row r="3564" spans="1:8" x14ac:dyDescent="0.25">
      <c r="A3564" s="8" t="s">
        <v>11453</v>
      </c>
      <c r="B3564" s="8" t="s">
        <v>14417</v>
      </c>
      <c r="C3564" s="2">
        <v>46257.416666666664</v>
      </c>
      <c r="D3564" s="8" t="s">
        <v>13935</v>
      </c>
      <c r="E3564" s="8" t="s">
        <v>26</v>
      </c>
      <c r="F3564">
        <v>7</v>
      </c>
      <c r="G3564" s="2">
        <v>46257.75</v>
      </c>
      <c r="H3564" s="2">
        <v>46257.583333333336</v>
      </c>
    </row>
    <row r="3565" spans="1:8" x14ac:dyDescent="0.25">
      <c r="A3565" s="8" t="s">
        <v>11456</v>
      </c>
      <c r="B3565" s="8" t="s">
        <v>14417</v>
      </c>
      <c r="C3565" s="2">
        <v>46257.416666666664</v>
      </c>
      <c r="D3565" s="8" t="s">
        <v>13935</v>
      </c>
      <c r="E3565" s="8" t="s">
        <v>36</v>
      </c>
      <c r="F3565">
        <v>2</v>
      </c>
      <c r="G3565" s="2">
        <v>46257.75</v>
      </c>
      <c r="H3565" s="2">
        <v>46257.583333333336</v>
      </c>
    </row>
    <row r="3566" spans="1:8" x14ac:dyDescent="0.25">
      <c r="A3566" s="8" t="s">
        <v>11459</v>
      </c>
      <c r="B3566" s="8" t="s">
        <v>14417</v>
      </c>
      <c r="C3566" s="2">
        <v>46257.416666666664</v>
      </c>
      <c r="D3566" s="8" t="s">
        <v>13935</v>
      </c>
      <c r="E3566" s="8" t="s">
        <v>41</v>
      </c>
      <c r="F3566">
        <v>5</v>
      </c>
      <c r="G3566" s="2">
        <v>46257.75</v>
      </c>
      <c r="H3566" s="2">
        <v>46257.583333333336</v>
      </c>
    </row>
    <row r="3567" spans="1:8" x14ac:dyDescent="0.25">
      <c r="A3567" s="8" t="s">
        <v>11462</v>
      </c>
      <c r="B3567" s="8" t="s">
        <v>14417</v>
      </c>
      <c r="C3567" s="2">
        <v>46257.416666666664</v>
      </c>
      <c r="D3567" s="8" t="s">
        <v>13935</v>
      </c>
      <c r="E3567" s="8" t="s">
        <v>43</v>
      </c>
      <c r="F3567">
        <v>4</v>
      </c>
      <c r="G3567" s="2">
        <v>46257.75</v>
      </c>
      <c r="H3567" s="2">
        <v>46257.583333333336</v>
      </c>
    </row>
    <row r="3568" spans="1:8" x14ac:dyDescent="0.25">
      <c r="A3568" s="8" t="s">
        <v>11465</v>
      </c>
      <c r="B3568" s="8" t="s">
        <v>14417</v>
      </c>
      <c r="C3568" s="2">
        <v>46257.416666666664</v>
      </c>
      <c r="D3568" s="8" t="s">
        <v>13935</v>
      </c>
      <c r="E3568" s="8" t="s">
        <v>45</v>
      </c>
      <c r="F3568">
        <v>5</v>
      </c>
      <c r="G3568" s="2">
        <v>46257.75</v>
      </c>
      <c r="H3568" s="2">
        <v>46257.583333333336</v>
      </c>
    </row>
    <row r="3569" spans="1:8" x14ac:dyDescent="0.25">
      <c r="A3569" s="8" t="s">
        <v>11468</v>
      </c>
      <c r="B3569" s="8" t="s">
        <v>14417</v>
      </c>
      <c r="C3569" s="2">
        <v>46257.416666666664</v>
      </c>
      <c r="D3569" s="8" t="s">
        <v>13935</v>
      </c>
      <c r="E3569" s="8" t="s">
        <v>49</v>
      </c>
      <c r="F3569">
        <v>7</v>
      </c>
      <c r="G3569" s="2">
        <v>46257.75</v>
      </c>
      <c r="H3569" s="2">
        <v>46257.583333333336</v>
      </c>
    </row>
    <row r="3570" spans="1:8" x14ac:dyDescent="0.25">
      <c r="A3570" s="8" t="s">
        <v>11471</v>
      </c>
      <c r="B3570" s="8" t="s">
        <v>14417</v>
      </c>
      <c r="C3570" s="2">
        <v>46257.416666666664</v>
      </c>
      <c r="D3570" s="8" t="s">
        <v>13935</v>
      </c>
      <c r="E3570" s="8" t="s">
        <v>51</v>
      </c>
      <c r="F3570">
        <v>9</v>
      </c>
      <c r="G3570" s="2">
        <v>46257.75</v>
      </c>
      <c r="H3570" s="2">
        <v>46257.583333333336</v>
      </c>
    </row>
    <row r="3571" spans="1:8" x14ac:dyDescent="0.25">
      <c r="A3571" s="8" t="s">
        <v>11474</v>
      </c>
      <c r="B3571" s="8" t="s">
        <v>14417</v>
      </c>
      <c r="C3571" s="2">
        <v>46257.416666666664</v>
      </c>
      <c r="D3571" s="8" t="s">
        <v>13935</v>
      </c>
      <c r="E3571" s="8" t="s">
        <v>79</v>
      </c>
      <c r="F3571">
        <v>9</v>
      </c>
      <c r="G3571" s="2">
        <v>46257.75</v>
      </c>
      <c r="H3571" s="2">
        <v>46257.583333333336</v>
      </c>
    </row>
    <row r="3572" spans="1:8" x14ac:dyDescent="0.25">
      <c r="A3572" s="8" t="s">
        <v>11477</v>
      </c>
      <c r="B3572" s="8" t="s">
        <v>14418</v>
      </c>
      <c r="C3572" s="2">
        <v>46257.416666666664</v>
      </c>
      <c r="D3572" s="8" t="s">
        <v>13937</v>
      </c>
      <c r="E3572" s="8" t="s">
        <v>11</v>
      </c>
      <c r="F3572">
        <v>5</v>
      </c>
      <c r="G3572" s="2">
        <v>46257.75</v>
      </c>
      <c r="H3572" s="2">
        <v>46257.583333333336</v>
      </c>
    </row>
    <row r="3573" spans="1:8" x14ac:dyDescent="0.25">
      <c r="A3573" s="8" t="s">
        <v>11480</v>
      </c>
      <c r="B3573" s="8" t="s">
        <v>14418</v>
      </c>
      <c r="C3573" s="2">
        <v>46257.416666666664</v>
      </c>
      <c r="D3573" s="8" t="s">
        <v>13937</v>
      </c>
      <c r="E3573" s="8" t="s">
        <v>18</v>
      </c>
      <c r="F3573">
        <v>1</v>
      </c>
      <c r="G3573" s="2">
        <v>46257.75</v>
      </c>
      <c r="H3573" s="2">
        <v>46257.583333333336</v>
      </c>
    </row>
    <row r="3574" spans="1:8" x14ac:dyDescent="0.25">
      <c r="A3574" s="8" t="s">
        <v>11483</v>
      </c>
      <c r="B3574" s="8" t="s">
        <v>14418</v>
      </c>
      <c r="C3574" s="2">
        <v>46257.416666666664</v>
      </c>
      <c r="D3574" s="8" t="s">
        <v>13937</v>
      </c>
      <c r="E3574" s="8" t="s">
        <v>22</v>
      </c>
      <c r="F3574">
        <v>1</v>
      </c>
      <c r="G3574" s="2">
        <v>46257.75</v>
      </c>
      <c r="H3574" s="2">
        <v>46257.583333333336</v>
      </c>
    </row>
    <row r="3575" spans="1:8" x14ac:dyDescent="0.25">
      <c r="A3575" s="8" t="s">
        <v>11486</v>
      </c>
      <c r="B3575" s="8" t="s">
        <v>14418</v>
      </c>
      <c r="C3575" s="2">
        <v>46257.416666666664</v>
      </c>
      <c r="D3575" s="8" t="s">
        <v>13937</v>
      </c>
      <c r="E3575" s="8" t="s">
        <v>30</v>
      </c>
      <c r="F3575">
        <v>4</v>
      </c>
      <c r="G3575" s="2">
        <v>46257.75</v>
      </c>
      <c r="H3575" s="2">
        <v>46257.583333333336</v>
      </c>
    </row>
    <row r="3576" spans="1:8" x14ac:dyDescent="0.25">
      <c r="A3576" s="8" t="s">
        <v>11489</v>
      </c>
      <c r="B3576" s="8" t="s">
        <v>14418</v>
      </c>
      <c r="C3576" s="2">
        <v>46257.416666666664</v>
      </c>
      <c r="D3576" s="8" t="s">
        <v>13937</v>
      </c>
      <c r="E3576" s="8" t="s">
        <v>45</v>
      </c>
      <c r="F3576">
        <v>4</v>
      </c>
      <c r="G3576" s="2">
        <v>46257.75</v>
      </c>
      <c r="H3576" s="2">
        <v>46257.583333333336</v>
      </c>
    </row>
    <row r="3577" spans="1:8" x14ac:dyDescent="0.25">
      <c r="A3577" s="8" t="s">
        <v>11492</v>
      </c>
      <c r="B3577" s="8" t="s">
        <v>14418</v>
      </c>
      <c r="C3577" s="2">
        <v>46257.416666666664</v>
      </c>
      <c r="D3577" s="8" t="s">
        <v>13937</v>
      </c>
      <c r="E3577" s="8" t="s">
        <v>51</v>
      </c>
      <c r="F3577">
        <v>4</v>
      </c>
      <c r="G3577" s="2">
        <v>46257.75</v>
      </c>
      <c r="H3577" s="2">
        <v>46257.583333333336</v>
      </c>
    </row>
    <row r="3578" spans="1:8" x14ac:dyDescent="0.25">
      <c r="A3578" s="8" t="s">
        <v>11495</v>
      </c>
      <c r="B3578" s="8" t="s">
        <v>14418</v>
      </c>
      <c r="C3578" s="2">
        <v>46257.416666666664</v>
      </c>
      <c r="D3578" s="8" t="s">
        <v>13937</v>
      </c>
      <c r="E3578" s="8" t="s">
        <v>55</v>
      </c>
      <c r="F3578">
        <v>5</v>
      </c>
      <c r="G3578" s="2">
        <v>46257.75</v>
      </c>
      <c r="H3578" s="2">
        <v>46257.583333333336</v>
      </c>
    </row>
    <row r="3579" spans="1:8" x14ac:dyDescent="0.25">
      <c r="A3579" s="8" t="s">
        <v>11498</v>
      </c>
      <c r="B3579" s="8" t="s">
        <v>14418</v>
      </c>
      <c r="C3579" s="2">
        <v>46257.416666666664</v>
      </c>
      <c r="D3579" s="8" t="s">
        <v>13937</v>
      </c>
      <c r="E3579" s="8" t="s">
        <v>65</v>
      </c>
      <c r="F3579">
        <v>6</v>
      </c>
      <c r="G3579" s="2">
        <v>46257.75</v>
      </c>
      <c r="H3579" s="2">
        <v>46257.583333333336</v>
      </c>
    </row>
    <row r="3580" spans="1:8" x14ac:dyDescent="0.25">
      <c r="A3580" s="8" t="s">
        <v>11501</v>
      </c>
      <c r="B3580" s="8" t="s">
        <v>14418</v>
      </c>
      <c r="C3580" s="2">
        <v>46257.416666666664</v>
      </c>
      <c r="D3580" s="8" t="s">
        <v>13937</v>
      </c>
      <c r="E3580" s="8" t="s">
        <v>67</v>
      </c>
      <c r="F3580">
        <v>4</v>
      </c>
      <c r="G3580" s="2">
        <v>46257.75</v>
      </c>
      <c r="H3580" s="2">
        <v>46257.583333333336</v>
      </c>
    </row>
    <row r="3581" spans="1:8" x14ac:dyDescent="0.25">
      <c r="A3581" s="8" t="s">
        <v>11504</v>
      </c>
      <c r="B3581" s="8" t="s">
        <v>14418</v>
      </c>
      <c r="C3581" s="2">
        <v>46257.416666666664</v>
      </c>
      <c r="D3581" s="8" t="s">
        <v>13937</v>
      </c>
      <c r="E3581" s="8" t="s">
        <v>75</v>
      </c>
      <c r="F3581">
        <v>6</v>
      </c>
      <c r="G3581" s="2">
        <v>46257.75</v>
      </c>
      <c r="H3581" s="2">
        <v>46257.583333333336</v>
      </c>
    </row>
    <row r="3582" spans="1:8" x14ac:dyDescent="0.25">
      <c r="A3582" s="8" t="s">
        <v>11507</v>
      </c>
      <c r="B3582" s="8" t="s">
        <v>14419</v>
      </c>
      <c r="C3582" s="2">
        <v>46258.416666666664</v>
      </c>
      <c r="D3582" s="8" t="s">
        <v>13929</v>
      </c>
      <c r="E3582" s="8" t="s">
        <v>22</v>
      </c>
      <c r="F3582">
        <v>2</v>
      </c>
      <c r="G3582" s="2">
        <v>46258.75</v>
      </c>
      <c r="H3582" s="2">
        <v>46258.583333333336</v>
      </c>
    </row>
    <row r="3583" spans="1:8" x14ac:dyDescent="0.25">
      <c r="A3583" s="8" t="s">
        <v>11510</v>
      </c>
      <c r="B3583" s="8" t="s">
        <v>14419</v>
      </c>
      <c r="C3583" s="2">
        <v>46258.416666666664</v>
      </c>
      <c r="D3583" s="8" t="s">
        <v>13929</v>
      </c>
      <c r="E3583" s="8" t="s">
        <v>26</v>
      </c>
      <c r="F3583">
        <v>1</v>
      </c>
      <c r="G3583" s="2">
        <v>46258.75</v>
      </c>
      <c r="H3583" s="2">
        <v>46258.583333333336</v>
      </c>
    </row>
    <row r="3584" spans="1:8" x14ac:dyDescent="0.25">
      <c r="A3584" s="8" t="s">
        <v>11513</v>
      </c>
      <c r="B3584" s="8" t="s">
        <v>14419</v>
      </c>
      <c r="C3584" s="2">
        <v>46258.416666666664</v>
      </c>
      <c r="D3584" s="8" t="s">
        <v>13929</v>
      </c>
      <c r="E3584" s="8" t="s">
        <v>30</v>
      </c>
      <c r="F3584">
        <v>4</v>
      </c>
      <c r="G3584" s="2">
        <v>46258.75</v>
      </c>
      <c r="H3584" s="2">
        <v>46258.583333333336</v>
      </c>
    </row>
    <row r="3585" spans="1:8" x14ac:dyDescent="0.25">
      <c r="A3585" s="8" t="s">
        <v>11516</v>
      </c>
      <c r="B3585" s="8" t="s">
        <v>14419</v>
      </c>
      <c r="C3585" s="2">
        <v>46258.416666666664</v>
      </c>
      <c r="D3585" s="8" t="s">
        <v>13929</v>
      </c>
      <c r="E3585" s="8" t="s">
        <v>41</v>
      </c>
      <c r="F3585">
        <v>2</v>
      </c>
      <c r="G3585" s="2">
        <v>46258.75</v>
      </c>
      <c r="H3585" s="2">
        <v>46258.583333333336</v>
      </c>
    </row>
    <row r="3586" spans="1:8" x14ac:dyDescent="0.25">
      <c r="A3586" s="8" t="s">
        <v>11519</v>
      </c>
      <c r="B3586" s="8" t="s">
        <v>14419</v>
      </c>
      <c r="C3586" s="2">
        <v>46258.416666666664</v>
      </c>
      <c r="D3586" s="8" t="s">
        <v>13929</v>
      </c>
      <c r="E3586" s="8" t="s">
        <v>47</v>
      </c>
      <c r="F3586">
        <v>2</v>
      </c>
      <c r="G3586" s="2">
        <v>46258.75</v>
      </c>
      <c r="H3586" s="2">
        <v>46258.583333333336</v>
      </c>
    </row>
    <row r="3587" spans="1:8" x14ac:dyDescent="0.25">
      <c r="A3587" s="8" t="s">
        <v>11522</v>
      </c>
      <c r="B3587" s="8" t="s">
        <v>14419</v>
      </c>
      <c r="C3587" s="2">
        <v>46258.416666666664</v>
      </c>
      <c r="D3587" s="8" t="s">
        <v>13929</v>
      </c>
      <c r="E3587" s="8" t="s">
        <v>49</v>
      </c>
      <c r="F3587">
        <v>3</v>
      </c>
      <c r="G3587" s="2">
        <v>46258.75</v>
      </c>
      <c r="H3587" s="2">
        <v>46258.583333333336</v>
      </c>
    </row>
    <row r="3588" spans="1:8" x14ac:dyDescent="0.25">
      <c r="A3588" s="8" t="s">
        <v>11525</v>
      </c>
      <c r="B3588" s="8" t="s">
        <v>14419</v>
      </c>
      <c r="C3588" s="2">
        <v>46258.416666666664</v>
      </c>
      <c r="D3588" s="8" t="s">
        <v>13929</v>
      </c>
      <c r="E3588" s="8" t="s">
        <v>59</v>
      </c>
      <c r="F3588">
        <v>2</v>
      </c>
      <c r="G3588" s="2">
        <v>46258.75</v>
      </c>
      <c r="H3588" s="2">
        <v>46258.583333333336</v>
      </c>
    </row>
    <row r="3589" spans="1:8" x14ac:dyDescent="0.25">
      <c r="A3589" s="8" t="s">
        <v>11528</v>
      </c>
      <c r="B3589" s="8" t="s">
        <v>14419</v>
      </c>
      <c r="C3589" s="2">
        <v>46258.416666666664</v>
      </c>
      <c r="D3589" s="8" t="s">
        <v>13929</v>
      </c>
      <c r="E3589" s="8" t="s">
        <v>65</v>
      </c>
      <c r="F3589">
        <v>4</v>
      </c>
      <c r="G3589" s="2">
        <v>46258.75</v>
      </c>
      <c r="H3589" s="2">
        <v>46258.583333333336</v>
      </c>
    </row>
    <row r="3590" spans="1:8" x14ac:dyDescent="0.25">
      <c r="A3590" s="8" t="s">
        <v>11531</v>
      </c>
      <c r="B3590" s="8" t="s">
        <v>14420</v>
      </c>
      <c r="C3590" s="2">
        <v>46258.416666666664</v>
      </c>
      <c r="D3590" s="8" t="s">
        <v>13931</v>
      </c>
      <c r="E3590" s="8" t="s">
        <v>11</v>
      </c>
      <c r="F3590">
        <v>1</v>
      </c>
      <c r="G3590" s="2">
        <v>46258.75</v>
      </c>
      <c r="H3590" s="2">
        <v>46258.583333333336</v>
      </c>
    </row>
    <row r="3591" spans="1:8" x14ac:dyDescent="0.25">
      <c r="A3591" s="8" t="s">
        <v>11534</v>
      </c>
      <c r="B3591" s="8" t="s">
        <v>14420</v>
      </c>
      <c r="C3591" s="2">
        <v>46258.416666666664</v>
      </c>
      <c r="D3591" s="8" t="s">
        <v>13931</v>
      </c>
      <c r="E3591" s="8" t="s">
        <v>18</v>
      </c>
      <c r="F3591">
        <v>2</v>
      </c>
      <c r="G3591" s="2">
        <v>46258.75</v>
      </c>
      <c r="H3591" s="2">
        <v>46258.583333333336</v>
      </c>
    </row>
    <row r="3592" spans="1:8" x14ac:dyDescent="0.25">
      <c r="A3592" s="8" t="s">
        <v>11537</v>
      </c>
      <c r="B3592" s="8" t="s">
        <v>14420</v>
      </c>
      <c r="C3592" s="2">
        <v>46258.416666666664</v>
      </c>
      <c r="D3592" s="8" t="s">
        <v>13931</v>
      </c>
      <c r="E3592" s="8" t="s">
        <v>22</v>
      </c>
      <c r="F3592">
        <v>1</v>
      </c>
      <c r="G3592" s="2">
        <v>46258.75</v>
      </c>
      <c r="H3592" s="2">
        <v>46258.583333333336</v>
      </c>
    </row>
    <row r="3593" spans="1:8" x14ac:dyDescent="0.25">
      <c r="A3593" s="8" t="s">
        <v>11540</v>
      </c>
      <c r="B3593" s="8" t="s">
        <v>14420</v>
      </c>
      <c r="C3593" s="2">
        <v>46258.416666666664</v>
      </c>
      <c r="D3593" s="8" t="s">
        <v>13931</v>
      </c>
      <c r="E3593" s="8" t="s">
        <v>24</v>
      </c>
      <c r="F3593">
        <v>1</v>
      </c>
      <c r="G3593" s="2">
        <v>46258.75</v>
      </c>
      <c r="H3593" s="2">
        <v>46258.583333333336</v>
      </c>
    </row>
    <row r="3594" spans="1:8" x14ac:dyDescent="0.25">
      <c r="A3594" s="8" t="s">
        <v>11543</v>
      </c>
      <c r="B3594" s="8" t="s">
        <v>14420</v>
      </c>
      <c r="C3594" s="2">
        <v>46258.416666666664</v>
      </c>
      <c r="D3594" s="8" t="s">
        <v>13931</v>
      </c>
      <c r="E3594" s="8" t="s">
        <v>28</v>
      </c>
      <c r="F3594">
        <v>4</v>
      </c>
      <c r="G3594" s="2">
        <v>46258.75</v>
      </c>
      <c r="H3594" s="2">
        <v>46258.583333333336</v>
      </c>
    </row>
    <row r="3595" spans="1:8" x14ac:dyDescent="0.25">
      <c r="A3595" s="8" t="s">
        <v>11546</v>
      </c>
      <c r="B3595" s="8" t="s">
        <v>14420</v>
      </c>
      <c r="C3595" s="2">
        <v>46258.416666666664</v>
      </c>
      <c r="D3595" s="8" t="s">
        <v>13931</v>
      </c>
      <c r="E3595" s="8" t="s">
        <v>47</v>
      </c>
      <c r="F3595">
        <v>4</v>
      </c>
      <c r="G3595" s="2">
        <v>46258.75</v>
      </c>
      <c r="H3595" s="2">
        <v>46258.583333333336</v>
      </c>
    </row>
    <row r="3596" spans="1:8" x14ac:dyDescent="0.25">
      <c r="A3596" s="8" t="s">
        <v>11549</v>
      </c>
      <c r="B3596" s="8" t="s">
        <v>14420</v>
      </c>
      <c r="C3596" s="2">
        <v>46258.416666666664</v>
      </c>
      <c r="D3596" s="8" t="s">
        <v>13931</v>
      </c>
      <c r="E3596" s="8" t="s">
        <v>49</v>
      </c>
      <c r="F3596">
        <v>5</v>
      </c>
      <c r="G3596" s="2">
        <v>46258.75</v>
      </c>
      <c r="H3596" s="2">
        <v>46258.583333333336</v>
      </c>
    </row>
    <row r="3597" spans="1:8" x14ac:dyDescent="0.25">
      <c r="A3597" s="8" t="s">
        <v>11552</v>
      </c>
      <c r="B3597" s="8" t="s">
        <v>14420</v>
      </c>
      <c r="C3597" s="2">
        <v>46258.416666666664</v>
      </c>
      <c r="D3597" s="8" t="s">
        <v>13931</v>
      </c>
      <c r="E3597" s="8" t="s">
        <v>55</v>
      </c>
      <c r="F3597">
        <v>4</v>
      </c>
      <c r="G3597" s="2">
        <v>46258.75</v>
      </c>
      <c r="H3597" s="2">
        <v>46258.583333333336</v>
      </c>
    </row>
    <row r="3598" spans="1:8" x14ac:dyDescent="0.25">
      <c r="A3598" s="8" t="s">
        <v>11555</v>
      </c>
      <c r="B3598" s="8" t="s">
        <v>14420</v>
      </c>
      <c r="C3598" s="2">
        <v>46258.416666666664</v>
      </c>
      <c r="D3598" s="8" t="s">
        <v>13931</v>
      </c>
      <c r="E3598" s="8" t="s">
        <v>57</v>
      </c>
      <c r="F3598">
        <v>1</v>
      </c>
      <c r="G3598" s="2">
        <v>46258.75</v>
      </c>
      <c r="H3598" s="2">
        <v>46258.583333333336</v>
      </c>
    </row>
    <row r="3599" spans="1:8" x14ac:dyDescent="0.25">
      <c r="A3599" s="8" t="s">
        <v>11558</v>
      </c>
      <c r="B3599" s="8" t="s">
        <v>14420</v>
      </c>
      <c r="C3599" s="2">
        <v>46258.416666666664</v>
      </c>
      <c r="D3599" s="8" t="s">
        <v>13931</v>
      </c>
      <c r="E3599" s="8" t="s">
        <v>69</v>
      </c>
      <c r="F3599">
        <v>1</v>
      </c>
      <c r="G3599" s="2">
        <v>46258.75</v>
      </c>
      <c r="H3599" s="2">
        <v>46258.583333333336</v>
      </c>
    </row>
    <row r="3600" spans="1:8" x14ac:dyDescent="0.25">
      <c r="A3600" s="8" t="s">
        <v>11561</v>
      </c>
      <c r="B3600" s="8" t="s">
        <v>14420</v>
      </c>
      <c r="C3600" s="2">
        <v>46258.416666666664</v>
      </c>
      <c r="D3600" s="8" t="s">
        <v>13931</v>
      </c>
      <c r="E3600" s="8" t="s">
        <v>71</v>
      </c>
      <c r="F3600">
        <v>2</v>
      </c>
      <c r="G3600" s="2">
        <v>46258.75</v>
      </c>
      <c r="H3600" s="2">
        <v>46258.583333333336</v>
      </c>
    </row>
    <row r="3601" spans="1:8" x14ac:dyDescent="0.25">
      <c r="A3601" s="8" t="s">
        <v>11564</v>
      </c>
      <c r="B3601" s="8" t="s">
        <v>14421</v>
      </c>
      <c r="C3601" s="2">
        <v>46258.416666666664</v>
      </c>
      <c r="D3601" s="8" t="s">
        <v>13933</v>
      </c>
      <c r="E3601" s="8" t="s">
        <v>18</v>
      </c>
      <c r="F3601">
        <v>5</v>
      </c>
      <c r="G3601" s="2">
        <v>46258.75</v>
      </c>
      <c r="H3601" s="2">
        <v>46258.583333333336</v>
      </c>
    </row>
    <row r="3602" spans="1:8" x14ac:dyDescent="0.25">
      <c r="A3602" s="8" t="s">
        <v>11567</v>
      </c>
      <c r="B3602" s="8" t="s">
        <v>14421</v>
      </c>
      <c r="C3602" s="2">
        <v>46258.416666666664</v>
      </c>
      <c r="D3602" s="8" t="s">
        <v>13933</v>
      </c>
      <c r="E3602" s="8" t="s">
        <v>20</v>
      </c>
      <c r="F3602">
        <v>5</v>
      </c>
      <c r="G3602" s="2">
        <v>46258.75</v>
      </c>
      <c r="H3602" s="2">
        <v>46258.583333333336</v>
      </c>
    </row>
    <row r="3603" spans="1:8" x14ac:dyDescent="0.25">
      <c r="A3603" s="8" t="s">
        <v>11570</v>
      </c>
      <c r="B3603" s="8" t="s">
        <v>14421</v>
      </c>
      <c r="C3603" s="2">
        <v>46258.416666666664</v>
      </c>
      <c r="D3603" s="8" t="s">
        <v>13933</v>
      </c>
      <c r="E3603" s="8" t="s">
        <v>24</v>
      </c>
      <c r="F3603">
        <v>2</v>
      </c>
      <c r="G3603" s="2">
        <v>46258.75</v>
      </c>
      <c r="H3603" s="2">
        <v>46258.583333333336</v>
      </c>
    </row>
    <row r="3604" spans="1:8" x14ac:dyDescent="0.25">
      <c r="A3604" s="8" t="s">
        <v>11573</v>
      </c>
      <c r="B3604" s="8" t="s">
        <v>14421</v>
      </c>
      <c r="C3604" s="2">
        <v>46258.416666666664</v>
      </c>
      <c r="D3604" s="8" t="s">
        <v>13933</v>
      </c>
      <c r="E3604" s="8" t="s">
        <v>26</v>
      </c>
      <c r="F3604">
        <v>4</v>
      </c>
      <c r="G3604" s="2">
        <v>46258.75</v>
      </c>
      <c r="H3604" s="2">
        <v>46258.583333333336</v>
      </c>
    </row>
    <row r="3605" spans="1:8" x14ac:dyDescent="0.25">
      <c r="A3605" s="8" t="s">
        <v>11576</v>
      </c>
      <c r="B3605" s="8" t="s">
        <v>14421</v>
      </c>
      <c r="C3605" s="2">
        <v>46258.416666666664</v>
      </c>
      <c r="D3605" s="8" t="s">
        <v>13933</v>
      </c>
      <c r="E3605" s="8" t="s">
        <v>30</v>
      </c>
      <c r="F3605">
        <v>1</v>
      </c>
      <c r="G3605" s="2">
        <v>46258.75</v>
      </c>
      <c r="H3605" s="2">
        <v>46258.583333333336</v>
      </c>
    </row>
    <row r="3606" spans="1:8" x14ac:dyDescent="0.25">
      <c r="A3606" s="8" t="s">
        <v>11579</v>
      </c>
      <c r="B3606" s="8" t="s">
        <v>14421</v>
      </c>
      <c r="C3606" s="2">
        <v>46258.416666666664</v>
      </c>
      <c r="D3606" s="8" t="s">
        <v>13933</v>
      </c>
      <c r="E3606" s="8" t="s">
        <v>47</v>
      </c>
      <c r="F3606">
        <v>1</v>
      </c>
      <c r="G3606" s="2">
        <v>46258.75</v>
      </c>
      <c r="H3606" s="2">
        <v>46258.583333333336</v>
      </c>
    </row>
    <row r="3607" spans="1:8" x14ac:dyDescent="0.25">
      <c r="A3607" s="8" t="s">
        <v>11582</v>
      </c>
      <c r="B3607" s="8" t="s">
        <v>14421</v>
      </c>
      <c r="C3607" s="2">
        <v>46258.416666666664</v>
      </c>
      <c r="D3607" s="8" t="s">
        <v>13933</v>
      </c>
      <c r="E3607" s="8" t="s">
        <v>57</v>
      </c>
      <c r="F3607">
        <v>2</v>
      </c>
      <c r="G3607" s="2">
        <v>46258.75</v>
      </c>
      <c r="H3607" s="2">
        <v>46258.583333333336</v>
      </c>
    </row>
    <row r="3608" spans="1:8" x14ac:dyDescent="0.25">
      <c r="A3608" s="8" t="s">
        <v>11585</v>
      </c>
      <c r="B3608" s="8" t="s">
        <v>14421</v>
      </c>
      <c r="C3608" s="2">
        <v>46258.416666666664</v>
      </c>
      <c r="D3608" s="8" t="s">
        <v>13933</v>
      </c>
      <c r="E3608" s="8" t="s">
        <v>59</v>
      </c>
      <c r="F3608">
        <v>4</v>
      </c>
      <c r="G3608" s="2">
        <v>46258.75</v>
      </c>
      <c r="H3608" s="2">
        <v>46258.583333333336</v>
      </c>
    </row>
    <row r="3609" spans="1:8" x14ac:dyDescent="0.25">
      <c r="A3609" s="8" t="s">
        <v>11590</v>
      </c>
      <c r="B3609" s="8" t="s">
        <v>14421</v>
      </c>
      <c r="C3609" s="2">
        <v>46258.416666666664</v>
      </c>
      <c r="D3609" s="8" t="s">
        <v>13933</v>
      </c>
      <c r="E3609" s="8" t="s">
        <v>77</v>
      </c>
      <c r="F3609">
        <v>2</v>
      </c>
      <c r="G3609" s="2">
        <v>46258.75</v>
      </c>
      <c r="H3609" s="2">
        <v>46258.583333333336</v>
      </c>
    </row>
    <row r="3610" spans="1:8" x14ac:dyDescent="0.25">
      <c r="A3610" s="8" t="s">
        <v>11593</v>
      </c>
      <c r="B3610" s="8" t="s">
        <v>14422</v>
      </c>
      <c r="C3610" s="2">
        <v>46258.416666666664</v>
      </c>
      <c r="D3610" s="8" t="s">
        <v>13935</v>
      </c>
      <c r="E3610" s="8" t="s">
        <v>11</v>
      </c>
      <c r="F3610">
        <v>4</v>
      </c>
      <c r="G3610" s="2">
        <v>46258.75</v>
      </c>
      <c r="H3610" s="2">
        <v>46258.583333333336</v>
      </c>
    </row>
    <row r="3611" spans="1:8" x14ac:dyDescent="0.25">
      <c r="A3611" s="8" t="s">
        <v>11596</v>
      </c>
      <c r="B3611" s="8" t="s">
        <v>14422</v>
      </c>
      <c r="C3611" s="2">
        <v>46258.416666666664</v>
      </c>
      <c r="D3611" s="8" t="s">
        <v>13935</v>
      </c>
      <c r="E3611" s="8" t="s">
        <v>22</v>
      </c>
      <c r="F3611">
        <v>3</v>
      </c>
      <c r="G3611" s="2">
        <v>46258.75</v>
      </c>
      <c r="H3611" s="2">
        <v>46258.583333333336</v>
      </c>
    </row>
    <row r="3612" spans="1:8" x14ac:dyDescent="0.25">
      <c r="A3612" s="8" t="s">
        <v>11599</v>
      </c>
      <c r="B3612" s="8" t="s">
        <v>14422</v>
      </c>
      <c r="C3612" s="2">
        <v>46258.416666666664</v>
      </c>
      <c r="D3612" s="8" t="s">
        <v>13935</v>
      </c>
      <c r="E3612" s="8" t="s">
        <v>24</v>
      </c>
      <c r="F3612">
        <v>3</v>
      </c>
      <c r="G3612" s="2">
        <v>46258.75</v>
      </c>
      <c r="H3612" s="2">
        <v>46258.583333333336</v>
      </c>
    </row>
    <row r="3613" spans="1:8" x14ac:dyDescent="0.25">
      <c r="A3613" s="8" t="s">
        <v>11602</v>
      </c>
      <c r="B3613" s="8" t="s">
        <v>14422</v>
      </c>
      <c r="C3613" s="2">
        <v>46258.416666666664</v>
      </c>
      <c r="D3613" s="8" t="s">
        <v>13935</v>
      </c>
      <c r="E3613" s="8" t="s">
        <v>32</v>
      </c>
      <c r="F3613">
        <v>7</v>
      </c>
      <c r="G3613" s="2">
        <v>46258.75</v>
      </c>
      <c r="H3613" s="2">
        <v>46258.583333333336</v>
      </c>
    </row>
    <row r="3614" spans="1:8" x14ac:dyDescent="0.25">
      <c r="A3614" s="8" t="s">
        <v>11605</v>
      </c>
      <c r="B3614" s="8" t="s">
        <v>14422</v>
      </c>
      <c r="C3614" s="2">
        <v>46258.416666666664</v>
      </c>
      <c r="D3614" s="8" t="s">
        <v>13935</v>
      </c>
      <c r="E3614" s="8" t="s">
        <v>36</v>
      </c>
      <c r="F3614">
        <v>4</v>
      </c>
      <c r="G3614" s="2">
        <v>46258.75</v>
      </c>
      <c r="H3614" s="2">
        <v>46258.583333333336</v>
      </c>
    </row>
    <row r="3615" spans="1:8" x14ac:dyDescent="0.25">
      <c r="A3615" s="8" t="s">
        <v>11608</v>
      </c>
      <c r="B3615" s="8" t="s">
        <v>14422</v>
      </c>
      <c r="C3615" s="2">
        <v>46258.416666666664</v>
      </c>
      <c r="D3615" s="8" t="s">
        <v>13935</v>
      </c>
      <c r="E3615" s="8" t="s">
        <v>45</v>
      </c>
      <c r="F3615">
        <v>4</v>
      </c>
      <c r="G3615" s="2">
        <v>46258.75</v>
      </c>
      <c r="H3615" s="2">
        <v>46258.583333333336</v>
      </c>
    </row>
    <row r="3616" spans="1:8" x14ac:dyDescent="0.25">
      <c r="A3616" s="8" t="s">
        <v>11611</v>
      </c>
      <c r="B3616" s="8" t="s">
        <v>14422</v>
      </c>
      <c r="C3616" s="2">
        <v>46258.416666666664</v>
      </c>
      <c r="D3616" s="8" t="s">
        <v>13935</v>
      </c>
      <c r="E3616" s="8" t="s">
        <v>51</v>
      </c>
      <c r="F3616">
        <v>1</v>
      </c>
      <c r="G3616" s="2">
        <v>46258.75</v>
      </c>
      <c r="H3616" s="2">
        <v>46258.583333333336</v>
      </c>
    </row>
    <row r="3617" spans="1:8" x14ac:dyDescent="0.25">
      <c r="A3617" s="8" t="s">
        <v>11614</v>
      </c>
      <c r="B3617" s="8" t="s">
        <v>14422</v>
      </c>
      <c r="C3617" s="2">
        <v>46258.416666666664</v>
      </c>
      <c r="D3617" s="8" t="s">
        <v>13935</v>
      </c>
      <c r="E3617" s="8" t="s">
        <v>73</v>
      </c>
      <c r="F3617">
        <v>1</v>
      </c>
      <c r="G3617" s="2">
        <v>46258.75</v>
      </c>
      <c r="H3617" s="2">
        <v>46258.583333333336</v>
      </c>
    </row>
    <row r="3618" spans="1:8" x14ac:dyDescent="0.25">
      <c r="A3618" s="8" t="s">
        <v>11617</v>
      </c>
      <c r="B3618" s="8" t="s">
        <v>14423</v>
      </c>
      <c r="C3618" s="2">
        <v>46258.416666666664</v>
      </c>
      <c r="D3618" s="8" t="s">
        <v>13937</v>
      </c>
      <c r="E3618" s="8" t="s">
        <v>18</v>
      </c>
      <c r="F3618">
        <v>2</v>
      </c>
      <c r="G3618" s="2">
        <v>46258.75</v>
      </c>
      <c r="H3618" s="2">
        <v>46258.583333333336</v>
      </c>
    </row>
    <row r="3619" spans="1:8" x14ac:dyDescent="0.25">
      <c r="A3619" s="8" t="s">
        <v>11620</v>
      </c>
      <c r="B3619" s="8" t="s">
        <v>14423</v>
      </c>
      <c r="C3619" s="2">
        <v>46258.416666666664</v>
      </c>
      <c r="D3619" s="8" t="s">
        <v>13937</v>
      </c>
      <c r="E3619" s="8" t="s">
        <v>20</v>
      </c>
      <c r="F3619">
        <v>2</v>
      </c>
      <c r="G3619" s="2">
        <v>46258.75</v>
      </c>
      <c r="H3619" s="2">
        <v>46258.583333333336</v>
      </c>
    </row>
    <row r="3620" spans="1:8" x14ac:dyDescent="0.25">
      <c r="A3620" s="8" t="s">
        <v>14424</v>
      </c>
      <c r="B3620" s="8" t="s">
        <v>14423</v>
      </c>
      <c r="C3620" s="2">
        <v>46258.416666666664</v>
      </c>
      <c r="D3620" s="8" t="s">
        <v>13937</v>
      </c>
      <c r="E3620" s="8" t="s">
        <v>22</v>
      </c>
      <c r="F3620">
        <v>2</v>
      </c>
      <c r="G3620" s="2">
        <v>46258.75</v>
      </c>
      <c r="H3620" s="2"/>
    </row>
    <row r="3621" spans="1:8" x14ac:dyDescent="0.25">
      <c r="A3621" s="8" t="s">
        <v>11623</v>
      </c>
      <c r="B3621" s="8" t="s">
        <v>14423</v>
      </c>
      <c r="C3621" s="2">
        <v>46258.416666666664</v>
      </c>
      <c r="D3621" s="8" t="s">
        <v>13937</v>
      </c>
      <c r="E3621" s="8" t="s">
        <v>45</v>
      </c>
      <c r="F3621">
        <v>3</v>
      </c>
      <c r="G3621" s="2">
        <v>46258.75</v>
      </c>
      <c r="H3621" s="2">
        <v>46258.583333333336</v>
      </c>
    </row>
    <row r="3622" spans="1:8" x14ac:dyDescent="0.25">
      <c r="A3622" s="8" t="s">
        <v>11626</v>
      </c>
      <c r="B3622" s="8" t="s">
        <v>14423</v>
      </c>
      <c r="C3622" s="2">
        <v>46258.416666666664</v>
      </c>
      <c r="D3622" s="8" t="s">
        <v>13937</v>
      </c>
      <c r="E3622" s="8" t="s">
        <v>49</v>
      </c>
      <c r="F3622">
        <v>4</v>
      </c>
      <c r="G3622" s="2">
        <v>46258.75</v>
      </c>
      <c r="H3622" s="2">
        <v>46258.583333333336</v>
      </c>
    </row>
    <row r="3623" spans="1:8" x14ac:dyDescent="0.25">
      <c r="A3623" s="8" t="s">
        <v>11629</v>
      </c>
      <c r="B3623" s="8" t="s">
        <v>14423</v>
      </c>
      <c r="C3623" s="2">
        <v>46258.416666666664</v>
      </c>
      <c r="D3623" s="8" t="s">
        <v>13937</v>
      </c>
      <c r="E3623" s="8" t="s">
        <v>57</v>
      </c>
      <c r="F3623">
        <v>3</v>
      </c>
      <c r="G3623" s="2">
        <v>46258.75</v>
      </c>
      <c r="H3623" s="2">
        <v>46258.583333333336</v>
      </c>
    </row>
    <row r="3624" spans="1:8" x14ac:dyDescent="0.25">
      <c r="A3624" s="8" t="s">
        <v>11632</v>
      </c>
      <c r="B3624" s="8" t="s">
        <v>14423</v>
      </c>
      <c r="C3624" s="2">
        <v>46258.416666666664</v>
      </c>
      <c r="D3624" s="8" t="s">
        <v>13937</v>
      </c>
      <c r="E3624" s="8" t="s">
        <v>77</v>
      </c>
      <c r="F3624">
        <v>4</v>
      </c>
      <c r="G3624" s="2">
        <v>46258.75</v>
      </c>
      <c r="H3624" s="2">
        <v>46258.583333333336</v>
      </c>
    </row>
    <row r="3625" spans="1:8" x14ac:dyDescent="0.25">
      <c r="A3625" s="8" t="s">
        <v>11677</v>
      </c>
      <c r="B3625" s="8" t="s">
        <v>14425</v>
      </c>
      <c r="C3625" s="2">
        <v>46259.416666666664</v>
      </c>
      <c r="D3625" s="8" t="s">
        <v>13929</v>
      </c>
      <c r="E3625" s="8" t="s">
        <v>11</v>
      </c>
      <c r="F3625">
        <v>2</v>
      </c>
      <c r="G3625" s="2">
        <v>46259.75</v>
      </c>
      <c r="H3625" s="2">
        <v>46259.583333333336</v>
      </c>
    </row>
    <row r="3626" spans="1:8" x14ac:dyDescent="0.25">
      <c r="A3626" s="8" t="s">
        <v>11680</v>
      </c>
      <c r="B3626" s="8" t="s">
        <v>14425</v>
      </c>
      <c r="C3626" s="2">
        <v>46259.416666666664</v>
      </c>
      <c r="D3626" s="8" t="s">
        <v>13929</v>
      </c>
      <c r="E3626" s="8" t="s">
        <v>18</v>
      </c>
      <c r="F3626">
        <v>2</v>
      </c>
      <c r="G3626" s="2">
        <v>46259.75</v>
      </c>
      <c r="H3626" s="2">
        <v>46259.583333333336</v>
      </c>
    </row>
    <row r="3627" spans="1:8" x14ac:dyDescent="0.25">
      <c r="A3627" s="8" t="s">
        <v>11683</v>
      </c>
      <c r="B3627" s="8" t="s">
        <v>14425</v>
      </c>
      <c r="C3627" s="2">
        <v>46259.416666666664</v>
      </c>
      <c r="D3627" s="8" t="s">
        <v>13929</v>
      </c>
      <c r="E3627" s="8" t="s">
        <v>20</v>
      </c>
      <c r="F3627">
        <v>4</v>
      </c>
      <c r="G3627" s="2">
        <v>46259.75</v>
      </c>
      <c r="H3627" s="2">
        <v>46259.583333333336</v>
      </c>
    </row>
    <row r="3628" spans="1:8" x14ac:dyDescent="0.25">
      <c r="A3628" s="8" t="s">
        <v>11686</v>
      </c>
      <c r="B3628" s="8" t="s">
        <v>14425</v>
      </c>
      <c r="C3628" s="2">
        <v>46259.416666666664</v>
      </c>
      <c r="D3628" s="8" t="s">
        <v>13929</v>
      </c>
      <c r="E3628" s="8" t="s">
        <v>22</v>
      </c>
      <c r="F3628">
        <v>3</v>
      </c>
      <c r="G3628" s="2">
        <v>46259.75</v>
      </c>
      <c r="H3628" s="2">
        <v>46259.583333333336</v>
      </c>
    </row>
    <row r="3629" spans="1:8" x14ac:dyDescent="0.25">
      <c r="A3629" s="8" t="s">
        <v>11689</v>
      </c>
      <c r="B3629" s="8" t="s">
        <v>14425</v>
      </c>
      <c r="C3629" s="2">
        <v>46259.416666666664</v>
      </c>
      <c r="D3629" s="8" t="s">
        <v>13929</v>
      </c>
      <c r="E3629" s="8" t="s">
        <v>41</v>
      </c>
      <c r="F3629">
        <v>3</v>
      </c>
      <c r="G3629" s="2">
        <v>46259.75</v>
      </c>
      <c r="H3629" s="2">
        <v>46259.583333333336</v>
      </c>
    </row>
    <row r="3630" spans="1:8" x14ac:dyDescent="0.25">
      <c r="A3630" s="8" t="s">
        <v>11692</v>
      </c>
      <c r="B3630" s="8" t="s">
        <v>14425</v>
      </c>
      <c r="C3630" s="2">
        <v>46259.416666666664</v>
      </c>
      <c r="D3630" s="8" t="s">
        <v>13929</v>
      </c>
      <c r="E3630" s="8" t="s">
        <v>55</v>
      </c>
      <c r="F3630">
        <v>4</v>
      </c>
      <c r="G3630" s="2">
        <v>46259.75</v>
      </c>
      <c r="H3630" s="2">
        <v>46259.583333333336</v>
      </c>
    </row>
    <row r="3631" spans="1:8" x14ac:dyDescent="0.25">
      <c r="A3631" s="8" t="s">
        <v>11697</v>
      </c>
      <c r="B3631" s="8" t="s">
        <v>14426</v>
      </c>
      <c r="C3631" s="2">
        <v>46259.416666666664</v>
      </c>
      <c r="D3631" s="8" t="s">
        <v>13931</v>
      </c>
      <c r="E3631" s="8" t="s">
        <v>11</v>
      </c>
      <c r="F3631">
        <v>3</v>
      </c>
      <c r="G3631" s="2">
        <v>46259.75</v>
      </c>
      <c r="H3631" s="2">
        <v>46259.583333333336</v>
      </c>
    </row>
    <row r="3632" spans="1:8" x14ac:dyDescent="0.25">
      <c r="A3632" s="8" t="s">
        <v>11700</v>
      </c>
      <c r="B3632" s="8" t="s">
        <v>14426</v>
      </c>
      <c r="C3632" s="2">
        <v>46259.416666666664</v>
      </c>
      <c r="D3632" s="8" t="s">
        <v>13931</v>
      </c>
      <c r="E3632" s="8" t="s">
        <v>18</v>
      </c>
      <c r="F3632">
        <v>3</v>
      </c>
      <c r="G3632" s="2">
        <v>46259.75</v>
      </c>
      <c r="H3632" s="2">
        <v>46259.583333333336</v>
      </c>
    </row>
    <row r="3633" spans="1:8" x14ac:dyDescent="0.25">
      <c r="A3633" s="8" t="s">
        <v>11703</v>
      </c>
      <c r="B3633" s="8" t="s">
        <v>14426</v>
      </c>
      <c r="C3633" s="2">
        <v>46259.416666666664</v>
      </c>
      <c r="D3633" s="8" t="s">
        <v>13931</v>
      </c>
      <c r="E3633" s="8" t="s">
        <v>20</v>
      </c>
      <c r="F3633">
        <v>2</v>
      </c>
      <c r="G3633" s="2">
        <v>46259.75</v>
      </c>
      <c r="H3633" s="2">
        <v>46259.583333333336</v>
      </c>
    </row>
    <row r="3634" spans="1:8" x14ac:dyDescent="0.25">
      <c r="A3634" s="8" t="s">
        <v>11706</v>
      </c>
      <c r="B3634" s="8" t="s">
        <v>14426</v>
      </c>
      <c r="C3634" s="2">
        <v>46259.416666666664</v>
      </c>
      <c r="D3634" s="8" t="s">
        <v>13931</v>
      </c>
      <c r="E3634" s="8" t="s">
        <v>22</v>
      </c>
      <c r="F3634">
        <v>4</v>
      </c>
      <c r="G3634" s="2">
        <v>46259.75</v>
      </c>
      <c r="H3634" s="2">
        <v>46259.583333333336</v>
      </c>
    </row>
    <row r="3635" spans="1:8" x14ac:dyDescent="0.25">
      <c r="A3635" s="8" t="s">
        <v>11709</v>
      </c>
      <c r="B3635" s="8" t="s">
        <v>14426</v>
      </c>
      <c r="C3635" s="2">
        <v>46259.416666666664</v>
      </c>
      <c r="D3635" s="8" t="s">
        <v>13931</v>
      </c>
      <c r="E3635" s="8" t="s">
        <v>26</v>
      </c>
      <c r="F3635">
        <v>5</v>
      </c>
      <c r="G3635" s="2">
        <v>46259.75</v>
      </c>
      <c r="H3635" s="2">
        <v>46259.583333333336</v>
      </c>
    </row>
    <row r="3636" spans="1:8" x14ac:dyDescent="0.25">
      <c r="A3636" s="8" t="s">
        <v>11714</v>
      </c>
      <c r="B3636" s="8" t="s">
        <v>14426</v>
      </c>
      <c r="C3636" s="2">
        <v>46259.416666666664</v>
      </c>
      <c r="D3636" s="8" t="s">
        <v>13931</v>
      </c>
      <c r="E3636" s="8" t="s">
        <v>32</v>
      </c>
      <c r="F3636">
        <v>1</v>
      </c>
      <c r="G3636" s="2">
        <v>46259.75</v>
      </c>
      <c r="H3636" s="2">
        <v>46259.583333333336</v>
      </c>
    </row>
    <row r="3637" spans="1:8" x14ac:dyDescent="0.25">
      <c r="A3637" s="8" t="s">
        <v>11717</v>
      </c>
      <c r="B3637" s="8" t="s">
        <v>14426</v>
      </c>
      <c r="C3637" s="2">
        <v>46259.416666666664</v>
      </c>
      <c r="D3637" s="8" t="s">
        <v>13931</v>
      </c>
      <c r="E3637" s="8" t="s">
        <v>36</v>
      </c>
      <c r="F3637">
        <v>5</v>
      </c>
      <c r="G3637" s="2">
        <v>46259.75</v>
      </c>
      <c r="H3637" s="2">
        <v>46259.583333333336</v>
      </c>
    </row>
    <row r="3638" spans="1:8" x14ac:dyDescent="0.25">
      <c r="A3638" s="8" t="s">
        <v>11722</v>
      </c>
      <c r="B3638" s="8" t="s">
        <v>14426</v>
      </c>
      <c r="C3638" s="2">
        <v>46259.416666666664</v>
      </c>
      <c r="D3638" s="8" t="s">
        <v>13931</v>
      </c>
      <c r="E3638" s="8" t="s">
        <v>43</v>
      </c>
      <c r="F3638">
        <v>5</v>
      </c>
      <c r="G3638" s="2">
        <v>46259.75</v>
      </c>
      <c r="H3638" s="2">
        <v>46259.583333333336</v>
      </c>
    </row>
    <row r="3639" spans="1:8" x14ac:dyDescent="0.25">
      <c r="A3639" s="8" t="s">
        <v>11725</v>
      </c>
      <c r="B3639" s="8" t="s">
        <v>14426</v>
      </c>
      <c r="C3639" s="2">
        <v>46259.416666666664</v>
      </c>
      <c r="D3639" s="8" t="s">
        <v>13931</v>
      </c>
      <c r="E3639" s="8" t="s">
        <v>45</v>
      </c>
      <c r="F3639">
        <v>5</v>
      </c>
      <c r="G3639" s="2">
        <v>46259.75</v>
      </c>
      <c r="H3639" s="2">
        <v>46259.583333333336</v>
      </c>
    </row>
    <row r="3640" spans="1:8" x14ac:dyDescent="0.25">
      <c r="A3640" s="8" t="s">
        <v>11728</v>
      </c>
      <c r="B3640" s="8" t="s">
        <v>14426</v>
      </c>
      <c r="C3640" s="2">
        <v>46259.416666666664</v>
      </c>
      <c r="D3640" s="8" t="s">
        <v>13931</v>
      </c>
      <c r="E3640" s="8" t="s">
        <v>47</v>
      </c>
      <c r="F3640">
        <v>1</v>
      </c>
      <c r="G3640" s="2">
        <v>46259.75</v>
      </c>
      <c r="H3640" s="2">
        <v>46259.583333333336</v>
      </c>
    </row>
    <row r="3641" spans="1:8" x14ac:dyDescent="0.25">
      <c r="A3641" s="8" t="s">
        <v>11731</v>
      </c>
      <c r="B3641" s="8" t="s">
        <v>14426</v>
      </c>
      <c r="C3641" s="2">
        <v>46259.416666666664</v>
      </c>
      <c r="D3641" s="8" t="s">
        <v>13931</v>
      </c>
      <c r="E3641" s="8" t="s">
        <v>67</v>
      </c>
      <c r="F3641">
        <v>3</v>
      </c>
      <c r="G3641" s="2">
        <v>46259.75</v>
      </c>
      <c r="H3641" s="2">
        <v>46259.583333333336</v>
      </c>
    </row>
    <row r="3642" spans="1:8" x14ac:dyDescent="0.25">
      <c r="A3642" s="8" t="s">
        <v>11734</v>
      </c>
      <c r="B3642" s="8" t="s">
        <v>14427</v>
      </c>
      <c r="C3642" s="2">
        <v>46259.416666666664</v>
      </c>
      <c r="D3642" s="8" t="s">
        <v>13933</v>
      </c>
      <c r="E3642" s="8" t="s">
        <v>24</v>
      </c>
      <c r="F3642">
        <v>2</v>
      </c>
      <c r="G3642" s="2">
        <v>46259.75</v>
      </c>
      <c r="H3642" s="2">
        <v>46259.583333333336</v>
      </c>
    </row>
    <row r="3643" spans="1:8" x14ac:dyDescent="0.25">
      <c r="A3643" s="8" t="s">
        <v>11737</v>
      </c>
      <c r="B3643" s="8" t="s">
        <v>14427</v>
      </c>
      <c r="C3643" s="2">
        <v>46259.416666666664</v>
      </c>
      <c r="D3643" s="8" t="s">
        <v>13933</v>
      </c>
      <c r="E3643" s="8" t="s">
        <v>45</v>
      </c>
      <c r="F3643">
        <v>6</v>
      </c>
      <c r="G3643" s="2">
        <v>46259.75</v>
      </c>
      <c r="H3643" s="2">
        <v>46259.583333333336</v>
      </c>
    </row>
    <row r="3644" spans="1:8" x14ac:dyDescent="0.25">
      <c r="A3644" s="8" t="s">
        <v>11740</v>
      </c>
      <c r="B3644" s="8" t="s">
        <v>14427</v>
      </c>
      <c r="C3644" s="2">
        <v>46259.416666666664</v>
      </c>
      <c r="D3644" s="8" t="s">
        <v>13933</v>
      </c>
      <c r="E3644" s="8" t="s">
        <v>47</v>
      </c>
      <c r="F3644">
        <v>2</v>
      </c>
      <c r="G3644" s="2">
        <v>46259.75</v>
      </c>
      <c r="H3644" s="2">
        <v>46259.583333333336</v>
      </c>
    </row>
    <row r="3645" spans="1:8" x14ac:dyDescent="0.25">
      <c r="A3645" s="8" t="s">
        <v>11743</v>
      </c>
      <c r="B3645" s="8" t="s">
        <v>14427</v>
      </c>
      <c r="C3645" s="2">
        <v>46259.416666666664</v>
      </c>
      <c r="D3645" s="8" t="s">
        <v>13933</v>
      </c>
      <c r="E3645" s="8" t="s">
        <v>51</v>
      </c>
      <c r="F3645">
        <v>6</v>
      </c>
      <c r="G3645" s="2">
        <v>46259.75</v>
      </c>
      <c r="H3645" s="2">
        <v>46259.583333333336</v>
      </c>
    </row>
    <row r="3646" spans="1:8" x14ac:dyDescent="0.25">
      <c r="A3646" s="8" t="s">
        <v>11746</v>
      </c>
      <c r="B3646" s="8" t="s">
        <v>14427</v>
      </c>
      <c r="C3646" s="2">
        <v>46259.416666666664</v>
      </c>
      <c r="D3646" s="8" t="s">
        <v>13933</v>
      </c>
      <c r="E3646" s="8" t="s">
        <v>77</v>
      </c>
      <c r="F3646">
        <v>6</v>
      </c>
      <c r="G3646" s="2">
        <v>46259.75</v>
      </c>
      <c r="H3646" s="2">
        <v>46259.583333333336</v>
      </c>
    </row>
    <row r="3647" spans="1:8" x14ac:dyDescent="0.25">
      <c r="A3647" s="8" t="s">
        <v>11749</v>
      </c>
      <c r="B3647" s="8" t="s">
        <v>14428</v>
      </c>
      <c r="C3647" s="2">
        <v>46259.416666666664</v>
      </c>
      <c r="D3647" s="8" t="s">
        <v>13935</v>
      </c>
      <c r="E3647" s="8" t="s">
        <v>11</v>
      </c>
      <c r="F3647">
        <v>1</v>
      </c>
      <c r="G3647" s="2">
        <v>46259.75</v>
      </c>
      <c r="H3647" s="2">
        <v>46259.583333333336</v>
      </c>
    </row>
    <row r="3648" spans="1:8" x14ac:dyDescent="0.25">
      <c r="A3648" s="8" t="s">
        <v>11752</v>
      </c>
      <c r="B3648" s="8" t="s">
        <v>14428</v>
      </c>
      <c r="C3648" s="2">
        <v>46259.416666666664</v>
      </c>
      <c r="D3648" s="8" t="s">
        <v>13935</v>
      </c>
      <c r="E3648" s="8" t="s">
        <v>18</v>
      </c>
      <c r="F3648">
        <v>7</v>
      </c>
      <c r="G3648" s="2">
        <v>46259.75</v>
      </c>
      <c r="H3648" s="2">
        <v>46259.583333333336</v>
      </c>
    </row>
    <row r="3649" spans="1:8" x14ac:dyDescent="0.25">
      <c r="A3649" s="8" t="s">
        <v>11755</v>
      </c>
      <c r="B3649" s="8" t="s">
        <v>14428</v>
      </c>
      <c r="C3649" s="2">
        <v>46259.416666666664</v>
      </c>
      <c r="D3649" s="8" t="s">
        <v>13935</v>
      </c>
      <c r="E3649" s="8" t="s">
        <v>20</v>
      </c>
      <c r="F3649">
        <v>3</v>
      </c>
      <c r="G3649" s="2">
        <v>46259.75</v>
      </c>
      <c r="H3649" s="2">
        <v>46259.583333333336</v>
      </c>
    </row>
    <row r="3650" spans="1:8" x14ac:dyDescent="0.25">
      <c r="A3650" s="8" t="s">
        <v>11758</v>
      </c>
      <c r="B3650" s="8" t="s">
        <v>14428</v>
      </c>
      <c r="C3650" s="2">
        <v>46259.416666666664</v>
      </c>
      <c r="D3650" s="8" t="s">
        <v>13935</v>
      </c>
      <c r="E3650" s="8" t="s">
        <v>22</v>
      </c>
      <c r="F3650">
        <v>1</v>
      </c>
      <c r="G3650" s="2">
        <v>46259.75</v>
      </c>
      <c r="H3650" s="2">
        <v>46259.583333333336</v>
      </c>
    </row>
    <row r="3651" spans="1:8" x14ac:dyDescent="0.25">
      <c r="A3651" s="8" t="s">
        <v>11761</v>
      </c>
      <c r="B3651" s="8" t="s">
        <v>14428</v>
      </c>
      <c r="C3651" s="2">
        <v>46259.416666666664</v>
      </c>
      <c r="D3651" s="8" t="s">
        <v>13935</v>
      </c>
      <c r="E3651" s="8" t="s">
        <v>24</v>
      </c>
      <c r="F3651">
        <v>7</v>
      </c>
      <c r="G3651" s="2">
        <v>46259.75</v>
      </c>
      <c r="H3651" s="2">
        <v>46259.583333333336</v>
      </c>
    </row>
    <row r="3652" spans="1:8" x14ac:dyDescent="0.25">
      <c r="A3652" s="8" t="s">
        <v>11766</v>
      </c>
      <c r="B3652" s="8" t="s">
        <v>14428</v>
      </c>
      <c r="C3652" s="2">
        <v>46259.416666666664</v>
      </c>
      <c r="D3652" s="8" t="s">
        <v>13935</v>
      </c>
      <c r="E3652" s="8" t="s">
        <v>26</v>
      </c>
      <c r="F3652">
        <v>1</v>
      </c>
      <c r="G3652" s="2">
        <v>46259.75</v>
      </c>
      <c r="H3652" s="2">
        <v>46259.583333333336</v>
      </c>
    </row>
    <row r="3653" spans="1:8" x14ac:dyDescent="0.25">
      <c r="A3653" s="8" t="s">
        <v>11769</v>
      </c>
      <c r="B3653" s="8" t="s">
        <v>14428</v>
      </c>
      <c r="C3653" s="2">
        <v>46259.416666666664</v>
      </c>
      <c r="D3653" s="8" t="s">
        <v>13935</v>
      </c>
      <c r="E3653" s="8" t="s">
        <v>41</v>
      </c>
      <c r="F3653">
        <v>3</v>
      </c>
      <c r="G3653" s="2">
        <v>46259.75</v>
      </c>
      <c r="H3653" s="2">
        <v>46259.583333333336</v>
      </c>
    </row>
    <row r="3654" spans="1:8" x14ac:dyDescent="0.25">
      <c r="A3654" s="8" t="s">
        <v>11772</v>
      </c>
      <c r="B3654" s="8" t="s">
        <v>14428</v>
      </c>
      <c r="C3654" s="2">
        <v>46259.416666666664</v>
      </c>
      <c r="D3654" s="8" t="s">
        <v>13935</v>
      </c>
      <c r="E3654" s="8" t="s">
        <v>45</v>
      </c>
      <c r="F3654">
        <v>3</v>
      </c>
      <c r="G3654" s="2">
        <v>46259.75</v>
      </c>
      <c r="H3654" s="2">
        <v>46259.583333333336</v>
      </c>
    </row>
    <row r="3655" spans="1:8" x14ac:dyDescent="0.25">
      <c r="A3655" s="8" t="s">
        <v>11775</v>
      </c>
      <c r="B3655" s="8" t="s">
        <v>14428</v>
      </c>
      <c r="C3655" s="2">
        <v>46259.416666666664</v>
      </c>
      <c r="D3655" s="8" t="s">
        <v>13935</v>
      </c>
      <c r="E3655" s="8" t="s">
        <v>51</v>
      </c>
      <c r="F3655">
        <v>7</v>
      </c>
      <c r="G3655" s="2">
        <v>46259.75</v>
      </c>
      <c r="H3655" s="2">
        <v>46259.583333333336</v>
      </c>
    </row>
    <row r="3656" spans="1:8" x14ac:dyDescent="0.25">
      <c r="A3656" s="8" t="s">
        <v>11778</v>
      </c>
      <c r="B3656" s="8" t="s">
        <v>14428</v>
      </c>
      <c r="C3656" s="2">
        <v>46259.416666666664</v>
      </c>
      <c r="D3656" s="8" t="s">
        <v>13935</v>
      </c>
      <c r="E3656" s="8" t="s">
        <v>55</v>
      </c>
      <c r="F3656">
        <v>4</v>
      </c>
      <c r="G3656" s="2">
        <v>46259.75</v>
      </c>
      <c r="H3656" s="2">
        <v>46259.583333333336</v>
      </c>
    </row>
    <row r="3657" spans="1:8" x14ac:dyDescent="0.25">
      <c r="A3657" s="8" t="s">
        <v>11781</v>
      </c>
      <c r="B3657" s="8" t="s">
        <v>14428</v>
      </c>
      <c r="C3657" s="2">
        <v>46259.416666666664</v>
      </c>
      <c r="D3657" s="8" t="s">
        <v>13935</v>
      </c>
      <c r="E3657" s="8" t="s">
        <v>59</v>
      </c>
      <c r="F3657">
        <v>4</v>
      </c>
      <c r="G3657" s="2">
        <v>46259.75</v>
      </c>
      <c r="H3657" s="2">
        <v>46259.583333333336</v>
      </c>
    </row>
    <row r="3658" spans="1:8" x14ac:dyDescent="0.25">
      <c r="A3658" s="8" t="s">
        <v>11784</v>
      </c>
      <c r="B3658" s="8" t="s">
        <v>14428</v>
      </c>
      <c r="C3658" s="2">
        <v>46259.416666666664</v>
      </c>
      <c r="D3658" s="8" t="s">
        <v>13935</v>
      </c>
      <c r="E3658" s="8" t="s">
        <v>71</v>
      </c>
      <c r="F3658">
        <v>7</v>
      </c>
      <c r="G3658" s="2">
        <v>46259.75</v>
      </c>
      <c r="H3658" s="2">
        <v>46259.583333333336</v>
      </c>
    </row>
    <row r="3659" spans="1:8" x14ac:dyDescent="0.25">
      <c r="A3659" s="8" t="s">
        <v>11787</v>
      </c>
      <c r="B3659" s="8" t="s">
        <v>14428</v>
      </c>
      <c r="C3659" s="2">
        <v>46259.416666666664</v>
      </c>
      <c r="D3659" s="8" t="s">
        <v>13935</v>
      </c>
      <c r="E3659" s="8" t="s">
        <v>75</v>
      </c>
      <c r="F3659">
        <v>1</v>
      </c>
      <c r="G3659" s="2">
        <v>46259.75</v>
      </c>
      <c r="H3659" s="2">
        <v>46259.583333333336</v>
      </c>
    </row>
    <row r="3660" spans="1:8" x14ac:dyDescent="0.25">
      <c r="A3660" s="8" t="s">
        <v>11790</v>
      </c>
      <c r="B3660" s="8" t="s">
        <v>14428</v>
      </c>
      <c r="C3660" s="2">
        <v>46259.416666666664</v>
      </c>
      <c r="D3660" s="8" t="s">
        <v>13935</v>
      </c>
      <c r="E3660" s="8" t="s">
        <v>77</v>
      </c>
      <c r="F3660">
        <v>3</v>
      </c>
      <c r="G3660" s="2">
        <v>46259.75</v>
      </c>
      <c r="H3660" s="2">
        <v>46259.583333333336</v>
      </c>
    </row>
    <row r="3661" spans="1:8" x14ac:dyDescent="0.25">
      <c r="A3661" s="8" t="s">
        <v>11793</v>
      </c>
      <c r="B3661" s="8" t="s">
        <v>14429</v>
      </c>
      <c r="C3661" s="2">
        <v>46259.416666666664</v>
      </c>
      <c r="D3661" s="8" t="s">
        <v>13937</v>
      </c>
      <c r="E3661" s="8" t="s">
        <v>11</v>
      </c>
      <c r="F3661">
        <v>2</v>
      </c>
      <c r="G3661" s="2">
        <v>46259.75</v>
      </c>
      <c r="H3661" s="2">
        <v>46259.583333333336</v>
      </c>
    </row>
    <row r="3662" spans="1:8" x14ac:dyDescent="0.25">
      <c r="A3662" s="8" t="s">
        <v>11796</v>
      </c>
      <c r="B3662" s="8" t="s">
        <v>14429</v>
      </c>
      <c r="C3662" s="2">
        <v>46259.416666666664</v>
      </c>
      <c r="D3662" s="8" t="s">
        <v>13937</v>
      </c>
      <c r="E3662" s="8" t="s">
        <v>18</v>
      </c>
      <c r="F3662">
        <v>2</v>
      </c>
      <c r="G3662" s="2">
        <v>46259.75</v>
      </c>
      <c r="H3662" s="2">
        <v>46259.583333333336</v>
      </c>
    </row>
    <row r="3663" spans="1:8" x14ac:dyDescent="0.25">
      <c r="A3663" s="8" t="s">
        <v>11799</v>
      </c>
      <c r="B3663" s="8" t="s">
        <v>14429</v>
      </c>
      <c r="C3663" s="2">
        <v>46259.416666666664</v>
      </c>
      <c r="D3663" s="8" t="s">
        <v>13937</v>
      </c>
      <c r="E3663" s="8" t="s">
        <v>26</v>
      </c>
      <c r="F3663">
        <v>3</v>
      </c>
      <c r="G3663" s="2">
        <v>46259.75</v>
      </c>
      <c r="H3663" s="2">
        <v>46259.583333333336</v>
      </c>
    </row>
    <row r="3664" spans="1:8" x14ac:dyDescent="0.25">
      <c r="A3664" s="8" t="s">
        <v>11802</v>
      </c>
      <c r="B3664" s="8" t="s">
        <v>14429</v>
      </c>
      <c r="C3664" s="2">
        <v>46259.416666666664</v>
      </c>
      <c r="D3664" s="8" t="s">
        <v>13937</v>
      </c>
      <c r="E3664" s="8" t="s">
        <v>36</v>
      </c>
      <c r="F3664">
        <v>2</v>
      </c>
      <c r="G3664" s="2">
        <v>46259.75</v>
      </c>
      <c r="H3664" s="2">
        <v>46259.583333333336</v>
      </c>
    </row>
    <row r="3665" spans="1:8" x14ac:dyDescent="0.25">
      <c r="A3665" s="8" t="s">
        <v>11805</v>
      </c>
      <c r="B3665" s="8" t="s">
        <v>14429</v>
      </c>
      <c r="C3665" s="2">
        <v>46259.416666666664</v>
      </c>
      <c r="D3665" s="8" t="s">
        <v>13937</v>
      </c>
      <c r="E3665" s="8" t="s">
        <v>43</v>
      </c>
      <c r="F3665">
        <v>4</v>
      </c>
      <c r="G3665" s="2">
        <v>46259.75</v>
      </c>
      <c r="H3665" s="2">
        <v>46259.583333333336</v>
      </c>
    </row>
    <row r="3666" spans="1:8" x14ac:dyDescent="0.25">
      <c r="A3666" s="8" t="s">
        <v>11808</v>
      </c>
      <c r="B3666" s="8" t="s">
        <v>14429</v>
      </c>
      <c r="C3666" s="2">
        <v>46259.416666666664</v>
      </c>
      <c r="D3666" s="8" t="s">
        <v>13937</v>
      </c>
      <c r="E3666" s="8" t="s">
        <v>45</v>
      </c>
      <c r="F3666">
        <v>4</v>
      </c>
      <c r="G3666" s="2">
        <v>46259.75</v>
      </c>
      <c r="H3666" s="2">
        <v>46259.583333333336</v>
      </c>
    </row>
    <row r="3667" spans="1:8" x14ac:dyDescent="0.25">
      <c r="A3667" s="8" t="s">
        <v>11811</v>
      </c>
      <c r="B3667" s="8" t="s">
        <v>14429</v>
      </c>
      <c r="C3667" s="2">
        <v>46259.416666666664</v>
      </c>
      <c r="D3667" s="8" t="s">
        <v>13937</v>
      </c>
      <c r="E3667" s="8" t="s">
        <v>53</v>
      </c>
      <c r="F3667">
        <v>3</v>
      </c>
      <c r="G3667" s="2">
        <v>46259.75</v>
      </c>
      <c r="H3667" s="2">
        <v>46259.583333333336</v>
      </c>
    </row>
    <row r="3668" spans="1:8" x14ac:dyDescent="0.25">
      <c r="A3668" s="8" t="s">
        <v>11814</v>
      </c>
      <c r="B3668" s="8" t="s">
        <v>14430</v>
      </c>
      <c r="C3668" s="2">
        <v>46260.416666666664</v>
      </c>
      <c r="D3668" s="8" t="s">
        <v>13929</v>
      </c>
      <c r="E3668" s="8" t="s">
        <v>11</v>
      </c>
      <c r="F3668">
        <v>2</v>
      </c>
      <c r="G3668" s="2">
        <v>46260.75</v>
      </c>
      <c r="H3668" s="2">
        <v>46260.583333333336</v>
      </c>
    </row>
    <row r="3669" spans="1:8" x14ac:dyDescent="0.25">
      <c r="A3669" s="8" t="s">
        <v>11817</v>
      </c>
      <c r="B3669" s="8" t="s">
        <v>14430</v>
      </c>
      <c r="C3669" s="2">
        <v>46260.416666666664</v>
      </c>
      <c r="D3669" s="8" t="s">
        <v>13929</v>
      </c>
      <c r="E3669" s="8" t="s">
        <v>18</v>
      </c>
      <c r="F3669">
        <v>2</v>
      </c>
      <c r="G3669" s="2">
        <v>46260.75</v>
      </c>
      <c r="H3669" s="2">
        <v>46260.583333333336</v>
      </c>
    </row>
    <row r="3670" spans="1:8" x14ac:dyDescent="0.25">
      <c r="A3670" s="8" t="s">
        <v>11820</v>
      </c>
      <c r="B3670" s="8" t="s">
        <v>14430</v>
      </c>
      <c r="C3670" s="2">
        <v>46260.416666666664</v>
      </c>
      <c r="D3670" s="8" t="s">
        <v>13929</v>
      </c>
      <c r="E3670" s="8" t="s">
        <v>24</v>
      </c>
      <c r="F3670">
        <v>2</v>
      </c>
      <c r="G3670" s="2">
        <v>46260.75</v>
      </c>
      <c r="H3670" s="2">
        <v>46260.583333333336</v>
      </c>
    </row>
    <row r="3671" spans="1:8" x14ac:dyDescent="0.25">
      <c r="A3671" s="8" t="s">
        <v>11823</v>
      </c>
      <c r="B3671" s="8" t="s">
        <v>14430</v>
      </c>
      <c r="C3671" s="2">
        <v>46260.416666666664</v>
      </c>
      <c r="D3671" s="8" t="s">
        <v>13929</v>
      </c>
      <c r="E3671" s="8" t="s">
        <v>26</v>
      </c>
      <c r="F3671">
        <v>3</v>
      </c>
      <c r="G3671" s="2">
        <v>46260.75</v>
      </c>
      <c r="H3671" s="2">
        <v>46260.583333333336</v>
      </c>
    </row>
    <row r="3672" spans="1:8" x14ac:dyDescent="0.25">
      <c r="A3672" s="8" t="s">
        <v>11826</v>
      </c>
      <c r="B3672" s="8" t="s">
        <v>14430</v>
      </c>
      <c r="C3672" s="2">
        <v>46260.416666666664</v>
      </c>
      <c r="D3672" s="8" t="s">
        <v>13929</v>
      </c>
      <c r="E3672" s="8" t="s">
        <v>28</v>
      </c>
      <c r="F3672">
        <v>2</v>
      </c>
      <c r="G3672" s="2">
        <v>46260.75</v>
      </c>
      <c r="H3672" s="2">
        <v>46260.583333333336</v>
      </c>
    </row>
    <row r="3673" spans="1:8" x14ac:dyDescent="0.25">
      <c r="A3673" s="8" t="s">
        <v>11829</v>
      </c>
      <c r="B3673" s="8" t="s">
        <v>14430</v>
      </c>
      <c r="C3673" s="2">
        <v>46260.416666666664</v>
      </c>
      <c r="D3673" s="8" t="s">
        <v>13929</v>
      </c>
      <c r="E3673" s="8" t="s">
        <v>41</v>
      </c>
      <c r="F3673">
        <v>1</v>
      </c>
      <c r="G3673" s="2">
        <v>46260.75</v>
      </c>
      <c r="H3673" s="2">
        <v>46260.583333333336</v>
      </c>
    </row>
    <row r="3674" spans="1:8" x14ac:dyDescent="0.25">
      <c r="A3674" s="8" t="s">
        <v>11832</v>
      </c>
      <c r="B3674" s="8" t="s">
        <v>14430</v>
      </c>
      <c r="C3674" s="2">
        <v>46260.416666666664</v>
      </c>
      <c r="D3674" s="8" t="s">
        <v>13929</v>
      </c>
      <c r="E3674" s="8" t="s">
        <v>47</v>
      </c>
      <c r="F3674">
        <v>3</v>
      </c>
      <c r="G3674" s="2">
        <v>46260.75</v>
      </c>
      <c r="H3674" s="2">
        <v>46260.583333333336</v>
      </c>
    </row>
    <row r="3675" spans="1:8" x14ac:dyDescent="0.25">
      <c r="A3675" s="8" t="s">
        <v>11835</v>
      </c>
      <c r="B3675" s="8" t="s">
        <v>14430</v>
      </c>
      <c r="C3675" s="2">
        <v>46260.416666666664</v>
      </c>
      <c r="D3675" s="8" t="s">
        <v>13929</v>
      </c>
      <c r="E3675" s="8" t="s">
        <v>65</v>
      </c>
      <c r="F3675">
        <v>2</v>
      </c>
      <c r="G3675" s="2">
        <v>46260.75</v>
      </c>
      <c r="H3675" s="2">
        <v>46260.583333333336</v>
      </c>
    </row>
    <row r="3676" spans="1:8" x14ac:dyDescent="0.25">
      <c r="A3676" s="8" t="s">
        <v>11838</v>
      </c>
      <c r="B3676" s="8" t="s">
        <v>14430</v>
      </c>
      <c r="C3676" s="2">
        <v>46260.416666666664</v>
      </c>
      <c r="D3676" s="8" t="s">
        <v>13929</v>
      </c>
      <c r="E3676" s="8" t="s">
        <v>67</v>
      </c>
      <c r="F3676">
        <v>2</v>
      </c>
      <c r="G3676" s="2">
        <v>46260.75</v>
      </c>
      <c r="H3676" s="2">
        <v>46260.583333333336</v>
      </c>
    </row>
    <row r="3677" spans="1:8" x14ac:dyDescent="0.25">
      <c r="A3677" s="8" t="s">
        <v>11841</v>
      </c>
      <c r="B3677" s="8" t="s">
        <v>14430</v>
      </c>
      <c r="C3677" s="2">
        <v>46260.416666666664</v>
      </c>
      <c r="D3677" s="8" t="s">
        <v>13929</v>
      </c>
      <c r="E3677" s="8" t="s">
        <v>73</v>
      </c>
      <c r="F3677">
        <v>2</v>
      </c>
      <c r="G3677" s="2">
        <v>46260.75</v>
      </c>
      <c r="H3677" s="2">
        <v>46260.583333333336</v>
      </c>
    </row>
    <row r="3678" spans="1:8" x14ac:dyDescent="0.25">
      <c r="A3678" s="8" t="s">
        <v>11844</v>
      </c>
      <c r="B3678" s="8" t="s">
        <v>14430</v>
      </c>
      <c r="C3678" s="2">
        <v>46260.416666666664</v>
      </c>
      <c r="D3678" s="8" t="s">
        <v>13929</v>
      </c>
      <c r="E3678" s="8" t="s">
        <v>75</v>
      </c>
      <c r="F3678">
        <v>3</v>
      </c>
      <c r="G3678" s="2">
        <v>46260.75</v>
      </c>
      <c r="H3678" s="2">
        <v>46260.583333333336</v>
      </c>
    </row>
    <row r="3679" spans="1:8" x14ac:dyDescent="0.25">
      <c r="A3679" s="8" t="s">
        <v>11847</v>
      </c>
      <c r="B3679" s="8" t="s">
        <v>14431</v>
      </c>
      <c r="C3679" s="2">
        <v>46260.416666666664</v>
      </c>
      <c r="D3679" s="8" t="s">
        <v>13931</v>
      </c>
      <c r="E3679" s="8" t="s">
        <v>18</v>
      </c>
      <c r="F3679">
        <v>1</v>
      </c>
      <c r="G3679" s="2">
        <v>46260.75</v>
      </c>
      <c r="H3679" s="2">
        <v>46260.583333333336</v>
      </c>
    </row>
    <row r="3680" spans="1:8" x14ac:dyDescent="0.25">
      <c r="A3680" s="8" t="s">
        <v>11850</v>
      </c>
      <c r="B3680" s="8" t="s">
        <v>14431</v>
      </c>
      <c r="C3680" s="2">
        <v>46260.416666666664</v>
      </c>
      <c r="D3680" s="8" t="s">
        <v>13931</v>
      </c>
      <c r="E3680" s="8" t="s">
        <v>22</v>
      </c>
      <c r="F3680">
        <v>2</v>
      </c>
      <c r="G3680" s="2">
        <v>46260.75</v>
      </c>
      <c r="H3680" s="2">
        <v>46260.583333333336</v>
      </c>
    </row>
    <row r="3681" spans="1:8" x14ac:dyDescent="0.25">
      <c r="A3681" s="8" t="s">
        <v>11853</v>
      </c>
      <c r="B3681" s="8" t="s">
        <v>14431</v>
      </c>
      <c r="C3681" s="2">
        <v>46260.416666666664</v>
      </c>
      <c r="D3681" s="8" t="s">
        <v>13931</v>
      </c>
      <c r="E3681" s="8" t="s">
        <v>24</v>
      </c>
      <c r="F3681">
        <v>5</v>
      </c>
      <c r="G3681" s="2">
        <v>46260.75</v>
      </c>
      <c r="H3681" s="2">
        <v>46260.583333333336</v>
      </c>
    </row>
    <row r="3682" spans="1:8" x14ac:dyDescent="0.25">
      <c r="A3682" s="8" t="s">
        <v>11856</v>
      </c>
      <c r="B3682" s="8" t="s">
        <v>14431</v>
      </c>
      <c r="C3682" s="2">
        <v>46260.416666666664</v>
      </c>
      <c r="D3682" s="8" t="s">
        <v>13931</v>
      </c>
      <c r="E3682" s="8" t="s">
        <v>28</v>
      </c>
      <c r="F3682">
        <v>2</v>
      </c>
      <c r="G3682" s="2">
        <v>46260.75</v>
      </c>
      <c r="H3682" s="2">
        <v>46260.583333333336</v>
      </c>
    </row>
    <row r="3683" spans="1:8" x14ac:dyDescent="0.25">
      <c r="A3683" s="8" t="s">
        <v>11859</v>
      </c>
      <c r="B3683" s="8" t="s">
        <v>14431</v>
      </c>
      <c r="C3683" s="2">
        <v>46260.416666666664</v>
      </c>
      <c r="D3683" s="8" t="s">
        <v>13931</v>
      </c>
      <c r="E3683" s="8" t="s">
        <v>32</v>
      </c>
      <c r="F3683">
        <v>5</v>
      </c>
      <c r="G3683" s="2">
        <v>46260.75</v>
      </c>
      <c r="H3683" s="2">
        <v>46260.583333333336</v>
      </c>
    </row>
    <row r="3684" spans="1:8" x14ac:dyDescent="0.25">
      <c r="A3684" s="8" t="s">
        <v>11862</v>
      </c>
      <c r="B3684" s="8" t="s">
        <v>14431</v>
      </c>
      <c r="C3684" s="2">
        <v>46260.416666666664</v>
      </c>
      <c r="D3684" s="8" t="s">
        <v>13931</v>
      </c>
      <c r="E3684" s="8" t="s">
        <v>36</v>
      </c>
      <c r="F3684">
        <v>1</v>
      </c>
      <c r="G3684" s="2">
        <v>46260.75</v>
      </c>
      <c r="H3684" s="2">
        <v>46260.583333333336</v>
      </c>
    </row>
    <row r="3685" spans="1:8" x14ac:dyDescent="0.25">
      <c r="A3685" s="8" t="s">
        <v>11865</v>
      </c>
      <c r="B3685" s="8" t="s">
        <v>14431</v>
      </c>
      <c r="C3685" s="2">
        <v>46260.416666666664</v>
      </c>
      <c r="D3685" s="8" t="s">
        <v>13931</v>
      </c>
      <c r="E3685" s="8" t="s">
        <v>45</v>
      </c>
      <c r="F3685">
        <v>2</v>
      </c>
      <c r="G3685" s="2">
        <v>46260.75</v>
      </c>
      <c r="H3685" s="2">
        <v>46260.583333333336</v>
      </c>
    </row>
    <row r="3686" spans="1:8" x14ac:dyDescent="0.25">
      <c r="A3686" s="8" t="s">
        <v>11868</v>
      </c>
      <c r="B3686" s="8" t="s">
        <v>14431</v>
      </c>
      <c r="C3686" s="2">
        <v>46260.416666666664</v>
      </c>
      <c r="D3686" s="8" t="s">
        <v>13931</v>
      </c>
      <c r="E3686" s="8" t="s">
        <v>49</v>
      </c>
      <c r="F3686">
        <v>3</v>
      </c>
      <c r="G3686" s="2">
        <v>46260.75</v>
      </c>
      <c r="H3686" s="2">
        <v>46260.583333333336</v>
      </c>
    </row>
    <row r="3687" spans="1:8" x14ac:dyDescent="0.25">
      <c r="A3687" s="8" t="s">
        <v>11871</v>
      </c>
      <c r="B3687" s="8" t="s">
        <v>14431</v>
      </c>
      <c r="C3687" s="2">
        <v>46260.416666666664</v>
      </c>
      <c r="D3687" s="8" t="s">
        <v>13931</v>
      </c>
      <c r="E3687" s="8" t="s">
        <v>57</v>
      </c>
      <c r="F3687">
        <v>5</v>
      </c>
      <c r="G3687" s="2">
        <v>46260.75</v>
      </c>
      <c r="H3687" s="2">
        <v>46260.583333333336</v>
      </c>
    </row>
    <row r="3688" spans="1:8" x14ac:dyDescent="0.25">
      <c r="A3688" s="8" t="s">
        <v>11874</v>
      </c>
      <c r="B3688" s="8" t="s">
        <v>14431</v>
      </c>
      <c r="C3688" s="2">
        <v>46260.416666666664</v>
      </c>
      <c r="D3688" s="8" t="s">
        <v>13931</v>
      </c>
      <c r="E3688" s="8" t="s">
        <v>69</v>
      </c>
      <c r="F3688">
        <v>2</v>
      </c>
      <c r="G3688" s="2">
        <v>46260.75</v>
      </c>
      <c r="H3688" s="2">
        <v>46260.583333333336</v>
      </c>
    </row>
    <row r="3689" spans="1:8" x14ac:dyDescent="0.25">
      <c r="A3689" s="8" t="s">
        <v>11877</v>
      </c>
      <c r="B3689" s="8" t="s">
        <v>14431</v>
      </c>
      <c r="C3689" s="2">
        <v>46260.416666666664</v>
      </c>
      <c r="D3689" s="8" t="s">
        <v>13931</v>
      </c>
      <c r="E3689" s="8" t="s">
        <v>71</v>
      </c>
      <c r="F3689">
        <v>5</v>
      </c>
      <c r="G3689" s="2">
        <v>46260.75</v>
      </c>
      <c r="H3689" s="2">
        <v>46260.583333333336</v>
      </c>
    </row>
    <row r="3690" spans="1:8" x14ac:dyDescent="0.25">
      <c r="A3690" s="8" t="s">
        <v>11880</v>
      </c>
      <c r="B3690" s="8" t="s">
        <v>14431</v>
      </c>
      <c r="C3690" s="2">
        <v>46260.416666666664</v>
      </c>
      <c r="D3690" s="8" t="s">
        <v>13931</v>
      </c>
      <c r="E3690" s="8" t="s">
        <v>75</v>
      </c>
      <c r="F3690">
        <v>3</v>
      </c>
      <c r="G3690" s="2">
        <v>46260.75</v>
      </c>
      <c r="H3690" s="2">
        <v>46260.583333333336</v>
      </c>
    </row>
    <row r="3691" spans="1:8" x14ac:dyDescent="0.25">
      <c r="A3691" s="8" t="s">
        <v>11883</v>
      </c>
      <c r="B3691" s="8" t="s">
        <v>14432</v>
      </c>
      <c r="C3691" s="2">
        <v>46260.416666666664</v>
      </c>
      <c r="D3691" s="8" t="s">
        <v>13933</v>
      </c>
      <c r="E3691" s="8" t="s">
        <v>18</v>
      </c>
      <c r="F3691">
        <v>4</v>
      </c>
      <c r="G3691" s="2">
        <v>46260.75</v>
      </c>
      <c r="H3691" s="2">
        <v>46260.583333333336</v>
      </c>
    </row>
    <row r="3692" spans="1:8" x14ac:dyDescent="0.25">
      <c r="A3692" s="8" t="s">
        <v>11886</v>
      </c>
      <c r="B3692" s="8" t="s">
        <v>14432</v>
      </c>
      <c r="C3692" s="2">
        <v>46260.416666666664</v>
      </c>
      <c r="D3692" s="8" t="s">
        <v>13933</v>
      </c>
      <c r="E3692" s="8" t="s">
        <v>20</v>
      </c>
      <c r="F3692">
        <v>4</v>
      </c>
      <c r="G3692" s="2">
        <v>46260.75</v>
      </c>
      <c r="H3692" s="2">
        <v>46260.583333333336</v>
      </c>
    </row>
    <row r="3693" spans="1:8" x14ac:dyDescent="0.25">
      <c r="A3693" s="8" t="s">
        <v>11889</v>
      </c>
      <c r="B3693" s="8" t="s">
        <v>14432</v>
      </c>
      <c r="C3693" s="2">
        <v>46260.416666666664</v>
      </c>
      <c r="D3693" s="8" t="s">
        <v>13933</v>
      </c>
      <c r="E3693" s="8" t="s">
        <v>26</v>
      </c>
      <c r="F3693">
        <v>5</v>
      </c>
      <c r="G3693" s="2">
        <v>46260.75</v>
      </c>
      <c r="H3693" s="2">
        <v>46260.583333333336</v>
      </c>
    </row>
    <row r="3694" spans="1:8" x14ac:dyDescent="0.25">
      <c r="A3694" s="8" t="s">
        <v>11892</v>
      </c>
      <c r="B3694" s="8" t="s">
        <v>14432</v>
      </c>
      <c r="C3694" s="2">
        <v>46260.416666666664</v>
      </c>
      <c r="D3694" s="8" t="s">
        <v>13933</v>
      </c>
      <c r="E3694" s="8" t="s">
        <v>30</v>
      </c>
      <c r="F3694">
        <v>2</v>
      </c>
      <c r="G3694" s="2">
        <v>46260.75</v>
      </c>
      <c r="H3694" s="2">
        <v>46260.583333333336</v>
      </c>
    </row>
    <row r="3695" spans="1:8" x14ac:dyDescent="0.25">
      <c r="A3695" s="8" t="s">
        <v>11895</v>
      </c>
      <c r="B3695" s="8" t="s">
        <v>14432</v>
      </c>
      <c r="C3695" s="2">
        <v>46260.416666666664</v>
      </c>
      <c r="D3695" s="8" t="s">
        <v>13933</v>
      </c>
      <c r="E3695" s="8" t="s">
        <v>36</v>
      </c>
      <c r="F3695">
        <v>2</v>
      </c>
      <c r="G3695" s="2">
        <v>46260.75</v>
      </c>
      <c r="H3695" s="2">
        <v>46260.583333333336</v>
      </c>
    </row>
    <row r="3696" spans="1:8" x14ac:dyDescent="0.25">
      <c r="A3696" s="8" t="s">
        <v>11898</v>
      </c>
      <c r="B3696" s="8" t="s">
        <v>14432</v>
      </c>
      <c r="C3696" s="2">
        <v>46260.416666666664</v>
      </c>
      <c r="D3696" s="8" t="s">
        <v>13933</v>
      </c>
      <c r="E3696" s="8" t="s">
        <v>49</v>
      </c>
      <c r="F3696">
        <v>4</v>
      </c>
      <c r="G3696" s="2">
        <v>46260.75</v>
      </c>
      <c r="H3696" s="2">
        <v>46260.583333333336</v>
      </c>
    </row>
    <row r="3697" spans="1:8" x14ac:dyDescent="0.25">
      <c r="A3697" s="8" t="s">
        <v>11901</v>
      </c>
      <c r="B3697" s="8" t="s">
        <v>14432</v>
      </c>
      <c r="C3697" s="2">
        <v>46260.416666666664</v>
      </c>
      <c r="D3697" s="8" t="s">
        <v>13933</v>
      </c>
      <c r="E3697" s="8" t="s">
        <v>55</v>
      </c>
      <c r="F3697">
        <v>6</v>
      </c>
      <c r="G3697" s="2">
        <v>46260.75</v>
      </c>
      <c r="H3697" s="2">
        <v>46260.583333333336</v>
      </c>
    </row>
    <row r="3698" spans="1:8" x14ac:dyDescent="0.25">
      <c r="A3698" s="8" t="s">
        <v>11904</v>
      </c>
      <c r="B3698" s="8" t="s">
        <v>14432</v>
      </c>
      <c r="C3698" s="2">
        <v>46260.416666666664</v>
      </c>
      <c r="D3698" s="8" t="s">
        <v>13933</v>
      </c>
      <c r="E3698" s="8" t="s">
        <v>67</v>
      </c>
      <c r="F3698">
        <v>1</v>
      </c>
      <c r="G3698" s="2">
        <v>46260.75</v>
      </c>
      <c r="H3698" s="2">
        <v>46260.583333333336</v>
      </c>
    </row>
    <row r="3699" spans="1:8" x14ac:dyDescent="0.25">
      <c r="A3699" s="8" t="s">
        <v>11907</v>
      </c>
      <c r="B3699" s="8" t="s">
        <v>14432</v>
      </c>
      <c r="C3699" s="2">
        <v>46260.416666666664</v>
      </c>
      <c r="D3699" s="8" t="s">
        <v>13933</v>
      </c>
      <c r="E3699" s="8" t="s">
        <v>71</v>
      </c>
      <c r="F3699">
        <v>4</v>
      </c>
      <c r="G3699" s="2">
        <v>46260.75</v>
      </c>
      <c r="H3699" s="2">
        <v>46260.583333333336</v>
      </c>
    </row>
    <row r="3700" spans="1:8" x14ac:dyDescent="0.25">
      <c r="A3700" s="8" t="s">
        <v>11910</v>
      </c>
      <c r="B3700" s="8" t="s">
        <v>14432</v>
      </c>
      <c r="C3700" s="2">
        <v>46260.416666666664</v>
      </c>
      <c r="D3700" s="8" t="s">
        <v>13933</v>
      </c>
      <c r="E3700" s="8" t="s">
        <v>73</v>
      </c>
      <c r="F3700">
        <v>4</v>
      </c>
      <c r="G3700" s="2">
        <v>46260.75</v>
      </c>
      <c r="H3700" s="2">
        <v>46260.583333333336</v>
      </c>
    </row>
    <row r="3701" spans="1:8" x14ac:dyDescent="0.25">
      <c r="A3701" s="8" t="s">
        <v>11913</v>
      </c>
      <c r="B3701" s="8" t="s">
        <v>14432</v>
      </c>
      <c r="C3701" s="2">
        <v>46260.416666666664</v>
      </c>
      <c r="D3701" s="8" t="s">
        <v>13933</v>
      </c>
      <c r="E3701" s="8" t="s">
        <v>75</v>
      </c>
      <c r="F3701">
        <v>1</v>
      </c>
      <c r="G3701" s="2">
        <v>46260.75</v>
      </c>
      <c r="H3701" s="2">
        <v>46260.583333333336</v>
      </c>
    </row>
    <row r="3702" spans="1:8" x14ac:dyDescent="0.25">
      <c r="A3702" s="8" t="s">
        <v>11916</v>
      </c>
      <c r="B3702" s="8" t="s">
        <v>14432</v>
      </c>
      <c r="C3702" s="2">
        <v>46260.416666666664</v>
      </c>
      <c r="D3702" s="8" t="s">
        <v>13933</v>
      </c>
      <c r="E3702" s="8" t="s">
        <v>77</v>
      </c>
      <c r="F3702">
        <v>1</v>
      </c>
      <c r="G3702" s="2">
        <v>46260.75</v>
      </c>
      <c r="H3702" s="2">
        <v>46260.583333333336</v>
      </c>
    </row>
    <row r="3703" spans="1:8" x14ac:dyDescent="0.25">
      <c r="A3703" s="8" t="s">
        <v>11919</v>
      </c>
      <c r="B3703" s="8" t="s">
        <v>14433</v>
      </c>
      <c r="C3703" s="2">
        <v>46260.416666666664</v>
      </c>
      <c r="D3703" s="8" t="s">
        <v>13935</v>
      </c>
      <c r="E3703" s="8" t="s">
        <v>11</v>
      </c>
      <c r="F3703">
        <v>1</v>
      </c>
      <c r="G3703" s="2">
        <v>46260.75</v>
      </c>
      <c r="H3703" s="2">
        <v>46260.583333333336</v>
      </c>
    </row>
    <row r="3704" spans="1:8" x14ac:dyDescent="0.25">
      <c r="A3704" s="8" t="s">
        <v>11922</v>
      </c>
      <c r="B3704" s="8" t="s">
        <v>14433</v>
      </c>
      <c r="C3704" s="2">
        <v>46260.416666666664</v>
      </c>
      <c r="D3704" s="8" t="s">
        <v>13935</v>
      </c>
      <c r="E3704" s="8" t="s">
        <v>26</v>
      </c>
      <c r="F3704">
        <v>7</v>
      </c>
      <c r="G3704" s="2">
        <v>46260.75</v>
      </c>
      <c r="H3704" s="2">
        <v>46260.583333333336</v>
      </c>
    </row>
    <row r="3705" spans="1:8" x14ac:dyDescent="0.25">
      <c r="A3705" s="8" t="s">
        <v>11925</v>
      </c>
      <c r="B3705" s="8" t="s">
        <v>14433</v>
      </c>
      <c r="C3705" s="2">
        <v>46260.416666666664</v>
      </c>
      <c r="D3705" s="8" t="s">
        <v>13935</v>
      </c>
      <c r="E3705" s="8" t="s">
        <v>30</v>
      </c>
      <c r="F3705">
        <v>6</v>
      </c>
      <c r="G3705" s="2">
        <v>46260.75</v>
      </c>
      <c r="H3705" s="2">
        <v>46260.583333333336</v>
      </c>
    </row>
    <row r="3706" spans="1:8" x14ac:dyDescent="0.25">
      <c r="A3706" s="8" t="s">
        <v>11928</v>
      </c>
      <c r="B3706" s="8" t="s">
        <v>14433</v>
      </c>
      <c r="C3706" s="2">
        <v>46260.416666666664</v>
      </c>
      <c r="D3706" s="8" t="s">
        <v>13935</v>
      </c>
      <c r="E3706" s="8" t="s">
        <v>36</v>
      </c>
      <c r="F3706">
        <v>7</v>
      </c>
      <c r="G3706" s="2">
        <v>46260.75</v>
      </c>
      <c r="H3706" s="2">
        <v>46260.583333333336</v>
      </c>
    </row>
    <row r="3707" spans="1:8" x14ac:dyDescent="0.25">
      <c r="A3707" s="8" t="s">
        <v>11931</v>
      </c>
      <c r="B3707" s="8" t="s">
        <v>14433</v>
      </c>
      <c r="C3707" s="2">
        <v>46260.416666666664</v>
      </c>
      <c r="D3707" s="8" t="s">
        <v>13935</v>
      </c>
      <c r="E3707" s="8" t="s">
        <v>69</v>
      </c>
      <c r="F3707">
        <v>1</v>
      </c>
      <c r="G3707" s="2">
        <v>46260.75</v>
      </c>
      <c r="H3707" s="2">
        <v>46260.583333333336</v>
      </c>
    </row>
    <row r="3708" spans="1:8" x14ac:dyDescent="0.25">
      <c r="A3708" s="8" t="s">
        <v>11934</v>
      </c>
      <c r="B3708" s="8" t="s">
        <v>14433</v>
      </c>
      <c r="C3708" s="2">
        <v>46260.416666666664</v>
      </c>
      <c r="D3708" s="8" t="s">
        <v>13935</v>
      </c>
      <c r="E3708" s="8" t="s">
        <v>71</v>
      </c>
      <c r="F3708">
        <v>1</v>
      </c>
      <c r="G3708" s="2">
        <v>46260.75</v>
      </c>
      <c r="H3708" s="2">
        <v>46260.583333333336</v>
      </c>
    </row>
    <row r="3709" spans="1:8" x14ac:dyDescent="0.25">
      <c r="A3709" s="8" t="s">
        <v>11937</v>
      </c>
      <c r="B3709" s="8" t="s">
        <v>14434</v>
      </c>
      <c r="C3709" s="2">
        <v>46260.416666666664</v>
      </c>
      <c r="D3709" s="8" t="s">
        <v>13937</v>
      </c>
      <c r="E3709" s="8" t="s">
        <v>11</v>
      </c>
      <c r="F3709">
        <v>4</v>
      </c>
      <c r="G3709" s="2">
        <v>46260.75</v>
      </c>
      <c r="H3709" s="2">
        <v>46260.583333333336</v>
      </c>
    </row>
    <row r="3710" spans="1:8" x14ac:dyDescent="0.25">
      <c r="A3710" s="8" t="s">
        <v>11940</v>
      </c>
      <c r="B3710" s="8" t="s">
        <v>14434</v>
      </c>
      <c r="C3710" s="2">
        <v>46260.416666666664</v>
      </c>
      <c r="D3710" s="8" t="s">
        <v>13937</v>
      </c>
      <c r="E3710" s="8" t="s">
        <v>18</v>
      </c>
      <c r="F3710">
        <v>4</v>
      </c>
      <c r="G3710" s="2">
        <v>46260.75</v>
      </c>
      <c r="H3710" s="2">
        <v>46260.583333333336</v>
      </c>
    </row>
    <row r="3711" spans="1:8" x14ac:dyDescent="0.25">
      <c r="A3711" s="8" t="s">
        <v>11943</v>
      </c>
      <c r="B3711" s="8" t="s">
        <v>14434</v>
      </c>
      <c r="C3711" s="2">
        <v>46260.416666666664</v>
      </c>
      <c r="D3711" s="8" t="s">
        <v>13937</v>
      </c>
      <c r="E3711" s="8" t="s">
        <v>20</v>
      </c>
      <c r="F3711">
        <v>2</v>
      </c>
      <c r="G3711" s="2">
        <v>46260.75</v>
      </c>
      <c r="H3711" s="2">
        <v>46260.583333333336</v>
      </c>
    </row>
    <row r="3712" spans="1:8" x14ac:dyDescent="0.25">
      <c r="A3712" s="8" t="s">
        <v>11946</v>
      </c>
      <c r="B3712" s="8" t="s">
        <v>14434</v>
      </c>
      <c r="C3712" s="2">
        <v>46260.416666666664</v>
      </c>
      <c r="D3712" s="8" t="s">
        <v>13937</v>
      </c>
      <c r="E3712" s="8" t="s">
        <v>22</v>
      </c>
      <c r="F3712">
        <v>1</v>
      </c>
      <c r="G3712" s="2">
        <v>46260.75</v>
      </c>
      <c r="H3712" s="2">
        <v>46260.583333333336</v>
      </c>
    </row>
    <row r="3713" spans="1:8" x14ac:dyDescent="0.25">
      <c r="A3713" s="8" t="s">
        <v>11949</v>
      </c>
      <c r="B3713" s="8" t="s">
        <v>14434</v>
      </c>
      <c r="C3713" s="2">
        <v>46260.416666666664</v>
      </c>
      <c r="D3713" s="8" t="s">
        <v>13937</v>
      </c>
      <c r="E3713" s="8" t="s">
        <v>24</v>
      </c>
      <c r="F3713">
        <v>1</v>
      </c>
      <c r="G3713" s="2">
        <v>46260.75</v>
      </c>
      <c r="H3713" s="2">
        <v>46260.583333333336</v>
      </c>
    </row>
    <row r="3714" spans="1:8" x14ac:dyDescent="0.25">
      <c r="A3714" s="8" t="s">
        <v>11952</v>
      </c>
      <c r="B3714" s="8" t="s">
        <v>14434</v>
      </c>
      <c r="C3714" s="2">
        <v>46260.416666666664</v>
      </c>
      <c r="D3714" s="8" t="s">
        <v>13937</v>
      </c>
      <c r="E3714" s="8" t="s">
        <v>26</v>
      </c>
      <c r="F3714">
        <v>3</v>
      </c>
      <c r="G3714" s="2">
        <v>46260.75</v>
      </c>
      <c r="H3714" s="2">
        <v>46260.583333333336</v>
      </c>
    </row>
    <row r="3715" spans="1:8" x14ac:dyDescent="0.25">
      <c r="A3715" s="8" t="s">
        <v>11955</v>
      </c>
      <c r="B3715" s="8" t="s">
        <v>14434</v>
      </c>
      <c r="C3715" s="2">
        <v>46260.416666666664</v>
      </c>
      <c r="D3715" s="8" t="s">
        <v>13937</v>
      </c>
      <c r="E3715" s="8" t="s">
        <v>41</v>
      </c>
      <c r="F3715">
        <v>3</v>
      </c>
      <c r="G3715" s="2">
        <v>46260.75</v>
      </c>
      <c r="H3715" s="2">
        <v>46260.583333333336</v>
      </c>
    </row>
    <row r="3716" spans="1:8" x14ac:dyDescent="0.25">
      <c r="A3716" s="8" t="s">
        <v>11958</v>
      </c>
      <c r="B3716" s="8" t="s">
        <v>14434</v>
      </c>
      <c r="C3716" s="2">
        <v>46260.416666666664</v>
      </c>
      <c r="D3716" s="8" t="s">
        <v>13937</v>
      </c>
      <c r="E3716" s="8" t="s">
        <v>43</v>
      </c>
      <c r="F3716">
        <v>3</v>
      </c>
      <c r="G3716" s="2">
        <v>46260.75</v>
      </c>
      <c r="H3716" s="2">
        <v>46260.583333333336</v>
      </c>
    </row>
    <row r="3717" spans="1:8" x14ac:dyDescent="0.25">
      <c r="A3717" s="8" t="s">
        <v>11961</v>
      </c>
      <c r="B3717" s="8" t="s">
        <v>14434</v>
      </c>
      <c r="C3717" s="2">
        <v>46260.416666666664</v>
      </c>
      <c r="D3717" s="8" t="s">
        <v>13937</v>
      </c>
      <c r="E3717" s="8" t="s">
        <v>45</v>
      </c>
      <c r="F3717">
        <v>4</v>
      </c>
      <c r="G3717" s="2">
        <v>46260.75</v>
      </c>
      <c r="H3717" s="2">
        <v>46260.583333333336</v>
      </c>
    </row>
    <row r="3718" spans="1:8" x14ac:dyDescent="0.25">
      <c r="A3718" s="8" t="s">
        <v>11964</v>
      </c>
      <c r="B3718" s="8" t="s">
        <v>14434</v>
      </c>
      <c r="C3718" s="2">
        <v>46260.416666666664</v>
      </c>
      <c r="D3718" s="8" t="s">
        <v>13937</v>
      </c>
      <c r="E3718" s="8" t="s">
        <v>51</v>
      </c>
      <c r="F3718">
        <v>1</v>
      </c>
      <c r="G3718" s="2">
        <v>46260.75</v>
      </c>
      <c r="H3718" s="2">
        <v>46260.583333333336</v>
      </c>
    </row>
    <row r="3719" spans="1:8" x14ac:dyDescent="0.25">
      <c r="A3719" s="8" t="s">
        <v>11967</v>
      </c>
      <c r="B3719" s="8" t="s">
        <v>14434</v>
      </c>
      <c r="C3719" s="2">
        <v>46260.416666666664</v>
      </c>
      <c r="D3719" s="8" t="s">
        <v>13937</v>
      </c>
      <c r="E3719" s="8" t="s">
        <v>53</v>
      </c>
      <c r="F3719">
        <v>4</v>
      </c>
      <c r="G3719" s="2">
        <v>46260.75</v>
      </c>
      <c r="H3719" s="2">
        <v>46260.583333333336</v>
      </c>
    </row>
    <row r="3720" spans="1:8" x14ac:dyDescent="0.25">
      <c r="A3720" s="8" t="s">
        <v>11970</v>
      </c>
      <c r="B3720" s="8" t="s">
        <v>14434</v>
      </c>
      <c r="C3720" s="2">
        <v>46260.416666666664</v>
      </c>
      <c r="D3720" s="8" t="s">
        <v>13937</v>
      </c>
      <c r="E3720" s="8" t="s">
        <v>59</v>
      </c>
      <c r="F3720">
        <v>3</v>
      </c>
      <c r="G3720" s="2">
        <v>46260.75</v>
      </c>
      <c r="H3720" s="2">
        <v>46260.583333333336</v>
      </c>
    </row>
    <row r="3721" spans="1:8" x14ac:dyDescent="0.25">
      <c r="A3721" s="8" t="s">
        <v>11973</v>
      </c>
      <c r="B3721" s="8" t="s">
        <v>14434</v>
      </c>
      <c r="C3721" s="2">
        <v>46260.416666666664</v>
      </c>
      <c r="D3721" s="8" t="s">
        <v>13937</v>
      </c>
      <c r="E3721" s="8" t="s">
        <v>65</v>
      </c>
      <c r="F3721">
        <v>2</v>
      </c>
      <c r="G3721" s="2">
        <v>46260.75</v>
      </c>
      <c r="H3721" s="2">
        <v>46260.583333333336</v>
      </c>
    </row>
    <row r="3722" spans="1:8" x14ac:dyDescent="0.25">
      <c r="A3722" s="8" t="s">
        <v>11976</v>
      </c>
      <c r="B3722" s="8" t="s">
        <v>14434</v>
      </c>
      <c r="C3722" s="2">
        <v>46260.416666666664</v>
      </c>
      <c r="D3722" s="8" t="s">
        <v>13937</v>
      </c>
      <c r="E3722" s="8" t="s">
        <v>69</v>
      </c>
      <c r="F3722">
        <v>4</v>
      </c>
      <c r="G3722" s="2">
        <v>46260.75</v>
      </c>
      <c r="H3722" s="2">
        <v>46260.583333333336</v>
      </c>
    </row>
    <row r="3723" spans="1:8" x14ac:dyDescent="0.25">
      <c r="A3723" s="8" t="s">
        <v>11979</v>
      </c>
      <c r="B3723" s="8" t="s">
        <v>14434</v>
      </c>
      <c r="C3723" s="2">
        <v>46260.416666666664</v>
      </c>
      <c r="D3723" s="8" t="s">
        <v>13937</v>
      </c>
      <c r="E3723" s="8" t="s">
        <v>77</v>
      </c>
      <c r="F3723">
        <v>3</v>
      </c>
      <c r="G3723" s="2">
        <v>46260.75</v>
      </c>
      <c r="H3723" s="2">
        <v>46260.583333333336</v>
      </c>
    </row>
    <row r="3724" spans="1:8" x14ac:dyDescent="0.25">
      <c r="A3724" s="8" t="s">
        <v>11982</v>
      </c>
      <c r="B3724" s="8" t="s">
        <v>14435</v>
      </c>
      <c r="C3724" s="2">
        <v>46261.416666666664</v>
      </c>
      <c r="D3724" s="8" t="s">
        <v>13929</v>
      </c>
      <c r="E3724" s="8" t="s">
        <v>11</v>
      </c>
      <c r="F3724">
        <v>4</v>
      </c>
      <c r="G3724" s="2">
        <v>46261.75</v>
      </c>
      <c r="H3724" s="2">
        <v>46261.583333333336</v>
      </c>
    </row>
    <row r="3725" spans="1:8" x14ac:dyDescent="0.25">
      <c r="A3725" s="8" t="s">
        <v>11985</v>
      </c>
      <c r="B3725" s="8" t="s">
        <v>14435</v>
      </c>
      <c r="C3725" s="2">
        <v>46261.416666666664</v>
      </c>
      <c r="D3725" s="8" t="s">
        <v>13929</v>
      </c>
      <c r="E3725" s="8" t="s">
        <v>18</v>
      </c>
      <c r="F3725">
        <v>2</v>
      </c>
      <c r="G3725" s="2">
        <v>46261.75</v>
      </c>
      <c r="H3725" s="2">
        <v>46261.583333333336</v>
      </c>
    </row>
    <row r="3726" spans="1:8" x14ac:dyDescent="0.25">
      <c r="A3726" s="8" t="s">
        <v>11988</v>
      </c>
      <c r="B3726" s="8" t="s">
        <v>14435</v>
      </c>
      <c r="C3726" s="2">
        <v>46261.416666666664</v>
      </c>
      <c r="D3726" s="8" t="s">
        <v>13929</v>
      </c>
      <c r="E3726" s="8" t="s">
        <v>20</v>
      </c>
      <c r="F3726">
        <v>4</v>
      </c>
      <c r="G3726" s="2">
        <v>46261.75</v>
      </c>
      <c r="H3726" s="2">
        <v>46261.583333333336</v>
      </c>
    </row>
    <row r="3727" spans="1:8" x14ac:dyDescent="0.25">
      <c r="A3727" s="8" t="s">
        <v>11991</v>
      </c>
      <c r="B3727" s="8" t="s">
        <v>14435</v>
      </c>
      <c r="C3727" s="2">
        <v>46261.416666666664</v>
      </c>
      <c r="D3727" s="8" t="s">
        <v>13929</v>
      </c>
      <c r="E3727" s="8" t="s">
        <v>22</v>
      </c>
      <c r="F3727">
        <v>3</v>
      </c>
      <c r="G3727" s="2">
        <v>46261.75</v>
      </c>
      <c r="H3727" s="2">
        <v>46261.583333333336</v>
      </c>
    </row>
    <row r="3728" spans="1:8" x14ac:dyDescent="0.25">
      <c r="A3728" s="8" t="s">
        <v>11994</v>
      </c>
      <c r="B3728" s="8" t="s">
        <v>14435</v>
      </c>
      <c r="C3728" s="2">
        <v>46261.416666666664</v>
      </c>
      <c r="D3728" s="8" t="s">
        <v>13929</v>
      </c>
      <c r="E3728" s="8" t="s">
        <v>26</v>
      </c>
      <c r="F3728">
        <v>4</v>
      </c>
      <c r="G3728" s="2">
        <v>46261.75</v>
      </c>
      <c r="H3728" s="2">
        <v>46261.583333333336</v>
      </c>
    </row>
    <row r="3729" spans="1:8" x14ac:dyDescent="0.25">
      <c r="A3729" s="8" t="s">
        <v>11997</v>
      </c>
      <c r="B3729" s="8" t="s">
        <v>14435</v>
      </c>
      <c r="C3729" s="2">
        <v>46261.416666666664</v>
      </c>
      <c r="D3729" s="8" t="s">
        <v>13929</v>
      </c>
      <c r="E3729" s="8" t="s">
        <v>30</v>
      </c>
      <c r="F3729">
        <v>2</v>
      </c>
      <c r="G3729" s="2">
        <v>46261.75</v>
      </c>
      <c r="H3729" s="2">
        <v>46261.583333333336</v>
      </c>
    </row>
    <row r="3730" spans="1:8" x14ac:dyDescent="0.25">
      <c r="A3730" s="8" t="s">
        <v>12000</v>
      </c>
      <c r="B3730" s="8" t="s">
        <v>14435</v>
      </c>
      <c r="C3730" s="2">
        <v>46261.416666666664</v>
      </c>
      <c r="D3730" s="8" t="s">
        <v>13929</v>
      </c>
      <c r="E3730" s="8" t="s">
        <v>32</v>
      </c>
      <c r="F3730">
        <v>2</v>
      </c>
      <c r="G3730" s="2">
        <v>46261.75</v>
      </c>
      <c r="H3730" s="2">
        <v>46261.583333333336</v>
      </c>
    </row>
    <row r="3731" spans="1:8" x14ac:dyDescent="0.25">
      <c r="A3731" s="8" t="s">
        <v>12003</v>
      </c>
      <c r="B3731" s="8" t="s">
        <v>14435</v>
      </c>
      <c r="C3731" s="2">
        <v>46261.416666666664</v>
      </c>
      <c r="D3731" s="8" t="s">
        <v>13929</v>
      </c>
      <c r="E3731" s="8" t="s">
        <v>53</v>
      </c>
      <c r="F3731">
        <v>2</v>
      </c>
      <c r="G3731" s="2">
        <v>46261.75</v>
      </c>
      <c r="H3731" s="2">
        <v>46261.583333333336</v>
      </c>
    </row>
    <row r="3732" spans="1:8" x14ac:dyDescent="0.25">
      <c r="A3732" s="8" t="s">
        <v>12006</v>
      </c>
      <c r="B3732" s="8" t="s">
        <v>14435</v>
      </c>
      <c r="C3732" s="2">
        <v>46261.416666666664</v>
      </c>
      <c r="D3732" s="8" t="s">
        <v>13929</v>
      </c>
      <c r="E3732" s="8" t="s">
        <v>59</v>
      </c>
      <c r="F3732">
        <v>2</v>
      </c>
      <c r="G3732" s="2">
        <v>46261.75</v>
      </c>
      <c r="H3732" s="2">
        <v>46261.583333333336</v>
      </c>
    </row>
    <row r="3733" spans="1:8" x14ac:dyDescent="0.25">
      <c r="A3733" s="8" t="s">
        <v>12009</v>
      </c>
      <c r="B3733" s="8" t="s">
        <v>14436</v>
      </c>
      <c r="C3733" s="2">
        <v>46261.416666666664</v>
      </c>
      <c r="D3733" s="8" t="s">
        <v>13931</v>
      </c>
      <c r="E3733" s="8" t="s">
        <v>11</v>
      </c>
      <c r="F3733">
        <v>1</v>
      </c>
      <c r="G3733" s="2">
        <v>46261.75</v>
      </c>
      <c r="H3733" s="2">
        <v>46261.583333333336</v>
      </c>
    </row>
    <row r="3734" spans="1:8" x14ac:dyDescent="0.25">
      <c r="A3734" s="8" t="s">
        <v>12012</v>
      </c>
      <c r="B3734" s="8" t="s">
        <v>14436</v>
      </c>
      <c r="C3734" s="2">
        <v>46261.416666666664</v>
      </c>
      <c r="D3734" s="8" t="s">
        <v>13931</v>
      </c>
      <c r="E3734" s="8" t="s">
        <v>20</v>
      </c>
      <c r="F3734">
        <v>4</v>
      </c>
      <c r="G3734" s="2">
        <v>46261.75</v>
      </c>
      <c r="H3734" s="2">
        <v>46261.583333333336</v>
      </c>
    </row>
    <row r="3735" spans="1:8" x14ac:dyDescent="0.25">
      <c r="A3735" s="8" t="s">
        <v>12015</v>
      </c>
      <c r="B3735" s="8" t="s">
        <v>14436</v>
      </c>
      <c r="C3735" s="2">
        <v>46261.416666666664</v>
      </c>
      <c r="D3735" s="8" t="s">
        <v>13931</v>
      </c>
      <c r="E3735" s="8" t="s">
        <v>22</v>
      </c>
      <c r="F3735">
        <v>5</v>
      </c>
      <c r="G3735" s="2">
        <v>46261.75</v>
      </c>
      <c r="H3735" s="2">
        <v>46261.583333333336</v>
      </c>
    </row>
    <row r="3736" spans="1:8" x14ac:dyDescent="0.25">
      <c r="A3736" s="8" t="s">
        <v>12018</v>
      </c>
      <c r="B3736" s="8" t="s">
        <v>14436</v>
      </c>
      <c r="C3736" s="2">
        <v>46261.416666666664</v>
      </c>
      <c r="D3736" s="8" t="s">
        <v>13931</v>
      </c>
      <c r="E3736" s="8" t="s">
        <v>24</v>
      </c>
      <c r="F3736">
        <v>3</v>
      </c>
      <c r="G3736" s="2">
        <v>46261.75</v>
      </c>
      <c r="H3736" s="2">
        <v>46261.583333333336</v>
      </c>
    </row>
    <row r="3737" spans="1:8" x14ac:dyDescent="0.25">
      <c r="A3737" s="8" t="s">
        <v>12021</v>
      </c>
      <c r="B3737" s="8" t="s">
        <v>14436</v>
      </c>
      <c r="C3737" s="2">
        <v>46261.416666666664</v>
      </c>
      <c r="D3737" s="8" t="s">
        <v>13931</v>
      </c>
      <c r="E3737" s="8" t="s">
        <v>26</v>
      </c>
      <c r="F3737">
        <v>1</v>
      </c>
      <c r="G3737" s="2">
        <v>46261.75</v>
      </c>
      <c r="H3737" s="2">
        <v>46261.583333333336</v>
      </c>
    </row>
    <row r="3738" spans="1:8" x14ac:dyDescent="0.25">
      <c r="A3738" s="8" t="s">
        <v>12024</v>
      </c>
      <c r="B3738" s="8" t="s">
        <v>14436</v>
      </c>
      <c r="C3738" s="2">
        <v>46261.416666666664</v>
      </c>
      <c r="D3738" s="8" t="s">
        <v>13931</v>
      </c>
      <c r="E3738" s="8" t="s">
        <v>28</v>
      </c>
      <c r="F3738">
        <v>5</v>
      </c>
      <c r="G3738" s="2">
        <v>46261.75</v>
      </c>
      <c r="H3738" s="2">
        <v>46261.583333333336</v>
      </c>
    </row>
    <row r="3739" spans="1:8" x14ac:dyDescent="0.25">
      <c r="A3739" s="8" t="s">
        <v>12027</v>
      </c>
      <c r="B3739" s="8" t="s">
        <v>14436</v>
      </c>
      <c r="C3739" s="2">
        <v>46261.416666666664</v>
      </c>
      <c r="D3739" s="8" t="s">
        <v>13931</v>
      </c>
      <c r="E3739" s="8" t="s">
        <v>57</v>
      </c>
      <c r="F3739">
        <v>1</v>
      </c>
      <c r="G3739" s="2">
        <v>46261.75</v>
      </c>
      <c r="H3739" s="2">
        <v>46261.583333333336</v>
      </c>
    </row>
    <row r="3740" spans="1:8" x14ac:dyDescent="0.25">
      <c r="A3740" s="8" t="s">
        <v>12030</v>
      </c>
      <c r="B3740" s="8" t="s">
        <v>14436</v>
      </c>
      <c r="C3740" s="2">
        <v>46261.416666666664</v>
      </c>
      <c r="D3740" s="8" t="s">
        <v>13931</v>
      </c>
      <c r="E3740" s="8" t="s">
        <v>59</v>
      </c>
      <c r="F3740">
        <v>2</v>
      </c>
      <c r="G3740" s="2">
        <v>46261.75</v>
      </c>
      <c r="H3740" s="2">
        <v>46261.583333333336</v>
      </c>
    </row>
    <row r="3741" spans="1:8" x14ac:dyDescent="0.25">
      <c r="A3741" s="8" t="s">
        <v>12033</v>
      </c>
      <c r="B3741" s="8" t="s">
        <v>14436</v>
      </c>
      <c r="C3741" s="2">
        <v>46261.416666666664</v>
      </c>
      <c r="D3741" s="8" t="s">
        <v>13931</v>
      </c>
      <c r="E3741" s="8" t="s">
        <v>65</v>
      </c>
      <c r="F3741">
        <v>2</v>
      </c>
      <c r="G3741" s="2">
        <v>46261.75</v>
      </c>
      <c r="H3741" s="2">
        <v>46261.583333333336</v>
      </c>
    </row>
    <row r="3742" spans="1:8" x14ac:dyDescent="0.25">
      <c r="A3742" s="8" t="s">
        <v>12036</v>
      </c>
      <c r="B3742" s="8" t="s">
        <v>14436</v>
      </c>
      <c r="C3742" s="2">
        <v>46261.416666666664</v>
      </c>
      <c r="D3742" s="8" t="s">
        <v>13931</v>
      </c>
      <c r="E3742" s="8" t="s">
        <v>71</v>
      </c>
      <c r="F3742">
        <v>4</v>
      </c>
      <c r="G3742" s="2">
        <v>46261.75</v>
      </c>
      <c r="H3742" s="2">
        <v>46261.583333333336</v>
      </c>
    </row>
    <row r="3743" spans="1:8" x14ac:dyDescent="0.25">
      <c r="A3743" s="8" t="s">
        <v>12039</v>
      </c>
      <c r="B3743" s="8" t="s">
        <v>14437</v>
      </c>
      <c r="C3743" s="2">
        <v>46261.416666666664</v>
      </c>
      <c r="D3743" s="8" t="s">
        <v>13933</v>
      </c>
      <c r="E3743" s="8" t="s">
        <v>11</v>
      </c>
      <c r="F3743">
        <v>2</v>
      </c>
      <c r="G3743" s="2">
        <v>46261.75</v>
      </c>
      <c r="H3743" s="2">
        <v>46261.583333333336</v>
      </c>
    </row>
    <row r="3744" spans="1:8" x14ac:dyDescent="0.25">
      <c r="A3744" s="8" t="s">
        <v>12042</v>
      </c>
      <c r="B3744" s="8" t="s">
        <v>14437</v>
      </c>
      <c r="C3744" s="2">
        <v>46261.416666666664</v>
      </c>
      <c r="D3744" s="8" t="s">
        <v>13933</v>
      </c>
      <c r="E3744" s="8" t="s">
        <v>18</v>
      </c>
      <c r="F3744">
        <v>6</v>
      </c>
      <c r="G3744" s="2">
        <v>46261.75</v>
      </c>
      <c r="H3744" s="2">
        <v>46261.583333333336</v>
      </c>
    </row>
    <row r="3745" spans="1:8" x14ac:dyDescent="0.25">
      <c r="A3745" s="8" t="s">
        <v>12047</v>
      </c>
      <c r="B3745" s="8" t="s">
        <v>14437</v>
      </c>
      <c r="C3745" s="2">
        <v>46261.416666666664</v>
      </c>
      <c r="D3745" s="8" t="s">
        <v>13933</v>
      </c>
      <c r="E3745" s="8" t="s">
        <v>20</v>
      </c>
      <c r="F3745">
        <v>5</v>
      </c>
      <c r="G3745" s="2">
        <v>46261.75</v>
      </c>
      <c r="H3745" s="2">
        <v>46261.583333333336</v>
      </c>
    </row>
    <row r="3746" spans="1:8" x14ac:dyDescent="0.25">
      <c r="A3746" s="8" t="s">
        <v>12050</v>
      </c>
      <c r="B3746" s="8" t="s">
        <v>14437</v>
      </c>
      <c r="C3746" s="2">
        <v>46261.416666666664</v>
      </c>
      <c r="D3746" s="8" t="s">
        <v>13933</v>
      </c>
      <c r="E3746" s="8" t="s">
        <v>24</v>
      </c>
      <c r="F3746">
        <v>1</v>
      </c>
      <c r="G3746" s="2">
        <v>46261.75</v>
      </c>
      <c r="H3746" s="2">
        <v>46261.583333333336</v>
      </c>
    </row>
    <row r="3747" spans="1:8" x14ac:dyDescent="0.25">
      <c r="A3747" s="8" t="s">
        <v>12053</v>
      </c>
      <c r="B3747" s="8" t="s">
        <v>14437</v>
      </c>
      <c r="C3747" s="2">
        <v>46261.416666666664</v>
      </c>
      <c r="D3747" s="8" t="s">
        <v>13933</v>
      </c>
      <c r="E3747" s="8" t="s">
        <v>26</v>
      </c>
      <c r="F3747">
        <v>1</v>
      </c>
      <c r="G3747" s="2">
        <v>46261.75</v>
      </c>
      <c r="H3747" s="2">
        <v>46261.583333333336</v>
      </c>
    </row>
    <row r="3748" spans="1:8" x14ac:dyDescent="0.25">
      <c r="A3748" s="8" t="s">
        <v>12056</v>
      </c>
      <c r="B3748" s="8" t="s">
        <v>14437</v>
      </c>
      <c r="C3748" s="2">
        <v>46261.416666666664</v>
      </c>
      <c r="D3748" s="8" t="s">
        <v>13933</v>
      </c>
      <c r="E3748" s="8" t="s">
        <v>32</v>
      </c>
      <c r="F3748">
        <v>5</v>
      </c>
      <c r="G3748" s="2">
        <v>46261.75</v>
      </c>
      <c r="H3748" s="2">
        <v>46261.583333333336</v>
      </c>
    </row>
    <row r="3749" spans="1:8" x14ac:dyDescent="0.25">
      <c r="A3749" s="8" t="s">
        <v>12059</v>
      </c>
      <c r="B3749" s="8" t="s">
        <v>14437</v>
      </c>
      <c r="C3749" s="2">
        <v>46261.416666666664</v>
      </c>
      <c r="D3749" s="8" t="s">
        <v>13933</v>
      </c>
      <c r="E3749" s="8" t="s">
        <v>49</v>
      </c>
      <c r="F3749">
        <v>1</v>
      </c>
      <c r="G3749" s="2">
        <v>46261.75</v>
      </c>
      <c r="H3749" s="2">
        <v>46261.583333333336</v>
      </c>
    </row>
    <row r="3750" spans="1:8" x14ac:dyDescent="0.25">
      <c r="A3750" s="8" t="s">
        <v>12062</v>
      </c>
      <c r="B3750" s="8" t="s">
        <v>14437</v>
      </c>
      <c r="C3750" s="2">
        <v>46261.416666666664</v>
      </c>
      <c r="D3750" s="8" t="s">
        <v>13933</v>
      </c>
      <c r="E3750" s="8" t="s">
        <v>51</v>
      </c>
      <c r="F3750">
        <v>5</v>
      </c>
      <c r="G3750" s="2">
        <v>46261.75</v>
      </c>
      <c r="H3750" s="2">
        <v>46261.583333333336</v>
      </c>
    </row>
    <row r="3751" spans="1:8" x14ac:dyDescent="0.25">
      <c r="A3751" s="8" t="s">
        <v>12065</v>
      </c>
      <c r="B3751" s="8" t="s">
        <v>14437</v>
      </c>
      <c r="C3751" s="2">
        <v>46261.416666666664</v>
      </c>
      <c r="D3751" s="8" t="s">
        <v>13933</v>
      </c>
      <c r="E3751" s="8" t="s">
        <v>53</v>
      </c>
      <c r="F3751">
        <v>1</v>
      </c>
      <c r="G3751" s="2">
        <v>46261.75</v>
      </c>
      <c r="H3751" s="2">
        <v>46261.583333333336</v>
      </c>
    </row>
    <row r="3752" spans="1:8" x14ac:dyDescent="0.25">
      <c r="A3752" s="8" t="s">
        <v>12068</v>
      </c>
      <c r="B3752" s="8" t="s">
        <v>14437</v>
      </c>
      <c r="C3752" s="2">
        <v>46261.416666666664</v>
      </c>
      <c r="D3752" s="8" t="s">
        <v>13933</v>
      </c>
      <c r="E3752" s="8" t="s">
        <v>57</v>
      </c>
      <c r="F3752">
        <v>1</v>
      </c>
      <c r="G3752" s="2">
        <v>46261.75</v>
      </c>
      <c r="H3752" s="2">
        <v>46261.583333333336</v>
      </c>
    </row>
    <row r="3753" spans="1:8" x14ac:dyDescent="0.25">
      <c r="A3753" s="8" t="s">
        <v>12071</v>
      </c>
      <c r="B3753" s="8" t="s">
        <v>14437</v>
      </c>
      <c r="C3753" s="2">
        <v>46261.416666666664</v>
      </c>
      <c r="D3753" s="8" t="s">
        <v>13933</v>
      </c>
      <c r="E3753" s="8" t="s">
        <v>77</v>
      </c>
      <c r="F3753">
        <v>1</v>
      </c>
      <c r="G3753" s="2">
        <v>46261.75</v>
      </c>
      <c r="H3753" s="2">
        <v>46261.583333333336</v>
      </c>
    </row>
    <row r="3754" spans="1:8" x14ac:dyDescent="0.25">
      <c r="A3754" s="8" t="s">
        <v>12074</v>
      </c>
      <c r="B3754" s="8" t="s">
        <v>14438</v>
      </c>
      <c r="C3754" s="2">
        <v>46261.416666666664</v>
      </c>
      <c r="D3754" s="8" t="s">
        <v>13935</v>
      </c>
      <c r="E3754" s="8" t="s">
        <v>18</v>
      </c>
      <c r="F3754">
        <v>4</v>
      </c>
      <c r="G3754" s="2">
        <v>46261.75</v>
      </c>
      <c r="H3754" s="2">
        <v>46261.583333333336</v>
      </c>
    </row>
    <row r="3755" spans="1:8" x14ac:dyDescent="0.25">
      <c r="A3755" s="8" t="s">
        <v>12077</v>
      </c>
      <c r="B3755" s="8" t="s">
        <v>14438</v>
      </c>
      <c r="C3755" s="2">
        <v>46261.416666666664</v>
      </c>
      <c r="D3755" s="8" t="s">
        <v>13935</v>
      </c>
      <c r="E3755" s="8" t="s">
        <v>20</v>
      </c>
      <c r="F3755">
        <v>4</v>
      </c>
      <c r="G3755" s="2">
        <v>46261.75</v>
      </c>
      <c r="H3755" s="2">
        <v>46261.583333333336</v>
      </c>
    </row>
    <row r="3756" spans="1:8" x14ac:dyDescent="0.25">
      <c r="A3756" s="8" t="s">
        <v>12080</v>
      </c>
      <c r="B3756" s="8" t="s">
        <v>14438</v>
      </c>
      <c r="C3756" s="2">
        <v>46261.416666666664</v>
      </c>
      <c r="D3756" s="8" t="s">
        <v>13935</v>
      </c>
      <c r="E3756" s="8" t="s">
        <v>22</v>
      </c>
      <c r="F3756">
        <v>7</v>
      </c>
      <c r="G3756" s="2">
        <v>46261.75</v>
      </c>
      <c r="H3756" s="2">
        <v>46261.583333333336</v>
      </c>
    </row>
    <row r="3757" spans="1:8" x14ac:dyDescent="0.25">
      <c r="A3757" s="8" t="s">
        <v>12083</v>
      </c>
      <c r="B3757" s="8" t="s">
        <v>14438</v>
      </c>
      <c r="C3757" s="2">
        <v>46261.416666666664</v>
      </c>
      <c r="D3757" s="8" t="s">
        <v>13935</v>
      </c>
      <c r="E3757" s="8" t="s">
        <v>24</v>
      </c>
      <c r="F3757">
        <v>1</v>
      </c>
      <c r="G3757" s="2">
        <v>46261.75</v>
      </c>
      <c r="H3757" s="2">
        <v>46261.583333333336</v>
      </c>
    </row>
    <row r="3758" spans="1:8" x14ac:dyDescent="0.25">
      <c r="A3758" s="8" t="s">
        <v>12086</v>
      </c>
      <c r="B3758" s="8" t="s">
        <v>14438</v>
      </c>
      <c r="C3758" s="2">
        <v>46261.416666666664</v>
      </c>
      <c r="D3758" s="8" t="s">
        <v>13935</v>
      </c>
      <c r="E3758" s="8" t="s">
        <v>26</v>
      </c>
      <c r="F3758">
        <v>3</v>
      </c>
      <c r="G3758" s="2">
        <v>46261.75</v>
      </c>
      <c r="H3758" s="2">
        <v>46261.583333333336</v>
      </c>
    </row>
    <row r="3759" spans="1:8" x14ac:dyDescent="0.25">
      <c r="A3759" s="8" t="s">
        <v>12089</v>
      </c>
      <c r="B3759" s="8" t="s">
        <v>14438</v>
      </c>
      <c r="C3759" s="2">
        <v>46261.416666666664</v>
      </c>
      <c r="D3759" s="8" t="s">
        <v>13935</v>
      </c>
      <c r="E3759" s="8" t="s">
        <v>28</v>
      </c>
      <c r="F3759">
        <v>4</v>
      </c>
      <c r="G3759" s="2">
        <v>46261.75</v>
      </c>
      <c r="H3759" s="2">
        <v>46261.583333333336</v>
      </c>
    </row>
    <row r="3760" spans="1:8" x14ac:dyDescent="0.25">
      <c r="A3760" s="8" t="s">
        <v>12092</v>
      </c>
      <c r="B3760" s="8" t="s">
        <v>14438</v>
      </c>
      <c r="C3760" s="2">
        <v>46261.416666666664</v>
      </c>
      <c r="D3760" s="8" t="s">
        <v>13935</v>
      </c>
      <c r="E3760" s="8" t="s">
        <v>32</v>
      </c>
      <c r="F3760">
        <v>4</v>
      </c>
      <c r="G3760" s="2">
        <v>46261.75</v>
      </c>
      <c r="H3760" s="2">
        <v>46261.583333333336</v>
      </c>
    </row>
    <row r="3761" spans="1:8" x14ac:dyDescent="0.25">
      <c r="A3761" s="8" t="s">
        <v>12095</v>
      </c>
      <c r="B3761" s="8" t="s">
        <v>14438</v>
      </c>
      <c r="C3761" s="2">
        <v>46261.416666666664</v>
      </c>
      <c r="D3761" s="8" t="s">
        <v>13935</v>
      </c>
      <c r="E3761" s="8" t="s">
        <v>41</v>
      </c>
      <c r="F3761">
        <v>1</v>
      </c>
      <c r="G3761" s="2">
        <v>46261.75</v>
      </c>
      <c r="H3761" s="2">
        <v>46261.583333333336</v>
      </c>
    </row>
    <row r="3762" spans="1:8" x14ac:dyDescent="0.25">
      <c r="A3762" s="8" t="s">
        <v>12098</v>
      </c>
      <c r="B3762" s="8" t="s">
        <v>14438</v>
      </c>
      <c r="C3762" s="2">
        <v>46261.416666666664</v>
      </c>
      <c r="D3762" s="8" t="s">
        <v>13935</v>
      </c>
      <c r="E3762" s="8" t="s">
        <v>43</v>
      </c>
      <c r="F3762">
        <v>6</v>
      </c>
      <c r="G3762" s="2">
        <v>46261.75</v>
      </c>
      <c r="H3762" s="2">
        <v>46261.583333333336</v>
      </c>
    </row>
    <row r="3763" spans="1:8" x14ac:dyDescent="0.25">
      <c r="A3763" s="8" t="s">
        <v>12101</v>
      </c>
      <c r="B3763" s="8" t="s">
        <v>14438</v>
      </c>
      <c r="C3763" s="2">
        <v>46261.416666666664</v>
      </c>
      <c r="D3763" s="8" t="s">
        <v>13935</v>
      </c>
      <c r="E3763" s="8" t="s">
        <v>45</v>
      </c>
      <c r="F3763">
        <v>4</v>
      </c>
      <c r="G3763" s="2">
        <v>46261.75</v>
      </c>
      <c r="H3763" s="2">
        <v>46261.583333333336</v>
      </c>
    </row>
    <row r="3764" spans="1:8" x14ac:dyDescent="0.25">
      <c r="A3764" s="8" t="s">
        <v>12104</v>
      </c>
      <c r="B3764" s="8" t="s">
        <v>14438</v>
      </c>
      <c r="C3764" s="2">
        <v>46261.416666666664</v>
      </c>
      <c r="D3764" s="8" t="s">
        <v>13935</v>
      </c>
      <c r="E3764" s="8" t="s">
        <v>51</v>
      </c>
      <c r="F3764">
        <v>1</v>
      </c>
      <c r="G3764" s="2">
        <v>46261.75</v>
      </c>
      <c r="H3764" s="2">
        <v>46261.583333333336</v>
      </c>
    </row>
    <row r="3765" spans="1:8" x14ac:dyDescent="0.25">
      <c r="A3765" s="8" t="s">
        <v>12107</v>
      </c>
      <c r="B3765" s="8" t="s">
        <v>14438</v>
      </c>
      <c r="C3765" s="2">
        <v>46261.416666666664</v>
      </c>
      <c r="D3765" s="8" t="s">
        <v>13935</v>
      </c>
      <c r="E3765" s="8" t="s">
        <v>59</v>
      </c>
      <c r="F3765">
        <v>1</v>
      </c>
      <c r="G3765" s="2">
        <v>46261.75</v>
      </c>
      <c r="H3765" s="2">
        <v>46261.583333333336</v>
      </c>
    </row>
    <row r="3766" spans="1:8" x14ac:dyDescent="0.25">
      <c r="A3766" s="8" t="s">
        <v>12110</v>
      </c>
      <c r="B3766" s="8" t="s">
        <v>14438</v>
      </c>
      <c r="C3766" s="2">
        <v>46261.416666666664</v>
      </c>
      <c r="D3766" s="8" t="s">
        <v>13935</v>
      </c>
      <c r="E3766" s="8" t="s">
        <v>71</v>
      </c>
      <c r="F3766">
        <v>6</v>
      </c>
      <c r="G3766" s="2">
        <v>46261.75</v>
      </c>
      <c r="H3766" s="2">
        <v>46261.583333333336</v>
      </c>
    </row>
    <row r="3767" spans="1:8" x14ac:dyDescent="0.25">
      <c r="A3767" s="8" t="s">
        <v>12115</v>
      </c>
      <c r="B3767" s="8" t="s">
        <v>14439</v>
      </c>
      <c r="C3767" s="2">
        <v>46261.416666666664</v>
      </c>
      <c r="D3767" s="8" t="s">
        <v>13937</v>
      </c>
      <c r="E3767" s="8" t="s">
        <v>11</v>
      </c>
      <c r="F3767">
        <v>3</v>
      </c>
      <c r="G3767" s="2">
        <v>46261.75</v>
      </c>
      <c r="H3767" s="2">
        <v>46261.583333333336</v>
      </c>
    </row>
    <row r="3768" spans="1:8" x14ac:dyDescent="0.25">
      <c r="A3768" s="8" t="s">
        <v>12118</v>
      </c>
      <c r="B3768" s="8" t="s">
        <v>14439</v>
      </c>
      <c r="C3768" s="2">
        <v>46261.416666666664</v>
      </c>
      <c r="D3768" s="8" t="s">
        <v>13937</v>
      </c>
      <c r="E3768" s="8" t="s">
        <v>20</v>
      </c>
      <c r="F3768">
        <v>4</v>
      </c>
      <c r="G3768" s="2">
        <v>46261.75</v>
      </c>
      <c r="H3768" s="2">
        <v>46261.583333333336</v>
      </c>
    </row>
    <row r="3769" spans="1:8" x14ac:dyDescent="0.25">
      <c r="A3769" s="8" t="s">
        <v>12123</v>
      </c>
      <c r="B3769" s="8" t="s">
        <v>14439</v>
      </c>
      <c r="C3769" s="2">
        <v>46261.416666666664</v>
      </c>
      <c r="D3769" s="8" t="s">
        <v>13937</v>
      </c>
      <c r="E3769" s="8" t="s">
        <v>30</v>
      </c>
      <c r="F3769">
        <v>4</v>
      </c>
      <c r="G3769" s="2">
        <v>46261.75</v>
      </c>
      <c r="H3769" s="2">
        <v>46261.583333333336</v>
      </c>
    </row>
    <row r="3770" spans="1:8" x14ac:dyDescent="0.25">
      <c r="A3770" s="8" t="s">
        <v>12126</v>
      </c>
      <c r="B3770" s="8" t="s">
        <v>14439</v>
      </c>
      <c r="C3770" s="2">
        <v>46261.416666666664</v>
      </c>
      <c r="D3770" s="8" t="s">
        <v>13937</v>
      </c>
      <c r="E3770" s="8" t="s">
        <v>36</v>
      </c>
      <c r="F3770">
        <v>3</v>
      </c>
      <c r="G3770" s="2">
        <v>46261.75</v>
      </c>
      <c r="H3770" s="2">
        <v>46261.583333333336</v>
      </c>
    </row>
    <row r="3771" spans="1:8" x14ac:dyDescent="0.25">
      <c r="A3771" s="8" t="s">
        <v>12129</v>
      </c>
      <c r="B3771" s="8" t="s">
        <v>14439</v>
      </c>
      <c r="C3771" s="2">
        <v>46261.416666666664</v>
      </c>
      <c r="D3771" s="8" t="s">
        <v>13937</v>
      </c>
      <c r="E3771" s="8" t="s">
        <v>43</v>
      </c>
      <c r="F3771">
        <v>1</v>
      </c>
      <c r="G3771" s="2">
        <v>46261.75</v>
      </c>
      <c r="H3771" s="2">
        <v>46261.583333333336</v>
      </c>
    </row>
    <row r="3772" spans="1:8" x14ac:dyDescent="0.25">
      <c r="A3772" s="8" t="s">
        <v>12132</v>
      </c>
      <c r="B3772" s="8" t="s">
        <v>14439</v>
      </c>
      <c r="C3772" s="2">
        <v>46261.416666666664</v>
      </c>
      <c r="D3772" s="8" t="s">
        <v>13937</v>
      </c>
      <c r="E3772" s="8" t="s">
        <v>47</v>
      </c>
      <c r="F3772">
        <v>4</v>
      </c>
      <c r="G3772" s="2">
        <v>46261.75</v>
      </c>
      <c r="H3772" s="2">
        <v>46261.583333333336</v>
      </c>
    </row>
    <row r="3773" spans="1:8" x14ac:dyDescent="0.25">
      <c r="A3773" s="8" t="s">
        <v>12135</v>
      </c>
      <c r="B3773" s="8" t="s">
        <v>14439</v>
      </c>
      <c r="C3773" s="2">
        <v>46261.416666666664</v>
      </c>
      <c r="D3773" s="8" t="s">
        <v>13937</v>
      </c>
      <c r="E3773" s="8" t="s">
        <v>57</v>
      </c>
      <c r="F3773">
        <v>4</v>
      </c>
      <c r="G3773" s="2">
        <v>46261.75</v>
      </c>
      <c r="H3773" s="2">
        <v>46261.583333333336</v>
      </c>
    </row>
    <row r="3774" spans="1:8" x14ac:dyDescent="0.25">
      <c r="A3774" s="8" t="s">
        <v>12138</v>
      </c>
      <c r="B3774" s="8" t="s">
        <v>14439</v>
      </c>
      <c r="C3774" s="2">
        <v>46261.416666666664</v>
      </c>
      <c r="D3774" s="8" t="s">
        <v>13937</v>
      </c>
      <c r="E3774" s="8" t="s">
        <v>73</v>
      </c>
      <c r="F3774">
        <v>4</v>
      </c>
      <c r="G3774" s="2">
        <v>46261.75</v>
      </c>
      <c r="H3774" s="2">
        <v>46261.583333333336</v>
      </c>
    </row>
    <row r="3775" spans="1:8" x14ac:dyDescent="0.25">
      <c r="A3775" s="8" t="s">
        <v>12141</v>
      </c>
      <c r="B3775" s="8" t="s">
        <v>14439</v>
      </c>
      <c r="C3775" s="2">
        <v>46261.416666666664</v>
      </c>
      <c r="D3775" s="8" t="s">
        <v>13937</v>
      </c>
      <c r="E3775" s="8" t="s">
        <v>77</v>
      </c>
      <c r="F3775">
        <v>2</v>
      </c>
      <c r="G3775" s="2">
        <v>46261.75</v>
      </c>
      <c r="H3775" s="2">
        <v>46261.583333333336</v>
      </c>
    </row>
    <row r="3776" spans="1:8" x14ac:dyDescent="0.25">
      <c r="A3776" s="8" t="s">
        <v>12144</v>
      </c>
      <c r="B3776" s="8" t="s">
        <v>14440</v>
      </c>
      <c r="C3776" s="2">
        <v>46262.416666666664</v>
      </c>
      <c r="D3776" s="8" t="s">
        <v>13929</v>
      </c>
      <c r="E3776" s="8" t="s">
        <v>18</v>
      </c>
      <c r="F3776">
        <v>2</v>
      </c>
      <c r="G3776" s="2">
        <v>46262.75</v>
      </c>
      <c r="H3776" s="2">
        <v>46262.583333333336</v>
      </c>
    </row>
    <row r="3777" spans="1:8" x14ac:dyDescent="0.25">
      <c r="A3777" s="8" t="s">
        <v>12147</v>
      </c>
      <c r="B3777" s="8" t="s">
        <v>14440</v>
      </c>
      <c r="C3777" s="2">
        <v>46262.416666666664</v>
      </c>
      <c r="D3777" s="8" t="s">
        <v>13929</v>
      </c>
      <c r="E3777" s="8" t="s">
        <v>20</v>
      </c>
      <c r="F3777">
        <v>4</v>
      </c>
      <c r="G3777" s="2">
        <v>46262.75</v>
      </c>
      <c r="H3777" s="2">
        <v>46262.583333333336</v>
      </c>
    </row>
    <row r="3778" spans="1:8" x14ac:dyDescent="0.25">
      <c r="A3778" s="8" t="s">
        <v>12150</v>
      </c>
      <c r="B3778" s="8" t="s">
        <v>14440</v>
      </c>
      <c r="C3778" s="2">
        <v>46262.416666666664</v>
      </c>
      <c r="D3778" s="8" t="s">
        <v>13929</v>
      </c>
      <c r="E3778" s="8" t="s">
        <v>22</v>
      </c>
      <c r="F3778">
        <v>3</v>
      </c>
      <c r="G3778" s="2">
        <v>46262.75</v>
      </c>
      <c r="H3778" s="2">
        <v>46262.583333333336</v>
      </c>
    </row>
    <row r="3779" spans="1:8" x14ac:dyDescent="0.25">
      <c r="A3779" s="8" t="s">
        <v>12153</v>
      </c>
      <c r="B3779" s="8" t="s">
        <v>14440</v>
      </c>
      <c r="C3779" s="2">
        <v>46262.416666666664</v>
      </c>
      <c r="D3779" s="8" t="s">
        <v>13929</v>
      </c>
      <c r="E3779" s="8" t="s">
        <v>24</v>
      </c>
      <c r="F3779">
        <v>3</v>
      </c>
      <c r="G3779" s="2">
        <v>46262.75</v>
      </c>
      <c r="H3779" s="2">
        <v>46262.583333333336</v>
      </c>
    </row>
    <row r="3780" spans="1:8" x14ac:dyDescent="0.25">
      <c r="A3780" s="8" t="s">
        <v>12156</v>
      </c>
      <c r="B3780" s="8" t="s">
        <v>14440</v>
      </c>
      <c r="C3780" s="2">
        <v>46262.416666666664</v>
      </c>
      <c r="D3780" s="8" t="s">
        <v>13929</v>
      </c>
      <c r="E3780" s="8" t="s">
        <v>26</v>
      </c>
      <c r="F3780">
        <v>1</v>
      </c>
      <c r="G3780" s="2">
        <v>46262.75</v>
      </c>
      <c r="H3780" s="2">
        <v>46262.583333333336</v>
      </c>
    </row>
    <row r="3781" spans="1:8" x14ac:dyDescent="0.25">
      <c r="A3781" s="8" t="s">
        <v>12159</v>
      </c>
      <c r="B3781" s="8" t="s">
        <v>14440</v>
      </c>
      <c r="C3781" s="2">
        <v>46262.416666666664</v>
      </c>
      <c r="D3781" s="8" t="s">
        <v>13929</v>
      </c>
      <c r="E3781" s="8" t="s">
        <v>28</v>
      </c>
      <c r="F3781">
        <v>4</v>
      </c>
      <c r="G3781" s="2">
        <v>46262.75</v>
      </c>
      <c r="H3781" s="2">
        <v>46262.583333333336</v>
      </c>
    </row>
    <row r="3782" spans="1:8" x14ac:dyDescent="0.25">
      <c r="A3782" s="8" t="s">
        <v>12162</v>
      </c>
      <c r="B3782" s="8" t="s">
        <v>14440</v>
      </c>
      <c r="C3782" s="2">
        <v>46262.416666666664</v>
      </c>
      <c r="D3782" s="8" t="s">
        <v>13929</v>
      </c>
      <c r="E3782" s="8" t="s">
        <v>41</v>
      </c>
      <c r="F3782">
        <v>2</v>
      </c>
      <c r="G3782" s="2">
        <v>46262.75</v>
      </c>
      <c r="H3782" s="2">
        <v>46262.583333333336</v>
      </c>
    </row>
    <row r="3783" spans="1:8" x14ac:dyDescent="0.25">
      <c r="A3783" s="8" t="s">
        <v>12165</v>
      </c>
      <c r="B3783" s="8" t="s">
        <v>14440</v>
      </c>
      <c r="C3783" s="2">
        <v>46262.416666666664</v>
      </c>
      <c r="D3783" s="8" t="s">
        <v>13929</v>
      </c>
      <c r="E3783" s="8" t="s">
        <v>51</v>
      </c>
      <c r="F3783">
        <v>3</v>
      </c>
      <c r="G3783" s="2">
        <v>46262.75</v>
      </c>
      <c r="H3783" s="2">
        <v>46262.583333333336</v>
      </c>
    </row>
    <row r="3784" spans="1:8" x14ac:dyDescent="0.25">
      <c r="A3784" s="8" t="s">
        <v>12168</v>
      </c>
      <c r="B3784" s="8" t="s">
        <v>14440</v>
      </c>
      <c r="C3784" s="2">
        <v>46262.416666666664</v>
      </c>
      <c r="D3784" s="8" t="s">
        <v>13929</v>
      </c>
      <c r="E3784" s="8" t="s">
        <v>55</v>
      </c>
      <c r="F3784">
        <v>2</v>
      </c>
      <c r="G3784" s="2">
        <v>46262.75</v>
      </c>
      <c r="H3784" s="2">
        <v>46262.583333333336</v>
      </c>
    </row>
    <row r="3785" spans="1:8" x14ac:dyDescent="0.25">
      <c r="A3785" s="8" t="s">
        <v>12171</v>
      </c>
      <c r="B3785" s="8" t="s">
        <v>14440</v>
      </c>
      <c r="C3785" s="2">
        <v>46262.416666666664</v>
      </c>
      <c r="D3785" s="8" t="s">
        <v>13929</v>
      </c>
      <c r="E3785" s="8" t="s">
        <v>73</v>
      </c>
      <c r="F3785">
        <v>2</v>
      </c>
      <c r="G3785" s="2">
        <v>46262.75</v>
      </c>
      <c r="H3785" s="2">
        <v>46262.583333333336</v>
      </c>
    </row>
    <row r="3786" spans="1:8" x14ac:dyDescent="0.25">
      <c r="A3786" s="8" t="s">
        <v>12174</v>
      </c>
      <c r="B3786" s="8" t="s">
        <v>14440</v>
      </c>
      <c r="C3786" s="2">
        <v>46262.416666666664</v>
      </c>
      <c r="D3786" s="8" t="s">
        <v>13929</v>
      </c>
      <c r="E3786" s="8" t="s">
        <v>75</v>
      </c>
      <c r="F3786">
        <v>1</v>
      </c>
      <c r="G3786" s="2">
        <v>46262.75</v>
      </c>
      <c r="H3786" s="2">
        <v>46262.583333333336</v>
      </c>
    </row>
    <row r="3787" spans="1:8" x14ac:dyDescent="0.25">
      <c r="A3787" s="8" t="s">
        <v>12177</v>
      </c>
      <c r="B3787" s="8" t="s">
        <v>14441</v>
      </c>
      <c r="C3787" s="2">
        <v>46262.416666666664</v>
      </c>
      <c r="D3787" s="8" t="s">
        <v>13931</v>
      </c>
      <c r="E3787" s="8" t="s">
        <v>18</v>
      </c>
      <c r="F3787">
        <v>4</v>
      </c>
      <c r="G3787" s="2">
        <v>46262.75</v>
      </c>
      <c r="H3787" s="2">
        <v>46262.583333333336</v>
      </c>
    </row>
    <row r="3788" spans="1:8" x14ac:dyDescent="0.25">
      <c r="A3788" s="8" t="s">
        <v>12180</v>
      </c>
      <c r="B3788" s="8" t="s">
        <v>14441</v>
      </c>
      <c r="C3788" s="2">
        <v>46262.416666666664</v>
      </c>
      <c r="D3788" s="8" t="s">
        <v>13931</v>
      </c>
      <c r="E3788" s="8" t="s">
        <v>24</v>
      </c>
      <c r="F3788">
        <v>3</v>
      </c>
      <c r="G3788" s="2">
        <v>46262.75</v>
      </c>
      <c r="H3788" s="2">
        <v>46262.583333333336</v>
      </c>
    </row>
    <row r="3789" spans="1:8" x14ac:dyDescent="0.25">
      <c r="A3789" s="8" t="s">
        <v>12183</v>
      </c>
      <c r="B3789" s="8" t="s">
        <v>14441</v>
      </c>
      <c r="C3789" s="2">
        <v>46262.416666666664</v>
      </c>
      <c r="D3789" s="8" t="s">
        <v>13931</v>
      </c>
      <c r="E3789" s="8" t="s">
        <v>30</v>
      </c>
      <c r="F3789">
        <v>4</v>
      </c>
      <c r="G3789" s="2">
        <v>46262.75</v>
      </c>
      <c r="H3789" s="2">
        <v>46262.583333333336</v>
      </c>
    </row>
    <row r="3790" spans="1:8" x14ac:dyDescent="0.25">
      <c r="A3790" s="8" t="s">
        <v>12186</v>
      </c>
      <c r="B3790" s="8" t="s">
        <v>14441</v>
      </c>
      <c r="C3790" s="2">
        <v>46262.416666666664</v>
      </c>
      <c r="D3790" s="8" t="s">
        <v>13931</v>
      </c>
      <c r="E3790" s="8" t="s">
        <v>41</v>
      </c>
      <c r="F3790">
        <v>2</v>
      </c>
      <c r="G3790" s="2">
        <v>46262.75</v>
      </c>
      <c r="H3790" s="2">
        <v>46262.583333333336</v>
      </c>
    </row>
    <row r="3791" spans="1:8" x14ac:dyDescent="0.25">
      <c r="A3791" s="8" t="s">
        <v>12189</v>
      </c>
      <c r="B3791" s="8" t="s">
        <v>14441</v>
      </c>
      <c r="C3791" s="2">
        <v>46262.416666666664</v>
      </c>
      <c r="D3791" s="8" t="s">
        <v>13931</v>
      </c>
      <c r="E3791" s="8" t="s">
        <v>47</v>
      </c>
      <c r="F3791">
        <v>3</v>
      </c>
      <c r="G3791" s="2">
        <v>46262.75</v>
      </c>
      <c r="H3791" s="2">
        <v>46262.583333333336</v>
      </c>
    </row>
    <row r="3792" spans="1:8" x14ac:dyDescent="0.25">
      <c r="A3792" s="8" t="s">
        <v>12192</v>
      </c>
      <c r="B3792" s="8" t="s">
        <v>14441</v>
      </c>
      <c r="C3792" s="2">
        <v>46262.416666666664</v>
      </c>
      <c r="D3792" s="8" t="s">
        <v>13931</v>
      </c>
      <c r="E3792" s="8" t="s">
        <v>55</v>
      </c>
      <c r="F3792">
        <v>5</v>
      </c>
      <c r="G3792" s="2">
        <v>46262.75</v>
      </c>
      <c r="H3792" s="2">
        <v>46262.583333333336</v>
      </c>
    </row>
    <row r="3793" spans="1:8" x14ac:dyDescent="0.25">
      <c r="A3793" s="8" t="s">
        <v>12195</v>
      </c>
      <c r="B3793" s="8" t="s">
        <v>14441</v>
      </c>
      <c r="C3793" s="2">
        <v>46262.416666666664</v>
      </c>
      <c r="D3793" s="8" t="s">
        <v>13931</v>
      </c>
      <c r="E3793" s="8" t="s">
        <v>69</v>
      </c>
      <c r="F3793">
        <v>1</v>
      </c>
      <c r="G3793" s="2">
        <v>46262.75</v>
      </c>
      <c r="H3793" s="2">
        <v>46262.583333333336</v>
      </c>
    </row>
    <row r="3794" spans="1:8" x14ac:dyDescent="0.25">
      <c r="A3794" s="8" t="s">
        <v>12198</v>
      </c>
      <c r="B3794" s="8" t="s">
        <v>14441</v>
      </c>
      <c r="C3794" s="2">
        <v>46262.416666666664</v>
      </c>
      <c r="D3794" s="8" t="s">
        <v>13931</v>
      </c>
      <c r="E3794" s="8" t="s">
        <v>75</v>
      </c>
      <c r="F3794">
        <v>4</v>
      </c>
      <c r="G3794" s="2">
        <v>46262.75</v>
      </c>
      <c r="H3794" s="2">
        <v>46262.583333333336</v>
      </c>
    </row>
    <row r="3795" spans="1:8" x14ac:dyDescent="0.25">
      <c r="A3795" s="8" t="s">
        <v>12201</v>
      </c>
      <c r="B3795" s="8" t="s">
        <v>14442</v>
      </c>
      <c r="C3795" s="2">
        <v>46262.416666666664</v>
      </c>
      <c r="D3795" s="8" t="s">
        <v>13933</v>
      </c>
      <c r="E3795" s="8" t="s">
        <v>11</v>
      </c>
      <c r="F3795">
        <v>4</v>
      </c>
      <c r="G3795" s="2">
        <v>46262.75</v>
      </c>
      <c r="H3795" s="2">
        <v>46262.583333333336</v>
      </c>
    </row>
    <row r="3796" spans="1:8" x14ac:dyDescent="0.25">
      <c r="A3796" s="8" t="s">
        <v>12204</v>
      </c>
      <c r="B3796" s="8" t="s">
        <v>14442</v>
      </c>
      <c r="C3796" s="2">
        <v>46262.416666666664</v>
      </c>
      <c r="D3796" s="8" t="s">
        <v>13933</v>
      </c>
      <c r="E3796" s="8" t="s">
        <v>18</v>
      </c>
      <c r="F3796">
        <v>2</v>
      </c>
      <c r="G3796" s="2">
        <v>46262.75</v>
      </c>
      <c r="H3796" s="2">
        <v>46262.583333333336</v>
      </c>
    </row>
    <row r="3797" spans="1:8" x14ac:dyDescent="0.25">
      <c r="A3797" s="8" t="s">
        <v>12207</v>
      </c>
      <c r="B3797" s="8" t="s">
        <v>14442</v>
      </c>
      <c r="C3797" s="2">
        <v>46262.416666666664</v>
      </c>
      <c r="D3797" s="8" t="s">
        <v>13933</v>
      </c>
      <c r="E3797" s="8" t="s">
        <v>20</v>
      </c>
      <c r="F3797">
        <v>4</v>
      </c>
      <c r="G3797" s="2">
        <v>46262.75</v>
      </c>
      <c r="H3797" s="2">
        <v>46262.583333333336</v>
      </c>
    </row>
    <row r="3798" spans="1:8" x14ac:dyDescent="0.25">
      <c r="A3798" s="8" t="s">
        <v>12210</v>
      </c>
      <c r="B3798" s="8" t="s">
        <v>14442</v>
      </c>
      <c r="C3798" s="2">
        <v>46262.416666666664</v>
      </c>
      <c r="D3798" s="8" t="s">
        <v>13933</v>
      </c>
      <c r="E3798" s="8" t="s">
        <v>22</v>
      </c>
      <c r="F3798">
        <v>5</v>
      </c>
      <c r="G3798" s="2">
        <v>46262.75</v>
      </c>
      <c r="H3798" s="2">
        <v>46262.583333333336</v>
      </c>
    </row>
    <row r="3799" spans="1:8" x14ac:dyDescent="0.25">
      <c r="A3799" s="8" t="s">
        <v>12213</v>
      </c>
      <c r="B3799" s="8" t="s">
        <v>14442</v>
      </c>
      <c r="C3799" s="2">
        <v>46262.416666666664</v>
      </c>
      <c r="D3799" s="8" t="s">
        <v>13933</v>
      </c>
      <c r="E3799" s="8" t="s">
        <v>24</v>
      </c>
      <c r="F3799">
        <v>1</v>
      </c>
      <c r="G3799" s="2">
        <v>46262.75</v>
      </c>
      <c r="H3799" s="2">
        <v>46262.583333333336</v>
      </c>
    </row>
    <row r="3800" spans="1:8" x14ac:dyDescent="0.25">
      <c r="A3800" s="8" t="s">
        <v>12216</v>
      </c>
      <c r="B3800" s="8" t="s">
        <v>14442</v>
      </c>
      <c r="C3800" s="2">
        <v>46262.416666666664</v>
      </c>
      <c r="D3800" s="8" t="s">
        <v>13933</v>
      </c>
      <c r="E3800" s="8" t="s">
        <v>26</v>
      </c>
      <c r="F3800">
        <v>6</v>
      </c>
      <c r="G3800" s="2">
        <v>46262.75</v>
      </c>
      <c r="H3800" s="2">
        <v>46262.583333333336</v>
      </c>
    </row>
    <row r="3801" spans="1:8" x14ac:dyDescent="0.25">
      <c r="A3801" s="8" t="s">
        <v>12219</v>
      </c>
      <c r="B3801" s="8" t="s">
        <v>14442</v>
      </c>
      <c r="C3801" s="2">
        <v>46262.416666666664</v>
      </c>
      <c r="D3801" s="8" t="s">
        <v>13933</v>
      </c>
      <c r="E3801" s="8" t="s">
        <v>32</v>
      </c>
      <c r="F3801">
        <v>6</v>
      </c>
      <c r="G3801" s="2">
        <v>46262.75</v>
      </c>
      <c r="H3801" s="2">
        <v>46262.583333333336</v>
      </c>
    </row>
    <row r="3802" spans="1:8" x14ac:dyDescent="0.25">
      <c r="A3802" s="8" t="s">
        <v>12222</v>
      </c>
      <c r="B3802" s="8" t="s">
        <v>14442</v>
      </c>
      <c r="C3802" s="2">
        <v>46262.416666666664</v>
      </c>
      <c r="D3802" s="8" t="s">
        <v>13933</v>
      </c>
      <c r="E3802" s="8" t="s">
        <v>43</v>
      </c>
      <c r="F3802">
        <v>2</v>
      </c>
      <c r="G3802" s="2">
        <v>46262.75</v>
      </c>
      <c r="H3802" s="2">
        <v>46262.583333333336</v>
      </c>
    </row>
    <row r="3803" spans="1:8" x14ac:dyDescent="0.25">
      <c r="A3803" s="8" t="s">
        <v>12225</v>
      </c>
      <c r="B3803" s="8" t="s">
        <v>14442</v>
      </c>
      <c r="C3803" s="2">
        <v>46262.416666666664</v>
      </c>
      <c r="D3803" s="8" t="s">
        <v>13933</v>
      </c>
      <c r="E3803" s="8" t="s">
        <v>49</v>
      </c>
      <c r="F3803">
        <v>6</v>
      </c>
      <c r="G3803" s="2">
        <v>46262.75</v>
      </c>
      <c r="H3803" s="2">
        <v>46262.583333333336</v>
      </c>
    </row>
    <row r="3804" spans="1:8" x14ac:dyDescent="0.25">
      <c r="A3804" s="8" t="s">
        <v>12230</v>
      </c>
      <c r="B3804" s="8" t="s">
        <v>14442</v>
      </c>
      <c r="C3804" s="2">
        <v>46262.416666666664</v>
      </c>
      <c r="D3804" s="8" t="s">
        <v>13933</v>
      </c>
      <c r="E3804" s="8" t="s">
        <v>53</v>
      </c>
      <c r="F3804">
        <v>5</v>
      </c>
      <c r="G3804" s="2">
        <v>46262.75</v>
      </c>
      <c r="H3804" s="2">
        <v>46262.583333333336</v>
      </c>
    </row>
    <row r="3805" spans="1:8" x14ac:dyDescent="0.25">
      <c r="A3805" s="8" t="s">
        <v>12233</v>
      </c>
      <c r="B3805" s="8" t="s">
        <v>14442</v>
      </c>
      <c r="C3805" s="2">
        <v>46262.416666666664</v>
      </c>
      <c r="D3805" s="8" t="s">
        <v>13933</v>
      </c>
      <c r="E3805" s="8" t="s">
        <v>75</v>
      </c>
      <c r="F3805">
        <v>6</v>
      </c>
      <c r="G3805" s="2">
        <v>46262.75</v>
      </c>
      <c r="H3805" s="2">
        <v>46262.583333333336</v>
      </c>
    </row>
    <row r="3806" spans="1:8" x14ac:dyDescent="0.25">
      <c r="A3806" s="8" t="s">
        <v>12236</v>
      </c>
      <c r="B3806" s="8" t="s">
        <v>14443</v>
      </c>
      <c r="C3806" s="2">
        <v>46262.416666666664</v>
      </c>
      <c r="D3806" s="8" t="s">
        <v>13935</v>
      </c>
      <c r="E3806" s="8" t="s">
        <v>11</v>
      </c>
      <c r="F3806">
        <v>1</v>
      </c>
      <c r="G3806" s="2">
        <v>46262.75</v>
      </c>
      <c r="H3806" s="2">
        <v>46262.583333333336</v>
      </c>
    </row>
    <row r="3807" spans="1:8" x14ac:dyDescent="0.25">
      <c r="A3807" s="8" t="s">
        <v>12239</v>
      </c>
      <c r="B3807" s="8" t="s">
        <v>14443</v>
      </c>
      <c r="C3807" s="2">
        <v>46262.416666666664</v>
      </c>
      <c r="D3807" s="8" t="s">
        <v>13935</v>
      </c>
      <c r="E3807" s="8" t="s">
        <v>18</v>
      </c>
      <c r="F3807">
        <v>6</v>
      </c>
      <c r="G3807" s="2">
        <v>46262.75</v>
      </c>
      <c r="H3807" s="2">
        <v>46262.583333333336</v>
      </c>
    </row>
    <row r="3808" spans="1:8" x14ac:dyDescent="0.25">
      <c r="A3808" s="8" t="s">
        <v>12242</v>
      </c>
      <c r="B3808" s="8" t="s">
        <v>14443</v>
      </c>
      <c r="C3808" s="2">
        <v>46262.416666666664</v>
      </c>
      <c r="D3808" s="8" t="s">
        <v>13935</v>
      </c>
      <c r="E3808" s="8" t="s">
        <v>20</v>
      </c>
      <c r="F3808">
        <v>7</v>
      </c>
      <c r="G3808" s="2">
        <v>46262.75</v>
      </c>
      <c r="H3808" s="2">
        <v>46262.583333333336</v>
      </c>
    </row>
    <row r="3809" spans="1:8" x14ac:dyDescent="0.25">
      <c r="A3809" s="8" t="s">
        <v>12245</v>
      </c>
      <c r="B3809" s="8" t="s">
        <v>14443</v>
      </c>
      <c r="C3809" s="2">
        <v>46262.416666666664</v>
      </c>
      <c r="D3809" s="8" t="s">
        <v>13935</v>
      </c>
      <c r="E3809" s="8" t="s">
        <v>26</v>
      </c>
      <c r="F3809">
        <v>6</v>
      </c>
      <c r="G3809" s="2">
        <v>46262.75</v>
      </c>
      <c r="H3809" s="2">
        <v>46262.583333333336</v>
      </c>
    </row>
    <row r="3810" spans="1:8" x14ac:dyDescent="0.25">
      <c r="A3810" s="8" t="s">
        <v>12248</v>
      </c>
      <c r="B3810" s="8" t="s">
        <v>14443</v>
      </c>
      <c r="C3810" s="2">
        <v>46262.416666666664</v>
      </c>
      <c r="D3810" s="8" t="s">
        <v>13935</v>
      </c>
      <c r="E3810" s="8" t="s">
        <v>28</v>
      </c>
      <c r="F3810">
        <v>3</v>
      </c>
      <c r="G3810" s="2">
        <v>46262.75</v>
      </c>
      <c r="H3810" s="2">
        <v>46262.583333333336</v>
      </c>
    </row>
    <row r="3811" spans="1:8" x14ac:dyDescent="0.25">
      <c r="A3811" s="8" t="s">
        <v>12251</v>
      </c>
      <c r="B3811" s="8" t="s">
        <v>14443</v>
      </c>
      <c r="C3811" s="2">
        <v>46262.416666666664</v>
      </c>
      <c r="D3811" s="8" t="s">
        <v>13935</v>
      </c>
      <c r="E3811" s="8" t="s">
        <v>30</v>
      </c>
      <c r="F3811">
        <v>4</v>
      </c>
      <c r="G3811" s="2">
        <v>46262.75</v>
      </c>
      <c r="H3811" s="2">
        <v>46262.583333333336</v>
      </c>
    </row>
    <row r="3812" spans="1:8" x14ac:dyDescent="0.25">
      <c r="A3812" s="8" t="s">
        <v>12254</v>
      </c>
      <c r="B3812" s="8" t="s">
        <v>14443</v>
      </c>
      <c r="C3812" s="2">
        <v>46262.416666666664</v>
      </c>
      <c r="D3812" s="8" t="s">
        <v>13935</v>
      </c>
      <c r="E3812" s="8" t="s">
        <v>32</v>
      </c>
      <c r="F3812">
        <v>4</v>
      </c>
      <c r="G3812" s="2">
        <v>46262.75</v>
      </c>
      <c r="H3812" s="2">
        <v>46262.583333333336</v>
      </c>
    </row>
    <row r="3813" spans="1:8" x14ac:dyDescent="0.25">
      <c r="A3813" s="8" t="s">
        <v>12257</v>
      </c>
      <c r="B3813" s="8" t="s">
        <v>14443</v>
      </c>
      <c r="C3813" s="2">
        <v>46262.416666666664</v>
      </c>
      <c r="D3813" s="8" t="s">
        <v>13935</v>
      </c>
      <c r="E3813" s="8" t="s">
        <v>36</v>
      </c>
      <c r="F3813">
        <v>3</v>
      </c>
      <c r="G3813" s="2">
        <v>46262.75</v>
      </c>
      <c r="H3813" s="2">
        <v>46262.583333333336</v>
      </c>
    </row>
    <row r="3814" spans="1:8" x14ac:dyDescent="0.25">
      <c r="A3814" s="8" t="s">
        <v>12260</v>
      </c>
      <c r="B3814" s="8" t="s">
        <v>14443</v>
      </c>
      <c r="C3814" s="2">
        <v>46262.416666666664</v>
      </c>
      <c r="D3814" s="8" t="s">
        <v>13935</v>
      </c>
      <c r="E3814" s="8" t="s">
        <v>57</v>
      </c>
      <c r="F3814">
        <v>7</v>
      </c>
      <c r="G3814" s="2">
        <v>46262.75</v>
      </c>
      <c r="H3814" s="2">
        <v>46262.583333333336</v>
      </c>
    </row>
    <row r="3815" spans="1:8" x14ac:dyDescent="0.25">
      <c r="A3815" s="8" t="s">
        <v>12263</v>
      </c>
      <c r="B3815" s="8" t="s">
        <v>14443</v>
      </c>
      <c r="C3815" s="2">
        <v>46262.416666666664</v>
      </c>
      <c r="D3815" s="8" t="s">
        <v>13935</v>
      </c>
      <c r="E3815" s="8" t="s">
        <v>75</v>
      </c>
      <c r="F3815">
        <v>3</v>
      </c>
      <c r="G3815" s="2">
        <v>46262.75</v>
      </c>
      <c r="H3815" s="2">
        <v>46262.583333333336</v>
      </c>
    </row>
    <row r="3816" spans="1:8" x14ac:dyDescent="0.25">
      <c r="A3816" s="8" t="s">
        <v>12266</v>
      </c>
      <c r="B3816" s="8" t="s">
        <v>14444</v>
      </c>
      <c r="C3816" s="2">
        <v>46262.416666666664</v>
      </c>
      <c r="D3816" s="8" t="s">
        <v>13937</v>
      </c>
      <c r="E3816" s="8" t="s">
        <v>18</v>
      </c>
      <c r="F3816">
        <v>1</v>
      </c>
      <c r="G3816" s="2">
        <v>46262.75</v>
      </c>
      <c r="H3816" s="2">
        <v>46262.583333333336</v>
      </c>
    </row>
    <row r="3817" spans="1:8" x14ac:dyDescent="0.25">
      <c r="A3817" s="8" t="s">
        <v>12269</v>
      </c>
      <c r="B3817" s="8" t="s">
        <v>14444</v>
      </c>
      <c r="C3817" s="2">
        <v>46262.416666666664</v>
      </c>
      <c r="D3817" s="8" t="s">
        <v>13937</v>
      </c>
      <c r="E3817" s="8" t="s">
        <v>20</v>
      </c>
      <c r="F3817">
        <v>4</v>
      </c>
      <c r="G3817" s="2">
        <v>46262.75</v>
      </c>
      <c r="H3817" s="2">
        <v>46262.583333333336</v>
      </c>
    </row>
    <row r="3818" spans="1:8" x14ac:dyDescent="0.25">
      <c r="A3818" s="8" t="s">
        <v>12272</v>
      </c>
      <c r="B3818" s="8" t="s">
        <v>14444</v>
      </c>
      <c r="C3818" s="2">
        <v>46262.416666666664</v>
      </c>
      <c r="D3818" s="8" t="s">
        <v>13937</v>
      </c>
      <c r="E3818" s="8" t="s">
        <v>22</v>
      </c>
      <c r="F3818">
        <v>4</v>
      </c>
      <c r="G3818" s="2">
        <v>46262.75</v>
      </c>
      <c r="H3818" s="2">
        <v>46262.583333333336</v>
      </c>
    </row>
    <row r="3819" spans="1:8" x14ac:dyDescent="0.25">
      <c r="A3819" s="8" t="s">
        <v>12275</v>
      </c>
      <c r="B3819" s="8" t="s">
        <v>14444</v>
      </c>
      <c r="C3819" s="2">
        <v>46262.416666666664</v>
      </c>
      <c r="D3819" s="8" t="s">
        <v>13937</v>
      </c>
      <c r="E3819" s="8" t="s">
        <v>24</v>
      </c>
      <c r="F3819">
        <v>4</v>
      </c>
      <c r="G3819" s="2">
        <v>46262.75</v>
      </c>
      <c r="H3819" s="2">
        <v>46262.583333333336</v>
      </c>
    </row>
    <row r="3820" spans="1:8" x14ac:dyDescent="0.25">
      <c r="A3820" s="8" t="s">
        <v>12278</v>
      </c>
      <c r="B3820" s="8" t="s">
        <v>14444</v>
      </c>
      <c r="C3820" s="2">
        <v>46262.416666666664</v>
      </c>
      <c r="D3820" s="8" t="s">
        <v>13937</v>
      </c>
      <c r="E3820" s="8" t="s">
        <v>43</v>
      </c>
      <c r="F3820">
        <v>4</v>
      </c>
      <c r="G3820" s="2">
        <v>46262.75</v>
      </c>
      <c r="H3820" s="2">
        <v>46262.583333333336</v>
      </c>
    </row>
    <row r="3821" spans="1:8" x14ac:dyDescent="0.25">
      <c r="A3821" s="8" t="s">
        <v>12281</v>
      </c>
      <c r="B3821" s="8" t="s">
        <v>14444</v>
      </c>
      <c r="C3821" s="2">
        <v>46262.416666666664</v>
      </c>
      <c r="D3821" s="8" t="s">
        <v>13937</v>
      </c>
      <c r="E3821" s="8" t="s">
        <v>53</v>
      </c>
      <c r="F3821">
        <v>3</v>
      </c>
      <c r="G3821" s="2">
        <v>46262.75</v>
      </c>
      <c r="H3821" s="2">
        <v>46262.583333333336</v>
      </c>
    </row>
    <row r="3822" spans="1:8" x14ac:dyDescent="0.25">
      <c r="A3822" s="8" t="s">
        <v>12284</v>
      </c>
      <c r="B3822" s="8" t="s">
        <v>14444</v>
      </c>
      <c r="C3822" s="2">
        <v>46262.416666666664</v>
      </c>
      <c r="D3822" s="8" t="s">
        <v>13937</v>
      </c>
      <c r="E3822" s="8" t="s">
        <v>57</v>
      </c>
      <c r="F3822">
        <v>4</v>
      </c>
      <c r="G3822" s="2">
        <v>46262.75</v>
      </c>
      <c r="H3822" s="2">
        <v>46262.583333333336</v>
      </c>
    </row>
    <row r="3823" spans="1:8" x14ac:dyDescent="0.25">
      <c r="A3823" s="8" t="s">
        <v>12287</v>
      </c>
      <c r="B3823" s="8" t="s">
        <v>14444</v>
      </c>
      <c r="C3823" s="2">
        <v>46262.416666666664</v>
      </c>
      <c r="D3823" s="8" t="s">
        <v>13937</v>
      </c>
      <c r="E3823" s="8" t="s">
        <v>71</v>
      </c>
      <c r="F3823">
        <v>4</v>
      </c>
      <c r="G3823" s="2">
        <v>46262.75</v>
      </c>
      <c r="H3823" s="2">
        <v>46262.583333333336</v>
      </c>
    </row>
    <row r="3824" spans="1:8" x14ac:dyDescent="0.25">
      <c r="A3824" s="8" t="s">
        <v>12290</v>
      </c>
      <c r="B3824" s="8" t="s">
        <v>14445</v>
      </c>
      <c r="C3824" s="2">
        <v>46263.416666666664</v>
      </c>
      <c r="D3824" s="8" t="s">
        <v>13929</v>
      </c>
      <c r="E3824" s="8" t="s">
        <v>11</v>
      </c>
      <c r="F3824">
        <v>4</v>
      </c>
      <c r="G3824" s="2">
        <v>46263.75</v>
      </c>
      <c r="H3824" s="2">
        <v>46263.583333333336</v>
      </c>
    </row>
    <row r="3825" spans="1:8" x14ac:dyDescent="0.25">
      <c r="A3825" s="8" t="s">
        <v>12295</v>
      </c>
      <c r="B3825" s="8" t="s">
        <v>14445</v>
      </c>
      <c r="C3825" s="2">
        <v>46263.416666666664</v>
      </c>
      <c r="D3825" s="8" t="s">
        <v>13929</v>
      </c>
      <c r="E3825" s="8" t="s">
        <v>18</v>
      </c>
      <c r="F3825">
        <v>2</v>
      </c>
      <c r="G3825" s="2">
        <v>46263.75</v>
      </c>
      <c r="H3825" s="2">
        <v>46263.583333333336</v>
      </c>
    </row>
    <row r="3826" spans="1:8" x14ac:dyDescent="0.25">
      <c r="A3826" s="8" t="s">
        <v>12298</v>
      </c>
      <c r="B3826" s="8" t="s">
        <v>14445</v>
      </c>
      <c r="C3826" s="2">
        <v>46263.416666666664</v>
      </c>
      <c r="D3826" s="8" t="s">
        <v>13929</v>
      </c>
      <c r="E3826" s="8" t="s">
        <v>20</v>
      </c>
      <c r="F3826">
        <v>5</v>
      </c>
      <c r="G3826" s="2">
        <v>46263.75</v>
      </c>
      <c r="H3826" s="2">
        <v>46263.583333333336</v>
      </c>
    </row>
    <row r="3827" spans="1:8" x14ac:dyDescent="0.25">
      <c r="A3827" s="8" t="s">
        <v>12301</v>
      </c>
      <c r="B3827" s="8" t="s">
        <v>14445</v>
      </c>
      <c r="C3827" s="2">
        <v>46263.416666666664</v>
      </c>
      <c r="D3827" s="8" t="s">
        <v>13929</v>
      </c>
      <c r="E3827" s="8" t="s">
        <v>24</v>
      </c>
      <c r="F3827">
        <v>5</v>
      </c>
      <c r="G3827" s="2">
        <v>46263.75</v>
      </c>
      <c r="H3827" s="2">
        <v>46263.583333333336</v>
      </c>
    </row>
    <row r="3828" spans="1:8" x14ac:dyDescent="0.25">
      <c r="A3828" s="8" t="s">
        <v>12304</v>
      </c>
      <c r="B3828" s="8" t="s">
        <v>14445</v>
      </c>
      <c r="C3828" s="2">
        <v>46263.416666666664</v>
      </c>
      <c r="D3828" s="8" t="s">
        <v>13929</v>
      </c>
      <c r="E3828" s="8" t="s">
        <v>26</v>
      </c>
      <c r="F3828">
        <v>5</v>
      </c>
      <c r="G3828" s="2">
        <v>46263.75</v>
      </c>
      <c r="H3828" s="2">
        <v>46263.583333333336</v>
      </c>
    </row>
    <row r="3829" spans="1:8" x14ac:dyDescent="0.25">
      <c r="A3829" s="8" t="s">
        <v>12307</v>
      </c>
      <c r="B3829" s="8" t="s">
        <v>14445</v>
      </c>
      <c r="C3829" s="2">
        <v>46263.416666666664</v>
      </c>
      <c r="D3829" s="8" t="s">
        <v>13929</v>
      </c>
      <c r="E3829" s="8" t="s">
        <v>73</v>
      </c>
      <c r="F3829">
        <v>1</v>
      </c>
      <c r="G3829" s="2">
        <v>46263.75</v>
      </c>
      <c r="H3829" s="2">
        <v>46263.583333333336</v>
      </c>
    </row>
    <row r="3830" spans="1:8" x14ac:dyDescent="0.25">
      <c r="A3830" s="8" t="s">
        <v>12310</v>
      </c>
      <c r="B3830" s="8" t="s">
        <v>14446</v>
      </c>
      <c r="C3830" s="2">
        <v>46263.416666666664</v>
      </c>
      <c r="D3830" s="8" t="s">
        <v>13931</v>
      </c>
      <c r="E3830" s="8" t="s">
        <v>20</v>
      </c>
      <c r="F3830">
        <v>4</v>
      </c>
      <c r="G3830" s="2">
        <v>46263.75</v>
      </c>
      <c r="H3830" s="2">
        <v>46263.583333333336</v>
      </c>
    </row>
    <row r="3831" spans="1:8" x14ac:dyDescent="0.25">
      <c r="A3831" s="8" t="s">
        <v>12313</v>
      </c>
      <c r="B3831" s="8" t="s">
        <v>14446</v>
      </c>
      <c r="C3831" s="2">
        <v>46263.416666666664</v>
      </c>
      <c r="D3831" s="8" t="s">
        <v>13931</v>
      </c>
      <c r="E3831" s="8" t="s">
        <v>22</v>
      </c>
      <c r="F3831">
        <v>4</v>
      </c>
      <c r="G3831" s="2">
        <v>46263.75</v>
      </c>
      <c r="H3831" s="2">
        <v>46263.583333333336</v>
      </c>
    </row>
    <row r="3832" spans="1:8" x14ac:dyDescent="0.25">
      <c r="A3832" s="8" t="s">
        <v>12316</v>
      </c>
      <c r="B3832" s="8" t="s">
        <v>14446</v>
      </c>
      <c r="C3832" s="2">
        <v>46263.416666666664</v>
      </c>
      <c r="D3832" s="8" t="s">
        <v>13931</v>
      </c>
      <c r="E3832" s="8" t="s">
        <v>26</v>
      </c>
      <c r="F3832">
        <v>1</v>
      </c>
      <c r="G3832" s="2">
        <v>46263.75</v>
      </c>
      <c r="H3832" s="2">
        <v>46263.583333333336</v>
      </c>
    </row>
    <row r="3833" spans="1:8" x14ac:dyDescent="0.25">
      <c r="A3833" s="8" t="s">
        <v>12319</v>
      </c>
      <c r="B3833" s="8" t="s">
        <v>14446</v>
      </c>
      <c r="C3833" s="2">
        <v>46263.416666666664</v>
      </c>
      <c r="D3833" s="8" t="s">
        <v>13931</v>
      </c>
      <c r="E3833" s="8" t="s">
        <v>36</v>
      </c>
      <c r="F3833">
        <v>1</v>
      </c>
      <c r="G3833" s="2">
        <v>46263.75</v>
      </c>
      <c r="H3833" s="2">
        <v>46263.583333333336</v>
      </c>
    </row>
    <row r="3834" spans="1:8" x14ac:dyDescent="0.25">
      <c r="A3834" s="8" t="s">
        <v>12322</v>
      </c>
      <c r="B3834" s="8" t="s">
        <v>14446</v>
      </c>
      <c r="C3834" s="2">
        <v>46263.416666666664</v>
      </c>
      <c r="D3834" s="8" t="s">
        <v>13931</v>
      </c>
      <c r="E3834" s="8" t="s">
        <v>41</v>
      </c>
      <c r="F3834">
        <v>3</v>
      </c>
      <c r="G3834" s="2">
        <v>46263.75</v>
      </c>
      <c r="H3834" s="2">
        <v>46263.583333333336</v>
      </c>
    </row>
    <row r="3835" spans="1:8" x14ac:dyDescent="0.25">
      <c r="A3835" s="8" t="s">
        <v>12325</v>
      </c>
      <c r="B3835" s="8" t="s">
        <v>14446</v>
      </c>
      <c r="C3835" s="2">
        <v>46263.416666666664</v>
      </c>
      <c r="D3835" s="8" t="s">
        <v>13931</v>
      </c>
      <c r="E3835" s="8" t="s">
        <v>43</v>
      </c>
      <c r="F3835">
        <v>4</v>
      </c>
      <c r="G3835" s="2">
        <v>46263.75</v>
      </c>
      <c r="H3835" s="2">
        <v>46263.583333333336</v>
      </c>
    </row>
    <row r="3836" spans="1:8" x14ac:dyDescent="0.25">
      <c r="A3836" s="8" t="s">
        <v>12328</v>
      </c>
      <c r="B3836" s="8" t="s">
        <v>14446</v>
      </c>
      <c r="C3836" s="2">
        <v>46263.416666666664</v>
      </c>
      <c r="D3836" s="8" t="s">
        <v>13931</v>
      </c>
      <c r="E3836" s="8" t="s">
        <v>73</v>
      </c>
      <c r="F3836">
        <v>3</v>
      </c>
      <c r="G3836" s="2">
        <v>46263.75</v>
      </c>
      <c r="H3836" s="2">
        <v>46263.583333333336</v>
      </c>
    </row>
    <row r="3837" spans="1:8" x14ac:dyDescent="0.25">
      <c r="A3837" s="8" t="s">
        <v>12331</v>
      </c>
      <c r="B3837" s="8" t="s">
        <v>14447</v>
      </c>
      <c r="C3837" s="2">
        <v>46263.416666666664</v>
      </c>
      <c r="D3837" s="8" t="s">
        <v>13933</v>
      </c>
      <c r="E3837" s="8" t="s">
        <v>11</v>
      </c>
      <c r="F3837">
        <v>5</v>
      </c>
      <c r="G3837" s="2">
        <v>46263.75</v>
      </c>
      <c r="H3837" s="2">
        <v>46263.583333333336</v>
      </c>
    </row>
    <row r="3838" spans="1:8" x14ac:dyDescent="0.25">
      <c r="A3838" s="8" t="s">
        <v>12334</v>
      </c>
      <c r="B3838" s="8" t="s">
        <v>14447</v>
      </c>
      <c r="C3838" s="2">
        <v>46263.416666666664</v>
      </c>
      <c r="D3838" s="8" t="s">
        <v>13933</v>
      </c>
      <c r="E3838" s="8" t="s">
        <v>18</v>
      </c>
      <c r="F3838">
        <v>5</v>
      </c>
      <c r="G3838" s="2">
        <v>46263.75</v>
      </c>
      <c r="H3838" s="2">
        <v>46263.583333333336</v>
      </c>
    </row>
    <row r="3839" spans="1:8" x14ac:dyDescent="0.25">
      <c r="A3839" s="8" t="s">
        <v>12337</v>
      </c>
      <c r="B3839" s="8" t="s">
        <v>14447</v>
      </c>
      <c r="C3839" s="2">
        <v>46263.416666666664</v>
      </c>
      <c r="D3839" s="8" t="s">
        <v>13933</v>
      </c>
      <c r="E3839" s="8" t="s">
        <v>20</v>
      </c>
      <c r="F3839">
        <v>3</v>
      </c>
      <c r="G3839" s="2">
        <v>46263.75</v>
      </c>
      <c r="H3839" s="2">
        <v>46263.583333333336</v>
      </c>
    </row>
    <row r="3840" spans="1:8" x14ac:dyDescent="0.25">
      <c r="A3840" s="8" t="s">
        <v>12340</v>
      </c>
      <c r="B3840" s="8" t="s">
        <v>14447</v>
      </c>
      <c r="C3840" s="2">
        <v>46263.416666666664</v>
      </c>
      <c r="D3840" s="8" t="s">
        <v>13933</v>
      </c>
      <c r="E3840" s="8" t="s">
        <v>28</v>
      </c>
      <c r="F3840">
        <v>3</v>
      </c>
      <c r="G3840" s="2">
        <v>46263.75</v>
      </c>
      <c r="H3840" s="2">
        <v>46263.583333333336</v>
      </c>
    </row>
    <row r="3841" spans="1:8" x14ac:dyDescent="0.25">
      <c r="A3841" s="8" t="s">
        <v>12343</v>
      </c>
      <c r="B3841" s="8" t="s">
        <v>14447</v>
      </c>
      <c r="C3841" s="2">
        <v>46263.416666666664</v>
      </c>
      <c r="D3841" s="8" t="s">
        <v>13933</v>
      </c>
      <c r="E3841" s="8" t="s">
        <v>73</v>
      </c>
      <c r="F3841">
        <v>3</v>
      </c>
      <c r="G3841" s="2">
        <v>46263.75</v>
      </c>
      <c r="H3841" s="2">
        <v>46263.583333333336</v>
      </c>
    </row>
    <row r="3842" spans="1:8" x14ac:dyDescent="0.25">
      <c r="A3842" s="8" t="s">
        <v>12346</v>
      </c>
      <c r="B3842" s="8" t="s">
        <v>14447</v>
      </c>
      <c r="C3842" s="2">
        <v>46263.416666666664</v>
      </c>
      <c r="D3842" s="8" t="s">
        <v>13933</v>
      </c>
      <c r="E3842" s="8" t="s">
        <v>77</v>
      </c>
      <c r="F3842">
        <v>8</v>
      </c>
      <c r="G3842" s="2">
        <v>46263.75</v>
      </c>
      <c r="H3842" s="2">
        <v>46263.583333333336</v>
      </c>
    </row>
    <row r="3843" spans="1:8" x14ac:dyDescent="0.25">
      <c r="A3843" s="8" t="s">
        <v>12349</v>
      </c>
      <c r="B3843" s="8" t="s">
        <v>14448</v>
      </c>
      <c r="C3843" s="2">
        <v>46263.416666666664</v>
      </c>
      <c r="D3843" s="8" t="s">
        <v>13935</v>
      </c>
      <c r="E3843" s="8" t="s">
        <v>11</v>
      </c>
      <c r="F3843">
        <v>4</v>
      </c>
      <c r="G3843" s="2">
        <v>46263.75</v>
      </c>
      <c r="H3843" s="2">
        <v>46263.583333333336</v>
      </c>
    </row>
    <row r="3844" spans="1:8" x14ac:dyDescent="0.25">
      <c r="A3844" s="8" t="s">
        <v>12352</v>
      </c>
      <c r="B3844" s="8" t="s">
        <v>14448</v>
      </c>
      <c r="C3844" s="2">
        <v>46263.416666666664</v>
      </c>
      <c r="D3844" s="8" t="s">
        <v>13935</v>
      </c>
      <c r="E3844" s="8" t="s">
        <v>18</v>
      </c>
      <c r="F3844">
        <v>4</v>
      </c>
      <c r="G3844" s="2">
        <v>46263.75</v>
      </c>
      <c r="H3844" s="2">
        <v>46263.583333333336</v>
      </c>
    </row>
    <row r="3845" spans="1:8" x14ac:dyDescent="0.25">
      <c r="A3845" s="8" t="s">
        <v>12355</v>
      </c>
      <c r="B3845" s="8" t="s">
        <v>14448</v>
      </c>
      <c r="C3845" s="2">
        <v>46263.416666666664</v>
      </c>
      <c r="D3845" s="8" t="s">
        <v>13935</v>
      </c>
      <c r="E3845" s="8" t="s">
        <v>20</v>
      </c>
      <c r="F3845">
        <v>4</v>
      </c>
      <c r="G3845" s="2">
        <v>46263.75</v>
      </c>
      <c r="H3845" s="2">
        <v>46263.583333333336</v>
      </c>
    </row>
    <row r="3846" spans="1:8" x14ac:dyDescent="0.25">
      <c r="A3846" s="8" t="s">
        <v>12358</v>
      </c>
      <c r="B3846" s="8" t="s">
        <v>14448</v>
      </c>
      <c r="C3846" s="2">
        <v>46263.416666666664</v>
      </c>
      <c r="D3846" s="8" t="s">
        <v>13935</v>
      </c>
      <c r="E3846" s="8" t="s">
        <v>22</v>
      </c>
      <c r="F3846">
        <v>9</v>
      </c>
      <c r="G3846" s="2">
        <v>46263.75</v>
      </c>
      <c r="H3846" s="2">
        <v>46263.583333333336</v>
      </c>
    </row>
    <row r="3847" spans="1:8" x14ac:dyDescent="0.25">
      <c r="A3847" s="8" t="s">
        <v>12361</v>
      </c>
      <c r="B3847" s="8" t="s">
        <v>14448</v>
      </c>
      <c r="C3847" s="2">
        <v>46263.416666666664</v>
      </c>
      <c r="D3847" s="8" t="s">
        <v>13935</v>
      </c>
      <c r="E3847" s="8" t="s">
        <v>24</v>
      </c>
      <c r="F3847">
        <v>4</v>
      </c>
      <c r="G3847" s="2">
        <v>46263.75</v>
      </c>
      <c r="H3847" s="2">
        <v>46263.583333333336</v>
      </c>
    </row>
    <row r="3848" spans="1:8" x14ac:dyDescent="0.25">
      <c r="A3848" s="8" t="s">
        <v>12364</v>
      </c>
      <c r="B3848" s="8" t="s">
        <v>14448</v>
      </c>
      <c r="C3848" s="2">
        <v>46263.416666666664</v>
      </c>
      <c r="D3848" s="8" t="s">
        <v>13935</v>
      </c>
      <c r="E3848" s="8" t="s">
        <v>28</v>
      </c>
      <c r="F3848">
        <v>9</v>
      </c>
      <c r="G3848" s="2">
        <v>46263.75</v>
      </c>
      <c r="H3848" s="2">
        <v>46263.583333333336</v>
      </c>
    </row>
    <row r="3849" spans="1:8" x14ac:dyDescent="0.25">
      <c r="A3849" s="8" t="s">
        <v>12367</v>
      </c>
      <c r="B3849" s="8" t="s">
        <v>14448</v>
      </c>
      <c r="C3849" s="2">
        <v>46263.416666666664</v>
      </c>
      <c r="D3849" s="8" t="s">
        <v>13935</v>
      </c>
      <c r="E3849" s="8" t="s">
        <v>30</v>
      </c>
      <c r="F3849">
        <v>7</v>
      </c>
      <c r="G3849" s="2">
        <v>46263.75</v>
      </c>
      <c r="H3849" s="2">
        <v>46263.583333333336</v>
      </c>
    </row>
    <row r="3850" spans="1:8" x14ac:dyDescent="0.25">
      <c r="A3850" s="8" t="s">
        <v>12370</v>
      </c>
      <c r="B3850" s="8" t="s">
        <v>14448</v>
      </c>
      <c r="C3850" s="2">
        <v>46263.416666666664</v>
      </c>
      <c r="D3850" s="8" t="s">
        <v>13935</v>
      </c>
      <c r="E3850" s="8" t="s">
        <v>32</v>
      </c>
      <c r="F3850">
        <v>9</v>
      </c>
      <c r="G3850" s="2">
        <v>46263.75</v>
      </c>
      <c r="H3850" s="2">
        <v>46263.583333333336</v>
      </c>
    </row>
    <row r="3851" spans="1:8" x14ac:dyDescent="0.25">
      <c r="A3851" s="8" t="s">
        <v>12373</v>
      </c>
      <c r="B3851" s="8" t="s">
        <v>14448</v>
      </c>
      <c r="C3851" s="2">
        <v>46263.416666666664</v>
      </c>
      <c r="D3851" s="8" t="s">
        <v>13935</v>
      </c>
      <c r="E3851" s="8" t="s">
        <v>41</v>
      </c>
      <c r="F3851">
        <v>2</v>
      </c>
      <c r="G3851" s="2">
        <v>46263.75</v>
      </c>
      <c r="H3851" s="2">
        <v>46263.583333333336</v>
      </c>
    </row>
    <row r="3852" spans="1:8" x14ac:dyDescent="0.25">
      <c r="A3852" s="8" t="s">
        <v>12376</v>
      </c>
      <c r="B3852" s="8" t="s">
        <v>14448</v>
      </c>
      <c r="C3852" s="2">
        <v>46263.416666666664</v>
      </c>
      <c r="D3852" s="8" t="s">
        <v>13935</v>
      </c>
      <c r="E3852" s="8" t="s">
        <v>43</v>
      </c>
      <c r="F3852">
        <v>7</v>
      </c>
      <c r="G3852" s="2">
        <v>46263.75</v>
      </c>
      <c r="H3852" s="2">
        <v>46263.583333333336</v>
      </c>
    </row>
    <row r="3853" spans="1:8" x14ac:dyDescent="0.25">
      <c r="A3853" s="8" t="s">
        <v>12379</v>
      </c>
      <c r="B3853" s="8" t="s">
        <v>14448</v>
      </c>
      <c r="C3853" s="2">
        <v>46263.416666666664</v>
      </c>
      <c r="D3853" s="8" t="s">
        <v>13935</v>
      </c>
      <c r="E3853" s="8" t="s">
        <v>49</v>
      </c>
      <c r="F3853">
        <v>7</v>
      </c>
      <c r="G3853" s="2">
        <v>46263.75</v>
      </c>
      <c r="H3853" s="2">
        <v>46263.583333333336</v>
      </c>
    </row>
    <row r="3854" spans="1:8" x14ac:dyDescent="0.25">
      <c r="A3854" s="8" t="s">
        <v>12382</v>
      </c>
      <c r="B3854" s="8" t="s">
        <v>14448</v>
      </c>
      <c r="C3854" s="2">
        <v>46263.416666666664</v>
      </c>
      <c r="D3854" s="8" t="s">
        <v>13935</v>
      </c>
      <c r="E3854" s="8" t="s">
        <v>57</v>
      </c>
      <c r="F3854">
        <v>7</v>
      </c>
      <c r="G3854" s="2">
        <v>46263.75</v>
      </c>
      <c r="H3854" s="2">
        <v>46263.583333333336</v>
      </c>
    </row>
    <row r="3855" spans="1:8" x14ac:dyDescent="0.25">
      <c r="A3855" s="8" t="s">
        <v>12385</v>
      </c>
      <c r="B3855" s="8" t="s">
        <v>14449</v>
      </c>
      <c r="C3855" s="2">
        <v>46263.416666666664</v>
      </c>
      <c r="D3855" s="8" t="s">
        <v>13937</v>
      </c>
      <c r="E3855" s="8" t="s">
        <v>11</v>
      </c>
      <c r="F3855">
        <v>1</v>
      </c>
      <c r="G3855" s="2">
        <v>46263.75</v>
      </c>
      <c r="H3855" s="2">
        <v>46263.583333333336</v>
      </c>
    </row>
    <row r="3856" spans="1:8" x14ac:dyDescent="0.25">
      <c r="A3856" s="8" t="s">
        <v>12388</v>
      </c>
      <c r="B3856" s="8" t="s">
        <v>14449</v>
      </c>
      <c r="C3856" s="2">
        <v>46263.416666666664</v>
      </c>
      <c r="D3856" s="8" t="s">
        <v>13937</v>
      </c>
      <c r="E3856" s="8" t="s">
        <v>18</v>
      </c>
      <c r="F3856">
        <v>5</v>
      </c>
      <c r="G3856" s="2">
        <v>46263.75</v>
      </c>
      <c r="H3856" s="2">
        <v>46263.583333333336</v>
      </c>
    </row>
    <row r="3857" spans="1:8" x14ac:dyDescent="0.25">
      <c r="A3857" s="8" t="s">
        <v>12391</v>
      </c>
      <c r="B3857" s="8" t="s">
        <v>14449</v>
      </c>
      <c r="C3857" s="2">
        <v>46263.416666666664</v>
      </c>
      <c r="D3857" s="8" t="s">
        <v>13937</v>
      </c>
      <c r="E3857" s="8" t="s">
        <v>22</v>
      </c>
      <c r="F3857">
        <v>1</v>
      </c>
      <c r="G3857" s="2">
        <v>46263.75</v>
      </c>
      <c r="H3857" s="2">
        <v>46263.583333333336</v>
      </c>
    </row>
    <row r="3858" spans="1:8" x14ac:dyDescent="0.25">
      <c r="A3858" s="8" t="s">
        <v>12394</v>
      </c>
      <c r="B3858" s="8" t="s">
        <v>14449</v>
      </c>
      <c r="C3858" s="2">
        <v>46263.416666666664</v>
      </c>
      <c r="D3858" s="8" t="s">
        <v>13937</v>
      </c>
      <c r="E3858" s="8" t="s">
        <v>36</v>
      </c>
      <c r="F3858">
        <v>2</v>
      </c>
      <c r="G3858" s="2">
        <v>46263.75</v>
      </c>
      <c r="H3858" s="2">
        <v>46263.583333333336</v>
      </c>
    </row>
    <row r="3859" spans="1:8" x14ac:dyDescent="0.25">
      <c r="A3859" s="8" t="s">
        <v>12397</v>
      </c>
      <c r="B3859" s="8" t="s">
        <v>14449</v>
      </c>
      <c r="C3859" s="2">
        <v>46263.416666666664</v>
      </c>
      <c r="D3859" s="8" t="s">
        <v>13937</v>
      </c>
      <c r="E3859" s="8" t="s">
        <v>45</v>
      </c>
      <c r="F3859">
        <v>4</v>
      </c>
      <c r="G3859" s="2">
        <v>46263.75</v>
      </c>
      <c r="H3859" s="2">
        <v>46263.583333333336</v>
      </c>
    </row>
    <row r="3860" spans="1:8" x14ac:dyDescent="0.25">
      <c r="A3860" s="8" t="s">
        <v>12400</v>
      </c>
      <c r="B3860" s="8" t="s">
        <v>14449</v>
      </c>
      <c r="C3860" s="2">
        <v>46263.416666666664</v>
      </c>
      <c r="D3860" s="8" t="s">
        <v>13937</v>
      </c>
      <c r="E3860" s="8" t="s">
        <v>57</v>
      </c>
      <c r="F3860">
        <v>4</v>
      </c>
      <c r="G3860" s="2">
        <v>46263.75</v>
      </c>
      <c r="H3860" s="2">
        <v>46263.583333333336</v>
      </c>
    </row>
    <row r="3861" spans="1:8" x14ac:dyDescent="0.25">
      <c r="A3861" s="8" t="s">
        <v>12403</v>
      </c>
      <c r="B3861" s="8" t="s">
        <v>14449</v>
      </c>
      <c r="C3861" s="2">
        <v>46263.416666666664</v>
      </c>
      <c r="D3861" s="8" t="s">
        <v>13937</v>
      </c>
      <c r="E3861" s="8" t="s">
        <v>59</v>
      </c>
      <c r="F3861">
        <v>4</v>
      </c>
      <c r="G3861" s="2">
        <v>46263.75</v>
      </c>
      <c r="H3861" s="2">
        <v>46263.583333333336</v>
      </c>
    </row>
    <row r="3862" spans="1:8" x14ac:dyDescent="0.25">
      <c r="A3862" s="8" t="s">
        <v>12406</v>
      </c>
      <c r="B3862" s="8" t="s">
        <v>14449</v>
      </c>
      <c r="C3862" s="2">
        <v>46263.416666666664</v>
      </c>
      <c r="D3862" s="8" t="s">
        <v>13937</v>
      </c>
      <c r="E3862" s="8" t="s">
        <v>71</v>
      </c>
      <c r="F3862">
        <v>5</v>
      </c>
      <c r="G3862" s="2">
        <v>46263.75</v>
      </c>
      <c r="H3862" s="2">
        <v>46263.583333333336</v>
      </c>
    </row>
    <row r="3863" spans="1:8" x14ac:dyDescent="0.25">
      <c r="A3863" s="8" t="s">
        <v>12409</v>
      </c>
      <c r="B3863" s="8" t="s">
        <v>14449</v>
      </c>
      <c r="C3863" s="2">
        <v>46263.416666666664</v>
      </c>
      <c r="D3863" s="8" t="s">
        <v>13937</v>
      </c>
      <c r="E3863" s="8" t="s">
        <v>75</v>
      </c>
      <c r="F3863">
        <v>5</v>
      </c>
      <c r="G3863" s="2">
        <v>46263.75</v>
      </c>
      <c r="H3863" s="2">
        <v>46263.583333333336</v>
      </c>
    </row>
    <row r="3864" spans="1:8" x14ac:dyDescent="0.25">
      <c r="A3864" s="8" t="s">
        <v>12412</v>
      </c>
      <c r="B3864" s="8" t="s">
        <v>14450</v>
      </c>
      <c r="C3864" s="2">
        <v>46264.416666666664</v>
      </c>
      <c r="D3864" s="8" t="s">
        <v>13929</v>
      </c>
      <c r="E3864" s="8" t="s">
        <v>20</v>
      </c>
      <c r="F3864">
        <v>3</v>
      </c>
      <c r="G3864" s="2">
        <v>46264.75</v>
      </c>
      <c r="H3864" s="2">
        <v>46264.583333333336</v>
      </c>
    </row>
    <row r="3865" spans="1:8" x14ac:dyDescent="0.25">
      <c r="A3865" s="8" t="s">
        <v>12415</v>
      </c>
      <c r="B3865" s="8" t="s">
        <v>14450</v>
      </c>
      <c r="C3865" s="2">
        <v>46264.416666666664</v>
      </c>
      <c r="D3865" s="8" t="s">
        <v>13929</v>
      </c>
      <c r="E3865" s="8" t="s">
        <v>22</v>
      </c>
      <c r="F3865">
        <v>5</v>
      </c>
      <c r="G3865" s="2">
        <v>46264.75</v>
      </c>
      <c r="H3865" s="2">
        <v>46264.583333333336</v>
      </c>
    </row>
    <row r="3866" spans="1:8" x14ac:dyDescent="0.25">
      <c r="A3866" s="8" t="s">
        <v>12418</v>
      </c>
      <c r="B3866" s="8" t="s">
        <v>14450</v>
      </c>
      <c r="C3866" s="2">
        <v>46264.416666666664</v>
      </c>
      <c r="D3866" s="8" t="s">
        <v>13929</v>
      </c>
      <c r="E3866" s="8" t="s">
        <v>30</v>
      </c>
      <c r="F3866">
        <v>4</v>
      </c>
      <c r="G3866" s="2">
        <v>46264.75</v>
      </c>
      <c r="H3866" s="2">
        <v>46264.583333333336</v>
      </c>
    </row>
    <row r="3867" spans="1:8" x14ac:dyDescent="0.25">
      <c r="A3867" s="8" t="s">
        <v>12421</v>
      </c>
      <c r="B3867" s="8" t="s">
        <v>14450</v>
      </c>
      <c r="C3867" s="2">
        <v>46264.416666666664</v>
      </c>
      <c r="D3867" s="8" t="s">
        <v>13929</v>
      </c>
      <c r="E3867" s="8" t="s">
        <v>32</v>
      </c>
      <c r="F3867">
        <v>1</v>
      </c>
      <c r="G3867" s="2">
        <v>46264.75</v>
      </c>
      <c r="H3867" s="2">
        <v>46264.583333333336</v>
      </c>
    </row>
    <row r="3868" spans="1:8" x14ac:dyDescent="0.25">
      <c r="A3868" s="8" t="s">
        <v>12424</v>
      </c>
      <c r="B3868" s="8" t="s">
        <v>14450</v>
      </c>
      <c r="C3868" s="2">
        <v>46264.416666666664</v>
      </c>
      <c r="D3868" s="8" t="s">
        <v>13929</v>
      </c>
      <c r="E3868" s="8" t="s">
        <v>49</v>
      </c>
      <c r="F3868">
        <v>5</v>
      </c>
      <c r="G3868" s="2">
        <v>46264.75</v>
      </c>
      <c r="H3868" s="2">
        <v>46264.583333333336</v>
      </c>
    </row>
    <row r="3869" spans="1:8" x14ac:dyDescent="0.25">
      <c r="A3869" s="8" t="s">
        <v>12427</v>
      </c>
      <c r="B3869" s="8" t="s">
        <v>14450</v>
      </c>
      <c r="C3869" s="2">
        <v>46264.416666666664</v>
      </c>
      <c r="D3869" s="8" t="s">
        <v>13929</v>
      </c>
      <c r="E3869" s="8" t="s">
        <v>71</v>
      </c>
      <c r="F3869">
        <v>1</v>
      </c>
      <c r="G3869" s="2">
        <v>46264.75</v>
      </c>
      <c r="H3869" s="2">
        <v>46264.583333333336</v>
      </c>
    </row>
    <row r="3870" spans="1:8" x14ac:dyDescent="0.25">
      <c r="A3870" s="8" t="s">
        <v>12430</v>
      </c>
      <c r="B3870" s="8" t="s">
        <v>14450</v>
      </c>
      <c r="C3870" s="2">
        <v>46264.416666666664</v>
      </c>
      <c r="D3870" s="8" t="s">
        <v>13929</v>
      </c>
      <c r="E3870" s="8" t="s">
        <v>75</v>
      </c>
      <c r="F3870">
        <v>3</v>
      </c>
      <c r="G3870" s="2">
        <v>46264.75</v>
      </c>
      <c r="H3870" s="2">
        <v>46264.583333333336</v>
      </c>
    </row>
    <row r="3871" spans="1:8" x14ac:dyDescent="0.25">
      <c r="A3871" s="8" t="s">
        <v>12433</v>
      </c>
      <c r="B3871" s="8" t="s">
        <v>14450</v>
      </c>
      <c r="C3871" s="2">
        <v>46264.416666666664</v>
      </c>
      <c r="D3871" s="8" t="s">
        <v>13929</v>
      </c>
      <c r="E3871" s="8" t="s">
        <v>77</v>
      </c>
      <c r="F3871">
        <v>3</v>
      </c>
      <c r="G3871" s="2">
        <v>46264.75</v>
      </c>
      <c r="H3871" s="2">
        <v>46264.583333333336</v>
      </c>
    </row>
    <row r="3872" spans="1:8" x14ac:dyDescent="0.25">
      <c r="A3872" s="8" t="s">
        <v>12436</v>
      </c>
      <c r="B3872" s="8" t="s">
        <v>14451</v>
      </c>
      <c r="C3872" s="2">
        <v>46264.416666666664</v>
      </c>
      <c r="D3872" s="8" t="s">
        <v>13931</v>
      </c>
      <c r="E3872" s="8" t="s">
        <v>11</v>
      </c>
      <c r="F3872">
        <v>6</v>
      </c>
      <c r="G3872" s="2">
        <v>46264.75</v>
      </c>
      <c r="H3872" s="2">
        <v>46264.583333333336</v>
      </c>
    </row>
    <row r="3873" spans="1:8" x14ac:dyDescent="0.25">
      <c r="A3873" s="8" t="s">
        <v>12439</v>
      </c>
      <c r="B3873" s="8" t="s">
        <v>14451</v>
      </c>
      <c r="C3873" s="2">
        <v>46264.416666666664</v>
      </c>
      <c r="D3873" s="8" t="s">
        <v>13931</v>
      </c>
      <c r="E3873" s="8" t="s">
        <v>18</v>
      </c>
      <c r="F3873">
        <v>3</v>
      </c>
      <c r="G3873" s="2">
        <v>46264.75</v>
      </c>
      <c r="H3873" s="2">
        <v>46264.583333333336</v>
      </c>
    </row>
    <row r="3874" spans="1:8" x14ac:dyDescent="0.25">
      <c r="A3874" s="8" t="s">
        <v>12442</v>
      </c>
      <c r="B3874" s="8" t="s">
        <v>14451</v>
      </c>
      <c r="C3874" s="2">
        <v>46264.416666666664</v>
      </c>
      <c r="D3874" s="8" t="s">
        <v>13931</v>
      </c>
      <c r="E3874" s="8" t="s">
        <v>24</v>
      </c>
      <c r="F3874">
        <v>5</v>
      </c>
      <c r="G3874" s="2">
        <v>46264.75</v>
      </c>
      <c r="H3874" s="2">
        <v>46264.583333333336</v>
      </c>
    </row>
    <row r="3875" spans="1:8" x14ac:dyDescent="0.25">
      <c r="A3875" s="8" t="s">
        <v>12445</v>
      </c>
      <c r="B3875" s="8" t="s">
        <v>14451</v>
      </c>
      <c r="C3875" s="2">
        <v>46264.416666666664</v>
      </c>
      <c r="D3875" s="8" t="s">
        <v>13931</v>
      </c>
      <c r="E3875" s="8" t="s">
        <v>26</v>
      </c>
      <c r="F3875">
        <v>3</v>
      </c>
      <c r="G3875" s="2">
        <v>46264.75</v>
      </c>
      <c r="H3875" s="2">
        <v>46264.583333333336</v>
      </c>
    </row>
    <row r="3876" spans="1:8" x14ac:dyDescent="0.25">
      <c r="A3876" s="8" t="s">
        <v>12448</v>
      </c>
      <c r="B3876" s="8" t="s">
        <v>14451</v>
      </c>
      <c r="C3876" s="2">
        <v>46264.416666666664</v>
      </c>
      <c r="D3876" s="8" t="s">
        <v>13931</v>
      </c>
      <c r="E3876" s="8" t="s">
        <v>30</v>
      </c>
      <c r="F3876">
        <v>6</v>
      </c>
      <c r="G3876" s="2">
        <v>46264.75</v>
      </c>
      <c r="H3876" s="2">
        <v>46264.583333333336</v>
      </c>
    </row>
    <row r="3877" spans="1:8" x14ac:dyDescent="0.25">
      <c r="A3877" s="8" t="s">
        <v>12451</v>
      </c>
      <c r="B3877" s="8" t="s">
        <v>14451</v>
      </c>
      <c r="C3877" s="2">
        <v>46264.416666666664</v>
      </c>
      <c r="D3877" s="8" t="s">
        <v>13931</v>
      </c>
      <c r="E3877" s="8" t="s">
        <v>41</v>
      </c>
      <c r="F3877">
        <v>4</v>
      </c>
      <c r="G3877" s="2">
        <v>46264.75</v>
      </c>
      <c r="H3877" s="2">
        <v>46264.583333333336</v>
      </c>
    </row>
    <row r="3878" spans="1:8" x14ac:dyDescent="0.25">
      <c r="A3878" s="8" t="s">
        <v>12454</v>
      </c>
      <c r="B3878" s="8" t="s">
        <v>14451</v>
      </c>
      <c r="C3878" s="2">
        <v>46264.416666666664</v>
      </c>
      <c r="D3878" s="8" t="s">
        <v>13931</v>
      </c>
      <c r="E3878" s="8" t="s">
        <v>51</v>
      </c>
      <c r="F3878">
        <v>1</v>
      </c>
      <c r="G3878" s="2">
        <v>46264.75</v>
      </c>
      <c r="H3878" s="2">
        <v>46264.583333333336</v>
      </c>
    </row>
    <row r="3879" spans="1:8" x14ac:dyDescent="0.25">
      <c r="A3879" s="8" t="s">
        <v>12457</v>
      </c>
      <c r="B3879" s="8" t="s">
        <v>14451</v>
      </c>
      <c r="C3879" s="2">
        <v>46264.416666666664</v>
      </c>
      <c r="D3879" s="8" t="s">
        <v>13931</v>
      </c>
      <c r="E3879" s="8" t="s">
        <v>71</v>
      </c>
      <c r="F3879">
        <v>4</v>
      </c>
      <c r="G3879" s="2">
        <v>46264.75</v>
      </c>
      <c r="H3879" s="2">
        <v>46264.583333333336</v>
      </c>
    </row>
    <row r="3880" spans="1:8" x14ac:dyDescent="0.25">
      <c r="A3880" s="8" t="s">
        <v>12460</v>
      </c>
      <c r="B3880" s="8" t="s">
        <v>14451</v>
      </c>
      <c r="C3880" s="2">
        <v>46264.416666666664</v>
      </c>
      <c r="D3880" s="8" t="s">
        <v>13931</v>
      </c>
      <c r="E3880" s="8" t="s">
        <v>75</v>
      </c>
      <c r="F3880">
        <v>6</v>
      </c>
      <c r="G3880" s="2">
        <v>46264.75</v>
      </c>
      <c r="H3880" s="2">
        <v>46264.583333333336</v>
      </c>
    </row>
    <row r="3881" spans="1:8" x14ac:dyDescent="0.25">
      <c r="A3881" s="8" t="s">
        <v>12463</v>
      </c>
      <c r="B3881" s="8" t="s">
        <v>14451</v>
      </c>
      <c r="C3881" s="2">
        <v>46264.416666666664</v>
      </c>
      <c r="D3881" s="8" t="s">
        <v>13931</v>
      </c>
      <c r="E3881" s="8" t="s">
        <v>77</v>
      </c>
      <c r="F3881">
        <v>6</v>
      </c>
      <c r="G3881" s="2">
        <v>46264.75</v>
      </c>
      <c r="H3881" s="2">
        <v>46264.583333333336</v>
      </c>
    </row>
    <row r="3882" spans="1:8" x14ac:dyDescent="0.25">
      <c r="A3882" s="8" t="s">
        <v>12466</v>
      </c>
      <c r="B3882" s="8" t="s">
        <v>14452</v>
      </c>
      <c r="C3882" s="2">
        <v>46264.416666666664</v>
      </c>
      <c r="D3882" s="8" t="s">
        <v>13933</v>
      </c>
      <c r="E3882" s="8" t="s">
        <v>20</v>
      </c>
      <c r="F3882">
        <v>2</v>
      </c>
      <c r="G3882" s="2">
        <v>46264.75</v>
      </c>
      <c r="H3882" s="2">
        <v>46264.583333333336</v>
      </c>
    </row>
    <row r="3883" spans="1:8" x14ac:dyDescent="0.25">
      <c r="A3883" s="8" t="s">
        <v>12469</v>
      </c>
      <c r="B3883" s="8" t="s">
        <v>14452</v>
      </c>
      <c r="C3883" s="2">
        <v>46264.416666666664</v>
      </c>
      <c r="D3883" s="8" t="s">
        <v>13933</v>
      </c>
      <c r="E3883" s="8" t="s">
        <v>22</v>
      </c>
      <c r="F3883">
        <v>2</v>
      </c>
      <c r="G3883" s="2">
        <v>46264.75</v>
      </c>
      <c r="H3883" s="2">
        <v>46264.583333333336</v>
      </c>
    </row>
    <row r="3884" spans="1:8" x14ac:dyDescent="0.25">
      <c r="A3884" s="8" t="s">
        <v>12472</v>
      </c>
      <c r="B3884" s="8" t="s">
        <v>14452</v>
      </c>
      <c r="C3884" s="2">
        <v>46264.416666666664</v>
      </c>
      <c r="D3884" s="8" t="s">
        <v>13933</v>
      </c>
      <c r="E3884" s="8" t="s">
        <v>24</v>
      </c>
      <c r="F3884">
        <v>6</v>
      </c>
      <c r="G3884" s="2">
        <v>46264.75</v>
      </c>
      <c r="H3884" s="2">
        <v>46264.583333333336</v>
      </c>
    </row>
    <row r="3885" spans="1:8" x14ac:dyDescent="0.25">
      <c r="A3885" s="8" t="s">
        <v>12475</v>
      </c>
      <c r="B3885" s="8" t="s">
        <v>14452</v>
      </c>
      <c r="C3885" s="2">
        <v>46264.416666666664</v>
      </c>
      <c r="D3885" s="8" t="s">
        <v>13933</v>
      </c>
      <c r="E3885" s="8" t="s">
        <v>26</v>
      </c>
      <c r="F3885">
        <v>2</v>
      </c>
      <c r="G3885" s="2">
        <v>46264.75</v>
      </c>
      <c r="H3885" s="2">
        <v>46264.583333333336</v>
      </c>
    </row>
    <row r="3886" spans="1:8" x14ac:dyDescent="0.25">
      <c r="A3886" s="8" t="s">
        <v>12478</v>
      </c>
      <c r="B3886" s="8" t="s">
        <v>14452</v>
      </c>
      <c r="C3886" s="2">
        <v>46264.416666666664</v>
      </c>
      <c r="D3886" s="8" t="s">
        <v>13933</v>
      </c>
      <c r="E3886" s="8" t="s">
        <v>30</v>
      </c>
      <c r="F3886">
        <v>5</v>
      </c>
      <c r="G3886" s="2">
        <v>46264.75</v>
      </c>
      <c r="H3886" s="2">
        <v>46264.583333333336</v>
      </c>
    </row>
    <row r="3887" spans="1:8" x14ac:dyDescent="0.25">
      <c r="A3887" s="8" t="s">
        <v>12481</v>
      </c>
      <c r="B3887" s="8" t="s">
        <v>14452</v>
      </c>
      <c r="C3887" s="2">
        <v>46264.416666666664</v>
      </c>
      <c r="D3887" s="8" t="s">
        <v>13933</v>
      </c>
      <c r="E3887" s="8" t="s">
        <v>41</v>
      </c>
      <c r="F3887">
        <v>6</v>
      </c>
      <c r="G3887" s="2">
        <v>46264.75</v>
      </c>
      <c r="H3887" s="2">
        <v>46264.583333333336</v>
      </c>
    </row>
    <row r="3888" spans="1:8" x14ac:dyDescent="0.25">
      <c r="A3888" s="8" t="s">
        <v>12486</v>
      </c>
      <c r="B3888" s="8" t="s">
        <v>14452</v>
      </c>
      <c r="C3888" s="2">
        <v>46264.416666666664</v>
      </c>
      <c r="D3888" s="8" t="s">
        <v>13933</v>
      </c>
      <c r="E3888" s="8" t="s">
        <v>45</v>
      </c>
      <c r="F3888">
        <v>3</v>
      </c>
      <c r="G3888" s="2">
        <v>46264.75</v>
      </c>
      <c r="H3888" s="2">
        <v>46264.583333333336</v>
      </c>
    </row>
    <row r="3889" spans="1:8" x14ac:dyDescent="0.25">
      <c r="A3889" s="8" t="s">
        <v>12489</v>
      </c>
      <c r="B3889" s="8" t="s">
        <v>14452</v>
      </c>
      <c r="C3889" s="2">
        <v>46264.416666666664</v>
      </c>
      <c r="D3889" s="8" t="s">
        <v>13933</v>
      </c>
      <c r="E3889" s="8" t="s">
        <v>47</v>
      </c>
      <c r="F3889">
        <v>8</v>
      </c>
      <c r="G3889" s="2">
        <v>46264.75</v>
      </c>
      <c r="H3889" s="2">
        <v>46264.583333333336</v>
      </c>
    </row>
    <row r="3890" spans="1:8" x14ac:dyDescent="0.25">
      <c r="A3890" s="8" t="s">
        <v>12492</v>
      </c>
      <c r="B3890" s="8" t="s">
        <v>14452</v>
      </c>
      <c r="C3890" s="2">
        <v>46264.416666666664</v>
      </c>
      <c r="D3890" s="8" t="s">
        <v>13933</v>
      </c>
      <c r="E3890" s="8" t="s">
        <v>49</v>
      </c>
      <c r="F3890">
        <v>2</v>
      </c>
      <c r="G3890" s="2">
        <v>46264.75</v>
      </c>
      <c r="H3890" s="2">
        <v>46264.583333333336</v>
      </c>
    </row>
    <row r="3891" spans="1:8" x14ac:dyDescent="0.25">
      <c r="A3891" s="8" t="s">
        <v>12495</v>
      </c>
      <c r="B3891" s="8" t="s">
        <v>14452</v>
      </c>
      <c r="C3891" s="2">
        <v>46264.416666666664</v>
      </c>
      <c r="D3891" s="8" t="s">
        <v>13933</v>
      </c>
      <c r="E3891" s="8" t="s">
        <v>55</v>
      </c>
      <c r="F3891">
        <v>2</v>
      </c>
      <c r="G3891" s="2">
        <v>46264.75</v>
      </c>
      <c r="H3891" s="2">
        <v>46264.583333333336</v>
      </c>
    </row>
    <row r="3892" spans="1:8" x14ac:dyDescent="0.25">
      <c r="A3892" s="8" t="s">
        <v>12498</v>
      </c>
      <c r="B3892" s="8" t="s">
        <v>14452</v>
      </c>
      <c r="C3892" s="2">
        <v>46264.416666666664</v>
      </c>
      <c r="D3892" s="8" t="s">
        <v>13933</v>
      </c>
      <c r="E3892" s="8" t="s">
        <v>59</v>
      </c>
      <c r="F3892">
        <v>2</v>
      </c>
      <c r="G3892" s="2">
        <v>46264.75</v>
      </c>
      <c r="H3892" s="2">
        <v>46264.583333333336</v>
      </c>
    </row>
    <row r="3893" spans="1:8" x14ac:dyDescent="0.25">
      <c r="A3893" s="8" t="s">
        <v>12501</v>
      </c>
      <c r="B3893" s="8" t="s">
        <v>14452</v>
      </c>
      <c r="C3893" s="2">
        <v>46264.416666666664</v>
      </c>
      <c r="D3893" s="8" t="s">
        <v>13933</v>
      </c>
      <c r="E3893" s="8" t="s">
        <v>67</v>
      </c>
      <c r="F3893">
        <v>8</v>
      </c>
      <c r="G3893" s="2">
        <v>46264.75</v>
      </c>
      <c r="H3893" s="2">
        <v>46264.583333333336</v>
      </c>
    </row>
    <row r="3894" spans="1:8" x14ac:dyDescent="0.25">
      <c r="A3894" s="8" t="s">
        <v>12504</v>
      </c>
      <c r="B3894" s="8" t="s">
        <v>14452</v>
      </c>
      <c r="C3894" s="2">
        <v>46264.416666666664</v>
      </c>
      <c r="D3894" s="8" t="s">
        <v>13933</v>
      </c>
      <c r="E3894" s="8" t="s">
        <v>71</v>
      </c>
      <c r="F3894">
        <v>6</v>
      </c>
      <c r="G3894" s="2">
        <v>46264.75</v>
      </c>
      <c r="H3894" s="2">
        <v>46264.583333333336</v>
      </c>
    </row>
    <row r="3895" spans="1:8" x14ac:dyDescent="0.25">
      <c r="A3895" s="8" t="s">
        <v>12507</v>
      </c>
      <c r="B3895" s="8" t="s">
        <v>14452</v>
      </c>
      <c r="C3895" s="2">
        <v>46264.416666666664</v>
      </c>
      <c r="D3895" s="8" t="s">
        <v>13933</v>
      </c>
      <c r="E3895" s="8" t="s">
        <v>73</v>
      </c>
      <c r="F3895">
        <v>8</v>
      </c>
      <c r="G3895" s="2">
        <v>46264.75</v>
      </c>
      <c r="H3895" s="2">
        <v>46264.583333333336</v>
      </c>
    </row>
    <row r="3896" spans="1:8" x14ac:dyDescent="0.25">
      <c r="A3896" s="8" t="s">
        <v>12510</v>
      </c>
      <c r="B3896" s="8" t="s">
        <v>14452</v>
      </c>
      <c r="C3896" s="2">
        <v>46264.416666666664</v>
      </c>
      <c r="D3896" s="8" t="s">
        <v>13933</v>
      </c>
      <c r="E3896" s="8" t="s">
        <v>79</v>
      </c>
      <c r="F3896">
        <v>2</v>
      </c>
      <c r="G3896" s="2">
        <v>46264.75</v>
      </c>
      <c r="H3896" s="2">
        <v>46264.583333333336</v>
      </c>
    </row>
    <row r="3897" spans="1:8" x14ac:dyDescent="0.25">
      <c r="A3897" s="8" t="s">
        <v>12513</v>
      </c>
      <c r="B3897" s="8" t="s">
        <v>14453</v>
      </c>
      <c r="C3897" s="2">
        <v>46264.416666666664</v>
      </c>
      <c r="D3897" s="8" t="s">
        <v>13935</v>
      </c>
      <c r="E3897" s="8" t="s">
        <v>18</v>
      </c>
      <c r="F3897">
        <v>9</v>
      </c>
      <c r="G3897" s="2">
        <v>46264.75</v>
      </c>
      <c r="H3897" s="2">
        <v>46264.583333333336</v>
      </c>
    </row>
    <row r="3898" spans="1:8" x14ac:dyDescent="0.25">
      <c r="A3898" s="8" t="s">
        <v>12516</v>
      </c>
      <c r="B3898" s="8" t="s">
        <v>14453</v>
      </c>
      <c r="C3898" s="2">
        <v>46264.416666666664</v>
      </c>
      <c r="D3898" s="8" t="s">
        <v>13935</v>
      </c>
      <c r="E3898" s="8" t="s">
        <v>20</v>
      </c>
      <c r="F3898">
        <v>4</v>
      </c>
      <c r="G3898" s="2">
        <v>46264.75</v>
      </c>
      <c r="H3898" s="2">
        <v>46264.583333333336</v>
      </c>
    </row>
    <row r="3899" spans="1:8" x14ac:dyDescent="0.25">
      <c r="A3899" s="8" t="s">
        <v>12519</v>
      </c>
      <c r="B3899" s="8" t="s">
        <v>14453</v>
      </c>
      <c r="C3899" s="2">
        <v>46264.416666666664</v>
      </c>
      <c r="D3899" s="8" t="s">
        <v>13935</v>
      </c>
      <c r="E3899" s="8" t="s">
        <v>22</v>
      </c>
      <c r="F3899">
        <v>9</v>
      </c>
      <c r="G3899" s="2">
        <v>46264.75</v>
      </c>
      <c r="H3899" s="2">
        <v>46264.583333333336</v>
      </c>
    </row>
    <row r="3900" spans="1:8" x14ac:dyDescent="0.25">
      <c r="A3900" s="8" t="s">
        <v>12522</v>
      </c>
      <c r="B3900" s="8" t="s">
        <v>14453</v>
      </c>
      <c r="C3900" s="2">
        <v>46264.416666666664</v>
      </c>
      <c r="D3900" s="8" t="s">
        <v>13935</v>
      </c>
      <c r="E3900" s="8" t="s">
        <v>24</v>
      </c>
      <c r="F3900">
        <v>7</v>
      </c>
      <c r="G3900" s="2">
        <v>46264.75</v>
      </c>
      <c r="H3900" s="2">
        <v>46264.583333333336</v>
      </c>
    </row>
    <row r="3901" spans="1:8" x14ac:dyDescent="0.25">
      <c r="A3901" s="8" t="s">
        <v>12525</v>
      </c>
      <c r="B3901" s="8" t="s">
        <v>14453</v>
      </c>
      <c r="C3901" s="2">
        <v>46264.416666666664</v>
      </c>
      <c r="D3901" s="8" t="s">
        <v>13935</v>
      </c>
      <c r="E3901" s="8" t="s">
        <v>26</v>
      </c>
      <c r="F3901">
        <v>4</v>
      </c>
      <c r="G3901" s="2">
        <v>46264.75</v>
      </c>
      <c r="H3901" s="2">
        <v>46264.583333333336</v>
      </c>
    </row>
    <row r="3902" spans="1:8" x14ac:dyDescent="0.25">
      <c r="A3902" s="8" t="s">
        <v>12528</v>
      </c>
      <c r="B3902" s="8" t="s">
        <v>14453</v>
      </c>
      <c r="C3902" s="2">
        <v>46264.416666666664</v>
      </c>
      <c r="D3902" s="8" t="s">
        <v>13935</v>
      </c>
      <c r="E3902" s="8" t="s">
        <v>30</v>
      </c>
      <c r="F3902">
        <v>7</v>
      </c>
      <c r="G3902" s="2">
        <v>46264.75</v>
      </c>
      <c r="H3902" s="2">
        <v>46264.583333333336</v>
      </c>
    </row>
    <row r="3903" spans="1:8" x14ac:dyDescent="0.25">
      <c r="A3903" s="8" t="s">
        <v>12533</v>
      </c>
      <c r="B3903" s="8" t="s">
        <v>14453</v>
      </c>
      <c r="C3903" s="2">
        <v>46264.416666666664</v>
      </c>
      <c r="D3903" s="8" t="s">
        <v>13935</v>
      </c>
      <c r="E3903" s="8" t="s">
        <v>55</v>
      </c>
      <c r="F3903">
        <v>5</v>
      </c>
      <c r="G3903" s="2">
        <v>46264.75</v>
      </c>
      <c r="H3903" s="2">
        <v>46264.583333333336</v>
      </c>
    </row>
    <row r="3904" spans="1:8" x14ac:dyDescent="0.25">
      <c r="A3904" s="8" t="s">
        <v>12536</v>
      </c>
      <c r="B3904" s="8" t="s">
        <v>14453</v>
      </c>
      <c r="C3904" s="2">
        <v>46264.416666666664</v>
      </c>
      <c r="D3904" s="8" t="s">
        <v>13935</v>
      </c>
      <c r="E3904" s="8" t="s">
        <v>67</v>
      </c>
      <c r="F3904">
        <v>9</v>
      </c>
      <c r="G3904" s="2">
        <v>46264.75</v>
      </c>
      <c r="H3904" s="2">
        <v>46264.583333333336</v>
      </c>
    </row>
    <row r="3905" spans="1:8" x14ac:dyDescent="0.25">
      <c r="A3905" s="8" t="s">
        <v>12539</v>
      </c>
      <c r="B3905" s="8" t="s">
        <v>14453</v>
      </c>
      <c r="C3905" s="2">
        <v>46264.416666666664</v>
      </c>
      <c r="D3905" s="8" t="s">
        <v>13935</v>
      </c>
      <c r="E3905" s="8" t="s">
        <v>71</v>
      </c>
      <c r="F3905">
        <v>5</v>
      </c>
      <c r="G3905" s="2">
        <v>46264.75</v>
      </c>
      <c r="H3905" s="2">
        <v>46264.583333333336</v>
      </c>
    </row>
    <row r="3906" spans="1:8" x14ac:dyDescent="0.25">
      <c r="A3906" s="8" t="s">
        <v>12542</v>
      </c>
      <c r="B3906" s="8" t="s">
        <v>14454</v>
      </c>
      <c r="C3906" s="2">
        <v>46264.416666666664</v>
      </c>
      <c r="D3906" s="8" t="s">
        <v>13937</v>
      </c>
      <c r="E3906" s="8" t="s">
        <v>11</v>
      </c>
      <c r="F3906">
        <v>5</v>
      </c>
      <c r="G3906" s="2">
        <v>46264.75</v>
      </c>
      <c r="H3906" s="2">
        <v>46264.583333333336</v>
      </c>
    </row>
    <row r="3907" spans="1:8" x14ac:dyDescent="0.25">
      <c r="A3907" s="8" t="s">
        <v>12545</v>
      </c>
      <c r="B3907" s="8" t="s">
        <v>14454</v>
      </c>
      <c r="C3907" s="2">
        <v>46264.416666666664</v>
      </c>
      <c r="D3907" s="8" t="s">
        <v>13937</v>
      </c>
      <c r="E3907" s="8" t="s">
        <v>18</v>
      </c>
      <c r="F3907">
        <v>2</v>
      </c>
      <c r="G3907" s="2">
        <v>46264.75</v>
      </c>
      <c r="H3907" s="2">
        <v>46264.583333333336</v>
      </c>
    </row>
    <row r="3908" spans="1:8" x14ac:dyDescent="0.25">
      <c r="A3908" s="8" t="s">
        <v>12548</v>
      </c>
      <c r="B3908" s="8" t="s">
        <v>14454</v>
      </c>
      <c r="C3908" s="2">
        <v>46264.416666666664</v>
      </c>
      <c r="D3908" s="8" t="s">
        <v>13937</v>
      </c>
      <c r="E3908" s="8" t="s">
        <v>24</v>
      </c>
      <c r="F3908">
        <v>1</v>
      </c>
      <c r="G3908" s="2">
        <v>46264.75</v>
      </c>
      <c r="H3908" s="2">
        <v>46264.583333333336</v>
      </c>
    </row>
    <row r="3909" spans="1:8" x14ac:dyDescent="0.25">
      <c r="A3909" s="8" t="s">
        <v>12551</v>
      </c>
      <c r="B3909" s="8" t="s">
        <v>14454</v>
      </c>
      <c r="C3909" s="2">
        <v>46264.416666666664</v>
      </c>
      <c r="D3909" s="8" t="s">
        <v>13937</v>
      </c>
      <c r="E3909" s="8" t="s">
        <v>26</v>
      </c>
      <c r="F3909">
        <v>2</v>
      </c>
      <c r="G3909" s="2">
        <v>46264.75</v>
      </c>
      <c r="H3909" s="2">
        <v>46264.583333333336</v>
      </c>
    </row>
    <row r="3910" spans="1:8" x14ac:dyDescent="0.25">
      <c r="A3910" s="8" t="s">
        <v>12554</v>
      </c>
      <c r="B3910" s="8" t="s">
        <v>14454</v>
      </c>
      <c r="C3910" s="2">
        <v>46264.416666666664</v>
      </c>
      <c r="D3910" s="8" t="s">
        <v>13937</v>
      </c>
      <c r="E3910" s="8" t="s">
        <v>32</v>
      </c>
      <c r="F3910">
        <v>4</v>
      </c>
      <c r="G3910" s="2">
        <v>46264.75</v>
      </c>
      <c r="H3910" s="2">
        <v>46264.583333333336</v>
      </c>
    </row>
    <row r="3911" spans="1:8" x14ac:dyDescent="0.25">
      <c r="A3911" s="8" t="s">
        <v>12557</v>
      </c>
      <c r="B3911" s="8" t="s">
        <v>14454</v>
      </c>
      <c r="C3911" s="2">
        <v>46264.416666666664</v>
      </c>
      <c r="D3911" s="8" t="s">
        <v>13937</v>
      </c>
      <c r="E3911" s="8" t="s">
        <v>36</v>
      </c>
      <c r="F3911">
        <v>2</v>
      </c>
      <c r="G3911" s="2">
        <v>46264.75</v>
      </c>
      <c r="H3911" s="2">
        <v>46264.583333333336</v>
      </c>
    </row>
    <row r="3912" spans="1:8" x14ac:dyDescent="0.25">
      <c r="A3912" s="8" t="s">
        <v>12560</v>
      </c>
      <c r="B3912" s="8" t="s">
        <v>14454</v>
      </c>
      <c r="C3912" s="2">
        <v>46264.416666666664</v>
      </c>
      <c r="D3912" s="8" t="s">
        <v>13937</v>
      </c>
      <c r="E3912" s="8" t="s">
        <v>43</v>
      </c>
      <c r="F3912">
        <v>2</v>
      </c>
      <c r="G3912" s="2">
        <v>46264.75</v>
      </c>
      <c r="H3912" s="2">
        <v>46264.583333333336</v>
      </c>
    </row>
    <row r="3913" spans="1:8" x14ac:dyDescent="0.25">
      <c r="A3913" s="8" t="s">
        <v>12563</v>
      </c>
      <c r="B3913" s="8" t="s">
        <v>14454</v>
      </c>
      <c r="C3913" s="2">
        <v>46264.416666666664</v>
      </c>
      <c r="D3913" s="8" t="s">
        <v>13937</v>
      </c>
      <c r="E3913" s="8" t="s">
        <v>51</v>
      </c>
      <c r="F3913">
        <v>6</v>
      </c>
      <c r="G3913" s="2">
        <v>46264.75</v>
      </c>
      <c r="H3913" s="2">
        <v>46264.583333333336</v>
      </c>
    </row>
    <row r="3914" spans="1:8" x14ac:dyDescent="0.25">
      <c r="A3914" s="8" t="s">
        <v>12566</v>
      </c>
      <c r="B3914" s="8" t="s">
        <v>14454</v>
      </c>
      <c r="C3914" s="2">
        <v>46264.416666666664</v>
      </c>
      <c r="D3914" s="8" t="s">
        <v>13937</v>
      </c>
      <c r="E3914" s="8" t="s">
        <v>75</v>
      </c>
      <c r="F3914">
        <v>4</v>
      </c>
      <c r="G3914" s="2">
        <v>46264.75</v>
      </c>
      <c r="H3914" s="2">
        <v>46264.583333333336</v>
      </c>
    </row>
    <row r="3915" spans="1:8" x14ac:dyDescent="0.25">
      <c r="A3915" s="8" t="s">
        <v>12569</v>
      </c>
      <c r="B3915" s="8" t="s">
        <v>14455</v>
      </c>
      <c r="C3915" s="2">
        <v>46265.416666666664</v>
      </c>
      <c r="D3915" s="8" t="s">
        <v>13929</v>
      </c>
      <c r="E3915" s="8" t="s">
        <v>11</v>
      </c>
      <c r="F3915">
        <v>4</v>
      </c>
      <c r="G3915" s="2">
        <v>46265.75</v>
      </c>
      <c r="H3915" s="2">
        <v>46265.583333333336</v>
      </c>
    </row>
    <row r="3916" spans="1:8" x14ac:dyDescent="0.25">
      <c r="A3916" s="8" t="s">
        <v>12572</v>
      </c>
      <c r="B3916" s="8" t="s">
        <v>14455</v>
      </c>
      <c r="C3916" s="2">
        <v>46265.416666666664</v>
      </c>
      <c r="D3916" s="8" t="s">
        <v>13929</v>
      </c>
      <c r="E3916" s="8" t="s">
        <v>22</v>
      </c>
      <c r="F3916">
        <v>2</v>
      </c>
      <c r="G3916" s="2">
        <v>46265.75</v>
      </c>
      <c r="H3916" s="2">
        <v>46265.583333333336</v>
      </c>
    </row>
    <row r="3917" spans="1:8" x14ac:dyDescent="0.25">
      <c r="A3917" s="8" t="s">
        <v>12575</v>
      </c>
      <c r="B3917" s="8" t="s">
        <v>14455</v>
      </c>
      <c r="C3917" s="2">
        <v>46265.416666666664</v>
      </c>
      <c r="D3917" s="8" t="s">
        <v>13929</v>
      </c>
      <c r="E3917" s="8" t="s">
        <v>26</v>
      </c>
      <c r="F3917">
        <v>2</v>
      </c>
      <c r="G3917" s="2">
        <v>46265.75</v>
      </c>
      <c r="H3917" s="2">
        <v>46265.583333333336</v>
      </c>
    </row>
    <row r="3918" spans="1:8" x14ac:dyDescent="0.25">
      <c r="A3918" s="8" t="s">
        <v>12578</v>
      </c>
      <c r="B3918" s="8" t="s">
        <v>14455</v>
      </c>
      <c r="C3918" s="2">
        <v>46265.416666666664</v>
      </c>
      <c r="D3918" s="8" t="s">
        <v>13929</v>
      </c>
      <c r="E3918" s="8" t="s">
        <v>28</v>
      </c>
      <c r="F3918">
        <v>2</v>
      </c>
      <c r="G3918" s="2">
        <v>46265.75</v>
      </c>
      <c r="H3918" s="2">
        <v>46265.583333333336</v>
      </c>
    </row>
    <row r="3919" spans="1:8" x14ac:dyDescent="0.25">
      <c r="A3919" s="8" t="s">
        <v>12581</v>
      </c>
      <c r="B3919" s="8" t="s">
        <v>14455</v>
      </c>
      <c r="C3919" s="2">
        <v>46265.416666666664</v>
      </c>
      <c r="D3919" s="8" t="s">
        <v>13929</v>
      </c>
      <c r="E3919" s="8" t="s">
        <v>51</v>
      </c>
      <c r="F3919">
        <v>2</v>
      </c>
      <c r="G3919" s="2">
        <v>46265.75</v>
      </c>
      <c r="H3919" s="2">
        <v>46265.583333333336</v>
      </c>
    </row>
    <row r="3920" spans="1:8" x14ac:dyDescent="0.25">
      <c r="A3920" s="8" t="s">
        <v>12584</v>
      </c>
      <c r="B3920" s="8" t="s">
        <v>14455</v>
      </c>
      <c r="C3920" s="2">
        <v>46265.416666666664</v>
      </c>
      <c r="D3920" s="8" t="s">
        <v>13929</v>
      </c>
      <c r="E3920" s="8" t="s">
        <v>53</v>
      </c>
      <c r="F3920">
        <v>2</v>
      </c>
      <c r="G3920" s="2">
        <v>46265.75</v>
      </c>
      <c r="H3920" s="2">
        <v>46265.583333333336</v>
      </c>
    </row>
    <row r="3921" spans="1:8" x14ac:dyDescent="0.25">
      <c r="A3921" s="8" t="s">
        <v>12589</v>
      </c>
      <c r="B3921" s="8" t="s">
        <v>14455</v>
      </c>
      <c r="C3921" s="2">
        <v>46265.416666666664</v>
      </c>
      <c r="D3921" s="8" t="s">
        <v>13929</v>
      </c>
      <c r="E3921" s="8" t="s">
        <v>73</v>
      </c>
      <c r="F3921">
        <v>3</v>
      </c>
      <c r="G3921" s="2">
        <v>46265.75</v>
      </c>
      <c r="H3921" s="2">
        <v>46265.583333333336</v>
      </c>
    </row>
    <row r="3922" spans="1:8" x14ac:dyDescent="0.25">
      <c r="A3922" s="8" t="s">
        <v>12592</v>
      </c>
      <c r="B3922" s="8" t="s">
        <v>14456</v>
      </c>
      <c r="C3922" s="2">
        <v>46265.416666666664</v>
      </c>
      <c r="D3922" s="8" t="s">
        <v>13931</v>
      </c>
      <c r="E3922" s="8" t="s">
        <v>11</v>
      </c>
      <c r="F3922">
        <v>1</v>
      </c>
      <c r="G3922" s="2">
        <v>46265.75</v>
      </c>
      <c r="H3922" s="2">
        <v>46265.583333333336</v>
      </c>
    </row>
    <row r="3923" spans="1:8" x14ac:dyDescent="0.25">
      <c r="A3923" s="8" t="s">
        <v>12595</v>
      </c>
      <c r="B3923" s="8" t="s">
        <v>14456</v>
      </c>
      <c r="C3923" s="2">
        <v>46265.416666666664</v>
      </c>
      <c r="D3923" s="8" t="s">
        <v>13931</v>
      </c>
      <c r="E3923" s="8" t="s">
        <v>20</v>
      </c>
      <c r="F3923">
        <v>5</v>
      </c>
      <c r="G3923" s="2">
        <v>46265.75</v>
      </c>
      <c r="H3923" s="2">
        <v>46265.583333333336</v>
      </c>
    </row>
    <row r="3924" spans="1:8" x14ac:dyDescent="0.25">
      <c r="A3924" s="8" t="s">
        <v>14457</v>
      </c>
      <c r="B3924" s="8" t="s">
        <v>14456</v>
      </c>
      <c r="C3924" s="2">
        <v>46265.416666666664</v>
      </c>
      <c r="D3924" s="8" t="s">
        <v>13931</v>
      </c>
      <c r="E3924" s="8" t="s">
        <v>22</v>
      </c>
      <c r="F3924">
        <v>4</v>
      </c>
      <c r="G3924" s="2">
        <v>46265.75</v>
      </c>
      <c r="H3924" s="2"/>
    </row>
    <row r="3925" spans="1:8" x14ac:dyDescent="0.25">
      <c r="A3925" s="8" t="s">
        <v>12598</v>
      </c>
      <c r="B3925" s="8" t="s">
        <v>14456</v>
      </c>
      <c r="C3925" s="2">
        <v>46265.416666666664</v>
      </c>
      <c r="D3925" s="8" t="s">
        <v>13931</v>
      </c>
      <c r="E3925" s="8" t="s">
        <v>24</v>
      </c>
      <c r="F3925">
        <v>5</v>
      </c>
      <c r="G3925" s="2">
        <v>46265.75</v>
      </c>
      <c r="H3925" s="2">
        <v>46265.583333333336</v>
      </c>
    </row>
    <row r="3926" spans="1:8" x14ac:dyDescent="0.25">
      <c r="A3926" s="8" t="s">
        <v>12601</v>
      </c>
      <c r="B3926" s="8" t="s">
        <v>14456</v>
      </c>
      <c r="C3926" s="2">
        <v>46265.416666666664</v>
      </c>
      <c r="D3926" s="8" t="s">
        <v>13931</v>
      </c>
      <c r="E3926" s="8" t="s">
        <v>32</v>
      </c>
      <c r="F3926">
        <v>3</v>
      </c>
      <c r="G3926" s="2">
        <v>46265.75</v>
      </c>
      <c r="H3926" s="2">
        <v>46265.583333333336</v>
      </c>
    </row>
    <row r="3927" spans="1:8" x14ac:dyDescent="0.25">
      <c r="A3927" s="8" t="s">
        <v>12604</v>
      </c>
      <c r="B3927" s="8" t="s">
        <v>14456</v>
      </c>
      <c r="C3927" s="2">
        <v>46265.416666666664</v>
      </c>
      <c r="D3927" s="8" t="s">
        <v>13931</v>
      </c>
      <c r="E3927" s="8" t="s">
        <v>45</v>
      </c>
      <c r="F3927">
        <v>4</v>
      </c>
      <c r="G3927" s="2">
        <v>46265.75</v>
      </c>
      <c r="H3927" s="2">
        <v>46265.583333333336</v>
      </c>
    </row>
    <row r="3928" spans="1:8" x14ac:dyDescent="0.25">
      <c r="A3928" s="8" t="s">
        <v>12607</v>
      </c>
      <c r="B3928" s="8" t="s">
        <v>14456</v>
      </c>
      <c r="C3928" s="2">
        <v>46265.416666666664</v>
      </c>
      <c r="D3928" s="8" t="s">
        <v>13931</v>
      </c>
      <c r="E3928" s="8" t="s">
        <v>51</v>
      </c>
      <c r="F3928">
        <v>5</v>
      </c>
      <c r="G3928" s="2">
        <v>46265.75</v>
      </c>
      <c r="H3928" s="2">
        <v>46265.583333333336</v>
      </c>
    </row>
    <row r="3929" spans="1:8" x14ac:dyDescent="0.25">
      <c r="A3929" s="8" t="s">
        <v>12612</v>
      </c>
      <c r="B3929" s="8" t="s">
        <v>14456</v>
      </c>
      <c r="C3929" s="2">
        <v>46265.416666666664</v>
      </c>
      <c r="D3929" s="8" t="s">
        <v>13931</v>
      </c>
      <c r="E3929" s="8" t="s">
        <v>67</v>
      </c>
      <c r="F3929">
        <v>5</v>
      </c>
      <c r="G3929" s="2">
        <v>46265.75</v>
      </c>
      <c r="H3929" s="2">
        <v>46265.583333333336</v>
      </c>
    </row>
    <row r="3930" spans="1:8" x14ac:dyDescent="0.25">
      <c r="A3930" s="8" t="s">
        <v>12617</v>
      </c>
      <c r="B3930" s="8" t="s">
        <v>14456</v>
      </c>
      <c r="C3930" s="2">
        <v>46265.416666666664</v>
      </c>
      <c r="D3930" s="8" t="s">
        <v>13931</v>
      </c>
      <c r="E3930" s="8" t="s">
        <v>75</v>
      </c>
      <c r="F3930">
        <v>3</v>
      </c>
      <c r="G3930" s="2">
        <v>46265.75</v>
      </c>
      <c r="H3930" s="2">
        <v>46265.583333333336</v>
      </c>
    </row>
    <row r="3931" spans="1:8" x14ac:dyDescent="0.25">
      <c r="A3931" s="8" t="s">
        <v>12620</v>
      </c>
      <c r="B3931" s="8" t="s">
        <v>14458</v>
      </c>
      <c r="C3931" s="2">
        <v>46265.416666666664</v>
      </c>
      <c r="D3931" s="8" t="s">
        <v>13933</v>
      </c>
      <c r="E3931" s="8" t="s">
        <v>11</v>
      </c>
      <c r="F3931">
        <v>2</v>
      </c>
      <c r="G3931" s="2">
        <v>46265.75</v>
      </c>
      <c r="H3931" s="2">
        <v>46265.583333333336</v>
      </c>
    </row>
    <row r="3932" spans="1:8" x14ac:dyDescent="0.25">
      <c r="A3932" s="8" t="s">
        <v>12623</v>
      </c>
      <c r="B3932" s="8" t="s">
        <v>14458</v>
      </c>
      <c r="C3932" s="2">
        <v>46265.416666666664</v>
      </c>
      <c r="D3932" s="8" t="s">
        <v>13933</v>
      </c>
      <c r="E3932" s="8" t="s">
        <v>20</v>
      </c>
      <c r="F3932">
        <v>1</v>
      </c>
      <c r="G3932" s="2">
        <v>46265.75</v>
      </c>
      <c r="H3932" s="2">
        <v>46265.583333333336</v>
      </c>
    </row>
    <row r="3933" spans="1:8" x14ac:dyDescent="0.25">
      <c r="A3933" s="8" t="s">
        <v>14459</v>
      </c>
      <c r="B3933" s="8" t="s">
        <v>14458</v>
      </c>
      <c r="C3933" s="2">
        <v>46265.416666666664</v>
      </c>
      <c r="D3933" s="8" t="s">
        <v>13933</v>
      </c>
      <c r="E3933" s="8" t="s">
        <v>22</v>
      </c>
      <c r="F3933">
        <v>5</v>
      </c>
      <c r="G3933" s="2">
        <v>46265.75</v>
      </c>
      <c r="H3933" s="2"/>
    </row>
    <row r="3934" spans="1:8" x14ac:dyDescent="0.25">
      <c r="A3934" s="8" t="s">
        <v>12626</v>
      </c>
      <c r="B3934" s="8" t="s">
        <v>14458</v>
      </c>
      <c r="C3934" s="2">
        <v>46265.416666666664</v>
      </c>
      <c r="D3934" s="8" t="s">
        <v>13933</v>
      </c>
      <c r="E3934" s="8" t="s">
        <v>24</v>
      </c>
      <c r="F3934">
        <v>2</v>
      </c>
      <c r="G3934" s="2">
        <v>46265.75</v>
      </c>
      <c r="H3934" s="2">
        <v>46265.583333333336</v>
      </c>
    </row>
    <row r="3935" spans="1:8" x14ac:dyDescent="0.25">
      <c r="A3935" s="8" t="s">
        <v>12629</v>
      </c>
      <c r="B3935" s="8" t="s">
        <v>14458</v>
      </c>
      <c r="C3935" s="2">
        <v>46265.416666666664</v>
      </c>
      <c r="D3935" s="8" t="s">
        <v>13933</v>
      </c>
      <c r="E3935" s="8" t="s">
        <v>30</v>
      </c>
      <c r="F3935">
        <v>5</v>
      </c>
      <c r="G3935" s="2">
        <v>46265.75</v>
      </c>
      <c r="H3935" s="2">
        <v>46265.583333333336</v>
      </c>
    </row>
    <row r="3936" spans="1:8" x14ac:dyDescent="0.25">
      <c r="A3936" s="8" t="s">
        <v>12632</v>
      </c>
      <c r="B3936" s="8" t="s">
        <v>14458</v>
      </c>
      <c r="C3936" s="2">
        <v>46265.416666666664</v>
      </c>
      <c r="D3936" s="8" t="s">
        <v>13933</v>
      </c>
      <c r="E3936" s="8" t="s">
        <v>36</v>
      </c>
      <c r="F3936">
        <v>6</v>
      </c>
      <c r="G3936" s="2">
        <v>46265.75</v>
      </c>
      <c r="H3936" s="2">
        <v>46265.583333333336</v>
      </c>
    </row>
    <row r="3937" spans="1:8" x14ac:dyDescent="0.25">
      <c r="A3937" s="8" t="s">
        <v>12635</v>
      </c>
      <c r="B3937" s="8" t="s">
        <v>14458</v>
      </c>
      <c r="C3937" s="2">
        <v>46265.416666666664</v>
      </c>
      <c r="D3937" s="8" t="s">
        <v>13933</v>
      </c>
      <c r="E3937" s="8" t="s">
        <v>51</v>
      </c>
      <c r="F3937">
        <v>5</v>
      </c>
      <c r="G3937" s="2">
        <v>46265.75</v>
      </c>
      <c r="H3937" s="2">
        <v>46265.583333333336</v>
      </c>
    </row>
    <row r="3938" spans="1:8" x14ac:dyDescent="0.25">
      <c r="A3938" s="8" t="s">
        <v>12638</v>
      </c>
      <c r="B3938" s="8" t="s">
        <v>14458</v>
      </c>
      <c r="C3938" s="2">
        <v>46265.416666666664</v>
      </c>
      <c r="D3938" s="8" t="s">
        <v>13933</v>
      </c>
      <c r="E3938" s="8" t="s">
        <v>53</v>
      </c>
      <c r="F3938">
        <v>6</v>
      </c>
      <c r="G3938" s="2">
        <v>46265.75</v>
      </c>
      <c r="H3938" s="2">
        <v>46265.583333333336</v>
      </c>
    </row>
    <row r="3939" spans="1:8" x14ac:dyDescent="0.25">
      <c r="A3939" s="8" t="s">
        <v>12641</v>
      </c>
      <c r="B3939" s="8" t="s">
        <v>14458</v>
      </c>
      <c r="C3939" s="2">
        <v>46265.416666666664</v>
      </c>
      <c r="D3939" s="8" t="s">
        <v>13933</v>
      </c>
      <c r="E3939" s="8" t="s">
        <v>57</v>
      </c>
      <c r="F3939">
        <v>1</v>
      </c>
      <c r="G3939" s="2">
        <v>46265.75</v>
      </c>
      <c r="H3939" s="2">
        <v>46265.583333333336</v>
      </c>
    </row>
    <row r="3940" spans="1:8" x14ac:dyDescent="0.25">
      <c r="A3940" s="8" t="s">
        <v>12644</v>
      </c>
      <c r="B3940" s="8" t="s">
        <v>14458</v>
      </c>
      <c r="C3940" s="2">
        <v>46265.416666666664</v>
      </c>
      <c r="D3940" s="8" t="s">
        <v>13933</v>
      </c>
      <c r="E3940" s="8" t="s">
        <v>75</v>
      </c>
      <c r="F3940">
        <v>6</v>
      </c>
      <c r="G3940" s="2">
        <v>46265.75</v>
      </c>
      <c r="H3940" s="2">
        <v>46265.583333333336</v>
      </c>
    </row>
    <row r="3941" spans="1:8" x14ac:dyDescent="0.25">
      <c r="A3941" s="8" t="s">
        <v>12647</v>
      </c>
      <c r="B3941" s="8" t="s">
        <v>14460</v>
      </c>
      <c r="C3941" s="2">
        <v>46265.416666666664</v>
      </c>
      <c r="D3941" s="8" t="s">
        <v>13935</v>
      </c>
      <c r="E3941" s="8" t="s">
        <v>11</v>
      </c>
      <c r="F3941">
        <v>6</v>
      </c>
      <c r="G3941" s="2">
        <v>46265.75</v>
      </c>
      <c r="H3941" s="2">
        <v>46265.583333333336</v>
      </c>
    </row>
    <row r="3942" spans="1:8" x14ac:dyDescent="0.25">
      <c r="A3942" s="8" t="s">
        <v>12650</v>
      </c>
      <c r="B3942" s="8" t="s">
        <v>14460</v>
      </c>
      <c r="C3942" s="2">
        <v>46265.416666666664</v>
      </c>
      <c r="D3942" s="8" t="s">
        <v>13935</v>
      </c>
      <c r="E3942" s="8" t="s">
        <v>18</v>
      </c>
      <c r="F3942">
        <v>3</v>
      </c>
      <c r="G3942" s="2">
        <v>46265.75</v>
      </c>
      <c r="H3942" s="2">
        <v>46265.583333333336</v>
      </c>
    </row>
    <row r="3943" spans="1:8" x14ac:dyDescent="0.25">
      <c r="A3943" s="8" t="s">
        <v>14461</v>
      </c>
      <c r="B3943" s="8" t="s">
        <v>14460</v>
      </c>
      <c r="C3943" s="2">
        <v>46265.416666666664</v>
      </c>
      <c r="D3943" s="8" t="s">
        <v>13935</v>
      </c>
      <c r="E3943" s="8" t="s">
        <v>22</v>
      </c>
      <c r="F3943">
        <v>7</v>
      </c>
      <c r="G3943" s="2">
        <v>46265.75</v>
      </c>
      <c r="H3943" s="2"/>
    </row>
    <row r="3944" spans="1:8" x14ac:dyDescent="0.25">
      <c r="A3944" s="8" t="s">
        <v>12653</v>
      </c>
      <c r="B3944" s="8" t="s">
        <v>14460</v>
      </c>
      <c r="C3944" s="2">
        <v>46265.416666666664</v>
      </c>
      <c r="D3944" s="8" t="s">
        <v>13935</v>
      </c>
      <c r="E3944" s="8" t="s">
        <v>26</v>
      </c>
      <c r="F3944">
        <v>4</v>
      </c>
      <c r="G3944" s="2">
        <v>46265.75</v>
      </c>
      <c r="H3944" s="2">
        <v>46265.583333333336</v>
      </c>
    </row>
    <row r="3945" spans="1:8" x14ac:dyDescent="0.25">
      <c r="A3945" s="8" t="s">
        <v>12656</v>
      </c>
      <c r="B3945" s="8" t="s">
        <v>14460</v>
      </c>
      <c r="C3945" s="2">
        <v>46265.416666666664</v>
      </c>
      <c r="D3945" s="8" t="s">
        <v>13935</v>
      </c>
      <c r="E3945" s="8" t="s">
        <v>43</v>
      </c>
      <c r="F3945">
        <v>7</v>
      </c>
      <c r="G3945" s="2">
        <v>46265.75</v>
      </c>
      <c r="H3945" s="2">
        <v>46265.583333333336</v>
      </c>
    </row>
    <row r="3946" spans="1:8" x14ac:dyDescent="0.25">
      <c r="A3946" s="8" t="s">
        <v>12659</v>
      </c>
      <c r="B3946" s="8" t="s">
        <v>14460</v>
      </c>
      <c r="C3946" s="2">
        <v>46265.416666666664</v>
      </c>
      <c r="D3946" s="8" t="s">
        <v>13935</v>
      </c>
      <c r="E3946" s="8" t="s">
        <v>49</v>
      </c>
      <c r="F3946">
        <v>1</v>
      </c>
      <c r="G3946" s="2">
        <v>46265.75</v>
      </c>
      <c r="H3946" s="2">
        <v>46265.583333333336</v>
      </c>
    </row>
    <row r="3947" spans="1:8" x14ac:dyDescent="0.25">
      <c r="A3947" s="8" t="s">
        <v>12662</v>
      </c>
      <c r="B3947" s="8" t="s">
        <v>14460</v>
      </c>
      <c r="C3947" s="2">
        <v>46265.416666666664</v>
      </c>
      <c r="D3947" s="8" t="s">
        <v>13935</v>
      </c>
      <c r="E3947" s="8" t="s">
        <v>57</v>
      </c>
      <c r="F3947">
        <v>4</v>
      </c>
      <c r="G3947" s="2">
        <v>46265.75</v>
      </c>
      <c r="H3947" s="2">
        <v>46265.583333333336</v>
      </c>
    </row>
    <row r="3948" spans="1:8" x14ac:dyDescent="0.25">
      <c r="A3948" s="8" t="s">
        <v>12665</v>
      </c>
      <c r="B3948" s="8" t="s">
        <v>14460</v>
      </c>
      <c r="C3948" s="2">
        <v>46265.416666666664</v>
      </c>
      <c r="D3948" s="8" t="s">
        <v>13935</v>
      </c>
      <c r="E3948" s="8" t="s">
        <v>59</v>
      </c>
      <c r="F3948">
        <v>4</v>
      </c>
      <c r="G3948" s="2">
        <v>46265.75</v>
      </c>
      <c r="H3948" s="2">
        <v>46265.583333333336</v>
      </c>
    </row>
    <row r="3949" spans="1:8" x14ac:dyDescent="0.25">
      <c r="A3949" s="8" t="s">
        <v>12668</v>
      </c>
      <c r="B3949" s="8" t="s">
        <v>14460</v>
      </c>
      <c r="C3949" s="2">
        <v>46265.416666666664</v>
      </c>
      <c r="D3949" s="8" t="s">
        <v>13935</v>
      </c>
      <c r="E3949" s="8" t="s">
        <v>65</v>
      </c>
      <c r="F3949">
        <v>7</v>
      </c>
      <c r="G3949" s="2">
        <v>46265.75</v>
      </c>
      <c r="H3949" s="2">
        <v>46265.583333333336</v>
      </c>
    </row>
    <row r="3950" spans="1:8" x14ac:dyDescent="0.25">
      <c r="A3950" s="8" t="s">
        <v>12671</v>
      </c>
      <c r="B3950" s="8" t="s">
        <v>14462</v>
      </c>
      <c r="C3950" s="2">
        <v>46265.416666666664</v>
      </c>
      <c r="D3950" s="8" t="s">
        <v>13937</v>
      </c>
      <c r="E3950" s="8" t="s">
        <v>11</v>
      </c>
      <c r="F3950">
        <v>4</v>
      </c>
      <c r="G3950" s="2">
        <v>46265.75</v>
      </c>
      <c r="H3950" s="2">
        <v>46265.583333333336</v>
      </c>
    </row>
    <row r="3951" spans="1:8" x14ac:dyDescent="0.25">
      <c r="A3951" s="8" t="s">
        <v>12674</v>
      </c>
      <c r="B3951" s="8" t="s">
        <v>14462</v>
      </c>
      <c r="C3951" s="2">
        <v>46265.416666666664</v>
      </c>
      <c r="D3951" s="8" t="s">
        <v>13937</v>
      </c>
      <c r="E3951" s="8" t="s">
        <v>20</v>
      </c>
      <c r="F3951">
        <v>2</v>
      </c>
      <c r="G3951" s="2">
        <v>46265.75</v>
      </c>
      <c r="H3951" s="2">
        <v>46265.583333333336</v>
      </c>
    </row>
    <row r="3952" spans="1:8" x14ac:dyDescent="0.25">
      <c r="A3952" s="8" t="s">
        <v>14463</v>
      </c>
      <c r="B3952" s="8" t="s">
        <v>14462</v>
      </c>
      <c r="C3952" s="2">
        <v>46265.416666666664</v>
      </c>
      <c r="D3952" s="8" t="s">
        <v>13937</v>
      </c>
      <c r="E3952" s="8" t="s">
        <v>22</v>
      </c>
      <c r="F3952">
        <v>3</v>
      </c>
      <c r="G3952" s="2">
        <v>46265.75</v>
      </c>
      <c r="H3952" s="2"/>
    </row>
    <row r="3953" spans="1:8" x14ac:dyDescent="0.25">
      <c r="A3953" s="8" t="s">
        <v>12677</v>
      </c>
      <c r="B3953" s="8" t="s">
        <v>14462</v>
      </c>
      <c r="C3953" s="2">
        <v>46265.416666666664</v>
      </c>
      <c r="D3953" s="8" t="s">
        <v>13937</v>
      </c>
      <c r="E3953" s="8" t="s">
        <v>26</v>
      </c>
      <c r="F3953">
        <v>4</v>
      </c>
      <c r="G3953" s="2">
        <v>46265.75</v>
      </c>
      <c r="H3953" s="2">
        <v>46265.583333333336</v>
      </c>
    </row>
    <row r="3954" spans="1:8" x14ac:dyDescent="0.25">
      <c r="A3954" s="8" t="s">
        <v>12680</v>
      </c>
      <c r="B3954" s="8" t="s">
        <v>14462</v>
      </c>
      <c r="C3954" s="2">
        <v>46265.416666666664</v>
      </c>
      <c r="D3954" s="8" t="s">
        <v>13937</v>
      </c>
      <c r="E3954" s="8" t="s">
        <v>28</v>
      </c>
      <c r="F3954">
        <v>1</v>
      </c>
      <c r="G3954" s="2">
        <v>46265.75</v>
      </c>
      <c r="H3954" s="2">
        <v>46265.583333333336</v>
      </c>
    </row>
    <row r="3955" spans="1:8" x14ac:dyDescent="0.25">
      <c r="A3955" s="8" t="s">
        <v>12683</v>
      </c>
      <c r="B3955" s="8" t="s">
        <v>14462</v>
      </c>
      <c r="C3955" s="2">
        <v>46265.416666666664</v>
      </c>
      <c r="D3955" s="8" t="s">
        <v>13937</v>
      </c>
      <c r="E3955" s="8" t="s">
        <v>30</v>
      </c>
      <c r="F3955">
        <v>3</v>
      </c>
      <c r="G3955" s="2">
        <v>46265.75</v>
      </c>
      <c r="H3955" s="2">
        <v>46265.583333333336</v>
      </c>
    </row>
    <row r="3956" spans="1:8" x14ac:dyDescent="0.25">
      <c r="A3956" s="8" t="s">
        <v>12686</v>
      </c>
      <c r="B3956" s="8" t="s">
        <v>14462</v>
      </c>
      <c r="C3956" s="2">
        <v>46265.416666666664</v>
      </c>
      <c r="D3956" s="8" t="s">
        <v>13937</v>
      </c>
      <c r="E3956" s="8" t="s">
        <v>45</v>
      </c>
      <c r="F3956">
        <v>2</v>
      </c>
      <c r="G3956" s="2">
        <v>46265.75</v>
      </c>
      <c r="H3956" s="2">
        <v>46265.583333333336</v>
      </c>
    </row>
    <row r="3957" spans="1:8" x14ac:dyDescent="0.25">
      <c r="A3957" s="8" t="s">
        <v>12689</v>
      </c>
      <c r="B3957" s="8" t="s">
        <v>14462</v>
      </c>
      <c r="C3957" s="2">
        <v>46265.416666666664</v>
      </c>
      <c r="D3957" s="8" t="s">
        <v>13937</v>
      </c>
      <c r="E3957" s="8" t="s">
        <v>49</v>
      </c>
      <c r="F3957">
        <v>1</v>
      </c>
      <c r="G3957" s="2">
        <v>46265.75</v>
      </c>
      <c r="H3957" s="2">
        <v>46265.583333333336</v>
      </c>
    </row>
    <row r="3958" spans="1:8" x14ac:dyDescent="0.25">
      <c r="A3958" s="8" t="s">
        <v>12692</v>
      </c>
      <c r="B3958" s="8" t="s">
        <v>14462</v>
      </c>
      <c r="C3958" s="2">
        <v>46265.416666666664</v>
      </c>
      <c r="D3958" s="8" t="s">
        <v>13937</v>
      </c>
      <c r="E3958" s="8" t="s">
        <v>53</v>
      </c>
      <c r="F3958">
        <v>4</v>
      </c>
      <c r="G3958" s="2">
        <v>46265.75</v>
      </c>
      <c r="H3958" s="2">
        <v>46265.583333333336</v>
      </c>
    </row>
    <row r="3959" spans="1:8" x14ac:dyDescent="0.25">
      <c r="A3959" s="8" t="s">
        <v>12695</v>
      </c>
      <c r="B3959" s="8" t="s">
        <v>14462</v>
      </c>
      <c r="C3959" s="2">
        <v>46265.416666666664</v>
      </c>
      <c r="D3959" s="8" t="s">
        <v>13937</v>
      </c>
      <c r="E3959" s="8" t="s">
        <v>55</v>
      </c>
      <c r="F3959">
        <v>3</v>
      </c>
      <c r="G3959" s="2">
        <v>46265.75</v>
      </c>
      <c r="H3959" s="2">
        <v>46265.583333333336</v>
      </c>
    </row>
    <row r="3960" spans="1:8" x14ac:dyDescent="0.25">
      <c r="A3960" s="8" t="s">
        <v>12698</v>
      </c>
      <c r="B3960" s="8" t="s">
        <v>14462</v>
      </c>
      <c r="C3960" s="2">
        <v>46265.416666666664</v>
      </c>
      <c r="D3960" s="8" t="s">
        <v>13937</v>
      </c>
      <c r="E3960" s="8" t="s">
        <v>57</v>
      </c>
      <c r="F3960">
        <v>2</v>
      </c>
      <c r="G3960" s="2">
        <v>46265.75</v>
      </c>
      <c r="H3960" s="2">
        <v>46265.583333333336</v>
      </c>
    </row>
    <row r="3961" spans="1:8" x14ac:dyDescent="0.25">
      <c r="A3961" s="8" t="s">
        <v>12701</v>
      </c>
      <c r="B3961" s="8" t="s">
        <v>14462</v>
      </c>
      <c r="C3961" s="2">
        <v>46265.416666666664</v>
      </c>
      <c r="D3961" s="8" t="s">
        <v>13937</v>
      </c>
      <c r="E3961" s="8" t="s">
        <v>65</v>
      </c>
      <c r="F3961">
        <v>3</v>
      </c>
      <c r="G3961" s="2">
        <v>46265.75</v>
      </c>
      <c r="H3961" s="2">
        <v>46265.583333333336</v>
      </c>
    </row>
    <row r="3962" spans="1:8" x14ac:dyDescent="0.25">
      <c r="A3962" s="8" t="s">
        <v>12704</v>
      </c>
      <c r="B3962" s="8" t="s">
        <v>14462</v>
      </c>
      <c r="C3962" s="2">
        <v>46265.416666666664</v>
      </c>
      <c r="D3962" s="8" t="s">
        <v>13937</v>
      </c>
      <c r="E3962" s="8" t="s">
        <v>67</v>
      </c>
      <c r="F3962">
        <v>1</v>
      </c>
      <c r="G3962" s="2">
        <v>46265.75</v>
      </c>
      <c r="H3962" s="2">
        <v>46265.583333333336</v>
      </c>
    </row>
    <row r="3963" spans="1:8" x14ac:dyDescent="0.25">
      <c r="A3963" s="8" t="s">
        <v>12707</v>
      </c>
      <c r="B3963" s="8" t="s">
        <v>14462</v>
      </c>
      <c r="C3963" s="2">
        <v>46265.416666666664</v>
      </c>
      <c r="D3963" s="8" t="s">
        <v>13937</v>
      </c>
      <c r="E3963" s="8" t="s">
        <v>69</v>
      </c>
      <c r="F3963">
        <v>2</v>
      </c>
      <c r="G3963" s="2">
        <v>46265.75</v>
      </c>
      <c r="H3963" s="2">
        <v>46265.583333333336</v>
      </c>
    </row>
    <row r="3964" spans="1:8" x14ac:dyDescent="0.25">
      <c r="A3964" s="8" t="s">
        <v>12710</v>
      </c>
      <c r="B3964" s="8" t="s">
        <v>14462</v>
      </c>
      <c r="C3964" s="2">
        <v>46265.416666666664</v>
      </c>
      <c r="D3964" s="8" t="s">
        <v>13937</v>
      </c>
      <c r="E3964" s="8" t="s">
        <v>73</v>
      </c>
      <c r="F3964">
        <v>3</v>
      </c>
      <c r="G3964" s="2">
        <v>46265.75</v>
      </c>
      <c r="H3964" s="2">
        <v>46265.583333333336</v>
      </c>
    </row>
    <row r="3965" spans="1:8" x14ac:dyDescent="0.25">
      <c r="A3965" s="8" t="s">
        <v>12764</v>
      </c>
      <c r="B3965" s="8" t="s">
        <v>14464</v>
      </c>
      <c r="C3965" s="2">
        <v>46266.416666666664</v>
      </c>
      <c r="D3965" s="8" t="s">
        <v>13929</v>
      </c>
      <c r="E3965" s="8" t="s">
        <v>26</v>
      </c>
      <c r="F3965">
        <v>1</v>
      </c>
      <c r="G3965" s="2">
        <v>46266.75</v>
      </c>
      <c r="H3965" s="2">
        <v>46266.583333333336</v>
      </c>
    </row>
    <row r="3966" spans="1:8" x14ac:dyDescent="0.25">
      <c r="A3966" s="8" t="s">
        <v>12767</v>
      </c>
      <c r="B3966" s="8" t="s">
        <v>14464</v>
      </c>
      <c r="C3966" s="2">
        <v>46266.416666666664</v>
      </c>
      <c r="D3966" s="8" t="s">
        <v>13929</v>
      </c>
      <c r="E3966" s="8" t="s">
        <v>28</v>
      </c>
      <c r="F3966">
        <v>3</v>
      </c>
      <c r="G3966" s="2">
        <v>46266.75</v>
      </c>
      <c r="H3966" s="2">
        <v>46266.583333333336</v>
      </c>
    </row>
    <row r="3967" spans="1:8" x14ac:dyDescent="0.25">
      <c r="A3967" s="8" t="s">
        <v>12770</v>
      </c>
      <c r="B3967" s="8" t="s">
        <v>14464</v>
      </c>
      <c r="C3967" s="2">
        <v>46266.416666666664</v>
      </c>
      <c r="D3967" s="8" t="s">
        <v>13929</v>
      </c>
      <c r="E3967" s="8" t="s">
        <v>47</v>
      </c>
      <c r="F3967">
        <v>2</v>
      </c>
      <c r="G3967" s="2">
        <v>46266.75</v>
      </c>
      <c r="H3967" s="2">
        <v>46266.583333333336</v>
      </c>
    </row>
    <row r="3968" spans="1:8" x14ac:dyDescent="0.25">
      <c r="A3968" s="8" t="s">
        <v>12773</v>
      </c>
      <c r="B3968" s="8" t="s">
        <v>14464</v>
      </c>
      <c r="C3968" s="2">
        <v>46266.416666666664</v>
      </c>
      <c r="D3968" s="8" t="s">
        <v>13929</v>
      </c>
      <c r="E3968" s="8" t="s">
        <v>65</v>
      </c>
      <c r="F3968">
        <v>1</v>
      </c>
      <c r="G3968" s="2">
        <v>46266.75</v>
      </c>
      <c r="H3968" s="2">
        <v>46266.583333333336</v>
      </c>
    </row>
    <row r="3969" spans="1:8" x14ac:dyDescent="0.25">
      <c r="A3969" s="8" t="s">
        <v>12776</v>
      </c>
      <c r="B3969" s="8" t="s">
        <v>14464</v>
      </c>
      <c r="C3969" s="2">
        <v>46266.416666666664</v>
      </c>
      <c r="D3969" s="8" t="s">
        <v>13929</v>
      </c>
      <c r="E3969" s="8" t="s">
        <v>71</v>
      </c>
      <c r="F3969">
        <v>4</v>
      </c>
      <c r="G3969" s="2">
        <v>46266.75</v>
      </c>
      <c r="H3969" s="2">
        <v>46266.583333333336</v>
      </c>
    </row>
    <row r="3970" spans="1:8" x14ac:dyDescent="0.25">
      <c r="A3970" s="8" t="s">
        <v>12779</v>
      </c>
      <c r="B3970" s="8" t="s">
        <v>14465</v>
      </c>
      <c r="C3970" s="2">
        <v>46266.416666666664</v>
      </c>
      <c r="D3970" s="8" t="s">
        <v>13931</v>
      </c>
      <c r="E3970" s="8" t="s">
        <v>11</v>
      </c>
      <c r="F3970">
        <v>4</v>
      </c>
      <c r="G3970" s="2">
        <v>46266.75</v>
      </c>
      <c r="H3970" s="2">
        <v>46266.583333333336</v>
      </c>
    </row>
    <row r="3971" spans="1:8" x14ac:dyDescent="0.25">
      <c r="A3971" s="8" t="s">
        <v>12782</v>
      </c>
      <c r="B3971" s="8" t="s">
        <v>14465</v>
      </c>
      <c r="C3971" s="2">
        <v>46266.416666666664</v>
      </c>
      <c r="D3971" s="8" t="s">
        <v>13931</v>
      </c>
      <c r="E3971" s="8" t="s">
        <v>18</v>
      </c>
      <c r="F3971">
        <v>5</v>
      </c>
      <c r="G3971" s="2">
        <v>46266.75</v>
      </c>
      <c r="H3971" s="2">
        <v>46266.583333333336</v>
      </c>
    </row>
    <row r="3972" spans="1:8" x14ac:dyDescent="0.25">
      <c r="A3972" s="8" t="s">
        <v>12785</v>
      </c>
      <c r="B3972" s="8" t="s">
        <v>14465</v>
      </c>
      <c r="C3972" s="2">
        <v>46266.416666666664</v>
      </c>
      <c r="D3972" s="8" t="s">
        <v>13931</v>
      </c>
      <c r="E3972" s="8" t="s">
        <v>20</v>
      </c>
      <c r="F3972">
        <v>2</v>
      </c>
      <c r="G3972" s="2">
        <v>46266.75</v>
      </c>
      <c r="H3972" s="2">
        <v>46266.583333333336</v>
      </c>
    </row>
    <row r="3973" spans="1:8" x14ac:dyDescent="0.25">
      <c r="A3973" s="8" t="s">
        <v>12788</v>
      </c>
      <c r="B3973" s="8" t="s">
        <v>14465</v>
      </c>
      <c r="C3973" s="2">
        <v>46266.416666666664</v>
      </c>
      <c r="D3973" s="8" t="s">
        <v>13931</v>
      </c>
      <c r="E3973" s="8" t="s">
        <v>24</v>
      </c>
      <c r="F3973">
        <v>4</v>
      </c>
      <c r="G3973" s="2">
        <v>46266.75</v>
      </c>
      <c r="H3973" s="2">
        <v>46266.583333333336</v>
      </c>
    </row>
    <row r="3974" spans="1:8" x14ac:dyDescent="0.25">
      <c r="A3974" s="8" t="s">
        <v>12791</v>
      </c>
      <c r="B3974" s="8" t="s">
        <v>14465</v>
      </c>
      <c r="C3974" s="2">
        <v>46266.416666666664</v>
      </c>
      <c r="D3974" s="8" t="s">
        <v>13931</v>
      </c>
      <c r="E3974" s="8" t="s">
        <v>26</v>
      </c>
      <c r="F3974">
        <v>5</v>
      </c>
      <c r="G3974" s="2">
        <v>46266.75</v>
      </c>
      <c r="H3974" s="2">
        <v>46266.583333333336</v>
      </c>
    </row>
    <row r="3975" spans="1:8" x14ac:dyDescent="0.25">
      <c r="A3975" s="8" t="s">
        <v>12794</v>
      </c>
      <c r="B3975" s="8" t="s">
        <v>14465</v>
      </c>
      <c r="C3975" s="2">
        <v>46266.416666666664</v>
      </c>
      <c r="D3975" s="8" t="s">
        <v>13931</v>
      </c>
      <c r="E3975" s="8" t="s">
        <v>28</v>
      </c>
      <c r="F3975">
        <v>1</v>
      </c>
      <c r="G3975" s="2">
        <v>46266.75</v>
      </c>
      <c r="H3975" s="2">
        <v>46266.583333333336</v>
      </c>
    </row>
    <row r="3976" spans="1:8" x14ac:dyDescent="0.25">
      <c r="A3976" s="8" t="s">
        <v>12797</v>
      </c>
      <c r="B3976" s="8" t="s">
        <v>14465</v>
      </c>
      <c r="C3976" s="2">
        <v>46266.416666666664</v>
      </c>
      <c r="D3976" s="8" t="s">
        <v>13931</v>
      </c>
      <c r="E3976" s="8" t="s">
        <v>53</v>
      </c>
      <c r="F3976">
        <v>5</v>
      </c>
      <c r="G3976" s="2">
        <v>46266.75</v>
      </c>
      <c r="H3976" s="2">
        <v>46266.583333333336</v>
      </c>
    </row>
    <row r="3977" spans="1:8" x14ac:dyDescent="0.25">
      <c r="A3977" s="8" t="s">
        <v>12800</v>
      </c>
      <c r="B3977" s="8" t="s">
        <v>14465</v>
      </c>
      <c r="C3977" s="2">
        <v>46266.416666666664</v>
      </c>
      <c r="D3977" s="8" t="s">
        <v>13931</v>
      </c>
      <c r="E3977" s="8" t="s">
        <v>57</v>
      </c>
      <c r="F3977">
        <v>2</v>
      </c>
      <c r="G3977" s="2">
        <v>46266.75</v>
      </c>
      <c r="H3977" s="2">
        <v>46266.583333333336</v>
      </c>
    </row>
    <row r="3978" spans="1:8" x14ac:dyDescent="0.25">
      <c r="A3978" s="8" t="s">
        <v>12803</v>
      </c>
      <c r="B3978" s="8" t="s">
        <v>14465</v>
      </c>
      <c r="C3978" s="2">
        <v>46266.416666666664</v>
      </c>
      <c r="D3978" s="8" t="s">
        <v>13931</v>
      </c>
      <c r="E3978" s="8" t="s">
        <v>71</v>
      </c>
      <c r="F3978">
        <v>2</v>
      </c>
      <c r="G3978" s="2">
        <v>46266.75</v>
      </c>
      <c r="H3978" s="2">
        <v>46266.583333333336</v>
      </c>
    </row>
    <row r="3979" spans="1:8" x14ac:dyDescent="0.25">
      <c r="A3979" s="8" t="s">
        <v>12806</v>
      </c>
      <c r="B3979" s="8" t="s">
        <v>14465</v>
      </c>
      <c r="C3979" s="2">
        <v>46266.416666666664</v>
      </c>
      <c r="D3979" s="8" t="s">
        <v>13931</v>
      </c>
      <c r="E3979" s="8" t="s">
        <v>73</v>
      </c>
      <c r="F3979">
        <v>4</v>
      </c>
      <c r="G3979" s="2">
        <v>46266.75</v>
      </c>
      <c r="H3979" s="2">
        <v>46266.583333333336</v>
      </c>
    </row>
    <row r="3980" spans="1:8" x14ac:dyDescent="0.25">
      <c r="A3980" s="8" t="s">
        <v>12809</v>
      </c>
      <c r="B3980" s="8" t="s">
        <v>14466</v>
      </c>
      <c r="C3980" s="2">
        <v>46266.416666666664</v>
      </c>
      <c r="D3980" s="8" t="s">
        <v>13933</v>
      </c>
      <c r="E3980" s="8" t="s">
        <v>11</v>
      </c>
      <c r="F3980">
        <v>5</v>
      </c>
      <c r="G3980" s="2">
        <v>46266.75</v>
      </c>
      <c r="H3980" s="2">
        <v>46266.583333333336</v>
      </c>
    </row>
    <row r="3981" spans="1:8" x14ac:dyDescent="0.25">
      <c r="A3981" s="8" t="s">
        <v>12812</v>
      </c>
      <c r="B3981" s="8" t="s">
        <v>14466</v>
      </c>
      <c r="C3981" s="2">
        <v>46266.416666666664</v>
      </c>
      <c r="D3981" s="8" t="s">
        <v>13933</v>
      </c>
      <c r="E3981" s="8" t="s">
        <v>18</v>
      </c>
      <c r="F3981">
        <v>2</v>
      </c>
      <c r="G3981" s="2">
        <v>46266.75</v>
      </c>
      <c r="H3981" s="2">
        <v>46266.583333333336</v>
      </c>
    </row>
    <row r="3982" spans="1:8" x14ac:dyDescent="0.25">
      <c r="A3982" s="8" t="s">
        <v>12815</v>
      </c>
      <c r="B3982" s="8" t="s">
        <v>14466</v>
      </c>
      <c r="C3982" s="2">
        <v>46266.416666666664</v>
      </c>
      <c r="D3982" s="8" t="s">
        <v>13933</v>
      </c>
      <c r="E3982" s="8" t="s">
        <v>26</v>
      </c>
      <c r="F3982">
        <v>5</v>
      </c>
      <c r="G3982" s="2">
        <v>46266.75</v>
      </c>
      <c r="H3982" s="2">
        <v>46266.583333333336</v>
      </c>
    </row>
    <row r="3983" spans="1:8" x14ac:dyDescent="0.25">
      <c r="A3983" s="8" t="s">
        <v>12818</v>
      </c>
      <c r="B3983" s="8" t="s">
        <v>14466</v>
      </c>
      <c r="C3983" s="2">
        <v>46266.416666666664</v>
      </c>
      <c r="D3983" s="8" t="s">
        <v>13933</v>
      </c>
      <c r="E3983" s="8" t="s">
        <v>30</v>
      </c>
      <c r="F3983">
        <v>2</v>
      </c>
      <c r="G3983" s="2">
        <v>46266.75</v>
      </c>
      <c r="H3983" s="2">
        <v>46266.583333333336</v>
      </c>
    </row>
    <row r="3984" spans="1:8" x14ac:dyDescent="0.25">
      <c r="A3984" s="8" t="s">
        <v>12821</v>
      </c>
      <c r="B3984" s="8" t="s">
        <v>14466</v>
      </c>
      <c r="C3984" s="2">
        <v>46266.416666666664</v>
      </c>
      <c r="D3984" s="8" t="s">
        <v>13933</v>
      </c>
      <c r="E3984" s="8" t="s">
        <v>36</v>
      </c>
      <c r="F3984">
        <v>4</v>
      </c>
      <c r="G3984" s="2">
        <v>46266.75</v>
      </c>
      <c r="H3984" s="2">
        <v>46266.583333333336</v>
      </c>
    </row>
    <row r="3985" spans="1:8" x14ac:dyDescent="0.25">
      <c r="A3985" s="8" t="s">
        <v>12824</v>
      </c>
      <c r="B3985" s="8" t="s">
        <v>14466</v>
      </c>
      <c r="C3985" s="2">
        <v>46266.416666666664</v>
      </c>
      <c r="D3985" s="8" t="s">
        <v>13933</v>
      </c>
      <c r="E3985" s="8" t="s">
        <v>47</v>
      </c>
      <c r="F3985">
        <v>4</v>
      </c>
      <c r="G3985" s="2">
        <v>46266.75</v>
      </c>
      <c r="H3985" s="2">
        <v>46266.583333333336</v>
      </c>
    </row>
    <row r="3986" spans="1:8" x14ac:dyDescent="0.25">
      <c r="A3986" s="8" t="s">
        <v>12827</v>
      </c>
      <c r="B3986" s="8" t="s">
        <v>14466</v>
      </c>
      <c r="C3986" s="2">
        <v>46266.416666666664</v>
      </c>
      <c r="D3986" s="8" t="s">
        <v>13933</v>
      </c>
      <c r="E3986" s="8" t="s">
        <v>77</v>
      </c>
      <c r="F3986">
        <v>5</v>
      </c>
      <c r="G3986" s="2">
        <v>46266.75</v>
      </c>
      <c r="H3986" s="2">
        <v>46266.583333333336</v>
      </c>
    </row>
    <row r="3987" spans="1:8" x14ac:dyDescent="0.25">
      <c r="A3987" s="8" t="s">
        <v>12830</v>
      </c>
      <c r="B3987" s="8" t="s">
        <v>14467</v>
      </c>
      <c r="C3987" s="2">
        <v>46266.416666666664</v>
      </c>
      <c r="D3987" s="8" t="s">
        <v>13935</v>
      </c>
      <c r="E3987" s="8" t="s">
        <v>18</v>
      </c>
      <c r="F3987">
        <v>4</v>
      </c>
      <c r="G3987" s="2">
        <v>46266.75</v>
      </c>
      <c r="H3987" s="2">
        <v>46266.583333333336</v>
      </c>
    </row>
    <row r="3988" spans="1:8" x14ac:dyDescent="0.25">
      <c r="A3988" s="8" t="s">
        <v>12833</v>
      </c>
      <c r="B3988" s="8" t="s">
        <v>14467</v>
      </c>
      <c r="C3988" s="2">
        <v>46266.416666666664</v>
      </c>
      <c r="D3988" s="8" t="s">
        <v>13935</v>
      </c>
      <c r="E3988" s="8" t="s">
        <v>20</v>
      </c>
      <c r="F3988">
        <v>7</v>
      </c>
      <c r="G3988" s="2">
        <v>46266.75</v>
      </c>
      <c r="H3988" s="2">
        <v>46266.583333333336</v>
      </c>
    </row>
    <row r="3989" spans="1:8" x14ac:dyDescent="0.25">
      <c r="A3989" s="8" t="s">
        <v>12836</v>
      </c>
      <c r="B3989" s="8" t="s">
        <v>14467</v>
      </c>
      <c r="C3989" s="2">
        <v>46266.416666666664</v>
      </c>
      <c r="D3989" s="8" t="s">
        <v>13935</v>
      </c>
      <c r="E3989" s="8" t="s">
        <v>22</v>
      </c>
      <c r="F3989">
        <v>3</v>
      </c>
      <c r="G3989" s="2">
        <v>46266.75</v>
      </c>
      <c r="H3989" s="2">
        <v>46266.583333333336</v>
      </c>
    </row>
    <row r="3990" spans="1:8" x14ac:dyDescent="0.25">
      <c r="A3990" s="8" t="s">
        <v>12839</v>
      </c>
      <c r="B3990" s="8" t="s">
        <v>14467</v>
      </c>
      <c r="C3990" s="2">
        <v>46266.416666666664</v>
      </c>
      <c r="D3990" s="8" t="s">
        <v>13935</v>
      </c>
      <c r="E3990" s="8" t="s">
        <v>51</v>
      </c>
      <c r="F3990">
        <v>4</v>
      </c>
      <c r="G3990" s="2">
        <v>46266.75</v>
      </c>
      <c r="H3990" s="2">
        <v>46266.583333333336</v>
      </c>
    </row>
    <row r="3991" spans="1:8" x14ac:dyDescent="0.25">
      <c r="A3991" s="8" t="s">
        <v>12842</v>
      </c>
      <c r="B3991" s="8" t="s">
        <v>14467</v>
      </c>
      <c r="C3991" s="2">
        <v>46266.416666666664</v>
      </c>
      <c r="D3991" s="8" t="s">
        <v>13935</v>
      </c>
      <c r="E3991" s="8" t="s">
        <v>55</v>
      </c>
      <c r="F3991">
        <v>4</v>
      </c>
      <c r="G3991" s="2">
        <v>46266.75</v>
      </c>
      <c r="H3991" s="2">
        <v>46266.583333333336</v>
      </c>
    </row>
    <row r="3992" spans="1:8" x14ac:dyDescent="0.25">
      <c r="A3992" s="8" t="s">
        <v>12845</v>
      </c>
      <c r="B3992" s="8" t="s">
        <v>14467</v>
      </c>
      <c r="C3992" s="2">
        <v>46266.416666666664</v>
      </c>
      <c r="D3992" s="8" t="s">
        <v>13935</v>
      </c>
      <c r="E3992" s="8" t="s">
        <v>65</v>
      </c>
      <c r="F3992">
        <v>7</v>
      </c>
      <c r="G3992" s="2">
        <v>46266.75</v>
      </c>
      <c r="H3992" s="2">
        <v>46266.583333333336</v>
      </c>
    </row>
    <row r="3993" spans="1:8" x14ac:dyDescent="0.25">
      <c r="A3993" s="8" t="s">
        <v>12848</v>
      </c>
      <c r="B3993" s="8" t="s">
        <v>14467</v>
      </c>
      <c r="C3993" s="2">
        <v>46266.416666666664</v>
      </c>
      <c r="D3993" s="8" t="s">
        <v>13935</v>
      </c>
      <c r="E3993" s="8" t="s">
        <v>73</v>
      </c>
      <c r="F3993">
        <v>7</v>
      </c>
      <c r="G3993" s="2">
        <v>46266.75</v>
      </c>
      <c r="H3993" s="2">
        <v>46266.583333333336</v>
      </c>
    </row>
    <row r="3994" spans="1:8" x14ac:dyDescent="0.25">
      <c r="A3994" s="8" t="s">
        <v>12851</v>
      </c>
      <c r="B3994" s="8" t="s">
        <v>14467</v>
      </c>
      <c r="C3994" s="2">
        <v>46266.416666666664</v>
      </c>
      <c r="D3994" s="8" t="s">
        <v>13935</v>
      </c>
      <c r="E3994" s="8" t="s">
        <v>77</v>
      </c>
      <c r="F3994">
        <v>1</v>
      </c>
      <c r="G3994" s="2">
        <v>46266.75</v>
      </c>
      <c r="H3994" s="2">
        <v>46266.583333333336</v>
      </c>
    </row>
    <row r="3995" spans="1:8" x14ac:dyDescent="0.25">
      <c r="A3995" s="8" t="s">
        <v>12854</v>
      </c>
      <c r="B3995" s="8" t="s">
        <v>14468</v>
      </c>
      <c r="C3995" s="2">
        <v>46266.416666666664</v>
      </c>
      <c r="D3995" s="8" t="s">
        <v>13937</v>
      </c>
      <c r="E3995" s="8" t="s">
        <v>11</v>
      </c>
      <c r="F3995">
        <v>3</v>
      </c>
      <c r="G3995" s="2">
        <v>46266.75</v>
      </c>
      <c r="H3995" s="2">
        <v>46266.583333333336</v>
      </c>
    </row>
    <row r="3996" spans="1:8" x14ac:dyDescent="0.25">
      <c r="A3996" s="8" t="s">
        <v>12857</v>
      </c>
      <c r="B3996" s="8" t="s">
        <v>14468</v>
      </c>
      <c r="C3996" s="2">
        <v>46266.416666666664</v>
      </c>
      <c r="D3996" s="8" t="s">
        <v>13937</v>
      </c>
      <c r="E3996" s="8" t="s">
        <v>18</v>
      </c>
      <c r="F3996">
        <v>4</v>
      </c>
      <c r="G3996" s="2">
        <v>46266.75</v>
      </c>
      <c r="H3996" s="2">
        <v>46266.583333333336</v>
      </c>
    </row>
    <row r="3997" spans="1:8" x14ac:dyDescent="0.25">
      <c r="A3997" s="8" t="s">
        <v>12860</v>
      </c>
      <c r="B3997" s="8" t="s">
        <v>14468</v>
      </c>
      <c r="C3997" s="2">
        <v>46266.416666666664</v>
      </c>
      <c r="D3997" s="8" t="s">
        <v>13937</v>
      </c>
      <c r="E3997" s="8" t="s">
        <v>20</v>
      </c>
      <c r="F3997">
        <v>1</v>
      </c>
      <c r="G3997" s="2">
        <v>46266.75</v>
      </c>
      <c r="H3997" s="2">
        <v>46266.583333333336</v>
      </c>
    </row>
    <row r="3998" spans="1:8" x14ac:dyDescent="0.25">
      <c r="A3998" s="8" t="s">
        <v>12863</v>
      </c>
      <c r="B3998" s="8" t="s">
        <v>14468</v>
      </c>
      <c r="C3998" s="2">
        <v>46266.416666666664</v>
      </c>
      <c r="D3998" s="8" t="s">
        <v>13937</v>
      </c>
      <c r="E3998" s="8" t="s">
        <v>32</v>
      </c>
      <c r="F3998">
        <v>4</v>
      </c>
      <c r="G3998" s="2">
        <v>46266.75</v>
      </c>
      <c r="H3998" s="2">
        <v>46266.583333333336</v>
      </c>
    </row>
    <row r="3999" spans="1:8" x14ac:dyDescent="0.25">
      <c r="A3999" s="8" t="s">
        <v>12866</v>
      </c>
      <c r="B3999" s="8" t="s">
        <v>14468</v>
      </c>
      <c r="C3999" s="2">
        <v>46266.416666666664</v>
      </c>
      <c r="D3999" s="8" t="s">
        <v>13937</v>
      </c>
      <c r="E3999" s="8" t="s">
        <v>41</v>
      </c>
      <c r="F3999">
        <v>4</v>
      </c>
      <c r="G3999" s="2">
        <v>46266.75</v>
      </c>
      <c r="H3999" s="2">
        <v>46266.583333333336</v>
      </c>
    </row>
    <row r="4000" spans="1:8" x14ac:dyDescent="0.25">
      <c r="A4000" s="8" t="s">
        <v>12869</v>
      </c>
      <c r="B4000" s="8" t="s">
        <v>14468</v>
      </c>
      <c r="C4000" s="2">
        <v>46266.416666666664</v>
      </c>
      <c r="D4000" s="8" t="s">
        <v>13937</v>
      </c>
      <c r="E4000" s="8" t="s">
        <v>43</v>
      </c>
      <c r="F4000">
        <v>2</v>
      </c>
      <c r="G4000" s="2">
        <v>46266.75</v>
      </c>
      <c r="H4000" s="2">
        <v>46266.583333333336</v>
      </c>
    </row>
    <row r="4001" spans="1:8" x14ac:dyDescent="0.25">
      <c r="A4001" s="8" t="s">
        <v>12872</v>
      </c>
      <c r="B4001" s="8" t="s">
        <v>14468</v>
      </c>
      <c r="C4001" s="2">
        <v>46266.416666666664</v>
      </c>
      <c r="D4001" s="8" t="s">
        <v>13937</v>
      </c>
      <c r="E4001" s="8" t="s">
        <v>57</v>
      </c>
      <c r="F4001">
        <v>4</v>
      </c>
      <c r="G4001" s="2">
        <v>46266.75</v>
      </c>
      <c r="H4001" s="2">
        <v>46266.583333333336</v>
      </c>
    </row>
    <row r="4002" spans="1:8" x14ac:dyDescent="0.25">
      <c r="A4002" s="8" t="s">
        <v>12875</v>
      </c>
      <c r="B4002" s="8" t="s">
        <v>14468</v>
      </c>
      <c r="C4002" s="2">
        <v>46266.416666666664</v>
      </c>
      <c r="D4002" s="8" t="s">
        <v>13937</v>
      </c>
      <c r="E4002" s="8" t="s">
        <v>67</v>
      </c>
      <c r="F4002">
        <v>1</v>
      </c>
      <c r="G4002" s="2">
        <v>46266.75</v>
      </c>
      <c r="H4002" s="2">
        <v>46266.583333333336</v>
      </c>
    </row>
    <row r="4003" spans="1:8" x14ac:dyDescent="0.25">
      <c r="A4003" s="8" t="s">
        <v>12878</v>
      </c>
      <c r="B4003" s="8" t="s">
        <v>14468</v>
      </c>
      <c r="C4003" s="2">
        <v>46266.416666666664</v>
      </c>
      <c r="D4003" s="8" t="s">
        <v>13937</v>
      </c>
      <c r="E4003" s="8" t="s">
        <v>71</v>
      </c>
      <c r="F4003">
        <v>4</v>
      </c>
      <c r="G4003" s="2">
        <v>46266.75</v>
      </c>
      <c r="H4003" s="2">
        <v>46266.583333333336</v>
      </c>
    </row>
    <row r="4004" spans="1:8" x14ac:dyDescent="0.25">
      <c r="A4004" s="8" t="s">
        <v>12881</v>
      </c>
      <c r="B4004" s="8" t="s">
        <v>14468</v>
      </c>
      <c r="C4004" s="2">
        <v>46266.416666666664</v>
      </c>
      <c r="D4004" s="8" t="s">
        <v>13937</v>
      </c>
      <c r="E4004" s="8" t="s">
        <v>73</v>
      </c>
      <c r="F4004">
        <v>3</v>
      </c>
      <c r="G4004" s="2">
        <v>46266.75</v>
      </c>
      <c r="H4004" s="2">
        <v>46266.583333333336</v>
      </c>
    </row>
    <row r="4005" spans="1:8" x14ac:dyDescent="0.25">
      <c r="A4005" s="8" t="s">
        <v>12884</v>
      </c>
      <c r="B4005" s="8" t="s">
        <v>14469</v>
      </c>
      <c r="C4005" s="2">
        <v>46267.416666666664</v>
      </c>
      <c r="D4005" s="8" t="s">
        <v>13929</v>
      </c>
      <c r="E4005" s="8" t="s">
        <v>11</v>
      </c>
      <c r="F4005">
        <v>3</v>
      </c>
      <c r="G4005" s="2">
        <v>46267.75</v>
      </c>
      <c r="H4005" s="2">
        <v>46267.583333333336</v>
      </c>
    </row>
    <row r="4006" spans="1:8" x14ac:dyDescent="0.25">
      <c r="A4006" s="8" t="s">
        <v>12887</v>
      </c>
      <c r="B4006" s="8" t="s">
        <v>14469</v>
      </c>
      <c r="C4006" s="2">
        <v>46267.416666666664</v>
      </c>
      <c r="D4006" s="8" t="s">
        <v>13929</v>
      </c>
      <c r="E4006" s="8" t="s">
        <v>18</v>
      </c>
      <c r="F4006">
        <v>4</v>
      </c>
      <c r="G4006" s="2">
        <v>46267.75</v>
      </c>
      <c r="H4006" s="2">
        <v>46267.583333333336</v>
      </c>
    </row>
    <row r="4007" spans="1:8" x14ac:dyDescent="0.25">
      <c r="A4007" s="8" t="s">
        <v>12890</v>
      </c>
      <c r="B4007" s="8" t="s">
        <v>14469</v>
      </c>
      <c r="C4007" s="2">
        <v>46267.416666666664</v>
      </c>
      <c r="D4007" s="8" t="s">
        <v>13929</v>
      </c>
      <c r="E4007" s="8" t="s">
        <v>20</v>
      </c>
      <c r="F4007">
        <v>4</v>
      </c>
      <c r="G4007" s="2">
        <v>46267.75</v>
      </c>
      <c r="H4007" s="2">
        <v>46267.583333333336</v>
      </c>
    </row>
    <row r="4008" spans="1:8" x14ac:dyDescent="0.25">
      <c r="A4008" s="8" t="s">
        <v>12893</v>
      </c>
      <c r="B4008" s="8" t="s">
        <v>14469</v>
      </c>
      <c r="C4008" s="2">
        <v>46267.416666666664</v>
      </c>
      <c r="D4008" s="8" t="s">
        <v>13929</v>
      </c>
      <c r="E4008" s="8" t="s">
        <v>24</v>
      </c>
      <c r="F4008">
        <v>4</v>
      </c>
      <c r="G4008" s="2">
        <v>46267.75</v>
      </c>
      <c r="H4008" s="2">
        <v>46267.583333333336</v>
      </c>
    </row>
    <row r="4009" spans="1:8" x14ac:dyDescent="0.25">
      <c r="A4009" s="8" t="s">
        <v>12896</v>
      </c>
      <c r="B4009" s="8" t="s">
        <v>14469</v>
      </c>
      <c r="C4009" s="2">
        <v>46267.416666666664</v>
      </c>
      <c r="D4009" s="8" t="s">
        <v>13929</v>
      </c>
      <c r="E4009" s="8" t="s">
        <v>57</v>
      </c>
      <c r="F4009">
        <v>3</v>
      </c>
      <c r="G4009" s="2">
        <v>46267.75</v>
      </c>
      <c r="H4009" s="2">
        <v>46267.583333333336</v>
      </c>
    </row>
    <row r="4010" spans="1:8" x14ac:dyDescent="0.25">
      <c r="A4010" s="8" t="s">
        <v>12899</v>
      </c>
      <c r="B4010" s="8" t="s">
        <v>14469</v>
      </c>
      <c r="C4010" s="2">
        <v>46267.416666666664</v>
      </c>
      <c r="D4010" s="8" t="s">
        <v>13929</v>
      </c>
      <c r="E4010" s="8" t="s">
        <v>59</v>
      </c>
      <c r="F4010">
        <v>2</v>
      </c>
      <c r="G4010" s="2">
        <v>46267.75</v>
      </c>
      <c r="H4010" s="2">
        <v>46267.583333333336</v>
      </c>
    </row>
    <row r="4011" spans="1:8" x14ac:dyDescent="0.25">
      <c r="A4011" s="8" t="s">
        <v>12902</v>
      </c>
      <c r="B4011" s="8" t="s">
        <v>14469</v>
      </c>
      <c r="C4011" s="2">
        <v>46267.416666666664</v>
      </c>
      <c r="D4011" s="8" t="s">
        <v>13929</v>
      </c>
      <c r="E4011" s="8" t="s">
        <v>67</v>
      </c>
      <c r="F4011">
        <v>3</v>
      </c>
      <c r="G4011" s="2">
        <v>46267.75</v>
      </c>
      <c r="H4011" s="2">
        <v>46267.583333333336</v>
      </c>
    </row>
    <row r="4012" spans="1:8" x14ac:dyDescent="0.25">
      <c r="A4012" s="8" t="s">
        <v>12905</v>
      </c>
      <c r="B4012" s="8" t="s">
        <v>14469</v>
      </c>
      <c r="C4012" s="2">
        <v>46267.416666666664</v>
      </c>
      <c r="D4012" s="8" t="s">
        <v>13929</v>
      </c>
      <c r="E4012" s="8" t="s">
        <v>71</v>
      </c>
      <c r="F4012">
        <v>2</v>
      </c>
      <c r="G4012" s="2">
        <v>46267.75</v>
      </c>
      <c r="H4012" s="2">
        <v>46267.583333333336</v>
      </c>
    </row>
    <row r="4013" spans="1:8" x14ac:dyDescent="0.25">
      <c r="A4013" s="8" t="s">
        <v>12908</v>
      </c>
      <c r="B4013" s="8" t="s">
        <v>14469</v>
      </c>
      <c r="C4013" s="2">
        <v>46267.416666666664</v>
      </c>
      <c r="D4013" s="8" t="s">
        <v>13929</v>
      </c>
      <c r="E4013" s="8" t="s">
        <v>73</v>
      </c>
      <c r="F4013">
        <v>2</v>
      </c>
      <c r="G4013" s="2">
        <v>46267.75</v>
      </c>
      <c r="H4013" s="2">
        <v>46267.583333333336</v>
      </c>
    </row>
    <row r="4014" spans="1:8" x14ac:dyDescent="0.25">
      <c r="A4014" s="8" t="s">
        <v>12911</v>
      </c>
      <c r="B4014" s="8" t="s">
        <v>14469</v>
      </c>
      <c r="C4014" s="2">
        <v>46267.416666666664</v>
      </c>
      <c r="D4014" s="8" t="s">
        <v>13929</v>
      </c>
      <c r="E4014" s="8" t="s">
        <v>75</v>
      </c>
      <c r="F4014">
        <v>1</v>
      </c>
      <c r="G4014" s="2">
        <v>46267.75</v>
      </c>
      <c r="H4014" s="2">
        <v>46267.583333333336</v>
      </c>
    </row>
    <row r="4015" spans="1:8" x14ac:dyDescent="0.25">
      <c r="A4015" s="8" t="s">
        <v>12914</v>
      </c>
      <c r="B4015" s="8" t="s">
        <v>14470</v>
      </c>
      <c r="C4015" s="2">
        <v>46267.416666666664</v>
      </c>
      <c r="D4015" s="8" t="s">
        <v>13931</v>
      </c>
      <c r="E4015" s="8" t="s">
        <v>11</v>
      </c>
      <c r="F4015">
        <v>4</v>
      </c>
      <c r="G4015" s="2">
        <v>46267.75</v>
      </c>
      <c r="H4015" s="2">
        <v>46267.583333333336</v>
      </c>
    </row>
    <row r="4016" spans="1:8" x14ac:dyDescent="0.25">
      <c r="A4016" s="8" t="s">
        <v>12917</v>
      </c>
      <c r="B4016" s="8" t="s">
        <v>14470</v>
      </c>
      <c r="C4016" s="2">
        <v>46267.416666666664</v>
      </c>
      <c r="D4016" s="8" t="s">
        <v>13931</v>
      </c>
      <c r="E4016" s="8" t="s">
        <v>18</v>
      </c>
      <c r="F4016">
        <v>2</v>
      </c>
      <c r="G4016" s="2">
        <v>46267.75</v>
      </c>
      <c r="H4016" s="2">
        <v>46267.583333333336</v>
      </c>
    </row>
    <row r="4017" spans="1:8" x14ac:dyDescent="0.25">
      <c r="A4017" s="8" t="s">
        <v>12920</v>
      </c>
      <c r="B4017" s="8" t="s">
        <v>14470</v>
      </c>
      <c r="C4017" s="2">
        <v>46267.416666666664</v>
      </c>
      <c r="D4017" s="8" t="s">
        <v>13931</v>
      </c>
      <c r="E4017" s="8" t="s">
        <v>20</v>
      </c>
      <c r="F4017">
        <v>1</v>
      </c>
      <c r="G4017" s="2">
        <v>46267.75</v>
      </c>
      <c r="H4017" s="2">
        <v>46267.583333333336</v>
      </c>
    </row>
    <row r="4018" spans="1:8" x14ac:dyDescent="0.25">
      <c r="A4018" s="8" t="s">
        <v>12923</v>
      </c>
      <c r="B4018" s="8" t="s">
        <v>14470</v>
      </c>
      <c r="C4018" s="2">
        <v>46267.416666666664</v>
      </c>
      <c r="D4018" s="8" t="s">
        <v>13931</v>
      </c>
      <c r="E4018" s="8" t="s">
        <v>22</v>
      </c>
      <c r="F4018">
        <v>1</v>
      </c>
      <c r="G4018" s="2">
        <v>46267.75</v>
      </c>
      <c r="H4018" s="2">
        <v>46267.583333333336</v>
      </c>
    </row>
    <row r="4019" spans="1:8" x14ac:dyDescent="0.25">
      <c r="A4019" s="8" t="s">
        <v>12926</v>
      </c>
      <c r="B4019" s="8" t="s">
        <v>14470</v>
      </c>
      <c r="C4019" s="2">
        <v>46267.416666666664</v>
      </c>
      <c r="D4019" s="8" t="s">
        <v>13931</v>
      </c>
      <c r="E4019" s="8" t="s">
        <v>26</v>
      </c>
      <c r="F4019">
        <v>5</v>
      </c>
      <c r="G4019" s="2">
        <v>46267.75</v>
      </c>
      <c r="H4019" s="2">
        <v>46267.583333333336</v>
      </c>
    </row>
    <row r="4020" spans="1:8" x14ac:dyDescent="0.25">
      <c r="A4020" s="8" t="s">
        <v>12929</v>
      </c>
      <c r="B4020" s="8" t="s">
        <v>14470</v>
      </c>
      <c r="C4020" s="2">
        <v>46267.416666666664</v>
      </c>
      <c r="D4020" s="8" t="s">
        <v>13931</v>
      </c>
      <c r="E4020" s="8" t="s">
        <v>49</v>
      </c>
      <c r="F4020">
        <v>5</v>
      </c>
      <c r="G4020" s="2">
        <v>46267.75</v>
      </c>
      <c r="H4020" s="2">
        <v>46267.583333333336</v>
      </c>
    </row>
    <row r="4021" spans="1:8" x14ac:dyDescent="0.25">
      <c r="A4021" s="8" t="s">
        <v>12932</v>
      </c>
      <c r="B4021" s="8" t="s">
        <v>14470</v>
      </c>
      <c r="C4021" s="2">
        <v>46267.416666666664</v>
      </c>
      <c r="D4021" s="8" t="s">
        <v>13931</v>
      </c>
      <c r="E4021" s="8" t="s">
        <v>59</v>
      </c>
      <c r="F4021">
        <v>4</v>
      </c>
      <c r="G4021" s="2">
        <v>46267.75</v>
      </c>
      <c r="H4021" s="2">
        <v>46267.583333333336</v>
      </c>
    </row>
    <row r="4022" spans="1:8" x14ac:dyDescent="0.25">
      <c r="A4022" s="8" t="s">
        <v>12935</v>
      </c>
      <c r="B4022" s="8" t="s">
        <v>14470</v>
      </c>
      <c r="C4022" s="2">
        <v>46267.416666666664</v>
      </c>
      <c r="D4022" s="8" t="s">
        <v>13931</v>
      </c>
      <c r="E4022" s="8" t="s">
        <v>77</v>
      </c>
      <c r="F4022">
        <v>1</v>
      </c>
      <c r="G4022" s="2">
        <v>46267.75</v>
      </c>
      <c r="H4022" s="2">
        <v>46267.583333333336</v>
      </c>
    </row>
    <row r="4023" spans="1:8" x14ac:dyDescent="0.25">
      <c r="A4023" s="8" t="s">
        <v>12938</v>
      </c>
      <c r="B4023" s="8" t="s">
        <v>14471</v>
      </c>
      <c r="C4023" s="2">
        <v>46267.416666666664</v>
      </c>
      <c r="D4023" s="8" t="s">
        <v>13933</v>
      </c>
      <c r="E4023" s="8" t="s">
        <v>11</v>
      </c>
      <c r="F4023">
        <v>4</v>
      </c>
      <c r="G4023" s="2">
        <v>46267.75</v>
      </c>
      <c r="H4023" s="2">
        <v>46267.583333333336</v>
      </c>
    </row>
    <row r="4024" spans="1:8" x14ac:dyDescent="0.25">
      <c r="A4024" s="8" t="s">
        <v>12941</v>
      </c>
      <c r="B4024" s="8" t="s">
        <v>14471</v>
      </c>
      <c r="C4024" s="2">
        <v>46267.416666666664</v>
      </c>
      <c r="D4024" s="8" t="s">
        <v>13933</v>
      </c>
      <c r="E4024" s="8" t="s">
        <v>20</v>
      </c>
      <c r="F4024">
        <v>6</v>
      </c>
      <c r="G4024" s="2">
        <v>46267.75</v>
      </c>
      <c r="H4024" s="2">
        <v>46267.583333333336</v>
      </c>
    </row>
    <row r="4025" spans="1:8" x14ac:dyDescent="0.25">
      <c r="A4025" s="8" t="s">
        <v>12944</v>
      </c>
      <c r="B4025" s="8" t="s">
        <v>14471</v>
      </c>
      <c r="C4025" s="2">
        <v>46267.416666666664</v>
      </c>
      <c r="D4025" s="8" t="s">
        <v>13933</v>
      </c>
      <c r="E4025" s="8" t="s">
        <v>22</v>
      </c>
      <c r="F4025">
        <v>5</v>
      </c>
      <c r="G4025" s="2">
        <v>46267.75</v>
      </c>
      <c r="H4025" s="2">
        <v>46267.583333333336</v>
      </c>
    </row>
    <row r="4026" spans="1:8" x14ac:dyDescent="0.25">
      <c r="A4026" s="8" t="s">
        <v>12947</v>
      </c>
      <c r="B4026" s="8" t="s">
        <v>14471</v>
      </c>
      <c r="C4026" s="2">
        <v>46267.416666666664</v>
      </c>
      <c r="D4026" s="8" t="s">
        <v>13933</v>
      </c>
      <c r="E4026" s="8" t="s">
        <v>26</v>
      </c>
      <c r="F4026">
        <v>6</v>
      </c>
      <c r="G4026" s="2">
        <v>46267.75</v>
      </c>
      <c r="H4026" s="2">
        <v>46267.583333333336</v>
      </c>
    </row>
    <row r="4027" spans="1:8" x14ac:dyDescent="0.25">
      <c r="A4027" s="8" t="s">
        <v>12950</v>
      </c>
      <c r="B4027" s="8" t="s">
        <v>14471</v>
      </c>
      <c r="C4027" s="2">
        <v>46267.416666666664</v>
      </c>
      <c r="D4027" s="8" t="s">
        <v>13933</v>
      </c>
      <c r="E4027" s="8" t="s">
        <v>28</v>
      </c>
      <c r="F4027">
        <v>1</v>
      </c>
      <c r="G4027" s="2">
        <v>46267.75</v>
      </c>
      <c r="H4027" s="2">
        <v>46267.583333333336</v>
      </c>
    </row>
    <row r="4028" spans="1:8" x14ac:dyDescent="0.25">
      <c r="A4028" s="8" t="s">
        <v>12953</v>
      </c>
      <c r="B4028" s="8" t="s">
        <v>14471</v>
      </c>
      <c r="C4028" s="2">
        <v>46267.416666666664</v>
      </c>
      <c r="D4028" s="8" t="s">
        <v>13933</v>
      </c>
      <c r="E4028" s="8" t="s">
        <v>41</v>
      </c>
      <c r="F4028">
        <v>6</v>
      </c>
      <c r="G4028" s="2">
        <v>46267.75</v>
      </c>
      <c r="H4028" s="2">
        <v>46267.583333333336</v>
      </c>
    </row>
    <row r="4029" spans="1:8" x14ac:dyDescent="0.25">
      <c r="A4029" s="8" t="s">
        <v>12956</v>
      </c>
      <c r="B4029" s="8" t="s">
        <v>14471</v>
      </c>
      <c r="C4029" s="2">
        <v>46267.416666666664</v>
      </c>
      <c r="D4029" s="8" t="s">
        <v>13933</v>
      </c>
      <c r="E4029" s="8" t="s">
        <v>45</v>
      </c>
      <c r="F4029">
        <v>2</v>
      </c>
      <c r="G4029" s="2">
        <v>46267.75</v>
      </c>
      <c r="H4029" s="2">
        <v>46267.583333333336</v>
      </c>
    </row>
    <row r="4030" spans="1:8" x14ac:dyDescent="0.25">
      <c r="A4030" s="8" t="s">
        <v>12959</v>
      </c>
      <c r="B4030" s="8" t="s">
        <v>14471</v>
      </c>
      <c r="C4030" s="2">
        <v>46267.416666666664</v>
      </c>
      <c r="D4030" s="8" t="s">
        <v>13933</v>
      </c>
      <c r="E4030" s="8" t="s">
        <v>51</v>
      </c>
      <c r="F4030">
        <v>1</v>
      </c>
      <c r="G4030" s="2">
        <v>46267.75</v>
      </c>
      <c r="H4030" s="2">
        <v>46267.583333333336</v>
      </c>
    </row>
    <row r="4031" spans="1:8" x14ac:dyDescent="0.25">
      <c r="A4031" s="8" t="s">
        <v>12962</v>
      </c>
      <c r="B4031" s="8" t="s">
        <v>14471</v>
      </c>
      <c r="C4031" s="2">
        <v>46267.416666666664</v>
      </c>
      <c r="D4031" s="8" t="s">
        <v>13933</v>
      </c>
      <c r="E4031" s="8" t="s">
        <v>53</v>
      </c>
      <c r="F4031">
        <v>1</v>
      </c>
      <c r="G4031" s="2">
        <v>46267.75</v>
      </c>
      <c r="H4031" s="2">
        <v>46267.583333333336</v>
      </c>
    </row>
    <row r="4032" spans="1:8" x14ac:dyDescent="0.25">
      <c r="A4032" s="8" t="s">
        <v>12965</v>
      </c>
      <c r="B4032" s="8" t="s">
        <v>14471</v>
      </c>
      <c r="C4032" s="2">
        <v>46267.416666666664</v>
      </c>
      <c r="D4032" s="8" t="s">
        <v>13933</v>
      </c>
      <c r="E4032" s="8" t="s">
        <v>65</v>
      </c>
      <c r="F4032">
        <v>4</v>
      </c>
      <c r="G4032" s="2">
        <v>46267.75</v>
      </c>
      <c r="H4032" s="2">
        <v>46267.583333333336</v>
      </c>
    </row>
    <row r="4033" spans="1:8" x14ac:dyDescent="0.25">
      <c r="A4033" s="8" t="s">
        <v>12968</v>
      </c>
      <c r="B4033" s="8" t="s">
        <v>14471</v>
      </c>
      <c r="C4033" s="2">
        <v>46267.416666666664</v>
      </c>
      <c r="D4033" s="8" t="s">
        <v>13933</v>
      </c>
      <c r="E4033" s="8" t="s">
        <v>67</v>
      </c>
      <c r="F4033">
        <v>6</v>
      </c>
      <c r="G4033" s="2">
        <v>46267.75</v>
      </c>
      <c r="H4033" s="2">
        <v>46267.583333333336</v>
      </c>
    </row>
    <row r="4034" spans="1:8" x14ac:dyDescent="0.25">
      <c r="A4034" s="8" t="s">
        <v>12971</v>
      </c>
      <c r="B4034" s="8" t="s">
        <v>14471</v>
      </c>
      <c r="C4034" s="2">
        <v>46267.416666666664</v>
      </c>
      <c r="D4034" s="8" t="s">
        <v>13933</v>
      </c>
      <c r="E4034" s="8" t="s">
        <v>69</v>
      </c>
      <c r="F4034">
        <v>2</v>
      </c>
      <c r="G4034" s="2">
        <v>46267.75</v>
      </c>
      <c r="H4034" s="2">
        <v>46267.583333333336</v>
      </c>
    </row>
    <row r="4035" spans="1:8" x14ac:dyDescent="0.25">
      <c r="A4035" s="8" t="s">
        <v>12974</v>
      </c>
      <c r="B4035" s="8" t="s">
        <v>14471</v>
      </c>
      <c r="C4035" s="2">
        <v>46267.416666666664</v>
      </c>
      <c r="D4035" s="8" t="s">
        <v>13933</v>
      </c>
      <c r="E4035" s="8" t="s">
        <v>77</v>
      </c>
      <c r="F4035">
        <v>6</v>
      </c>
      <c r="G4035" s="2">
        <v>46267.75</v>
      </c>
      <c r="H4035" s="2">
        <v>46267.583333333336</v>
      </c>
    </row>
    <row r="4036" spans="1:8" x14ac:dyDescent="0.25">
      <c r="A4036" s="8" t="s">
        <v>12977</v>
      </c>
      <c r="B4036" s="8" t="s">
        <v>14472</v>
      </c>
      <c r="C4036" s="2">
        <v>46267.416666666664</v>
      </c>
      <c r="D4036" s="8" t="s">
        <v>13935</v>
      </c>
      <c r="E4036" s="8" t="s">
        <v>11</v>
      </c>
      <c r="F4036">
        <v>6</v>
      </c>
      <c r="G4036" s="2">
        <v>46267.75</v>
      </c>
      <c r="H4036" s="2">
        <v>46267.583333333336</v>
      </c>
    </row>
    <row r="4037" spans="1:8" x14ac:dyDescent="0.25">
      <c r="A4037" s="8" t="s">
        <v>12980</v>
      </c>
      <c r="B4037" s="8" t="s">
        <v>14472</v>
      </c>
      <c r="C4037" s="2">
        <v>46267.416666666664</v>
      </c>
      <c r="D4037" s="8" t="s">
        <v>13935</v>
      </c>
      <c r="E4037" s="8" t="s">
        <v>18</v>
      </c>
      <c r="F4037">
        <v>4</v>
      </c>
      <c r="G4037" s="2">
        <v>46267.75</v>
      </c>
      <c r="H4037" s="2">
        <v>46267.583333333336</v>
      </c>
    </row>
    <row r="4038" spans="1:8" x14ac:dyDescent="0.25">
      <c r="A4038" s="8" t="s">
        <v>12983</v>
      </c>
      <c r="B4038" s="8" t="s">
        <v>14472</v>
      </c>
      <c r="C4038" s="2">
        <v>46267.416666666664</v>
      </c>
      <c r="D4038" s="8" t="s">
        <v>13935</v>
      </c>
      <c r="E4038" s="8" t="s">
        <v>22</v>
      </c>
      <c r="F4038">
        <v>7</v>
      </c>
      <c r="G4038" s="2">
        <v>46267.75</v>
      </c>
      <c r="H4038" s="2">
        <v>46267.583333333336</v>
      </c>
    </row>
    <row r="4039" spans="1:8" x14ac:dyDescent="0.25">
      <c r="A4039" s="8" t="s">
        <v>12986</v>
      </c>
      <c r="B4039" s="8" t="s">
        <v>14472</v>
      </c>
      <c r="C4039" s="2">
        <v>46267.416666666664</v>
      </c>
      <c r="D4039" s="8" t="s">
        <v>13935</v>
      </c>
      <c r="E4039" s="8" t="s">
        <v>24</v>
      </c>
      <c r="F4039">
        <v>4</v>
      </c>
      <c r="G4039" s="2">
        <v>46267.75</v>
      </c>
      <c r="H4039" s="2">
        <v>46267.583333333336</v>
      </c>
    </row>
    <row r="4040" spans="1:8" x14ac:dyDescent="0.25">
      <c r="A4040" s="8" t="s">
        <v>12989</v>
      </c>
      <c r="B4040" s="8" t="s">
        <v>14472</v>
      </c>
      <c r="C4040" s="2">
        <v>46267.416666666664</v>
      </c>
      <c r="D4040" s="8" t="s">
        <v>13935</v>
      </c>
      <c r="E4040" s="8" t="s">
        <v>26</v>
      </c>
      <c r="F4040">
        <v>7</v>
      </c>
      <c r="G4040" s="2">
        <v>46267.75</v>
      </c>
      <c r="H4040" s="2">
        <v>46267.583333333336</v>
      </c>
    </row>
    <row r="4041" spans="1:8" x14ac:dyDescent="0.25">
      <c r="A4041" s="8" t="s">
        <v>12992</v>
      </c>
      <c r="B4041" s="8" t="s">
        <v>14472</v>
      </c>
      <c r="C4041" s="2">
        <v>46267.416666666664</v>
      </c>
      <c r="D4041" s="8" t="s">
        <v>13935</v>
      </c>
      <c r="E4041" s="8" t="s">
        <v>32</v>
      </c>
      <c r="F4041">
        <v>3</v>
      </c>
      <c r="G4041" s="2">
        <v>46267.75</v>
      </c>
      <c r="H4041" s="2">
        <v>46267.583333333336</v>
      </c>
    </row>
    <row r="4042" spans="1:8" x14ac:dyDescent="0.25">
      <c r="A4042" s="8" t="s">
        <v>12995</v>
      </c>
      <c r="B4042" s="8" t="s">
        <v>14472</v>
      </c>
      <c r="C4042" s="2">
        <v>46267.416666666664</v>
      </c>
      <c r="D4042" s="8" t="s">
        <v>13935</v>
      </c>
      <c r="E4042" s="8" t="s">
        <v>36</v>
      </c>
      <c r="F4042">
        <v>6</v>
      </c>
      <c r="G4042" s="2">
        <v>46267.75</v>
      </c>
      <c r="H4042" s="2">
        <v>46267.583333333336</v>
      </c>
    </row>
    <row r="4043" spans="1:8" x14ac:dyDescent="0.25">
      <c r="A4043" s="8" t="s">
        <v>12998</v>
      </c>
      <c r="B4043" s="8" t="s">
        <v>14472</v>
      </c>
      <c r="C4043" s="2">
        <v>46267.416666666664</v>
      </c>
      <c r="D4043" s="8" t="s">
        <v>13935</v>
      </c>
      <c r="E4043" s="8" t="s">
        <v>41</v>
      </c>
      <c r="F4043">
        <v>4</v>
      </c>
      <c r="G4043" s="2">
        <v>46267.75</v>
      </c>
      <c r="H4043" s="2">
        <v>46267.583333333336</v>
      </c>
    </row>
    <row r="4044" spans="1:8" x14ac:dyDescent="0.25">
      <c r="A4044" s="8" t="s">
        <v>13001</v>
      </c>
      <c r="B4044" s="8" t="s">
        <v>14472</v>
      </c>
      <c r="C4044" s="2">
        <v>46267.416666666664</v>
      </c>
      <c r="D4044" s="8" t="s">
        <v>13935</v>
      </c>
      <c r="E4044" s="8" t="s">
        <v>45</v>
      </c>
      <c r="F4044">
        <v>1</v>
      </c>
      <c r="G4044" s="2">
        <v>46267.75</v>
      </c>
      <c r="H4044" s="2">
        <v>46267.583333333336</v>
      </c>
    </row>
    <row r="4045" spans="1:8" x14ac:dyDescent="0.25">
      <c r="A4045" s="8" t="s">
        <v>13004</v>
      </c>
      <c r="B4045" s="8" t="s">
        <v>14472</v>
      </c>
      <c r="C4045" s="2">
        <v>46267.416666666664</v>
      </c>
      <c r="D4045" s="8" t="s">
        <v>13935</v>
      </c>
      <c r="E4045" s="8" t="s">
        <v>51</v>
      </c>
      <c r="F4045">
        <v>4</v>
      </c>
      <c r="G4045" s="2">
        <v>46267.75</v>
      </c>
      <c r="H4045" s="2">
        <v>46267.583333333336</v>
      </c>
    </row>
    <row r="4046" spans="1:8" x14ac:dyDescent="0.25">
      <c r="A4046" s="8" t="s">
        <v>13007</v>
      </c>
      <c r="B4046" s="8" t="s">
        <v>14472</v>
      </c>
      <c r="C4046" s="2">
        <v>46267.416666666664</v>
      </c>
      <c r="D4046" s="8" t="s">
        <v>13935</v>
      </c>
      <c r="E4046" s="8" t="s">
        <v>53</v>
      </c>
      <c r="F4046">
        <v>4</v>
      </c>
      <c r="G4046" s="2">
        <v>46267.75</v>
      </c>
      <c r="H4046" s="2">
        <v>46267.583333333336</v>
      </c>
    </row>
    <row r="4047" spans="1:8" x14ac:dyDescent="0.25">
      <c r="A4047" s="8" t="s">
        <v>13010</v>
      </c>
      <c r="B4047" s="8" t="s">
        <v>14472</v>
      </c>
      <c r="C4047" s="2">
        <v>46267.416666666664</v>
      </c>
      <c r="D4047" s="8" t="s">
        <v>13935</v>
      </c>
      <c r="E4047" s="8" t="s">
        <v>55</v>
      </c>
      <c r="F4047">
        <v>6</v>
      </c>
      <c r="G4047" s="2">
        <v>46267.75</v>
      </c>
      <c r="H4047" s="2">
        <v>46267.583333333336</v>
      </c>
    </row>
    <row r="4048" spans="1:8" x14ac:dyDescent="0.25">
      <c r="A4048" s="8" t="s">
        <v>13013</v>
      </c>
      <c r="B4048" s="8" t="s">
        <v>14472</v>
      </c>
      <c r="C4048" s="2">
        <v>46267.416666666664</v>
      </c>
      <c r="D4048" s="8" t="s">
        <v>13935</v>
      </c>
      <c r="E4048" s="8" t="s">
        <v>67</v>
      </c>
      <c r="F4048">
        <v>7</v>
      </c>
      <c r="G4048" s="2">
        <v>46267.75</v>
      </c>
      <c r="H4048" s="2">
        <v>46267.583333333336</v>
      </c>
    </row>
    <row r="4049" spans="1:8" x14ac:dyDescent="0.25">
      <c r="A4049" s="8" t="s">
        <v>13016</v>
      </c>
      <c r="B4049" s="8" t="s">
        <v>14472</v>
      </c>
      <c r="C4049" s="2">
        <v>46267.416666666664</v>
      </c>
      <c r="D4049" s="8" t="s">
        <v>13935</v>
      </c>
      <c r="E4049" s="8" t="s">
        <v>71</v>
      </c>
      <c r="F4049">
        <v>7</v>
      </c>
      <c r="G4049" s="2">
        <v>46267.75</v>
      </c>
      <c r="H4049" s="2">
        <v>46267.583333333336</v>
      </c>
    </row>
    <row r="4050" spans="1:8" x14ac:dyDescent="0.25">
      <c r="A4050" s="8" t="s">
        <v>13019</v>
      </c>
      <c r="B4050" s="8" t="s">
        <v>14473</v>
      </c>
      <c r="C4050" s="2">
        <v>46267.416666666664</v>
      </c>
      <c r="D4050" s="8" t="s">
        <v>13937</v>
      </c>
      <c r="E4050" s="8" t="s">
        <v>18</v>
      </c>
      <c r="F4050">
        <v>4</v>
      </c>
      <c r="G4050" s="2">
        <v>46267.75</v>
      </c>
      <c r="H4050" s="2">
        <v>46267.583333333336</v>
      </c>
    </row>
    <row r="4051" spans="1:8" x14ac:dyDescent="0.25">
      <c r="A4051" s="8" t="s">
        <v>13022</v>
      </c>
      <c r="B4051" s="8" t="s">
        <v>14473</v>
      </c>
      <c r="C4051" s="2">
        <v>46267.416666666664</v>
      </c>
      <c r="D4051" s="8" t="s">
        <v>13937</v>
      </c>
      <c r="E4051" s="8" t="s">
        <v>26</v>
      </c>
      <c r="F4051">
        <v>1</v>
      </c>
      <c r="G4051" s="2">
        <v>46267.75</v>
      </c>
      <c r="H4051" s="2">
        <v>46267.583333333336</v>
      </c>
    </row>
    <row r="4052" spans="1:8" x14ac:dyDescent="0.25">
      <c r="A4052" s="8" t="s">
        <v>13025</v>
      </c>
      <c r="B4052" s="8" t="s">
        <v>14473</v>
      </c>
      <c r="C4052" s="2">
        <v>46267.416666666664</v>
      </c>
      <c r="D4052" s="8" t="s">
        <v>13937</v>
      </c>
      <c r="E4052" s="8" t="s">
        <v>28</v>
      </c>
      <c r="F4052">
        <v>4</v>
      </c>
      <c r="G4052" s="2">
        <v>46267.75</v>
      </c>
      <c r="H4052" s="2">
        <v>46267.583333333336</v>
      </c>
    </row>
    <row r="4053" spans="1:8" x14ac:dyDescent="0.25">
      <c r="A4053" s="8" t="s">
        <v>13028</v>
      </c>
      <c r="B4053" s="8" t="s">
        <v>14473</v>
      </c>
      <c r="C4053" s="2">
        <v>46267.416666666664</v>
      </c>
      <c r="D4053" s="8" t="s">
        <v>13937</v>
      </c>
      <c r="E4053" s="8" t="s">
        <v>36</v>
      </c>
      <c r="F4053">
        <v>2</v>
      </c>
      <c r="G4053" s="2">
        <v>46267.75</v>
      </c>
      <c r="H4053" s="2">
        <v>46267.583333333336</v>
      </c>
    </row>
    <row r="4054" spans="1:8" x14ac:dyDescent="0.25">
      <c r="A4054" s="8" t="s">
        <v>13031</v>
      </c>
      <c r="B4054" s="8" t="s">
        <v>14473</v>
      </c>
      <c r="C4054" s="2">
        <v>46267.416666666664</v>
      </c>
      <c r="D4054" s="8" t="s">
        <v>13937</v>
      </c>
      <c r="E4054" s="8" t="s">
        <v>41</v>
      </c>
      <c r="F4054">
        <v>2</v>
      </c>
      <c r="G4054" s="2">
        <v>46267.75</v>
      </c>
      <c r="H4054" s="2">
        <v>46267.583333333336</v>
      </c>
    </row>
    <row r="4055" spans="1:8" x14ac:dyDescent="0.25">
      <c r="A4055" s="8" t="s">
        <v>13034</v>
      </c>
      <c r="B4055" s="8" t="s">
        <v>14473</v>
      </c>
      <c r="C4055" s="2">
        <v>46267.416666666664</v>
      </c>
      <c r="D4055" s="8" t="s">
        <v>13937</v>
      </c>
      <c r="E4055" s="8" t="s">
        <v>47</v>
      </c>
      <c r="F4055">
        <v>1</v>
      </c>
      <c r="G4055" s="2">
        <v>46267.75</v>
      </c>
      <c r="H4055" s="2">
        <v>46267.583333333336</v>
      </c>
    </row>
    <row r="4056" spans="1:8" x14ac:dyDescent="0.25">
      <c r="A4056" s="8" t="s">
        <v>13037</v>
      </c>
      <c r="B4056" s="8" t="s">
        <v>14473</v>
      </c>
      <c r="C4056" s="2">
        <v>46267.416666666664</v>
      </c>
      <c r="D4056" s="8" t="s">
        <v>13937</v>
      </c>
      <c r="E4056" s="8" t="s">
        <v>75</v>
      </c>
      <c r="F4056">
        <v>3</v>
      </c>
      <c r="G4056" s="2">
        <v>46267.75</v>
      </c>
      <c r="H4056" s="2">
        <v>46267.583333333336</v>
      </c>
    </row>
    <row r="4057" spans="1:8" x14ac:dyDescent="0.25">
      <c r="A4057" s="8" t="s">
        <v>13040</v>
      </c>
      <c r="B4057" s="8" t="s">
        <v>14473</v>
      </c>
      <c r="C4057" s="2">
        <v>46267.416666666664</v>
      </c>
      <c r="D4057" s="8" t="s">
        <v>13937</v>
      </c>
      <c r="E4057" s="8" t="s">
        <v>77</v>
      </c>
      <c r="F4057">
        <v>1</v>
      </c>
      <c r="G4057" s="2">
        <v>46267.75</v>
      </c>
      <c r="H4057" s="2">
        <v>46267.583333333336</v>
      </c>
    </row>
    <row r="4058" spans="1:8" x14ac:dyDescent="0.25">
      <c r="A4058" s="8" t="s">
        <v>13043</v>
      </c>
      <c r="B4058" s="8" t="s">
        <v>14474</v>
      </c>
      <c r="C4058" s="2">
        <v>46268.416666666664</v>
      </c>
      <c r="D4058" s="8" t="s">
        <v>13929</v>
      </c>
      <c r="E4058" s="8" t="s">
        <v>18</v>
      </c>
      <c r="F4058">
        <v>3</v>
      </c>
      <c r="G4058" s="2">
        <v>46268.75</v>
      </c>
      <c r="H4058" s="2">
        <v>46268.583333333336</v>
      </c>
    </row>
    <row r="4059" spans="1:8" x14ac:dyDescent="0.25">
      <c r="A4059" s="8" t="s">
        <v>13046</v>
      </c>
      <c r="B4059" s="8" t="s">
        <v>14474</v>
      </c>
      <c r="C4059" s="2">
        <v>46268.416666666664</v>
      </c>
      <c r="D4059" s="8" t="s">
        <v>13929</v>
      </c>
      <c r="E4059" s="8" t="s">
        <v>20</v>
      </c>
      <c r="F4059">
        <v>2</v>
      </c>
      <c r="G4059" s="2">
        <v>46268.75</v>
      </c>
      <c r="H4059" s="2">
        <v>46268.583333333336</v>
      </c>
    </row>
    <row r="4060" spans="1:8" x14ac:dyDescent="0.25">
      <c r="A4060" s="8" t="s">
        <v>13049</v>
      </c>
      <c r="B4060" s="8" t="s">
        <v>14474</v>
      </c>
      <c r="C4060" s="2">
        <v>46268.416666666664</v>
      </c>
      <c r="D4060" s="8" t="s">
        <v>13929</v>
      </c>
      <c r="E4060" s="8" t="s">
        <v>22</v>
      </c>
      <c r="F4060">
        <v>1</v>
      </c>
      <c r="G4060" s="2">
        <v>46268.75</v>
      </c>
      <c r="H4060" s="2">
        <v>46268.583333333336</v>
      </c>
    </row>
    <row r="4061" spans="1:8" x14ac:dyDescent="0.25">
      <c r="A4061" s="8" t="s">
        <v>13052</v>
      </c>
      <c r="B4061" s="8" t="s">
        <v>14474</v>
      </c>
      <c r="C4061" s="2">
        <v>46268.416666666664</v>
      </c>
      <c r="D4061" s="8" t="s">
        <v>13929</v>
      </c>
      <c r="E4061" s="8" t="s">
        <v>45</v>
      </c>
      <c r="F4061">
        <v>2</v>
      </c>
      <c r="G4061" s="2">
        <v>46268.75</v>
      </c>
      <c r="H4061" s="2">
        <v>46268.583333333336</v>
      </c>
    </row>
    <row r="4062" spans="1:8" x14ac:dyDescent="0.25">
      <c r="A4062" s="8" t="s">
        <v>13055</v>
      </c>
      <c r="B4062" s="8" t="s">
        <v>14474</v>
      </c>
      <c r="C4062" s="2">
        <v>46268.416666666664</v>
      </c>
      <c r="D4062" s="8" t="s">
        <v>13929</v>
      </c>
      <c r="E4062" s="8" t="s">
        <v>53</v>
      </c>
      <c r="F4062">
        <v>2</v>
      </c>
      <c r="G4062" s="2">
        <v>46268.75</v>
      </c>
      <c r="H4062" s="2">
        <v>46268.583333333336</v>
      </c>
    </row>
    <row r="4063" spans="1:8" x14ac:dyDescent="0.25">
      <c r="A4063" s="8" t="s">
        <v>13058</v>
      </c>
      <c r="B4063" s="8" t="s">
        <v>14474</v>
      </c>
      <c r="C4063" s="2">
        <v>46268.416666666664</v>
      </c>
      <c r="D4063" s="8" t="s">
        <v>13929</v>
      </c>
      <c r="E4063" s="8" t="s">
        <v>59</v>
      </c>
      <c r="F4063">
        <v>3</v>
      </c>
      <c r="G4063" s="2">
        <v>46268.75</v>
      </c>
      <c r="H4063" s="2">
        <v>46268.583333333336</v>
      </c>
    </row>
    <row r="4064" spans="1:8" x14ac:dyDescent="0.25">
      <c r="A4064" s="8" t="s">
        <v>13061</v>
      </c>
      <c r="B4064" s="8" t="s">
        <v>14474</v>
      </c>
      <c r="C4064" s="2">
        <v>46268.416666666664</v>
      </c>
      <c r="D4064" s="8" t="s">
        <v>13929</v>
      </c>
      <c r="E4064" s="8" t="s">
        <v>71</v>
      </c>
      <c r="F4064">
        <v>1</v>
      </c>
      <c r="G4064" s="2">
        <v>46268.75</v>
      </c>
      <c r="H4064" s="2">
        <v>46268.583333333336</v>
      </c>
    </row>
    <row r="4065" spans="1:8" x14ac:dyDescent="0.25">
      <c r="A4065" s="8" t="s">
        <v>13064</v>
      </c>
      <c r="B4065" s="8" t="s">
        <v>14474</v>
      </c>
      <c r="C4065" s="2">
        <v>46268.416666666664</v>
      </c>
      <c r="D4065" s="8" t="s">
        <v>13929</v>
      </c>
      <c r="E4065" s="8" t="s">
        <v>75</v>
      </c>
      <c r="F4065">
        <v>2</v>
      </c>
      <c r="G4065" s="2">
        <v>46268.75</v>
      </c>
      <c r="H4065" s="2">
        <v>46268.583333333336</v>
      </c>
    </row>
    <row r="4066" spans="1:8" x14ac:dyDescent="0.25">
      <c r="A4066" s="8" t="s">
        <v>13067</v>
      </c>
      <c r="B4066" s="8" t="s">
        <v>14475</v>
      </c>
      <c r="C4066" s="2">
        <v>46268.416666666664</v>
      </c>
      <c r="D4066" s="8" t="s">
        <v>13931</v>
      </c>
      <c r="E4066" s="8" t="s">
        <v>11</v>
      </c>
      <c r="F4066">
        <v>1</v>
      </c>
      <c r="G4066" s="2">
        <v>46268.75</v>
      </c>
      <c r="H4066" s="2">
        <v>46268.583333333336</v>
      </c>
    </row>
    <row r="4067" spans="1:8" x14ac:dyDescent="0.25">
      <c r="A4067" s="8" t="s">
        <v>13070</v>
      </c>
      <c r="B4067" s="8" t="s">
        <v>14475</v>
      </c>
      <c r="C4067" s="2">
        <v>46268.416666666664</v>
      </c>
      <c r="D4067" s="8" t="s">
        <v>13931</v>
      </c>
      <c r="E4067" s="8" t="s">
        <v>18</v>
      </c>
      <c r="F4067">
        <v>4</v>
      </c>
      <c r="G4067" s="2">
        <v>46268.75</v>
      </c>
      <c r="H4067" s="2">
        <v>46268.583333333336</v>
      </c>
    </row>
    <row r="4068" spans="1:8" x14ac:dyDescent="0.25">
      <c r="A4068" s="8" t="s">
        <v>13073</v>
      </c>
      <c r="B4068" s="8" t="s">
        <v>14475</v>
      </c>
      <c r="C4068" s="2">
        <v>46268.416666666664</v>
      </c>
      <c r="D4068" s="8" t="s">
        <v>13931</v>
      </c>
      <c r="E4068" s="8" t="s">
        <v>22</v>
      </c>
      <c r="F4068">
        <v>5</v>
      </c>
      <c r="G4068" s="2">
        <v>46268.75</v>
      </c>
      <c r="H4068" s="2">
        <v>46268.583333333336</v>
      </c>
    </row>
    <row r="4069" spans="1:8" x14ac:dyDescent="0.25">
      <c r="A4069" s="8" t="s">
        <v>13076</v>
      </c>
      <c r="B4069" s="8" t="s">
        <v>14475</v>
      </c>
      <c r="C4069" s="2">
        <v>46268.416666666664</v>
      </c>
      <c r="D4069" s="8" t="s">
        <v>13931</v>
      </c>
      <c r="E4069" s="8" t="s">
        <v>26</v>
      </c>
      <c r="F4069">
        <v>5</v>
      </c>
      <c r="G4069" s="2">
        <v>46268.75</v>
      </c>
      <c r="H4069" s="2">
        <v>46268.583333333336</v>
      </c>
    </row>
    <row r="4070" spans="1:8" x14ac:dyDescent="0.25">
      <c r="A4070" s="8" t="s">
        <v>13079</v>
      </c>
      <c r="B4070" s="8" t="s">
        <v>14475</v>
      </c>
      <c r="C4070" s="2">
        <v>46268.416666666664</v>
      </c>
      <c r="D4070" s="8" t="s">
        <v>13931</v>
      </c>
      <c r="E4070" s="8" t="s">
        <v>32</v>
      </c>
      <c r="F4070">
        <v>3</v>
      </c>
      <c r="G4070" s="2">
        <v>46268.75</v>
      </c>
      <c r="H4070" s="2">
        <v>46268.583333333336</v>
      </c>
    </row>
    <row r="4071" spans="1:8" x14ac:dyDescent="0.25">
      <c r="A4071" s="8" t="s">
        <v>13082</v>
      </c>
      <c r="B4071" s="8" t="s">
        <v>14475</v>
      </c>
      <c r="C4071" s="2">
        <v>46268.416666666664</v>
      </c>
      <c r="D4071" s="8" t="s">
        <v>13931</v>
      </c>
      <c r="E4071" s="8" t="s">
        <v>36</v>
      </c>
      <c r="F4071">
        <v>3</v>
      </c>
      <c r="G4071" s="2">
        <v>46268.75</v>
      </c>
      <c r="H4071" s="2">
        <v>46268.583333333336</v>
      </c>
    </row>
    <row r="4072" spans="1:8" x14ac:dyDescent="0.25">
      <c r="A4072" s="8" t="s">
        <v>13085</v>
      </c>
      <c r="B4072" s="8" t="s">
        <v>14475</v>
      </c>
      <c r="C4072" s="2">
        <v>46268.416666666664</v>
      </c>
      <c r="D4072" s="8" t="s">
        <v>13931</v>
      </c>
      <c r="E4072" s="8" t="s">
        <v>43</v>
      </c>
      <c r="F4072">
        <v>1</v>
      </c>
      <c r="G4072" s="2">
        <v>46268.75</v>
      </c>
      <c r="H4072" s="2">
        <v>46268.583333333336</v>
      </c>
    </row>
    <row r="4073" spans="1:8" x14ac:dyDescent="0.25">
      <c r="A4073" s="8" t="s">
        <v>13088</v>
      </c>
      <c r="B4073" s="8" t="s">
        <v>14475</v>
      </c>
      <c r="C4073" s="2">
        <v>46268.416666666664</v>
      </c>
      <c r="D4073" s="8" t="s">
        <v>13931</v>
      </c>
      <c r="E4073" s="8" t="s">
        <v>51</v>
      </c>
      <c r="F4073">
        <v>4</v>
      </c>
      <c r="G4073" s="2">
        <v>46268.75</v>
      </c>
      <c r="H4073" s="2">
        <v>46268.583333333336</v>
      </c>
    </row>
    <row r="4074" spans="1:8" x14ac:dyDescent="0.25">
      <c r="A4074" s="8" t="s">
        <v>13091</v>
      </c>
      <c r="B4074" s="8" t="s">
        <v>14475</v>
      </c>
      <c r="C4074" s="2">
        <v>46268.416666666664</v>
      </c>
      <c r="D4074" s="8" t="s">
        <v>13931</v>
      </c>
      <c r="E4074" s="8" t="s">
        <v>53</v>
      </c>
      <c r="F4074">
        <v>5</v>
      </c>
      <c r="G4074" s="2">
        <v>46268.75</v>
      </c>
      <c r="H4074" s="2">
        <v>46268.583333333336</v>
      </c>
    </row>
    <row r="4075" spans="1:8" x14ac:dyDescent="0.25">
      <c r="A4075" s="8" t="s">
        <v>13094</v>
      </c>
      <c r="B4075" s="8" t="s">
        <v>14475</v>
      </c>
      <c r="C4075" s="2">
        <v>46268.416666666664</v>
      </c>
      <c r="D4075" s="8" t="s">
        <v>13931</v>
      </c>
      <c r="E4075" s="8" t="s">
        <v>73</v>
      </c>
      <c r="F4075">
        <v>3</v>
      </c>
      <c r="G4075" s="2">
        <v>46268.75</v>
      </c>
      <c r="H4075" s="2">
        <v>46268.583333333336</v>
      </c>
    </row>
    <row r="4076" spans="1:8" x14ac:dyDescent="0.25">
      <c r="A4076" s="8" t="s">
        <v>13097</v>
      </c>
      <c r="B4076" s="8" t="s">
        <v>14476</v>
      </c>
      <c r="C4076" s="2">
        <v>46268.416666666664</v>
      </c>
      <c r="D4076" s="8" t="s">
        <v>13933</v>
      </c>
      <c r="E4076" s="8" t="s">
        <v>18</v>
      </c>
      <c r="F4076">
        <v>1</v>
      </c>
      <c r="G4076" s="2">
        <v>46268.75</v>
      </c>
      <c r="H4076" s="2">
        <v>46268.583333333336</v>
      </c>
    </row>
    <row r="4077" spans="1:8" x14ac:dyDescent="0.25">
      <c r="A4077" s="8" t="s">
        <v>13100</v>
      </c>
      <c r="B4077" s="8" t="s">
        <v>14476</v>
      </c>
      <c r="C4077" s="2">
        <v>46268.416666666664</v>
      </c>
      <c r="D4077" s="8" t="s">
        <v>13933</v>
      </c>
      <c r="E4077" s="8" t="s">
        <v>20</v>
      </c>
      <c r="F4077">
        <v>2</v>
      </c>
      <c r="G4077" s="2">
        <v>46268.75</v>
      </c>
      <c r="H4077" s="2">
        <v>46268.583333333336</v>
      </c>
    </row>
    <row r="4078" spans="1:8" x14ac:dyDescent="0.25">
      <c r="A4078" s="8" t="s">
        <v>13103</v>
      </c>
      <c r="B4078" s="8" t="s">
        <v>14476</v>
      </c>
      <c r="C4078" s="2">
        <v>46268.416666666664</v>
      </c>
      <c r="D4078" s="8" t="s">
        <v>13933</v>
      </c>
      <c r="E4078" s="8" t="s">
        <v>22</v>
      </c>
      <c r="F4078">
        <v>4</v>
      </c>
      <c r="G4078" s="2">
        <v>46268.75</v>
      </c>
      <c r="H4078" s="2">
        <v>46268.583333333336</v>
      </c>
    </row>
    <row r="4079" spans="1:8" x14ac:dyDescent="0.25">
      <c r="A4079" s="8" t="s">
        <v>13106</v>
      </c>
      <c r="B4079" s="8" t="s">
        <v>14476</v>
      </c>
      <c r="C4079" s="2">
        <v>46268.416666666664</v>
      </c>
      <c r="D4079" s="8" t="s">
        <v>13933</v>
      </c>
      <c r="E4079" s="8" t="s">
        <v>24</v>
      </c>
      <c r="F4079">
        <v>1</v>
      </c>
      <c r="G4079" s="2">
        <v>46268.75</v>
      </c>
      <c r="H4079" s="2">
        <v>46268.583333333336</v>
      </c>
    </row>
    <row r="4080" spans="1:8" x14ac:dyDescent="0.25">
      <c r="A4080" s="8" t="s">
        <v>13109</v>
      </c>
      <c r="B4080" s="8" t="s">
        <v>14476</v>
      </c>
      <c r="C4080" s="2">
        <v>46268.416666666664</v>
      </c>
      <c r="D4080" s="8" t="s">
        <v>13933</v>
      </c>
      <c r="E4080" s="8" t="s">
        <v>30</v>
      </c>
      <c r="F4080">
        <v>6</v>
      </c>
      <c r="G4080" s="2">
        <v>46268.75</v>
      </c>
      <c r="H4080" s="2">
        <v>46268.583333333336</v>
      </c>
    </row>
    <row r="4081" spans="1:8" x14ac:dyDescent="0.25">
      <c r="A4081" s="8" t="s">
        <v>13112</v>
      </c>
      <c r="B4081" s="8" t="s">
        <v>14476</v>
      </c>
      <c r="C4081" s="2">
        <v>46268.416666666664</v>
      </c>
      <c r="D4081" s="8" t="s">
        <v>13933</v>
      </c>
      <c r="E4081" s="8" t="s">
        <v>43</v>
      </c>
      <c r="F4081">
        <v>1</v>
      </c>
      <c r="G4081" s="2">
        <v>46268.75</v>
      </c>
      <c r="H4081" s="2">
        <v>46268.583333333336</v>
      </c>
    </row>
    <row r="4082" spans="1:8" x14ac:dyDescent="0.25">
      <c r="A4082" s="8" t="s">
        <v>13115</v>
      </c>
      <c r="B4082" s="8" t="s">
        <v>14476</v>
      </c>
      <c r="C4082" s="2">
        <v>46268.416666666664</v>
      </c>
      <c r="D4082" s="8" t="s">
        <v>13933</v>
      </c>
      <c r="E4082" s="8" t="s">
        <v>55</v>
      </c>
      <c r="F4082">
        <v>5</v>
      </c>
      <c r="G4082" s="2">
        <v>46268.75</v>
      </c>
      <c r="H4082" s="2">
        <v>46268.583333333336</v>
      </c>
    </row>
    <row r="4083" spans="1:8" x14ac:dyDescent="0.25">
      <c r="A4083" s="8" t="s">
        <v>13118</v>
      </c>
      <c r="B4083" s="8" t="s">
        <v>14476</v>
      </c>
      <c r="C4083" s="2">
        <v>46268.416666666664</v>
      </c>
      <c r="D4083" s="8" t="s">
        <v>13933</v>
      </c>
      <c r="E4083" s="8" t="s">
        <v>65</v>
      </c>
      <c r="F4083">
        <v>5</v>
      </c>
      <c r="G4083" s="2">
        <v>46268.75</v>
      </c>
      <c r="H4083" s="2">
        <v>46268.583333333336</v>
      </c>
    </row>
    <row r="4084" spans="1:8" x14ac:dyDescent="0.25">
      <c r="A4084" s="8" t="s">
        <v>13123</v>
      </c>
      <c r="B4084" s="8" t="s">
        <v>14476</v>
      </c>
      <c r="C4084" s="2">
        <v>46268.416666666664</v>
      </c>
      <c r="D4084" s="8" t="s">
        <v>13933</v>
      </c>
      <c r="E4084" s="8" t="s">
        <v>71</v>
      </c>
      <c r="F4084">
        <v>5</v>
      </c>
      <c r="G4084" s="2">
        <v>46268.75</v>
      </c>
      <c r="H4084" s="2">
        <v>46268.583333333336</v>
      </c>
    </row>
    <row r="4085" spans="1:8" x14ac:dyDescent="0.25">
      <c r="A4085" s="8" t="s">
        <v>13126</v>
      </c>
      <c r="B4085" s="8" t="s">
        <v>14476</v>
      </c>
      <c r="C4085" s="2">
        <v>46268.416666666664</v>
      </c>
      <c r="D4085" s="8" t="s">
        <v>13933</v>
      </c>
      <c r="E4085" s="8" t="s">
        <v>73</v>
      </c>
      <c r="F4085">
        <v>5</v>
      </c>
      <c r="G4085" s="2">
        <v>46268.75</v>
      </c>
      <c r="H4085" s="2">
        <v>46268.583333333336</v>
      </c>
    </row>
    <row r="4086" spans="1:8" x14ac:dyDescent="0.25">
      <c r="A4086" s="8" t="s">
        <v>13129</v>
      </c>
      <c r="B4086" s="8" t="s">
        <v>14477</v>
      </c>
      <c r="C4086" s="2">
        <v>46268.416666666664</v>
      </c>
      <c r="D4086" s="8" t="s">
        <v>13935</v>
      </c>
      <c r="E4086" s="8" t="s">
        <v>18</v>
      </c>
      <c r="F4086">
        <v>6</v>
      </c>
      <c r="G4086" s="2">
        <v>46268.75</v>
      </c>
      <c r="H4086" s="2">
        <v>46268.583333333336</v>
      </c>
    </row>
    <row r="4087" spans="1:8" x14ac:dyDescent="0.25">
      <c r="A4087" s="8" t="s">
        <v>13132</v>
      </c>
      <c r="B4087" s="8" t="s">
        <v>14477</v>
      </c>
      <c r="C4087" s="2">
        <v>46268.416666666664</v>
      </c>
      <c r="D4087" s="8" t="s">
        <v>13935</v>
      </c>
      <c r="E4087" s="8" t="s">
        <v>20</v>
      </c>
      <c r="F4087">
        <v>6</v>
      </c>
      <c r="G4087" s="2">
        <v>46268.75</v>
      </c>
      <c r="H4087" s="2">
        <v>46268.583333333336</v>
      </c>
    </row>
    <row r="4088" spans="1:8" x14ac:dyDescent="0.25">
      <c r="A4088" s="8" t="s">
        <v>13135</v>
      </c>
      <c r="B4088" s="8" t="s">
        <v>14477</v>
      </c>
      <c r="C4088" s="2">
        <v>46268.416666666664</v>
      </c>
      <c r="D4088" s="8" t="s">
        <v>13935</v>
      </c>
      <c r="E4088" s="8" t="s">
        <v>24</v>
      </c>
      <c r="F4088">
        <v>6</v>
      </c>
      <c r="G4088" s="2">
        <v>46268.75</v>
      </c>
      <c r="H4088" s="2">
        <v>46268.583333333336</v>
      </c>
    </row>
    <row r="4089" spans="1:8" x14ac:dyDescent="0.25">
      <c r="A4089" s="8" t="s">
        <v>13138</v>
      </c>
      <c r="B4089" s="8" t="s">
        <v>14477</v>
      </c>
      <c r="C4089" s="2">
        <v>46268.416666666664</v>
      </c>
      <c r="D4089" s="8" t="s">
        <v>13935</v>
      </c>
      <c r="E4089" s="8" t="s">
        <v>26</v>
      </c>
      <c r="F4089">
        <v>6</v>
      </c>
      <c r="G4089" s="2">
        <v>46268.75</v>
      </c>
      <c r="H4089" s="2">
        <v>46268.583333333336</v>
      </c>
    </row>
    <row r="4090" spans="1:8" x14ac:dyDescent="0.25">
      <c r="A4090" s="8" t="s">
        <v>13141</v>
      </c>
      <c r="B4090" s="8" t="s">
        <v>14477</v>
      </c>
      <c r="C4090" s="2">
        <v>46268.416666666664</v>
      </c>
      <c r="D4090" s="8" t="s">
        <v>13935</v>
      </c>
      <c r="E4090" s="8" t="s">
        <v>30</v>
      </c>
      <c r="F4090">
        <v>6</v>
      </c>
      <c r="G4090" s="2">
        <v>46268.75</v>
      </c>
      <c r="H4090" s="2">
        <v>46268.583333333336</v>
      </c>
    </row>
    <row r="4091" spans="1:8" x14ac:dyDescent="0.25">
      <c r="A4091" s="8" t="s">
        <v>13144</v>
      </c>
      <c r="B4091" s="8" t="s">
        <v>14477</v>
      </c>
      <c r="C4091" s="2">
        <v>46268.416666666664</v>
      </c>
      <c r="D4091" s="8" t="s">
        <v>13935</v>
      </c>
      <c r="E4091" s="8" t="s">
        <v>32</v>
      </c>
      <c r="F4091">
        <v>7</v>
      </c>
      <c r="G4091" s="2">
        <v>46268.75</v>
      </c>
      <c r="H4091" s="2">
        <v>46268.583333333336</v>
      </c>
    </row>
    <row r="4092" spans="1:8" x14ac:dyDescent="0.25">
      <c r="A4092" s="8" t="s">
        <v>13147</v>
      </c>
      <c r="B4092" s="8" t="s">
        <v>14477</v>
      </c>
      <c r="C4092" s="2">
        <v>46268.416666666664</v>
      </c>
      <c r="D4092" s="8" t="s">
        <v>13935</v>
      </c>
      <c r="E4092" s="8" t="s">
        <v>59</v>
      </c>
      <c r="F4092">
        <v>6</v>
      </c>
      <c r="G4092" s="2">
        <v>46268.75</v>
      </c>
      <c r="H4092" s="2">
        <v>46268.583333333336</v>
      </c>
    </row>
    <row r="4093" spans="1:8" x14ac:dyDescent="0.25">
      <c r="A4093" s="8" t="s">
        <v>13150</v>
      </c>
      <c r="B4093" s="8" t="s">
        <v>14477</v>
      </c>
      <c r="C4093" s="2">
        <v>46268.416666666664</v>
      </c>
      <c r="D4093" s="8" t="s">
        <v>13935</v>
      </c>
      <c r="E4093" s="8" t="s">
        <v>67</v>
      </c>
      <c r="F4093">
        <v>7</v>
      </c>
      <c r="G4093" s="2">
        <v>46268.75</v>
      </c>
      <c r="H4093" s="2">
        <v>46268.583333333336</v>
      </c>
    </row>
    <row r="4094" spans="1:8" x14ac:dyDescent="0.25">
      <c r="A4094" s="8" t="s">
        <v>13153</v>
      </c>
      <c r="B4094" s="8" t="s">
        <v>14477</v>
      </c>
      <c r="C4094" s="2">
        <v>46268.416666666664</v>
      </c>
      <c r="D4094" s="8" t="s">
        <v>13935</v>
      </c>
      <c r="E4094" s="8" t="s">
        <v>75</v>
      </c>
      <c r="F4094">
        <v>6</v>
      </c>
      <c r="G4094" s="2">
        <v>46268.75</v>
      </c>
      <c r="H4094" s="2">
        <v>46268.583333333336</v>
      </c>
    </row>
    <row r="4095" spans="1:8" x14ac:dyDescent="0.25">
      <c r="A4095" s="8" t="s">
        <v>13156</v>
      </c>
      <c r="B4095" s="8" t="s">
        <v>14478</v>
      </c>
      <c r="C4095" s="2">
        <v>46268.416666666664</v>
      </c>
      <c r="D4095" s="8" t="s">
        <v>13937</v>
      </c>
      <c r="E4095" s="8" t="s">
        <v>11</v>
      </c>
      <c r="F4095">
        <v>2</v>
      </c>
      <c r="G4095" s="2">
        <v>46268.75</v>
      </c>
      <c r="H4095" s="2">
        <v>46268.583333333336</v>
      </c>
    </row>
    <row r="4096" spans="1:8" x14ac:dyDescent="0.25">
      <c r="A4096" s="8" t="s">
        <v>13159</v>
      </c>
      <c r="B4096" s="8" t="s">
        <v>14478</v>
      </c>
      <c r="C4096" s="2">
        <v>46268.416666666664</v>
      </c>
      <c r="D4096" s="8" t="s">
        <v>13937</v>
      </c>
      <c r="E4096" s="8" t="s">
        <v>18</v>
      </c>
      <c r="F4096">
        <v>4</v>
      </c>
      <c r="G4096" s="2">
        <v>46268.75</v>
      </c>
      <c r="H4096" s="2">
        <v>46268.583333333336</v>
      </c>
    </row>
    <row r="4097" spans="1:8" x14ac:dyDescent="0.25">
      <c r="A4097" s="8" t="s">
        <v>13162</v>
      </c>
      <c r="B4097" s="8" t="s">
        <v>14478</v>
      </c>
      <c r="C4097" s="2">
        <v>46268.416666666664</v>
      </c>
      <c r="D4097" s="8" t="s">
        <v>13937</v>
      </c>
      <c r="E4097" s="8" t="s">
        <v>20</v>
      </c>
      <c r="F4097">
        <v>3</v>
      </c>
      <c r="G4097" s="2">
        <v>46268.75</v>
      </c>
      <c r="H4097" s="2">
        <v>46268.583333333336</v>
      </c>
    </row>
    <row r="4098" spans="1:8" x14ac:dyDescent="0.25">
      <c r="A4098" s="8" t="s">
        <v>13165</v>
      </c>
      <c r="B4098" s="8" t="s">
        <v>14478</v>
      </c>
      <c r="C4098" s="2">
        <v>46268.416666666664</v>
      </c>
      <c r="D4098" s="8" t="s">
        <v>13937</v>
      </c>
      <c r="E4098" s="8" t="s">
        <v>22</v>
      </c>
      <c r="F4098">
        <v>4</v>
      </c>
      <c r="G4098" s="2">
        <v>46268.75</v>
      </c>
      <c r="H4098" s="2">
        <v>46268.583333333336</v>
      </c>
    </row>
    <row r="4099" spans="1:8" x14ac:dyDescent="0.25">
      <c r="A4099" s="8" t="s">
        <v>13168</v>
      </c>
      <c r="B4099" s="8" t="s">
        <v>14478</v>
      </c>
      <c r="C4099" s="2">
        <v>46268.416666666664</v>
      </c>
      <c r="D4099" s="8" t="s">
        <v>13937</v>
      </c>
      <c r="E4099" s="8" t="s">
        <v>24</v>
      </c>
      <c r="F4099">
        <v>2</v>
      </c>
      <c r="G4099" s="2">
        <v>46268.75</v>
      </c>
      <c r="H4099" s="2">
        <v>46268.583333333336</v>
      </c>
    </row>
    <row r="4100" spans="1:8" x14ac:dyDescent="0.25">
      <c r="A4100" s="8" t="s">
        <v>13171</v>
      </c>
      <c r="B4100" s="8" t="s">
        <v>14478</v>
      </c>
      <c r="C4100" s="2">
        <v>46268.416666666664</v>
      </c>
      <c r="D4100" s="8" t="s">
        <v>13937</v>
      </c>
      <c r="E4100" s="8" t="s">
        <v>26</v>
      </c>
      <c r="F4100">
        <v>4</v>
      </c>
      <c r="G4100" s="2">
        <v>46268.75</v>
      </c>
      <c r="H4100" s="2">
        <v>46268.583333333336</v>
      </c>
    </row>
    <row r="4101" spans="1:8" x14ac:dyDescent="0.25">
      <c r="A4101" s="8" t="s">
        <v>13174</v>
      </c>
      <c r="B4101" s="8" t="s">
        <v>14478</v>
      </c>
      <c r="C4101" s="2">
        <v>46268.416666666664</v>
      </c>
      <c r="D4101" s="8" t="s">
        <v>13937</v>
      </c>
      <c r="E4101" s="8" t="s">
        <v>43</v>
      </c>
      <c r="F4101">
        <v>2</v>
      </c>
      <c r="G4101" s="2">
        <v>46268.75</v>
      </c>
      <c r="H4101" s="2">
        <v>46268.583333333336</v>
      </c>
    </row>
    <row r="4102" spans="1:8" x14ac:dyDescent="0.25">
      <c r="A4102" s="8" t="s">
        <v>13177</v>
      </c>
      <c r="B4102" s="8" t="s">
        <v>14478</v>
      </c>
      <c r="C4102" s="2">
        <v>46268.416666666664</v>
      </c>
      <c r="D4102" s="8" t="s">
        <v>13937</v>
      </c>
      <c r="E4102" s="8" t="s">
        <v>45</v>
      </c>
      <c r="F4102">
        <v>3</v>
      </c>
      <c r="G4102" s="2">
        <v>46268.75</v>
      </c>
      <c r="H4102" s="2">
        <v>46268.583333333336</v>
      </c>
    </row>
    <row r="4103" spans="1:8" x14ac:dyDescent="0.25">
      <c r="A4103" s="8" t="s">
        <v>13180</v>
      </c>
      <c r="B4103" s="8" t="s">
        <v>14478</v>
      </c>
      <c r="C4103" s="2">
        <v>46268.416666666664</v>
      </c>
      <c r="D4103" s="8" t="s">
        <v>13937</v>
      </c>
      <c r="E4103" s="8" t="s">
        <v>49</v>
      </c>
      <c r="F4103">
        <v>2</v>
      </c>
      <c r="G4103" s="2">
        <v>46268.75</v>
      </c>
      <c r="H4103" s="2">
        <v>46268.583333333336</v>
      </c>
    </row>
    <row r="4104" spans="1:8" x14ac:dyDescent="0.25">
      <c r="A4104" s="8" t="s">
        <v>13183</v>
      </c>
      <c r="B4104" s="8" t="s">
        <v>14478</v>
      </c>
      <c r="C4104" s="2">
        <v>46268.416666666664</v>
      </c>
      <c r="D4104" s="8" t="s">
        <v>13937</v>
      </c>
      <c r="E4104" s="8" t="s">
        <v>53</v>
      </c>
      <c r="F4104">
        <v>2</v>
      </c>
      <c r="G4104" s="2">
        <v>46268.75</v>
      </c>
      <c r="H4104" s="2">
        <v>46268.583333333336</v>
      </c>
    </row>
    <row r="4105" spans="1:8" x14ac:dyDescent="0.25">
      <c r="A4105" s="8" t="s">
        <v>13186</v>
      </c>
      <c r="B4105" s="8" t="s">
        <v>14478</v>
      </c>
      <c r="C4105" s="2">
        <v>46268.416666666664</v>
      </c>
      <c r="D4105" s="8" t="s">
        <v>13937</v>
      </c>
      <c r="E4105" s="8" t="s">
        <v>69</v>
      </c>
      <c r="F4105">
        <v>4</v>
      </c>
      <c r="G4105" s="2">
        <v>46268.75</v>
      </c>
      <c r="H4105" s="2">
        <v>46268.583333333336</v>
      </c>
    </row>
    <row r="4106" spans="1:8" x14ac:dyDescent="0.25">
      <c r="A4106" s="8" t="s">
        <v>13189</v>
      </c>
      <c r="B4106" s="8" t="s">
        <v>14478</v>
      </c>
      <c r="C4106" s="2">
        <v>46268.416666666664</v>
      </c>
      <c r="D4106" s="8" t="s">
        <v>13937</v>
      </c>
      <c r="E4106" s="8" t="s">
        <v>71</v>
      </c>
      <c r="F4106">
        <v>3</v>
      </c>
      <c r="G4106" s="2">
        <v>46268.75</v>
      </c>
      <c r="H4106" s="2">
        <v>46268.583333333336</v>
      </c>
    </row>
    <row r="4107" spans="1:8" x14ac:dyDescent="0.25">
      <c r="A4107" s="8" t="s">
        <v>13192</v>
      </c>
      <c r="B4107" s="8" t="s">
        <v>14478</v>
      </c>
      <c r="C4107" s="2">
        <v>46268.416666666664</v>
      </c>
      <c r="D4107" s="8" t="s">
        <v>13937</v>
      </c>
      <c r="E4107" s="8" t="s">
        <v>75</v>
      </c>
      <c r="F4107">
        <v>4</v>
      </c>
      <c r="G4107" s="2">
        <v>46268.75</v>
      </c>
      <c r="H4107" s="2">
        <v>46268.583333333336</v>
      </c>
    </row>
    <row r="4108" spans="1:8" x14ac:dyDescent="0.25">
      <c r="A4108" s="8" t="s">
        <v>13197</v>
      </c>
      <c r="B4108" s="8" t="s">
        <v>14478</v>
      </c>
      <c r="C4108" s="2">
        <v>46268.416666666664</v>
      </c>
      <c r="D4108" s="8" t="s">
        <v>13937</v>
      </c>
      <c r="E4108" s="8" t="s">
        <v>77</v>
      </c>
      <c r="F4108">
        <v>2</v>
      </c>
      <c r="G4108" s="2">
        <v>46268.75</v>
      </c>
      <c r="H4108" s="2">
        <v>46268.583333333336</v>
      </c>
    </row>
    <row r="4109" spans="1:8" x14ac:dyDescent="0.25">
      <c r="A4109" s="8" t="s">
        <v>13200</v>
      </c>
      <c r="B4109" s="8" t="s">
        <v>14479</v>
      </c>
      <c r="C4109" s="2">
        <v>46269.416666666664</v>
      </c>
      <c r="D4109" s="8" t="s">
        <v>13929</v>
      </c>
      <c r="E4109" s="8" t="s">
        <v>11</v>
      </c>
      <c r="F4109">
        <v>3</v>
      </c>
      <c r="G4109" s="2">
        <v>46269.75</v>
      </c>
      <c r="H4109" s="2">
        <v>46269.583333333336</v>
      </c>
    </row>
    <row r="4110" spans="1:8" x14ac:dyDescent="0.25">
      <c r="A4110" s="8" t="s">
        <v>13203</v>
      </c>
      <c r="B4110" s="8" t="s">
        <v>14479</v>
      </c>
      <c r="C4110" s="2">
        <v>46269.416666666664</v>
      </c>
      <c r="D4110" s="8" t="s">
        <v>13929</v>
      </c>
      <c r="E4110" s="8" t="s">
        <v>22</v>
      </c>
      <c r="F4110">
        <v>2</v>
      </c>
      <c r="G4110" s="2">
        <v>46269.75</v>
      </c>
      <c r="H4110" s="2">
        <v>46269.583333333336</v>
      </c>
    </row>
    <row r="4111" spans="1:8" x14ac:dyDescent="0.25">
      <c r="A4111" s="8" t="s">
        <v>13206</v>
      </c>
      <c r="B4111" s="8" t="s">
        <v>14479</v>
      </c>
      <c r="C4111" s="2">
        <v>46269.416666666664</v>
      </c>
      <c r="D4111" s="8" t="s">
        <v>13929</v>
      </c>
      <c r="E4111" s="8" t="s">
        <v>26</v>
      </c>
      <c r="F4111">
        <v>2</v>
      </c>
      <c r="G4111" s="2">
        <v>46269.75</v>
      </c>
      <c r="H4111" s="2">
        <v>46269.583333333336</v>
      </c>
    </row>
    <row r="4112" spans="1:8" x14ac:dyDescent="0.25">
      <c r="A4112" s="8" t="s">
        <v>13209</v>
      </c>
      <c r="B4112" s="8" t="s">
        <v>14479</v>
      </c>
      <c r="C4112" s="2">
        <v>46269.416666666664</v>
      </c>
      <c r="D4112" s="8" t="s">
        <v>13929</v>
      </c>
      <c r="E4112" s="8" t="s">
        <v>41</v>
      </c>
      <c r="F4112">
        <v>2</v>
      </c>
      <c r="G4112" s="2">
        <v>46269.75</v>
      </c>
      <c r="H4112" s="2">
        <v>46269.583333333336</v>
      </c>
    </row>
    <row r="4113" spans="1:8" x14ac:dyDescent="0.25">
      <c r="A4113" s="8" t="s">
        <v>13212</v>
      </c>
      <c r="B4113" s="8" t="s">
        <v>14479</v>
      </c>
      <c r="C4113" s="2">
        <v>46269.416666666664</v>
      </c>
      <c r="D4113" s="8" t="s">
        <v>13929</v>
      </c>
      <c r="E4113" s="8" t="s">
        <v>43</v>
      </c>
      <c r="F4113">
        <v>3</v>
      </c>
      <c r="G4113" s="2">
        <v>46269.75</v>
      </c>
      <c r="H4113" s="2">
        <v>46269.583333333336</v>
      </c>
    </row>
    <row r="4114" spans="1:8" x14ac:dyDescent="0.25">
      <c r="A4114" s="8" t="s">
        <v>13215</v>
      </c>
      <c r="B4114" s="8" t="s">
        <v>14479</v>
      </c>
      <c r="C4114" s="2">
        <v>46269.416666666664</v>
      </c>
      <c r="D4114" s="8" t="s">
        <v>13929</v>
      </c>
      <c r="E4114" s="8" t="s">
        <v>45</v>
      </c>
      <c r="F4114">
        <v>3</v>
      </c>
      <c r="G4114" s="2">
        <v>46269.75</v>
      </c>
      <c r="H4114" s="2">
        <v>46269.583333333336</v>
      </c>
    </row>
    <row r="4115" spans="1:8" x14ac:dyDescent="0.25">
      <c r="A4115" s="8" t="s">
        <v>13218</v>
      </c>
      <c r="B4115" s="8" t="s">
        <v>14479</v>
      </c>
      <c r="C4115" s="2">
        <v>46269.416666666664</v>
      </c>
      <c r="D4115" s="8" t="s">
        <v>13929</v>
      </c>
      <c r="E4115" s="8" t="s">
        <v>49</v>
      </c>
      <c r="F4115">
        <v>2</v>
      </c>
      <c r="G4115" s="2">
        <v>46269.75</v>
      </c>
      <c r="H4115" s="2">
        <v>46269.583333333336</v>
      </c>
    </row>
    <row r="4116" spans="1:8" x14ac:dyDescent="0.25">
      <c r="A4116" s="8" t="s">
        <v>13221</v>
      </c>
      <c r="B4116" s="8" t="s">
        <v>14479</v>
      </c>
      <c r="C4116" s="2">
        <v>46269.416666666664</v>
      </c>
      <c r="D4116" s="8" t="s">
        <v>13929</v>
      </c>
      <c r="E4116" s="8" t="s">
        <v>51</v>
      </c>
      <c r="F4116">
        <v>1</v>
      </c>
      <c r="G4116" s="2">
        <v>46269.75</v>
      </c>
      <c r="H4116" s="2">
        <v>46269.583333333336</v>
      </c>
    </row>
    <row r="4117" spans="1:8" x14ac:dyDescent="0.25">
      <c r="A4117" s="8" t="s">
        <v>13224</v>
      </c>
      <c r="B4117" s="8" t="s">
        <v>14479</v>
      </c>
      <c r="C4117" s="2">
        <v>46269.416666666664</v>
      </c>
      <c r="D4117" s="8" t="s">
        <v>13929</v>
      </c>
      <c r="E4117" s="8" t="s">
        <v>79</v>
      </c>
      <c r="F4117">
        <v>4</v>
      </c>
      <c r="G4117" s="2">
        <v>46269.75</v>
      </c>
      <c r="H4117" s="2">
        <v>46269.583333333336</v>
      </c>
    </row>
    <row r="4118" spans="1:8" x14ac:dyDescent="0.25">
      <c r="A4118" s="8" t="s">
        <v>13227</v>
      </c>
      <c r="B4118" s="8" t="s">
        <v>14480</v>
      </c>
      <c r="C4118" s="2">
        <v>46269.416666666664</v>
      </c>
      <c r="D4118" s="8" t="s">
        <v>13931</v>
      </c>
      <c r="E4118" s="8" t="s">
        <v>20</v>
      </c>
      <c r="F4118">
        <v>3</v>
      </c>
      <c r="G4118" s="2">
        <v>46269.75</v>
      </c>
      <c r="H4118" s="2">
        <v>46269.583333333336</v>
      </c>
    </row>
    <row r="4119" spans="1:8" x14ac:dyDescent="0.25">
      <c r="A4119" s="8" t="s">
        <v>13230</v>
      </c>
      <c r="B4119" s="8" t="s">
        <v>14480</v>
      </c>
      <c r="C4119" s="2">
        <v>46269.416666666664</v>
      </c>
      <c r="D4119" s="8" t="s">
        <v>13931</v>
      </c>
      <c r="E4119" s="8" t="s">
        <v>22</v>
      </c>
      <c r="F4119">
        <v>2</v>
      </c>
      <c r="G4119" s="2">
        <v>46269.75</v>
      </c>
      <c r="H4119" s="2">
        <v>46269.583333333336</v>
      </c>
    </row>
    <row r="4120" spans="1:8" x14ac:dyDescent="0.25">
      <c r="A4120" s="8" t="s">
        <v>13233</v>
      </c>
      <c r="B4120" s="8" t="s">
        <v>14480</v>
      </c>
      <c r="C4120" s="2">
        <v>46269.416666666664</v>
      </c>
      <c r="D4120" s="8" t="s">
        <v>13931</v>
      </c>
      <c r="E4120" s="8" t="s">
        <v>41</v>
      </c>
      <c r="F4120">
        <v>2</v>
      </c>
      <c r="G4120" s="2">
        <v>46269.75</v>
      </c>
      <c r="H4120" s="2">
        <v>46269.583333333336</v>
      </c>
    </row>
    <row r="4121" spans="1:8" x14ac:dyDescent="0.25">
      <c r="A4121" s="8" t="s">
        <v>13236</v>
      </c>
      <c r="B4121" s="8" t="s">
        <v>14480</v>
      </c>
      <c r="C4121" s="2">
        <v>46269.416666666664</v>
      </c>
      <c r="D4121" s="8" t="s">
        <v>13931</v>
      </c>
      <c r="E4121" s="8" t="s">
        <v>57</v>
      </c>
      <c r="F4121">
        <v>3</v>
      </c>
      <c r="G4121" s="2">
        <v>46269.75</v>
      </c>
      <c r="H4121" s="2">
        <v>46269.583333333336</v>
      </c>
    </row>
    <row r="4122" spans="1:8" x14ac:dyDescent="0.25">
      <c r="A4122" s="8" t="s">
        <v>13239</v>
      </c>
      <c r="B4122" s="8" t="s">
        <v>14480</v>
      </c>
      <c r="C4122" s="2">
        <v>46269.416666666664</v>
      </c>
      <c r="D4122" s="8" t="s">
        <v>13931</v>
      </c>
      <c r="E4122" s="8" t="s">
        <v>65</v>
      </c>
      <c r="F4122">
        <v>5</v>
      </c>
      <c r="G4122" s="2">
        <v>46269.75</v>
      </c>
      <c r="H4122" s="2">
        <v>46269.583333333336</v>
      </c>
    </row>
    <row r="4123" spans="1:8" x14ac:dyDescent="0.25">
      <c r="A4123" s="8" t="s">
        <v>13242</v>
      </c>
      <c r="B4123" s="8" t="s">
        <v>14480</v>
      </c>
      <c r="C4123" s="2">
        <v>46269.416666666664</v>
      </c>
      <c r="D4123" s="8" t="s">
        <v>13931</v>
      </c>
      <c r="E4123" s="8" t="s">
        <v>75</v>
      </c>
      <c r="F4123">
        <v>1</v>
      </c>
      <c r="G4123" s="2">
        <v>46269.75</v>
      </c>
      <c r="H4123" s="2">
        <v>46269.583333333336</v>
      </c>
    </row>
    <row r="4124" spans="1:8" x14ac:dyDescent="0.25">
      <c r="A4124" s="8" t="s">
        <v>13245</v>
      </c>
      <c r="B4124" s="8" t="s">
        <v>14481</v>
      </c>
      <c r="C4124" s="2">
        <v>46269.416666666664</v>
      </c>
      <c r="D4124" s="8" t="s">
        <v>13933</v>
      </c>
      <c r="E4124" s="8" t="s">
        <v>11</v>
      </c>
      <c r="F4124">
        <v>5</v>
      </c>
      <c r="G4124" s="2">
        <v>46269.75</v>
      </c>
      <c r="H4124" s="2">
        <v>46269.583333333336</v>
      </c>
    </row>
    <row r="4125" spans="1:8" x14ac:dyDescent="0.25">
      <c r="A4125" s="8" t="s">
        <v>13248</v>
      </c>
      <c r="B4125" s="8" t="s">
        <v>14481</v>
      </c>
      <c r="C4125" s="2">
        <v>46269.416666666664</v>
      </c>
      <c r="D4125" s="8" t="s">
        <v>13933</v>
      </c>
      <c r="E4125" s="8" t="s">
        <v>20</v>
      </c>
      <c r="F4125">
        <v>1</v>
      </c>
      <c r="G4125" s="2">
        <v>46269.75</v>
      </c>
      <c r="H4125" s="2">
        <v>46269.583333333336</v>
      </c>
    </row>
    <row r="4126" spans="1:8" x14ac:dyDescent="0.25">
      <c r="A4126" s="8" t="s">
        <v>13251</v>
      </c>
      <c r="B4126" s="8" t="s">
        <v>14481</v>
      </c>
      <c r="C4126" s="2">
        <v>46269.416666666664</v>
      </c>
      <c r="D4126" s="8" t="s">
        <v>13933</v>
      </c>
      <c r="E4126" s="8" t="s">
        <v>22</v>
      </c>
      <c r="F4126">
        <v>6</v>
      </c>
      <c r="G4126" s="2">
        <v>46269.75</v>
      </c>
      <c r="H4126" s="2">
        <v>46269.583333333336</v>
      </c>
    </row>
    <row r="4127" spans="1:8" x14ac:dyDescent="0.25">
      <c r="A4127" s="8" t="s">
        <v>13254</v>
      </c>
      <c r="B4127" s="8" t="s">
        <v>14481</v>
      </c>
      <c r="C4127" s="2">
        <v>46269.416666666664</v>
      </c>
      <c r="D4127" s="8" t="s">
        <v>13933</v>
      </c>
      <c r="E4127" s="8" t="s">
        <v>24</v>
      </c>
      <c r="F4127">
        <v>5</v>
      </c>
      <c r="G4127" s="2">
        <v>46269.75</v>
      </c>
      <c r="H4127" s="2">
        <v>46269.583333333336</v>
      </c>
    </row>
    <row r="4128" spans="1:8" x14ac:dyDescent="0.25">
      <c r="A4128" s="8" t="s">
        <v>13257</v>
      </c>
      <c r="B4128" s="8" t="s">
        <v>14481</v>
      </c>
      <c r="C4128" s="2">
        <v>46269.416666666664</v>
      </c>
      <c r="D4128" s="8" t="s">
        <v>13933</v>
      </c>
      <c r="E4128" s="8" t="s">
        <v>28</v>
      </c>
      <c r="F4128">
        <v>4</v>
      </c>
      <c r="G4128" s="2">
        <v>46269.75</v>
      </c>
      <c r="H4128" s="2">
        <v>46269.583333333336</v>
      </c>
    </row>
    <row r="4129" spans="1:8" x14ac:dyDescent="0.25">
      <c r="A4129" s="8" t="s">
        <v>13260</v>
      </c>
      <c r="B4129" s="8" t="s">
        <v>14481</v>
      </c>
      <c r="C4129" s="2">
        <v>46269.416666666664</v>
      </c>
      <c r="D4129" s="8" t="s">
        <v>13933</v>
      </c>
      <c r="E4129" s="8" t="s">
        <v>43</v>
      </c>
      <c r="F4129">
        <v>2</v>
      </c>
      <c r="G4129" s="2">
        <v>46269.75</v>
      </c>
      <c r="H4129" s="2">
        <v>46269.583333333336</v>
      </c>
    </row>
    <row r="4130" spans="1:8" x14ac:dyDescent="0.25">
      <c r="A4130" s="8" t="s">
        <v>13263</v>
      </c>
      <c r="B4130" s="8" t="s">
        <v>14481</v>
      </c>
      <c r="C4130" s="2">
        <v>46269.416666666664</v>
      </c>
      <c r="D4130" s="8" t="s">
        <v>13933</v>
      </c>
      <c r="E4130" s="8" t="s">
        <v>47</v>
      </c>
      <c r="F4130">
        <v>5</v>
      </c>
      <c r="G4130" s="2">
        <v>46269.75</v>
      </c>
      <c r="H4130" s="2">
        <v>46269.583333333336</v>
      </c>
    </row>
    <row r="4131" spans="1:8" x14ac:dyDescent="0.25">
      <c r="A4131" s="8" t="s">
        <v>13266</v>
      </c>
      <c r="B4131" s="8" t="s">
        <v>14481</v>
      </c>
      <c r="C4131" s="2">
        <v>46269.416666666664</v>
      </c>
      <c r="D4131" s="8" t="s">
        <v>13933</v>
      </c>
      <c r="E4131" s="8" t="s">
        <v>49</v>
      </c>
      <c r="F4131">
        <v>4</v>
      </c>
      <c r="G4131" s="2">
        <v>46269.75</v>
      </c>
      <c r="H4131" s="2">
        <v>46269.583333333336</v>
      </c>
    </row>
    <row r="4132" spans="1:8" x14ac:dyDescent="0.25">
      <c r="A4132" s="8" t="s">
        <v>13269</v>
      </c>
      <c r="B4132" s="8" t="s">
        <v>14481</v>
      </c>
      <c r="C4132" s="2">
        <v>46269.416666666664</v>
      </c>
      <c r="D4132" s="8" t="s">
        <v>13933</v>
      </c>
      <c r="E4132" s="8" t="s">
        <v>51</v>
      </c>
      <c r="F4132">
        <v>6</v>
      </c>
      <c r="G4132" s="2">
        <v>46269.75</v>
      </c>
      <c r="H4132" s="2">
        <v>46269.583333333336</v>
      </c>
    </row>
    <row r="4133" spans="1:8" x14ac:dyDescent="0.25">
      <c r="A4133" s="8" t="s">
        <v>13272</v>
      </c>
      <c r="B4133" s="8" t="s">
        <v>14481</v>
      </c>
      <c r="C4133" s="2">
        <v>46269.416666666664</v>
      </c>
      <c r="D4133" s="8" t="s">
        <v>13933</v>
      </c>
      <c r="E4133" s="8" t="s">
        <v>57</v>
      </c>
      <c r="F4133">
        <v>4</v>
      </c>
      <c r="G4133" s="2">
        <v>46269.75</v>
      </c>
      <c r="H4133" s="2">
        <v>46269.583333333336</v>
      </c>
    </row>
    <row r="4134" spans="1:8" x14ac:dyDescent="0.25">
      <c r="A4134" s="8" t="s">
        <v>13275</v>
      </c>
      <c r="B4134" s="8" t="s">
        <v>14481</v>
      </c>
      <c r="C4134" s="2">
        <v>46269.416666666664</v>
      </c>
      <c r="D4134" s="8" t="s">
        <v>13933</v>
      </c>
      <c r="E4134" s="8" t="s">
        <v>65</v>
      </c>
      <c r="F4134">
        <v>5</v>
      </c>
      <c r="G4134" s="2">
        <v>46269.75</v>
      </c>
      <c r="H4134" s="2">
        <v>46269.583333333336</v>
      </c>
    </row>
    <row r="4135" spans="1:8" x14ac:dyDescent="0.25">
      <c r="A4135" s="8" t="s">
        <v>13278</v>
      </c>
      <c r="B4135" s="8" t="s">
        <v>14481</v>
      </c>
      <c r="C4135" s="2">
        <v>46269.416666666664</v>
      </c>
      <c r="D4135" s="8" t="s">
        <v>13933</v>
      </c>
      <c r="E4135" s="8" t="s">
        <v>77</v>
      </c>
      <c r="F4135">
        <v>6</v>
      </c>
      <c r="G4135" s="2">
        <v>46269.75</v>
      </c>
      <c r="H4135" s="2">
        <v>46269.583333333336</v>
      </c>
    </row>
    <row r="4136" spans="1:8" x14ac:dyDescent="0.25">
      <c r="A4136" s="8" t="s">
        <v>13281</v>
      </c>
      <c r="B4136" s="8" t="s">
        <v>14482</v>
      </c>
      <c r="C4136" s="2">
        <v>46269.416666666664</v>
      </c>
      <c r="D4136" s="8" t="s">
        <v>13935</v>
      </c>
      <c r="E4136" s="8" t="s">
        <v>11</v>
      </c>
      <c r="F4136">
        <v>1</v>
      </c>
      <c r="G4136" s="2">
        <v>46269.75</v>
      </c>
      <c r="H4136" s="2">
        <v>46269.583333333336</v>
      </c>
    </row>
    <row r="4137" spans="1:8" x14ac:dyDescent="0.25">
      <c r="A4137" s="8" t="s">
        <v>13284</v>
      </c>
      <c r="B4137" s="8" t="s">
        <v>14482</v>
      </c>
      <c r="C4137" s="2">
        <v>46269.416666666664</v>
      </c>
      <c r="D4137" s="8" t="s">
        <v>13935</v>
      </c>
      <c r="E4137" s="8" t="s">
        <v>18</v>
      </c>
      <c r="F4137">
        <v>7</v>
      </c>
      <c r="G4137" s="2">
        <v>46269.75</v>
      </c>
      <c r="H4137" s="2">
        <v>46269.583333333336</v>
      </c>
    </row>
    <row r="4138" spans="1:8" x14ac:dyDescent="0.25">
      <c r="A4138" s="8" t="s">
        <v>13287</v>
      </c>
      <c r="B4138" s="8" t="s">
        <v>14482</v>
      </c>
      <c r="C4138" s="2">
        <v>46269.416666666664</v>
      </c>
      <c r="D4138" s="8" t="s">
        <v>13935</v>
      </c>
      <c r="E4138" s="8" t="s">
        <v>22</v>
      </c>
      <c r="F4138">
        <v>3</v>
      </c>
      <c r="G4138" s="2">
        <v>46269.75</v>
      </c>
      <c r="H4138" s="2">
        <v>46269.583333333336</v>
      </c>
    </row>
    <row r="4139" spans="1:8" x14ac:dyDescent="0.25">
      <c r="A4139" s="8" t="s">
        <v>13290</v>
      </c>
      <c r="B4139" s="8" t="s">
        <v>14482</v>
      </c>
      <c r="C4139" s="2">
        <v>46269.416666666664</v>
      </c>
      <c r="D4139" s="8" t="s">
        <v>13935</v>
      </c>
      <c r="E4139" s="8" t="s">
        <v>30</v>
      </c>
      <c r="F4139">
        <v>1</v>
      </c>
      <c r="G4139" s="2">
        <v>46269.75</v>
      </c>
      <c r="H4139" s="2">
        <v>46269.583333333336</v>
      </c>
    </row>
    <row r="4140" spans="1:8" x14ac:dyDescent="0.25">
      <c r="A4140" s="8" t="s">
        <v>13293</v>
      </c>
      <c r="B4140" s="8" t="s">
        <v>14482</v>
      </c>
      <c r="C4140" s="2">
        <v>46269.416666666664</v>
      </c>
      <c r="D4140" s="8" t="s">
        <v>13935</v>
      </c>
      <c r="E4140" s="8" t="s">
        <v>43</v>
      </c>
      <c r="F4140">
        <v>4</v>
      </c>
      <c r="G4140" s="2">
        <v>46269.75</v>
      </c>
      <c r="H4140" s="2">
        <v>46269.583333333336</v>
      </c>
    </row>
    <row r="4141" spans="1:8" x14ac:dyDescent="0.25">
      <c r="A4141" s="8" t="s">
        <v>13296</v>
      </c>
      <c r="B4141" s="8" t="s">
        <v>14482</v>
      </c>
      <c r="C4141" s="2">
        <v>46269.416666666664</v>
      </c>
      <c r="D4141" s="8" t="s">
        <v>13935</v>
      </c>
      <c r="E4141" s="8" t="s">
        <v>49</v>
      </c>
      <c r="F4141">
        <v>3</v>
      </c>
      <c r="G4141" s="2">
        <v>46269.75</v>
      </c>
      <c r="H4141" s="2">
        <v>46269.583333333336</v>
      </c>
    </row>
    <row r="4142" spans="1:8" x14ac:dyDescent="0.25">
      <c r="A4142" s="8" t="s">
        <v>13299</v>
      </c>
      <c r="B4142" s="8" t="s">
        <v>14482</v>
      </c>
      <c r="C4142" s="2">
        <v>46269.416666666664</v>
      </c>
      <c r="D4142" s="8" t="s">
        <v>13935</v>
      </c>
      <c r="E4142" s="8" t="s">
        <v>51</v>
      </c>
      <c r="F4142">
        <v>1</v>
      </c>
      <c r="G4142" s="2">
        <v>46269.75</v>
      </c>
      <c r="H4142" s="2">
        <v>46269.583333333336</v>
      </c>
    </row>
    <row r="4143" spans="1:8" x14ac:dyDescent="0.25">
      <c r="A4143" s="8" t="s">
        <v>13302</v>
      </c>
      <c r="B4143" s="8" t="s">
        <v>14482</v>
      </c>
      <c r="C4143" s="2">
        <v>46269.416666666664</v>
      </c>
      <c r="D4143" s="8" t="s">
        <v>13935</v>
      </c>
      <c r="E4143" s="8" t="s">
        <v>59</v>
      </c>
      <c r="F4143">
        <v>4</v>
      </c>
      <c r="G4143" s="2">
        <v>46269.75</v>
      </c>
      <c r="H4143" s="2">
        <v>46269.583333333336</v>
      </c>
    </row>
    <row r="4144" spans="1:8" x14ac:dyDescent="0.25">
      <c r="A4144" s="8" t="s">
        <v>13305</v>
      </c>
      <c r="B4144" s="8" t="s">
        <v>14483</v>
      </c>
      <c r="C4144" s="2">
        <v>46269.416666666664</v>
      </c>
      <c r="D4144" s="8" t="s">
        <v>13937</v>
      </c>
      <c r="E4144" s="8" t="s">
        <v>18</v>
      </c>
      <c r="F4144">
        <v>1</v>
      </c>
      <c r="G4144" s="2">
        <v>46269.75</v>
      </c>
      <c r="H4144" s="2">
        <v>46269.583333333336</v>
      </c>
    </row>
    <row r="4145" spans="1:8" x14ac:dyDescent="0.25">
      <c r="A4145" s="8" t="s">
        <v>13308</v>
      </c>
      <c r="B4145" s="8" t="s">
        <v>14483</v>
      </c>
      <c r="C4145" s="2">
        <v>46269.416666666664</v>
      </c>
      <c r="D4145" s="8" t="s">
        <v>13937</v>
      </c>
      <c r="E4145" s="8" t="s">
        <v>22</v>
      </c>
      <c r="F4145">
        <v>3</v>
      </c>
      <c r="G4145" s="2">
        <v>46269.75</v>
      </c>
      <c r="H4145" s="2">
        <v>46269.583333333336</v>
      </c>
    </row>
    <row r="4146" spans="1:8" x14ac:dyDescent="0.25">
      <c r="A4146" s="8" t="s">
        <v>13311</v>
      </c>
      <c r="B4146" s="8" t="s">
        <v>14483</v>
      </c>
      <c r="C4146" s="2">
        <v>46269.416666666664</v>
      </c>
      <c r="D4146" s="8" t="s">
        <v>13937</v>
      </c>
      <c r="E4146" s="8" t="s">
        <v>24</v>
      </c>
      <c r="F4146">
        <v>3</v>
      </c>
      <c r="G4146" s="2">
        <v>46269.75</v>
      </c>
      <c r="H4146" s="2">
        <v>46269.583333333336</v>
      </c>
    </row>
    <row r="4147" spans="1:8" x14ac:dyDescent="0.25">
      <c r="A4147" s="8" t="s">
        <v>13314</v>
      </c>
      <c r="B4147" s="8" t="s">
        <v>14483</v>
      </c>
      <c r="C4147" s="2">
        <v>46269.416666666664</v>
      </c>
      <c r="D4147" s="8" t="s">
        <v>13937</v>
      </c>
      <c r="E4147" s="8" t="s">
        <v>26</v>
      </c>
      <c r="F4147">
        <v>4</v>
      </c>
      <c r="G4147" s="2">
        <v>46269.75</v>
      </c>
      <c r="H4147" s="2">
        <v>46269.583333333336</v>
      </c>
    </row>
    <row r="4148" spans="1:8" x14ac:dyDescent="0.25">
      <c r="A4148" s="8" t="s">
        <v>13317</v>
      </c>
      <c r="B4148" s="8" t="s">
        <v>14483</v>
      </c>
      <c r="C4148" s="2">
        <v>46269.416666666664</v>
      </c>
      <c r="D4148" s="8" t="s">
        <v>13937</v>
      </c>
      <c r="E4148" s="8" t="s">
        <v>30</v>
      </c>
      <c r="F4148">
        <v>1</v>
      </c>
      <c r="G4148" s="2">
        <v>46269.75</v>
      </c>
      <c r="H4148" s="2">
        <v>46269.583333333336</v>
      </c>
    </row>
    <row r="4149" spans="1:8" x14ac:dyDescent="0.25">
      <c r="A4149" s="8" t="s">
        <v>13320</v>
      </c>
      <c r="B4149" s="8" t="s">
        <v>14483</v>
      </c>
      <c r="C4149" s="2">
        <v>46269.416666666664</v>
      </c>
      <c r="D4149" s="8" t="s">
        <v>13937</v>
      </c>
      <c r="E4149" s="8" t="s">
        <v>41</v>
      </c>
      <c r="F4149">
        <v>4</v>
      </c>
      <c r="G4149" s="2">
        <v>46269.75</v>
      </c>
      <c r="H4149" s="2">
        <v>46269.583333333336</v>
      </c>
    </row>
    <row r="4150" spans="1:8" x14ac:dyDescent="0.25">
      <c r="A4150" s="8" t="s">
        <v>13323</v>
      </c>
      <c r="B4150" s="8" t="s">
        <v>14483</v>
      </c>
      <c r="C4150" s="2">
        <v>46269.416666666664</v>
      </c>
      <c r="D4150" s="8" t="s">
        <v>13937</v>
      </c>
      <c r="E4150" s="8" t="s">
        <v>45</v>
      </c>
      <c r="F4150">
        <v>3</v>
      </c>
      <c r="G4150" s="2">
        <v>46269.75</v>
      </c>
      <c r="H4150" s="2">
        <v>46269.583333333336</v>
      </c>
    </row>
    <row r="4151" spans="1:8" x14ac:dyDescent="0.25">
      <c r="A4151" s="8" t="s">
        <v>13326</v>
      </c>
      <c r="B4151" s="8" t="s">
        <v>14483</v>
      </c>
      <c r="C4151" s="2">
        <v>46269.416666666664</v>
      </c>
      <c r="D4151" s="8" t="s">
        <v>13937</v>
      </c>
      <c r="E4151" s="8" t="s">
        <v>47</v>
      </c>
      <c r="F4151">
        <v>4</v>
      </c>
      <c r="G4151" s="2">
        <v>46269.75</v>
      </c>
      <c r="H4151" s="2">
        <v>46269.583333333336</v>
      </c>
    </row>
    <row r="4152" spans="1:8" x14ac:dyDescent="0.25">
      <c r="A4152" s="8" t="s">
        <v>13329</v>
      </c>
      <c r="B4152" s="8" t="s">
        <v>14483</v>
      </c>
      <c r="C4152" s="2">
        <v>46269.416666666664</v>
      </c>
      <c r="D4152" s="8" t="s">
        <v>13937</v>
      </c>
      <c r="E4152" s="8" t="s">
        <v>51</v>
      </c>
      <c r="F4152">
        <v>3</v>
      </c>
      <c r="G4152" s="2">
        <v>46269.75</v>
      </c>
      <c r="H4152" s="2">
        <v>46269.583333333336</v>
      </c>
    </row>
    <row r="4153" spans="1:8" x14ac:dyDescent="0.25">
      <c r="A4153" s="8" t="s">
        <v>13332</v>
      </c>
      <c r="B4153" s="8" t="s">
        <v>14483</v>
      </c>
      <c r="C4153" s="2">
        <v>46269.416666666664</v>
      </c>
      <c r="D4153" s="8" t="s">
        <v>13937</v>
      </c>
      <c r="E4153" s="8" t="s">
        <v>69</v>
      </c>
      <c r="F4153">
        <v>3</v>
      </c>
      <c r="G4153" s="2">
        <v>46269.75</v>
      </c>
      <c r="H4153" s="2">
        <v>46269.583333333336</v>
      </c>
    </row>
    <row r="4154" spans="1:8" x14ac:dyDescent="0.25">
      <c r="A4154" s="8" t="s">
        <v>13335</v>
      </c>
      <c r="B4154" s="8" t="s">
        <v>14483</v>
      </c>
      <c r="C4154" s="2">
        <v>46269.416666666664</v>
      </c>
      <c r="D4154" s="8" t="s">
        <v>13937</v>
      </c>
      <c r="E4154" s="8" t="s">
        <v>71</v>
      </c>
      <c r="F4154">
        <v>4</v>
      </c>
      <c r="G4154" s="2">
        <v>46269.75</v>
      </c>
      <c r="H4154" s="2">
        <v>46269.583333333336</v>
      </c>
    </row>
    <row r="4155" spans="1:8" x14ac:dyDescent="0.25">
      <c r="A4155" s="8" t="s">
        <v>13338</v>
      </c>
      <c r="B4155" s="8" t="s">
        <v>14483</v>
      </c>
      <c r="C4155" s="2">
        <v>46269.416666666664</v>
      </c>
      <c r="D4155" s="8" t="s">
        <v>13937</v>
      </c>
      <c r="E4155" s="8" t="s">
        <v>75</v>
      </c>
      <c r="F4155">
        <v>4</v>
      </c>
      <c r="G4155" s="2">
        <v>46269.75</v>
      </c>
      <c r="H4155" s="2">
        <v>46269.583333333336</v>
      </c>
    </row>
    <row r="4156" spans="1:8" x14ac:dyDescent="0.25">
      <c r="A4156" s="8" t="s">
        <v>13341</v>
      </c>
      <c r="B4156" s="8" t="s">
        <v>14484</v>
      </c>
      <c r="C4156" s="2">
        <v>46270.416666666664</v>
      </c>
      <c r="D4156" s="8" t="s">
        <v>13929</v>
      </c>
      <c r="E4156" s="8" t="s">
        <v>18</v>
      </c>
      <c r="F4156">
        <v>4</v>
      </c>
      <c r="G4156" s="2">
        <v>46270.75</v>
      </c>
      <c r="H4156" s="2">
        <v>46270.583333333336</v>
      </c>
    </row>
    <row r="4157" spans="1:8" x14ac:dyDescent="0.25">
      <c r="A4157" s="8" t="s">
        <v>13344</v>
      </c>
      <c r="B4157" s="8" t="s">
        <v>14484</v>
      </c>
      <c r="C4157" s="2">
        <v>46270.416666666664</v>
      </c>
      <c r="D4157" s="8" t="s">
        <v>13929</v>
      </c>
      <c r="E4157" s="8" t="s">
        <v>20</v>
      </c>
      <c r="F4157">
        <v>1</v>
      </c>
      <c r="G4157" s="2">
        <v>46270.75</v>
      </c>
      <c r="H4157" s="2">
        <v>46270.583333333336</v>
      </c>
    </row>
    <row r="4158" spans="1:8" x14ac:dyDescent="0.25">
      <c r="A4158" s="8" t="s">
        <v>13347</v>
      </c>
      <c r="B4158" s="8" t="s">
        <v>14484</v>
      </c>
      <c r="C4158" s="2">
        <v>46270.416666666664</v>
      </c>
      <c r="D4158" s="8" t="s">
        <v>13929</v>
      </c>
      <c r="E4158" s="8" t="s">
        <v>22</v>
      </c>
      <c r="F4158">
        <v>4</v>
      </c>
      <c r="G4158" s="2">
        <v>46270.75</v>
      </c>
      <c r="H4158" s="2">
        <v>46270.583333333336</v>
      </c>
    </row>
    <row r="4159" spans="1:8" x14ac:dyDescent="0.25">
      <c r="A4159" s="8" t="s">
        <v>13350</v>
      </c>
      <c r="B4159" s="8" t="s">
        <v>14484</v>
      </c>
      <c r="C4159" s="2">
        <v>46270.416666666664</v>
      </c>
      <c r="D4159" s="8" t="s">
        <v>13929</v>
      </c>
      <c r="E4159" s="8" t="s">
        <v>26</v>
      </c>
      <c r="F4159">
        <v>4</v>
      </c>
      <c r="G4159" s="2">
        <v>46270.75</v>
      </c>
      <c r="H4159" s="2">
        <v>46270.583333333336</v>
      </c>
    </row>
    <row r="4160" spans="1:8" x14ac:dyDescent="0.25">
      <c r="A4160" s="8" t="s">
        <v>13353</v>
      </c>
      <c r="B4160" s="8" t="s">
        <v>14484</v>
      </c>
      <c r="C4160" s="2">
        <v>46270.416666666664</v>
      </c>
      <c r="D4160" s="8" t="s">
        <v>13929</v>
      </c>
      <c r="E4160" s="8" t="s">
        <v>28</v>
      </c>
      <c r="F4160">
        <v>1</v>
      </c>
      <c r="G4160" s="2">
        <v>46270.75</v>
      </c>
      <c r="H4160" s="2">
        <v>46270.583333333336</v>
      </c>
    </row>
    <row r="4161" spans="1:8" x14ac:dyDescent="0.25">
      <c r="A4161" s="8" t="s">
        <v>13356</v>
      </c>
      <c r="B4161" s="8" t="s">
        <v>14484</v>
      </c>
      <c r="C4161" s="2">
        <v>46270.416666666664</v>
      </c>
      <c r="D4161" s="8" t="s">
        <v>13929</v>
      </c>
      <c r="E4161" s="8" t="s">
        <v>49</v>
      </c>
      <c r="F4161">
        <v>5</v>
      </c>
      <c r="G4161" s="2">
        <v>46270.75</v>
      </c>
      <c r="H4161" s="2">
        <v>46270.583333333336</v>
      </c>
    </row>
    <row r="4162" spans="1:8" x14ac:dyDescent="0.25">
      <c r="A4162" s="8" t="s">
        <v>13359</v>
      </c>
      <c r="B4162" s="8" t="s">
        <v>14484</v>
      </c>
      <c r="C4162" s="2">
        <v>46270.416666666664</v>
      </c>
      <c r="D4162" s="8" t="s">
        <v>13929</v>
      </c>
      <c r="E4162" s="8" t="s">
        <v>53</v>
      </c>
      <c r="F4162">
        <v>4</v>
      </c>
      <c r="G4162" s="2">
        <v>46270.75</v>
      </c>
      <c r="H4162" s="2">
        <v>46270.583333333336</v>
      </c>
    </row>
    <row r="4163" spans="1:8" x14ac:dyDescent="0.25">
      <c r="A4163" s="8" t="s">
        <v>13362</v>
      </c>
      <c r="B4163" s="8" t="s">
        <v>14484</v>
      </c>
      <c r="C4163" s="2">
        <v>46270.416666666664</v>
      </c>
      <c r="D4163" s="8" t="s">
        <v>13929</v>
      </c>
      <c r="E4163" s="8" t="s">
        <v>65</v>
      </c>
      <c r="F4163">
        <v>2</v>
      </c>
      <c r="G4163" s="2">
        <v>46270.75</v>
      </c>
      <c r="H4163" s="2">
        <v>46270.583333333336</v>
      </c>
    </row>
    <row r="4164" spans="1:8" x14ac:dyDescent="0.25">
      <c r="A4164" s="8" t="s">
        <v>13365</v>
      </c>
      <c r="B4164" s="8" t="s">
        <v>14484</v>
      </c>
      <c r="C4164" s="2">
        <v>46270.416666666664</v>
      </c>
      <c r="D4164" s="8" t="s">
        <v>13929</v>
      </c>
      <c r="E4164" s="8" t="s">
        <v>67</v>
      </c>
      <c r="F4164">
        <v>2</v>
      </c>
      <c r="G4164" s="2">
        <v>46270.75</v>
      </c>
      <c r="H4164" s="2">
        <v>46270.583333333336</v>
      </c>
    </row>
    <row r="4165" spans="1:8" x14ac:dyDescent="0.25">
      <c r="A4165" s="8" t="s">
        <v>13368</v>
      </c>
      <c r="B4165" s="8" t="s">
        <v>14484</v>
      </c>
      <c r="C4165" s="2">
        <v>46270.416666666664</v>
      </c>
      <c r="D4165" s="8" t="s">
        <v>13929</v>
      </c>
      <c r="E4165" s="8" t="s">
        <v>75</v>
      </c>
      <c r="F4165">
        <v>2</v>
      </c>
      <c r="G4165" s="2">
        <v>46270.75</v>
      </c>
      <c r="H4165" s="2">
        <v>46270.583333333336</v>
      </c>
    </row>
    <row r="4166" spans="1:8" x14ac:dyDescent="0.25">
      <c r="A4166" s="8" t="s">
        <v>13371</v>
      </c>
      <c r="B4166" s="8" t="s">
        <v>14485</v>
      </c>
      <c r="C4166" s="2">
        <v>46270.416666666664</v>
      </c>
      <c r="D4166" s="8" t="s">
        <v>13931</v>
      </c>
      <c r="E4166" s="8" t="s">
        <v>24</v>
      </c>
      <c r="F4166">
        <v>4</v>
      </c>
      <c r="G4166" s="2">
        <v>46270.75</v>
      </c>
      <c r="H4166" s="2">
        <v>46270.583333333336</v>
      </c>
    </row>
    <row r="4167" spans="1:8" x14ac:dyDescent="0.25">
      <c r="A4167" s="8" t="s">
        <v>13374</v>
      </c>
      <c r="B4167" s="8" t="s">
        <v>14485</v>
      </c>
      <c r="C4167" s="2">
        <v>46270.416666666664</v>
      </c>
      <c r="D4167" s="8" t="s">
        <v>13931</v>
      </c>
      <c r="E4167" s="8" t="s">
        <v>28</v>
      </c>
      <c r="F4167">
        <v>1</v>
      </c>
      <c r="G4167" s="2">
        <v>46270.75</v>
      </c>
      <c r="H4167" s="2">
        <v>46270.583333333336</v>
      </c>
    </row>
    <row r="4168" spans="1:8" x14ac:dyDescent="0.25">
      <c r="A4168" s="8" t="s">
        <v>13377</v>
      </c>
      <c r="B4168" s="8" t="s">
        <v>14485</v>
      </c>
      <c r="C4168" s="2">
        <v>46270.416666666664</v>
      </c>
      <c r="D4168" s="8" t="s">
        <v>13931</v>
      </c>
      <c r="E4168" s="8" t="s">
        <v>30</v>
      </c>
      <c r="F4168">
        <v>6</v>
      </c>
      <c r="G4168" s="2">
        <v>46270.75</v>
      </c>
      <c r="H4168" s="2">
        <v>46270.583333333336</v>
      </c>
    </row>
    <row r="4169" spans="1:8" x14ac:dyDescent="0.25">
      <c r="A4169" s="8" t="s">
        <v>13380</v>
      </c>
      <c r="B4169" s="8" t="s">
        <v>14485</v>
      </c>
      <c r="C4169" s="2">
        <v>46270.416666666664</v>
      </c>
      <c r="D4169" s="8" t="s">
        <v>13931</v>
      </c>
      <c r="E4169" s="8" t="s">
        <v>36</v>
      </c>
      <c r="F4169">
        <v>1</v>
      </c>
      <c r="G4169" s="2">
        <v>46270.75</v>
      </c>
      <c r="H4169" s="2">
        <v>46270.583333333336</v>
      </c>
    </row>
    <row r="4170" spans="1:8" x14ac:dyDescent="0.25">
      <c r="A4170" s="8" t="s">
        <v>13383</v>
      </c>
      <c r="B4170" s="8" t="s">
        <v>14485</v>
      </c>
      <c r="C4170" s="2">
        <v>46270.416666666664</v>
      </c>
      <c r="D4170" s="8" t="s">
        <v>13931</v>
      </c>
      <c r="E4170" s="8" t="s">
        <v>41</v>
      </c>
      <c r="F4170">
        <v>5</v>
      </c>
      <c r="G4170" s="2">
        <v>46270.75</v>
      </c>
      <c r="H4170" s="2">
        <v>46270.583333333336</v>
      </c>
    </row>
    <row r="4171" spans="1:8" x14ac:dyDescent="0.25">
      <c r="A4171" s="8" t="s">
        <v>13386</v>
      </c>
      <c r="B4171" s="8" t="s">
        <v>14485</v>
      </c>
      <c r="C4171" s="2">
        <v>46270.416666666664</v>
      </c>
      <c r="D4171" s="8" t="s">
        <v>13931</v>
      </c>
      <c r="E4171" s="8" t="s">
        <v>47</v>
      </c>
      <c r="F4171">
        <v>3</v>
      </c>
      <c r="G4171" s="2">
        <v>46270.75</v>
      </c>
      <c r="H4171" s="2">
        <v>46270.583333333336</v>
      </c>
    </row>
    <row r="4172" spans="1:8" x14ac:dyDescent="0.25">
      <c r="A4172" s="8" t="s">
        <v>13389</v>
      </c>
      <c r="B4172" s="8" t="s">
        <v>14485</v>
      </c>
      <c r="C4172" s="2">
        <v>46270.416666666664</v>
      </c>
      <c r="D4172" s="8" t="s">
        <v>13931</v>
      </c>
      <c r="E4172" s="8" t="s">
        <v>49</v>
      </c>
      <c r="F4172">
        <v>3</v>
      </c>
      <c r="G4172" s="2">
        <v>46270.75</v>
      </c>
      <c r="H4172" s="2">
        <v>46270.583333333336</v>
      </c>
    </row>
    <row r="4173" spans="1:8" x14ac:dyDescent="0.25">
      <c r="A4173" s="8" t="s">
        <v>13392</v>
      </c>
      <c r="B4173" s="8" t="s">
        <v>14485</v>
      </c>
      <c r="C4173" s="2">
        <v>46270.416666666664</v>
      </c>
      <c r="D4173" s="8" t="s">
        <v>13931</v>
      </c>
      <c r="E4173" s="8" t="s">
        <v>53</v>
      </c>
      <c r="F4173">
        <v>4</v>
      </c>
      <c r="G4173" s="2">
        <v>46270.75</v>
      </c>
      <c r="H4173" s="2">
        <v>46270.583333333336</v>
      </c>
    </row>
    <row r="4174" spans="1:8" x14ac:dyDescent="0.25">
      <c r="A4174" s="8" t="s">
        <v>13395</v>
      </c>
      <c r="B4174" s="8" t="s">
        <v>14485</v>
      </c>
      <c r="C4174" s="2">
        <v>46270.416666666664</v>
      </c>
      <c r="D4174" s="8" t="s">
        <v>13931</v>
      </c>
      <c r="E4174" s="8" t="s">
        <v>59</v>
      </c>
      <c r="F4174">
        <v>4</v>
      </c>
      <c r="G4174" s="2">
        <v>46270.75</v>
      </c>
      <c r="H4174" s="2">
        <v>46270.583333333336</v>
      </c>
    </row>
    <row r="4175" spans="1:8" x14ac:dyDescent="0.25">
      <c r="A4175" s="8" t="s">
        <v>13398</v>
      </c>
      <c r="B4175" s="8" t="s">
        <v>14485</v>
      </c>
      <c r="C4175" s="2">
        <v>46270.416666666664</v>
      </c>
      <c r="D4175" s="8" t="s">
        <v>13931</v>
      </c>
      <c r="E4175" s="8" t="s">
        <v>73</v>
      </c>
      <c r="F4175">
        <v>5</v>
      </c>
      <c r="G4175" s="2">
        <v>46270.75</v>
      </c>
      <c r="H4175" s="2">
        <v>46270.583333333336</v>
      </c>
    </row>
    <row r="4176" spans="1:8" x14ac:dyDescent="0.25">
      <c r="A4176" s="8" t="s">
        <v>13401</v>
      </c>
      <c r="B4176" s="8" t="s">
        <v>14486</v>
      </c>
      <c r="C4176" s="2">
        <v>46270.416666666664</v>
      </c>
      <c r="D4176" s="8" t="s">
        <v>13933</v>
      </c>
      <c r="E4176" s="8" t="s">
        <v>20</v>
      </c>
      <c r="F4176">
        <v>3</v>
      </c>
      <c r="G4176" s="2">
        <v>46270.75</v>
      </c>
      <c r="H4176" s="2">
        <v>46270.583333333336</v>
      </c>
    </row>
    <row r="4177" spans="1:8" x14ac:dyDescent="0.25">
      <c r="A4177" s="8" t="s">
        <v>13404</v>
      </c>
      <c r="B4177" s="8" t="s">
        <v>14486</v>
      </c>
      <c r="C4177" s="2">
        <v>46270.416666666664</v>
      </c>
      <c r="D4177" s="8" t="s">
        <v>13933</v>
      </c>
      <c r="E4177" s="8" t="s">
        <v>24</v>
      </c>
      <c r="F4177">
        <v>5</v>
      </c>
      <c r="G4177" s="2">
        <v>46270.75</v>
      </c>
      <c r="H4177" s="2">
        <v>46270.583333333336</v>
      </c>
    </row>
    <row r="4178" spans="1:8" x14ac:dyDescent="0.25">
      <c r="A4178" s="8" t="s">
        <v>13407</v>
      </c>
      <c r="B4178" s="8" t="s">
        <v>14486</v>
      </c>
      <c r="C4178" s="2">
        <v>46270.416666666664</v>
      </c>
      <c r="D4178" s="8" t="s">
        <v>13933</v>
      </c>
      <c r="E4178" s="8" t="s">
        <v>28</v>
      </c>
      <c r="F4178">
        <v>3</v>
      </c>
      <c r="G4178" s="2">
        <v>46270.75</v>
      </c>
      <c r="H4178" s="2">
        <v>46270.583333333336</v>
      </c>
    </row>
    <row r="4179" spans="1:8" x14ac:dyDescent="0.25">
      <c r="A4179" s="8" t="s">
        <v>13410</v>
      </c>
      <c r="B4179" s="8" t="s">
        <v>14486</v>
      </c>
      <c r="C4179" s="2">
        <v>46270.416666666664</v>
      </c>
      <c r="D4179" s="8" t="s">
        <v>13933</v>
      </c>
      <c r="E4179" s="8" t="s">
        <v>36</v>
      </c>
      <c r="F4179">
        <v>2</v>
      </c>
      <c r="G4179" s="2">
        <v>46270.75</v>
      </c>
      <c r="H4179" s="2">
        <v>46270.583333333336</v>
      </c>
    </row>
    <row r="4180" spans="1:8" x14ac:dyDescent="0.25">
      <c r="A4180" s="8" t="s">
        <v>13413</v>
      </c>
      <c r="B4180" s="8" t="s">
        <v>14486</v>
      </c>
      <c r="C4180" s="2">
        <v>46270.416666666664</v>
      </c>
      <c r="D4180" s="8" t="s">
        <v>13933</v>
      </c>
      <c r="E4180" s="8" t="s">
        <v>47</v>
      </c>
      <c r="F4180">
        <v>3</v>
      </c>
      <c r="G4180" s="2">
        <v>46270.75</v>
      </c>
      <c r="H4180" s="2">
        <v>46270.583333333336</v>
      </c>
    </row>
    <row r="4181" spans="1:8" x14ac:dyDescent="0.25">
      <c r="A4181" s="8" t="s">
        <v>13416</v>
      </c>
      <c r="B4181" s="8" t="s">
        <v>14486</v>
      </c>
      <c r="C4181" s="2">
        <v>46270.416666666664</v>
      </c>
      <c r="D4181" s="8" t="s">
        <v>13933</v>
      </c>
      <c r="E4181" s="8" t="s">
        <v>49</v>
      </c>
      <c r="F4181">
        <v>2</v>
      </c>
      <c r="G4181" s="2">
        <v>46270.75</v>
      </c>
      <c r="H4181" s="2">
        <v>46270.583333333336</v>
      </c>
    </row>
    <row r="4182" spans="1:8" x14ac:dyDescent="0.25">
      <c r="A4182" s="8" t="s">
        <v>13419</v>
      </c>
      <c r="B4182" s="8" t="s">
        <v>14486</v>
      </c>
      <c r="C4182" s="2">
        <v>46270.416666666664</v>
      </c>
      <c r="D4182" s="8" t="s">
        <v>13933</v>
      </c>
      <c r="E4182" s="8" t="s">
        <v>53</v>
      </c>
      <c r="F4182">
        <v>2</v>
      </c>
      <c r="G4182" s="2">
        <v>46270.75</v>
      </c>
      <c r="H4182" s="2">
        <v>46270.583333333336</v>
      </c>
    </row>
    <row r="4183" spans="1:8" x14ac:dyDescent="0.25">
      <c r="A4183" s="8" t="s">
        <v>13422</v>
      </c>
      <c r="B4183" s="8" t="s">
        <v>14486</v>
      </c>
      <c r="C4183" s="2">
        <v>46270.416666666664</v>
      </c>
      <c r="D4183" s="8" t="s">
        <v>13933</v>
      </c>
      <c r="E4183" s="8" t="s">
        <v>55</v>
      </c>
      <c r="F4183">
        <v>6</v>
      </c>
      <c r="G4183" s="2">
        <v>46270.75</v>
      </c>
      <c r="H4183" s="2">
        <v>46270.583333333336</v>
      </c>
    </row>
    <row r="4184" spans="1:8" x14ac:dyDescent="0.25">
      <c r="A4184" s="8" t="s">
        <v>13425</v>
      </c>
      <c r="B4184" s="8" t="s">
        <v>14486</v>
      </c>
      <c r="C4184" s="2">
        <v>46270.416666666664</v>
      </c>
      <c r="D4184" s="8" t="s">
        <v>13933</v>
      </c>
      <c r="E4184" s="8" t="s">
        <v>67</v>
      </c>
      <c r="F4184">
        <v>5</v>
      </c>
      <c r="G4184" s="2">
        <v>46270.75</v>
      </c>
      <c r="H4184" s="2">
        <v>46270.583333333336</v>
      </c>
    </row>
    <row r="4185" spans="1:8" x14ac:dyDescent="0.25">
      <c r="A4185" s="8" t="s">
        <v>13428</v>
      </c>
      <c r="B4185" s="8" t="s">
        <v>14486</v>
      </c>
      <c r="C4185" s="2">
        <v>46270.416666666664</v>
      </c>
      <c r="D4185" s="8" t="s">
        <v>13933</v>
      </c>
      <c r="E4185" s="8" t="s">
        <v>77</v>
      </c>
      <c r="F4185">
        <v>3</v>
      </c>
      <c r="G4185" s="2">
        <v>46270.75</v>
      </c>
      <c r="H4185" s="2">
        <v>46270.583333333336</v>
      </c>
    </row>
    <row r="4186" spans="1:8" x14ac:dyDescent="0.25">
      <c r="A4186" s="8" t="s">
        <v>13431</v>
      </c>
      <c r="B4186" s="8" t="s">
        <v>14487</v>
      </c>
      <c r="C4186" s="2">
        <v>46270.416666666664</v>
      </c>
      <c r="D4186" s="8" t="s">
        <v>13935</v>
      </c>
      <c r="E4186" s="8" t="s">
        <v>18</v>
      </c>
      <c r="F4186">
        <v>9</v>
      </c>
      <c r="G4186" s="2">
        <v>46270.75</v>
      </c>
      <c r="H4186" s="2">
        <v>46270.583333333336</v>
      </c>
    </row>
    <row r="4187" spans="1:8" x14ac:dyDescent="0.25">
      <c r="A4187" s="8" t="s">
        <v>13434</v>
      </c>
      <c r="B4187" s="8" t="s">
        <v>14487</v>
      </c>
      <c r="C4187" s="2">
        <v>46270.416666666664</v>
      </c>
      <c r="D4187" s="8" t="s">
        <v>13935</v>
      </c>
      <c r="E4187" s="8" t="s">
        <v>20</v>
      </c>
      <c r="F4187">
        <v>7</v>
      </c>
      <c r="G4187" s="2">
        <v>46270.75</v>
      </c>
      <c r="H4187" s="2">
        <v>46270.583333333336</v>
      </c>
    </row>
    <row r="4188" spans="1:8" x14ac:dyDescent="0.25">
      <c r="A4188" s="8" t="s">
        <v>13437</v>
      </c>
      <c r="B4188" s="8" t="s">
        <v>14487</v>
      </c>
      <c r="C4188" s="2">
        <v>46270.416666666664</v>
      </c>
      <c r="D4188" s="8" t="s">
        <v>13935</v>
      </c>
      <c r="E4188" s="8" t="s">
        <v>26</v>
      </c>
      <c r="F4188">
        <v>7</v>
      </c>
      <c r="G4188" s="2">
        <v>46270.75</v>
      </c>
      <c r="H4188" s="2">
        <v>46270.583333333336</v>
      </c>
    </row>
    <row r="4189" spans="1:8" x14ac:dyDescent="0.25">
      <c r="A4189" s="8" t="s">
        <v>13440</v>
      </c>
      <c r="B4189" s="8" t="s">
        <v>14487</v>
      </c>
      <c r="C4189" s="2">
        <v>46270.416666666664</v>
      </c>
      <c r="D4189" s="8" t="s">
        <v>13935</v>
      </c>
      <c r="E4189" s="8" t="s">
        <v>36</v>
      </c>
      <c r="F4189">
        <v>4</v>
      </c>
      <c r="G4189" s="2">
        <v>46270.75</v>
      </c>
      <c r="H4189" s="2">
        <v>46270.583333333336</v>
      </c>
    </row>
    <row r="4190" spans="1:8" x14ac:dyDescent="0.25">
      <c r="A4190" s="8" t="s">
        <v>13443</v>
      </c>
      <c r="B4190" s="8" t="s">
        <v>14487</v>
      </c>
      <c r="C4190" s="2">
        <v>46270.416666666664</v>
      </c>
      <c r="D4190" s="8" t="s">
        <v>13935</v>
      </c>
      <c r="E4190" s="8" t="s">
        <v>43</v>
      </c>
      <c r="F4190">
        <v>5</v>
      </c>
      <c r="G4190" s="2">
        <v>46270.75</v>
      </c>
      <c r="H4190" s="2">
        <v>46270.583333333336</v>
      </c>
    </row>
    <row r="4191" spans="1:8" x14ac:dyDescent="0.25">
      <c r="A4191" s="8" t="s">
        <v>13446</v>
      </c>
      <c r="B4191" s="8" t="s">
        <v>14487</v>
      </c>
      <c r="C4191" s="2">
        <v>46270.416666666664</v>
      </c>
      <c r="D4191" s="8" t="s">
        <v>13935</v>
      </c>
      <c r="E4191" s="8" t="s">
        <v>51</v>
      </c>
      <c r="F4191">
        <v>5</v>
      </c>
      <c r="G4191" s="2">
        <v>46270.75</v>
      </c>
      <c r="H4191" s="2">
        <v>46270.583333333336</v>
      </c>
    </row>
    <row r="4192" spans="1:8" x14ac:dyDescent="0.25">
      <c r="A4192" s="8" t="s">
        <v>13449</v>
      </c>
      <c r="B4192" s="8" t="s">
        <v>14487</v>
      </c>
      <c r="C4192" s="2">
        <v>46270.416666666664</v>
      </c>
      <c r="D4192" s="8" t="s">
        <v>13935</v>
      </c>
      <c r="E4192" s="8" t="s">
        <v>53</v>
      </c>
      <c r="F4192">
        <v>4</v>
      </c>
      <c r="G4192" s="2">
        <v>46270.75</v>
      </c>
      <c r="H4192" s="2">
        <v>46270.583333333336</v>
      </c>
    </row>
    <row r="4193" spans="1:8" x14ac:dyDescent="0.25">
      <c r="A4193" s="8" t="s">
        <v>13452</v>
      </c>
      <c r="B4193" s="8" t="s">
        <v>14487</v>
      </c>
      <c r="C4193" s="2">
        <v>46270.416666666664</v>
      </c>
      <c r="D4193" s="8" t="s">
        <v>13935</v>
      </c>
      <c r="E4193" s="8" t="s">
        <v>55</v>
      </c>
      <c r="F4193">
        <v>9</v>
      </c>
      <c r="G4193" s="2">
        <v>46270.75</v>
      </c>
      <c r="H4193" s="2">
        <v>46270.583333333336</v>
      </c>
    </row>
    <row r="4194" spans="1:8" x14ac:dyDescent="0.25">
      <c r="A4194" s="8" t="s">
        <v>13455</v>
      </c>
      <c r="B4194" s="8" t="s">
        <v>14487</v>
      </c>
      <c r="C4194" s="2">
        <v>46270.416666666664</v>
      </c>
      <c r="D4194" s="8" t="s">
        <v>13935</v>
      </c>
      <c r="E4194" s="8" t="s">
        <v>59</v>
      </c>
      <c r="F4194">
        <v>5</v>
      </c>
      <c r="G4194" s="2">
        <v>46270.75</v>
      </c>
      <c r="H4194" s="2">
        <v>46270.583333333336</v>
      </c>
    </row>
    <row r="4195" spans="1:8" x14ac:dyDescent="0.25">
      <c r="A4195" s="8" t="s">
        <v>13458</v>
      </c>
      <c r="B4195" s="8" t="s">
        <v>14487</v>
      </c>
      <c r="C4195" s="2">
        <v>46270.416666666664</v>
      </c>
      <c r="D4195" s="8" t="s">
        <v>13935</v>
      </c>
      <c r="E4195" s="8" t="s">
        <v>65</v>
      </c>
      <c r="F4195">
        <v>4</v>
      </c>
      <c r="G4195" s="2">
        <v>46270.75</v>
      </c>
      <c r="H4195" s="2">
        <v>46270.583333333336</v>
      </c>
    </row>
    <row r="4196" spans="1:8" x14ac:dyDescent="0.25">
      <c r="A4196" s="8" t="s">
        <v>13461</v>
      </c>
      <c r="B4196" s="8" t="s">
        <v>14488</v>
      </c>
      <c r="C4196" s="2">
        <v>46270.416666666664</v>
      </c>
      <c r="D4196" s="8" t="s">
        <v>13937</v>
      </c>
      <c r="E4196" s="8" t="s">
        <v>11</v>
      </c>
      <c r="F4196">
        <v>5</v>
      </c>
      <c r="G4196" s="2">
        <v>46270.75</v>
      </c>
      <c r="H4196" s="2">
        <v>46270.583333333336</v>
      </c>
    </row>
    <row r="4197" spans="1:8" x14ac:dyDescent="0.25">
      <c r="A4197" s="8" t="s">
        <v>13464</v>
      </c>
      <c r="B4197" s="8" t="s">
        <v>14488</v>
      </c>
      <c r="C4197" s="2">
        <v>46270.416666666664</v>
      </c>
      <c r="D4197" s="8" t="s">
        <v>13937</v>
      </c>
      <c r="E4197" s="8" t="s">
        <v>22</v>
      </c>
      <c r="F4197">
        <v>4</v>
      </c>
      <c r="G4197" s="2">
        <v>46270.75</v>
      </c>
      <c r="H4197" s="2">
        <v>46270.583333333336</v>
      </c>
    </row>
    <row r="4198" spans="1:8" x14ac:dyDescent="0.25">
      <c r="A4198" s="8" t="s">
        <v>13467</v>
      </c>
      <c r="B4198" s="8" t="s">
        <v>14488</v>
      </c>
      <c r="C4198" s="2">
        <v>46270.416666666664</v>
      </c>
      <c r="D4198" s="8" t="s">
        <v>13937</v>
      </c>
      <c r="E4198" s="8" t="s">
        <v>26</v>
      </c>
      <c r="F4198">
        <v>6</v>
      </c>
      <c r="G4198" s="2">
        <v>46270.75</v>
      </c>
      <c r="H4198" s="2">
        <v>46270.583333333336</v>
      </c>
    </row>
    <row r="4199" spans="1:8" x14ac:dyDescent="0.25">
      <c r="A4199" s="8" t="s">
        <v>13470</v>
      </c>
      <c r="B4199" s="8" t="s">
        <v>14488</v>
      </c>
      <c r="C4199" s="2">
        <v>46270.416666666664</v>
      </c>
      <c r="D4199" s="8" t="s">
        <v>13937</v>
      </c>
      <c r="E4199" s="8" t="s">
        <v>30</v>
      </c>
      <c r="F4199">
        <v>1</v>
      </c>
      <c r="G4199" s="2">
        <v>46270.75</v>
      </c>
      <c r="H4199" s="2">
        <v>46270.583333333336</v>
      </c>
    </row>
    <row r="4200" spans="1:8" x14ac:dyDescent="0.25">
      <c r="A4200" s="8" t="s">
        <v>13473</v>
      </c>
      <c r="B4200" s="8" t="s">
        <v>14488</v>
      </c>
      <c r="C4200" s="2">
        <v>46270.416666666664</v>
      </c>
      <c r="D4200" s="8" t="s">
        <v>13937</v>
      </c>
      <c r="E4200" s="8" t="s">
        <v>43</v>
      </c>
      <c r="F4200">
        <v>4</v>
      </c>
      <c r="G4200" s="2">
        <v>46270.75</v>
      </c>
      <c r="H4200" s="2">
        <v>46270.583333333336</v>
      </c>
    </row>
    <row r="4201" spans="1:8" x14ac:dyDescent="0.25">
      <c r="A4201" s="8" t="s">
        <v>13476</v>
      </c>
      <c r="B4201" s="8" t="s">
        <v>14488</v>
      </c>
      <c r="C4201" s="2">
        <v>46270.416666666664</v>
      </c>
      <c r="D4201" s="8" t="s">
        <v>13937</v>
      </c>
      <c r="E4201" s="8" t="s">
        <v>45</v>
      </c>
      <c r="F4201">
        <v>5</v>
      </c>
      <c r="G4201" s="2">
        <v>46270.75</v>
      </c>
      <c r="H4201" s="2">
        <v>46270.583333333336</v>
      </c>
    </row>
    <row r="4202" spans="1:8" x14ac:dyDescent="0.25">
      <c r="A4202" s="8" t="s">
        <v>13481</v>
      </c>
      <c r="B4202" s="8" t="s">
        <v>14488</v>
      </c>
      <c r="C4202" s="2">
        <v>46270.416666666664</v>
      </c>
      <c r="D4202" s="8" t="s">
        <v>13937</v>
      </c>
      <c r="E4202" s="8" t="s">
        <v>49</v>
      </c>
      <c r="F4202">
        <v>5</v>
      </c>
      <c r="G4202" s="2">
        <v>46270.75</v>
      </c>
      <c r="H4202" s="2">
        <v>46270.583333333336</v>
      </c>
    </row>
    <row r="4203" spans="1:8" x14ac:dyDescent="0.25">
      <c r="A4203" s="8" t="s">
        <v>13484</v>
      </c>
      <c r="B4203" s="8" t="s">
        <v>14488</v>
      </c>
      <c r="C4203" s="2">
        <v>46270.416666666664</v>
      </c>
      <c r="D4203" s="8" t="s">
        <v>13937</v>
      </c>
      <c r="E4203" s="8" t="s">
        <v>57</v>
      </c>
      <c r="F4203">
        <v>6</v>
      </c>
      <c r="G4203" s="2">
        <v>46270.75</v>
      </c>
      <c r="H4203" s="2">
        <v>46270.583333333336</v>
      </c>
    </row>
    <row r="4204" spans="1:8" x14ac:dyDescent="0.25">
      <c r="A4204" s="8" t="s">
        <v>13487</v>
      </c>
      <c r="B4204" s="8" t="s">
        <v>14488</v>
      </c>
      <c r="C4204" s="2">
        <v>46270.416666666664</v>
      </c>
      <c r="D4204" s="8" t="s">
        <v>13937</v>
      </c>
      <c r="E4204" s="8" t="s">
        <v>59</v>
      </c>
      <c r="F4204">
        <v>6</v>
      </c>
      <c r="G4204" s="2">
        <v>46270.75</v>
      </c>
      <c r="H4204" s="2">
        <v>46270.583333333336</v>
      </c>
    </row>
    <row r="4205" spans="1:8" x14ac:dyDescent="0.25">
      <c r="A4205" s="8" t="s">
        <v>13490</v>
      </c>
      <c r="B4205" s="8" t="s">
        <v>14489</v>
      </c>
      <c r="C4205" s="2">
        <v>46271.416666666664</v>
      </c>
      <c r="D4205" s="8" t="s">
        <v>13929</v>
      </c>
      <c r="E4205" s="8" t="s">
        <v>11</v>
      </c>
      <c r="F4205">
        <v>4</v>
      </c>
      <c r="G4205" s="2">
        <v>46271.75</v>
      </c>
      <c r="H4205" s="2">
        <v>46271.583333333336</v>
      </c>
    </row>
    <row r="4206" spans="1:8" x14ac:dyDescent="0.25">
      <c r="A4206" s="8" t="s">
        <v>13493</v>
      </c>
      <c r="B4206" s="8" t="s">
        <v>14489</v>
      </c>
      <c r="C4206" s="2">
        <v>46271.416666666664</v>
      </c>
      <c r="D4206" s="8" t="s">
        <v>13929</v>
      </c>
      <c r="E4206" s="8" t="s">
        <v>20</v>
      </c>
      <c r="F4206">
        <v>5</v>
      </c>
      <c r="G4206" s="2">
        <v>46271.75</v>
      </c>
      <c r="H4206" s="2">
        <v>46271.583333333336</v>
      </c>
    </row>
    <row r="4207" spans="1:8" x14ac:dyDescent="0.25">
      <c r="A4207" s="8" t="s">
        <v>13496</v>
      </c>
      <c r="B4207" s="8" t="s">
        <v>14489</v>
      </c>
      <c r="C4207" s="2">
        <v>46271.416666666664</v>
      </c>
      <c r="D4207" s="8" t="s">
        <v>13929</v>
      </c>
      <c r="E4207" s="8" t="s">
        <v>30</v>
      </c>
      <c r="F4207">
        <v>4</v>
      </c>
      <c r="G4207" s="2">
        <v>46271.75</v>
      </c>
      <c r="H4207" s="2">
        <v>46271.583333333336</v>
      </c>
    </row>
    <row r="4208" spans="1:8" x14ac:dyDescent="0.25">
      <c r="A4208" s="8" t="s">
        <v>13499</v>
      </c>
      <c r="B4208" s="8" t="s">
        <v>14489</v>
      </c>
      <c r="C4208" s="2">
        <v>46271.416666666664</v>
      </c>
      <c r="D4208" s="8" t="s">
        <v>13929</v>
      </c>
      <c r="E4208" s="8" t="s">
        <v>32</v>
      </c>
      <c r="F4208">
        <v>3</v>
      </c>
      <c r="G4208" s="2">
        <v>46271.75</v>
      </c>
      <c r="H4208" s="2">
        <v>46271.583333333336</v>
      </c>
    </row>
    <row r="4209" spans="1:8" x14ac:dyDescent="0.25">
      <c r="A4209" s="8" t="s">
        <v>13504</v>
      </c>
      <c r="B4209" s="8" t="s">
        <v>14489</v>
      </c>
      <c r="C4209" s="2">
        <v>46271.416666666664</v>
      </c>
      <c r="D4209" s="8" t="s">
        <v>13929</v>
      </c>
      <c r="E4209" s="8" t="s">
        <v>36</v>
      </c>
      <c r="F4209">
        <v>2</v>
      </c>
      <c r="G4209" s="2">
        <v>46271.75</v>
      </c>
      <c r="H4209" s="2">
        <v>46271.583333333336</v>
      </c>
    </row>
    <row r="4210" spans="1:8" x14ac:dyDescent="0.25">
      <c r="A4210" s="8" t="s">
        <v>13507</v>
      </c>
      <c r="B4210" s="8" t="s">
        <v>14489</v>
      </c>
      <c r="C4210" s="2">
        <v>46271.416666666664</v>
      </c>
      <c r="D4210" s="8" t="s">
        <v>13929</v>
      </c>
      <c r="E4210" s="8" t="s">
        <v>41</v>
      </c>
      <c r="F4210">
        <v>3</v>
      </c>
      <c r="G4210" s="2">
        <v>46271.75</v>
      </c>
      <c r="H4210" s="2">
        <v>46271.583333333336</v>
      </c>
    </row>
    <row r="4211" spans="1:8" x14ac:dyDescent="0.25">
      <c r="A4211" s="8" t="s">
        <v>13510</v>
      </c>
      <c r="B4211" s="8" t="s">
        <v>14489</v>
      </c>
      <c r="C4211" s="2">
        <v>46271.416666666664</v>
      </c>
      <c r="D4211" s="8" t="s">
        <v>13929</v>
      </c>
      <c r="E4211" s="8" t="s">
        <v>45</v>
      </c>
      <c r="F4211">
        <v>1</v>
      </c>
      <c r="G4211" s="2">
        <v>46271.75</v>
      </c>
      <c r="H4211" s="2">
        <v>46271.583333333336</v>
      </c>
    </row>
    <row r="4212" spans="1:8" x14ac:dyDescent="0.25">
      <c r="A4212" s="8" t="s">
        <v>13513</v>
      </c>
      <c r="B4212" s="8" t="s">
        <v>14489</v>
      </c>
      <c r="C4212" s="2">
        <v>46271.416666666664</v>
      </c>
      <c r="D4212" s="8" t="s">
        <v>13929</v>
      </c>
      <c r="E4212" s="8" t="s">
        <v>47</v>
      </c>
      <c r="F4212">
        <v>4</v>
      </c>
      <c r="G4212" s="2">
        <v>46271.75</v>
      </c>
      <c r="H4212" s="2">
        <v>46271.583333333336</v>
      </c>
    </row>
    <row r="4213" spans="1:8" x14ac:dyDescent="0.25">
      <c r="A4213" s="8" t="s">
        <v>13516</v>
      </c>
      <c r="B4213" s="8" t="s">
        <v>14489</v>
      </c>
      <c r="C4213" s="2">
        <v>46271.416666666664</v>
      </c>
      <c r="D4213" s="8" t="s">
        <v>13929</v>
      </c>
      <c r="E4213" s="8" t="s">
        <v>57</v>
      </c>
      <c r="F4213">
        <v>3</v>
      </c>
      <c r="G4213" s="2">
        <v>46271.75</v>
      </c>
      <c r="H4213" s="2">
        <v>46271.583333333336</v>
      </c>
    </row>
    <row r="4214" spans="1:8" x14ac:dyDescent="0.25">
      <c r="A4214" s="8" t="s">
        <v>13521</v>
      </c>
      <c r="B4214" s="8" t="s">
        <v>14489</v>
      </c>
      <c r="C4214" s="2">
        <v>46271.416666666664</v>
      </c>
      <c r="D4214" s="8" t="s">
        <v>13929</v>
      </c>
      <c r="E4214" s="8" t="s">
        <v>67</v>
      </c>
      <c r="F4214">
        <v>1</v>
      </c>
      <c r="G4214" s="2">
        <v>46271.75</v>
      </c>
      <c r="H4214" s="2">
        <v>46271.583333333336</v>
      </c>
    </row>
    <row r="4215" spans="1:8" x14ac:dyDescent="0.25">
      <c r="A4215" s="8" t="s">
        <v>13524</v>
      </c>
      <c r="B4215" s="8" t="s">
        <v>14489</v>
      </c>
      <c r="C4215" s="2">
        <v>46271.416666666664</v>
      </c>
      <c r="D4215" s="8" t="s">
        <v>13929</v>
      </c>
      <c r="E4215" s="8" t="s">
        <v>75</v>
      </c>
      <c r="F4215">
        <v>2</v>
      </c>
      <c r="G4215" s="2">
        <v>46271.75</v>
      </c>
      <c r="H4215" s="2">
        <v>46271.583333333336</v>
      </c>
    </row>
    <row r="4216" spans="1:8" x14ac:dyDescent="0.25">
      <c r="A4216" s="8" t="s">
        <v>13527</v>
      </c>
      <c r="B4216" s="8" t="s">
        <v>14490</v>
      </c>
      <c r="C4216" s="2">
        <v>46271.416666666664</v>
      </c>
      <c r="D4216" s="8" t="s">
        <v>13931</v>
      </c>
      <c r="E4216" s="8" t="s">
        <v>11</v>
      </c>
      <c r="F4216">
        <v>6</v>
      </c>
      <c r="G4216" s="2">
        <v>46271.75</v>
      </c>
      <c r="H4216" s="2">
        <v>46271.583333333336</v>
      </c>
    </row>
    <row r="4217" spans="1:8" x14ac:dyDescent="0.25">
      <c r="A4217" s="8" t="s">
        <v>13530</v>
      </c>
      <c r="B4217" s="8" t="s">
        <v>14490</v>
      </c>
      <c r="C4217" s="2">
        <v>46271.416666666664</v>
      </c>
      <c r="D4217" s="8" t="s">
        <v>13931</v>
      </c>
      <c r="E4217" s="8" t="s">
        <v>18</v>
      </c>
      <c r="F4217">
        <v>6</v>
      </c>
      <c r="G4217" s="2">
        <v>46271.75</v>
      </c>
      <c r="H4217" s="2">
        <v>46271.583333333336</v>
      </c>
    </row>
    <row r="4218" spans="1:8" x14ac:dyDescent="0.25">
      <c r="A4218" s="8" t="s">
        <v>13533</v>
      </c>
      <c r="B4218" s="8" t="s">
        <v>14490</v>
      </c>
      <c r="C4218" s="2">
        <v>46271.416666666664</v>
      </c>
      <c r="D4218" s="8" t="s">
        <v>13931</v>
      </c>
      <c r="E4218" s="8" t="s">
        <v>20</v>
      </c>
      <c r="F4218">
        <v>6</v>
      </c>
      <c r="G4218" s="2">
        <v>46271.75</v>
      </c>
      <c r="H4218" s="2">
        <v>46271.583333333336</v>
      </c>
    </row>
    <row r="4219" spans="1:8" x14ac:dyDescent="0.25">
      <c r="A4219" s="8" t="s">
        <v>13536</v>
      </c>
      <c r="B4219" s="8" t="s">
        <v>14490</v>
      </c>
      <c r="C4219" s="2">
        <v>46271.416666666664</v>
      </c>
      <c r="D4219" s="8" t="s">
        <v>13931</v>
      </c>
      <c r="E4219" s="8" t="s">
        <v>22</v>
      </c>
      <c r="F4219">
        <v>1</v>
      </c>
      <c r="G4219" s="2">
        <v>46271.75</v>
      </c>
      <c r="H4219" s="2">
        <v>46271.583333333336</v>
      </c>
    </row>
    <row r="4220" spans="1:8" x14ac:dyDescent="0.25">
      <c r="A4220" s="8" t="s">
        <v>13539</v>
      </c>
      <c r="B4220" s="8" t="s">
        <v>14490</v>
      </c>
      <c r="C4220" s="2">
        <v>46271.416666666664</v>
      </c>
      <c r="D4220" s="8" t="s">
        <v>13931</v>
      </c>
      <c r="E4220" s="8" t="s">
        <v>24</v>
      </c>
      <c r="F4220">
        <v>4</v>
      </c>
      <c r="G4220" s="2">
        <v>46271.75</v>
      </c>
      <c r="H4220" s="2">
        <v>46271.583333333336</v>
      </c>
    </row>
    <row r="4221" spans="1:8" x14ac:dyDescent="0.25">
      <c r="A4221" s="8" t="s">
        <v>13542</v>
      </c>
      <c r="B4221" s="8" t="s">
        <v>14490</v>
      </c>
      <c r="C4221" s="2">
        <v>46271.416666666664</v>
      </c>
      <c r="D4221" s="8" t="s">
        <v>13931</v>
      </c>
      <c r="E4221" s="8" t="s">
        <v>26</v>
      </c>
      <c r="F4221">
        <v>6</v>
      </c>
      <c r="G4221" s="2">
        <v>46271.75</v>
      </c>
      <c r="H4221" s="2">
        <v>46271.583333333336</v>
      </c>
    </row>
    <row r="4222" spans="1:8" x14ac:dyDescent="0.25">
      <c r="A4222" s="8" t="s">
        <v>13545</v>
      </c>
      <c r="B4222" s="8" t="s">
        <v>14490</v>
      </c>
      <c r="C4222" s="2">
        <v>46271.416666666664</v>
      </c>
      <c r="D4222" s="8" t="s">
        <v>13931</v>
      </c>
      <c r="E4222" s="8" t="s">
        <v>28</v>
      </c>
      <c r="F4222">
        <v>4</v>
      </c>
      <c r="G4222" s="2">
        <v>46271.75</v>
      </c>
      <c r="H4222" s="2">
        <v>46271.583333333336</v>
      </c>
    </row>
    <row r="4223" spans="1:8" x14ac:dyDescent="0.25">
      <c r="A4223" s="8" t="s">
        <v>13548</v>
      </c>
      <c r="B4223" s="8" t="s">
        <v>14490</v>
      </c>
      <c r="C4223" s="2">
        <v>46271.416666666664</v>
      </c>
      <c r="D4223" s="8" t="s">
        <v>13931</v>
      </c>
      <c r="E4223" s="8" t="s">
        <v>32</v>
      </c>
      <c r="F4223">
        <v>1</v>
      </c>
      <c r="G4223" s="2">
        <v>46271.75</v>
      </c>
      <c r="H4223" s="2">
        <v>46271.583333333336</v>
      </c>
    </row>
    <row r="4224" spans="1:8" x14ac:dyDescent="0.25">
      <c r="A4224" s="8" t="s">
        <v>13551</v>
      </c>
      <c r="B4224" s="8" t="s">
        <v>14490</v>
      </c>
      <c r="C4224" s="2">
        <v>46271.416666666664</v>
      </c>
      <c r="D4224" s="8" t="s">
        <v>13931</v>
      </c>
      <c r="E4224" s="8" t="s">
        <v>47</v>
      </c>
      <c r="F4224">
        <v>5</v>
      </c>
      <c r="G4224" s="2">
        <v>46271.75</v>
      </c>
      <c r="H4224" s="2">
        <v>46271.583333333336</v>
      </c>
    </row>
    <row r="4225" spans="1:8" x14ac:dyDescent="0.25">
      <c r="A4225" s="8" t="s">
        <v>13554</v>
      </c>
      <c r="B4225" s="8" t="s">
        <v>14490</v>
      </c>
      <c r="C4225" s="2">
        <v>46271.416666666664</v>
      </c>
      <c r="D4225" s="8" t="s">
        <v>13931</v>
      </c>
      <c r="E4225" s="8" t="s">
        <v>51</v>
      </c>
      <c r="F4225">
        <v>6</v>
      </c>
      <c r="G4225" s="2">
        <v>46271.75</v>
      </c>
      <c r="H4225" s="2">
        <v>46271.583333333336</v>
      </c>
    </row>
    <row r="4226" spans="1:8" x14ac:dyDescent="0.25">
      <c r="A4226" s="8" t="s">
        <v>13557</v>
      </c>
      <c r="B4226" s="8" t="s">
        <v>14490</v>
      </c>
      <c r="C4226" s="2">
        <v>46271.416666666664</v>
      </c>
      <c r="D4226" s="8" t="s">
        <v>13931</v>
      </c>
      <c r="E4226" s="8" t="s">
        <v>67</v>
      </c>
      <c r="F4226">
        <v>4</v>
      </c>
      <c r="G4226" s="2">
        <v>46271.75</v>
      </c>
      <c r="H4226" s="2">
        <v>46271.583333333336</v>
      </c>
    </row>
    <row r="4227" spans="1:8" x14ac:dyDescent="0.25">
      <c r="A4227" s="8" t="s">
        <v>13560</v>
      </c>
      <c r="B4227" s="8" t="s">
        <v>14490</v>
      </c>
      <c r="C4227" s="2">
        <v>46271.416666666664</v>
      </c>
      <c r="D4227" s="8" t="s">
        <v>13931</v>
      </c>
      <c r="E4227" s="8" t="s">
        <v>69</v>
      </c>
      <c r="F4227">
        <v>5</v>
      </c>
      <c r="G4227" s="2">
        <v>46271.75</v>
      </c>
      <c r="H4227" s="2">
        <v>46271.583333333336</v>
      </c>
    </row>
    <row r="4228" spans="1:8" x14ac:dyDescent="0.25">
      <c r="A4228" s="8" t="s">
        <v>13563</v>
      </c>
      <c r="B4228" s="8" t="s">
        <v>14490</v>
      </c>
      <c r="C4228" s="2">
        <v>46271.416666666664</v>
      </c>
      <c r="D4228" s="8" t="s">
        <v>13931</v>
      </c>
      <c r="E4228" s="8" t="s">
        <v>77</v>
      </c>
      <c r="F4228">
        <v>4</v>
      </c>
      <c r="G4228" s="2">
        <v>46271.75</v>
      </c>
      <c r="H4228" s="2">
        <v>46271.583333333336</v>
      </c>
    </row>
    <row r="4229" spans="1:8" x14ac:dyDescent="0.25">
      <c r="A4229" s="8" t="s">
        <v>13568</v>
      </c>
      <c r="B4229" s="8" t="s">
        <v>14490</v>
      </c>
      <c r="C4229" s="2">
        <v>46271.416666666664</v>
      </c>
      <c r="D4229" s="8" t="s">
        <v>13931</v>
      </c>
      <c r="E4229" s="8" t="s">
        <v>79</v>
      </c>
      <c r="F4229">
        <v>5</v>
      </c>
      <c r="G4229" s="2">
        <v>46271.75</v>
      </c>
      <c r="H4229" s="2">
        <v>46271.583333333336</v>
      </c>
    </row>
    <row r="4230" spans="1:8" x14ac:dyDescent="0.25">
      <c r="A4230" s="8" t="s">
        <v>13571</v>
      </c>
      <c r="B4230" s="8" t="s">
        <v>14491</v>
      </c>
      <c r="C4230" s="2">
        <v>46271.416666666664</v>
      </c>
      <c r="D4230" s="8" t="s">
        <v>13933</v>
      </c>
      <c r="E4230" s="8" t="s">
        <v>18</v>
      </c>
      <c r="F4230">
        <v>5</v>
      </c>
      <c r="G4230" s="2">
        <v>46271.75</v>
      </c>
      <c r="H4230" s="2">
        <v>46271.583333333336</v>
      </c>
    </row>
    <row r="4231" spans="1:8" x14ac:dyDescent="0.25">
      <c r="A4231" s="8" t="s">
        <v>13574</v>
      </c>
      <c r="B4231" s="8" t="s">
        <v>14491</v>
      </c>
      <c r="C4231" s="2">
        <v>46271.416666666664</v>
      </c>
      <c r="D4231" s="8" t="s">
        <v>13933</v>
      </c>
      <c r="E4231" s="8" t="s">
        <v>20</v>
      </c>
      <c r="F4231">
        <v>3</v>
      </c>
      <c r="G4231" s="2">
        <v>46271.75</v>
      </c>
      <c r="H4231" s="2">
        <v>46271.583333333336</v>
      </c>
    </row>
    <row r="4232" spans="1:8" x14ac:dyDescent="0.25">
      <c r="A4232" s="8" t="s">
        <v>13577</v>
      </c>
      <c r="B4232" s="8" t="s">
        <v>14491</v>
      </c>
      <c r="C4232" s="2">
        <v>46271.416666666664</v>
      </c>
      <c r="D4232" s="8" t="s">
        <v>13933</v>
      </c>
      <c r="E4232" s="8" t="s">
        <v>22</v>
      </c>
      <c r="F4232">
        <v>2</v>
      </c>
      <c r="G4232" s="2">
        <v>46271.75</v>
      </c>
      <c r="H4232" s="2">
        <v>46271.583333333336</v>
      </c>
    </row>
    <row r="4233" spans="1:8" x14ac:dyDescent="0.25">
      <c r="A4233" s="8" t="s">
        <v>13580</v>
      </c>
      <c r="B4233" s="8" t="s">
        <v>14491</v>
      </c>
      <c r="C4233" s="2">
        <v>46271.416666666664</v>
      </c>
      <c r="D4233" s="8" t="s">
        <v>13933</v>
      </c>
      <c r="E4233" s="8" t="s">
        <v>26</v>
      </c>
      <c r="F4233">
        <v>2</v>
      </c>
      <c r="G4233" s="2">
        <v>46271.75</v>
      </c>
      <c r="H4233" s="2">
        <v>46271.583333333336</v>
      </c>
    </row>
    <row r="4234" spans="1:8" x14ac:dyDescent="0.25">
      <c r="A4234" s="8" t="s">
        <v>13583</v>
      </c>
      <c r="B4234" s="8" t="s">
        <v>14491</v>
      </c>
      <c r="C4234" s="2">
        <v>46271.416666666664</v>
      </c>
      <c r="D4234" s="8" t="s">
        <v>13933</v>
      </c>
      <c r="E4234" s="8" t="s">
        <v>30</v>
      </c>
      <c r="F4234">
        <v>8</v>
      </c>
      <c r="G4234" s="2">
        <v>46271.75</v>
      </c>
      <c r="H4234" s="2">
        <v>46271.583333333336</v>
      </c>
    </row>
    <row r="4235" spans="1:8" x14ac:dyDescent="0.25">
      <c r="A4235" s="8" t="s">
        <v>13586</v>
      </c>
      <c r="B4235" s="8" t="s">
        <v>14491</v>
      </c>
      <c r="C4235" s="2">
        <v>46271.416666666664</v>
      </c>
      <c r="D4235" s="8" t="s">
        <v>13933</v>
      </c>
      <c r="E4235" s="8" t="s">
        <v>32</v>
      </c>
      <c r="F4235">
        <v>3</v>
      </c>
      <c r="G4235" s="2">
        <v>46271.75</v>
      </c>
      <c r="H4235" s="2">
        <v>46271.583333333336</v>
      </c>
    </row>
    <row r="4236" spans="1:8" x14ac:dyDescent="0.25">
      <c r="A4236" s="8" t="s">
        <v>13589</v>
      </c>
      <c r="B4236" s="8" t="s">
        <v>14491</v>
      </c>
      <c r="C4236" s="2">
        <v>46271.416666666664</v>
      </c>
      <c r="D4236" s="8" t="s">
        <v>13933</v>
      </c>
      <c r="E4236" s="8" t="s">
        <v>36</v>
      </c>
      <c r="F4236">
        <v>2</v>
      </c>
      <c r="G4236" s="2">
        <v>46271.75</v>
      </c>
      <c r="H4236" s="2">
        <v>46271.583333333336</v>
      </c>
    </row>
    <row r="4237" spans="1:8" x14ac:dyDescent="0.25">
      <c r="A4237" s="8" t="s">
        <v>13592</v>
      </c>
      <c r="B4237" s="8" t="s">
        <v>14491</v>
      </c>
      <c r="C4237" s="2">
        <v>46271.416666666664</v>
      </c>
      <c r="D4237" s="8" t="s">
        <v>13933</v>
      </c>
      <c r="E4237" s="8" t="s">
        <v>45</v>
      </c>
      <c r="F4237">
        <v>2</v>
      </c>
      <c r="G4237" s="2">
        <v>46271.75</v>
      </c>
      <c r="H4237" s="2">
        <v>46271.583333333336</v>
      </c>
    </row>
    <row r="4238" spans="1:8" x14ac:dyDescent="0.25">
      <c r="A4238" s="8" t="s">
        <v>13595</v>
      </c>
      <c r="B4238" s="8" t="s">
        <v>14491</v>
      </c>
      <c r="C4238" s="2">
        <v>46271.416666666664</v>
      </c>
      <c r="D4238" s="8" t="s">
        <v>13933</v>
      </c>
      <c r="E4238" s="8" t="s">
        <v>47</v>
      </c>
      <c r="F4238">
        <v>8</v>
      </c>
      <c r="G4238" s="2">
        <v>46271.75</v>
      </c>
      <c r="H4238" s="2">
        <v>46271.583333333336</v>
      </c>
    </row>
    <row r="4239" spans="1:8" x14ac:dyDescent="0.25">
      <c r="A4239" s="8" t="s">
        <v>13598</v>
      </c>
      <c r="B4239" s="8" t="s">
        <v>14491</v>
      </c>
      <c r="C4239" s="2">
        <v>46271.416666666664</v>
      </c>
      <c r="D4239" s="8" t="s">
        <v>13933</v>
      </c>
      <c r="E4239" s="8" t="s">
        <v>51</v>
      </c>
      <c r="F4239">
        <v>2</v>
      </c>
      <c r="G4239" s="2">
        <v>46271.75</v>
      </c>
      <c r="H4239" s="2">
        <v>46271.583333333336</v>
      </c>
    </row>
    <row r="4240" spans="1:8" x14ac:dyDescent="0.25">
      <c r="A4240" s="8" t="s">
        <v>13601</v>
      </c>
      <c r="B4240" s="8" t="s">
        <v>14491</v>
      </c>
      <c r="C4240" s="2">
        <v>46271.416666666664</v>
      </c>
      <c r="D4240" s="8" t="s">
        <v>13933</v>
      </c>
      <c r="E4240" s="8" t="s">
        <v>59</v>
      </c>
      <c r="F4240">
        <v>3</v>
      </c>
      <c r="G4240" s="2">
        <v>46271.75</v>
      </c>
      <c r="H4240" s="2">
        <v>46271.583333333336</v>
      </c>
    </row>
    <row r="4241" spans="1:8" x14ac:dyDescent="0.25">
      <c r="A4241" s="8" t="s">
        <v>13604</v>
      </c>
      <c r="B4241" s="8" t="s">
        <v>14491</v>
      </c>
      <c r="C4241" s="2">
        <v>46271.416666666664</v>
      </c>
      <c r="D4241" s="8" t="s">
        <v>13933</v>
      </c>
      <c r="E4241" s="8" t="s">
        <v>69</v>
      </c>
      <c r="F4241">
        <v>8</v>
      </c>
      <c r="G4241" s="2">
        <v>46271.75</v>
      </c>
      <c r="H4241" s="2">
        <v>46271.583333333336</v>
      </c>
    </row>
    <row r="4242" spans="1:8" x14ac:dyDescent="0.25">
      <c r="A4242" s="8" t="s">
        <v>13607</v>
      </c>
      <c r="B4242" s="8" t="s">
        <v>14491</v>
      </c>
      <c r="C4242" s="2">
        <v>46271.416666666664</v>
      </c>
      <c r="D4242" s="8" t="s">
        <v>13933</v>
      </c>
      <c r="E4242" s="8" t="s">
        <v>73</v>
      </c>
      <c r="F4242">
        <v>8</v>
      </c>
      <c r="G4242" s="2">
        <v>46271.75</v>
      </c>
      <c r="H4242" s="2">
        <v>46271.583333333336</v>
      </c>
    </row>
    <row r="4243" spans="1:8" x14ac:dyDescent="0.25">
      <c r="A4243" s="8" t="s">
        <v>13610</v>
      </c>
      <c r="B4243" s="8" t="s">
        <v>14492</v>
      </c>
      <c r="C4243" s="2">
        <v>46271.416666666664</v>
      </c>
      <c r="D4243" s="8" t="s">
        <v>13935</v>
      </c>
      <c r="E4243" s="8" t="s">
        <v>11</v>
      </c>
      <c r="F4243">
        <v>9</v>
      </c>
      <c r="G4243" s="2">
        <v>46271.75</v>
      </c>
      <c r="H4243" s="2">
        <v>46271.583333333336</v>
      </c>
    </row>
    <row r="4244" spans="1:8" x14ac:dyDescent="0.25">
      <c r="A4244" s="8" t="s">
        <v>13613</v>
      </c>
      <c r="B4244" s="8" t="s">
        <v>14492</v>
      </c>
      <c r="C4244" s="2">
        <v>46271.416666666664</v>
      </c>
      <c r="D4244" s="8" t="s">
        <v>13935</v>
      </c>
      <c r="E4244" s="8" t="s">
        <v>18</v>
      </c>
      <c r="F4244">
        <v>4</v>
      </c>
      <c r="G4244" s="2">
        <v>46271.75</v>
      </c>
      <c r="H4244" s="2">
        <v>46271.583333333336</v>
      </c>
    </row>
    <row r="4245" spans="1:8" x14ac:dyDescent="0.25">
      <c r="A4245" s="8" t="s">
        <v>13616</v>
      </c>
      <c r="B4245" s="8" t="s">
        <v>14492</v>
      </c>
      <c r="C4245" s="2">
        <v>46271.416666666664</v>
      </c>
      <c r="D4245" s="8" t="s">
        <v>13935</v>
      </c>
      <c r="E4245" s="8" t="s">
        <v>20</v>
      </c>
      <c r="F4245">
        <v>2</v>
      </c>
      <c r="G4245" s="2">
        <v>46271.75</v>
      </c>
      <c r="H4245" s="2">
        <v>46271.583333333336</v>
      </c>
    </row>
    <row r="4246" spans="1:8" x14ac:dyDescent="0.25">
      <c r="A4246" s="8" t="s">
        <v>13619</v>
      </c>
      <c r="B4246" s="8" t="s">
        <v>14492</v>
      </c>
      <c r="C4246" s="2">
        <v>46271.416666666664</v>
      </c>
      <c r="D4246" s="8" t="s">
        <v>13935</v>
      </c>
      <c r="E4246" s="8" t="s">
        <v>43</v>
      </c>
      <c r="F4246">
        <v>2</v>
      </c>
      <c r="G4246" s="2">
        <v>46271.75</v>
      </c>
      <c r="H4246" s="2">
        <v>46271.583333333336</v>
      </c>
    </row>
    <row r="4247" spans="1:8" x14ac:dyDescent="0.25">
      <c r="A4247" s="8" t="s">
        <v>13622</v>
      </c>
      <c r="B4247" s="8" t="s">
        <v>14492</v>
      </c>
      <c r="C4247" s="2">
        <v>46271.416666666664</v>
      </c>
      <c r="D4247" s="8" t="s">
        <v>13935</v>
      </c>
      <c r="E4247" s="8" t="s">
        <v>45</v>
      </c>
      <c r="F4247">
        <v>2</v>
      </c>
      <c r="G4247" s="2">
        <v>46271.75</v>
      </c>
      <c r="H4247" s="2">
        <v>46271.583333333336</v>
      </c>
    </row>
    <row r="4248" spans="1:8" x14ac:dyDescent="0.25">
      <c r="A4248" s="8" t="s">
        <v>13625</v>
      </c>
      <c r="B4248" s="8" t="s">
        <v>14492</v>
      </c>
      <c r="C4248" s="2">
        <v>46271.416666666664</v>
      </c>
      <c r="D4248" s="8" t="s">
        <v>13935</v>
      </c>
      <c r="E4248" s="8" t="s">
        <v>47</v>
      </c>
      <c r="F4248">
        <v>7</v>
      </c>
      <c r="G4248" s="2">
        <v>46271.75</v>
      </c>
      <c r="H4248" s="2">
        <v>46271.583333333336</v>
      </c>
    </row>
    <row r="4249" spans="1:8" x14ac:dyDescent="0.25">
      <c r="A4249" s="8" t="s">
        <v>13630</v>
      </c>
      <c r="B4249" s="8" t="s">
        <v>14492</v>
      </c>
      <c r="C4249" s="2">
        <v>46271.416666666664</v>
      </c>
      <c r="D4249" s="8" t="s">
        <v>13935</v>
      </c>
      <c r="E4249" s="8" t="s">
        <v>51</v>
      </c>
      <c r="F4249">
        <v>4</v>
      </c>
      <c r="G4249" s="2">
        <v>46271.75</v>
      </c>
      <c r="H4249" s="2">
        <v>46271.583333333336</v>
      </c>
    </row>
    <row r="4250" spans="1:8" x14ac:dyDescent="0.25">
      <c r="A4250" s="8" t="s">
        <v>13633</v>
      </c>
      <c r="B4250" s="8" t="s">
        <v>14492</v>
      </c>
      <c r="C4250" s="2">
        <v>46271.416666666664</v>
      </c>
      <c r="D4250" s="8" t="s">
        <v>13935</v>
      </c>
      <c r="E4250" s="8" t="s">
        <v>59</v>
      </c>
      <c r="F4250">
        <v>2</v>
      </c>
      <c r="G4250" s="2">
        <v>46271.75</v>
      </c>
      <c r="H4250" s="2">
        <v>46271.583333333336</v>
      </c>
    </row>
    <row r="4251" spans="1:8" x14ac:dyDescent="0.25">
      <c r="A4251" s="8" t="s">
        <v>13636</v>
      </c>
      <c r="B4251" s="8" t="s">
        <v>14492</v>
      </c>
      <c r="C4251" s="2">
        <v>46271.416666666664</v>
      </c>
      <c r="D4251" s="8" t="s">
        <v>13935</v>
      </c>
      <c r="E4251" s="8" t="s">
        <v>69</v>
      </c>
      <c r="F4251">
        <v>5</v>
      </c>
      <c r="G4251" s="2">
        <v>46271.75</v>
      </c>
      <c r="H4251" s="2">
        <v>46271.583333333336</v>
      </c>
    </row>
    <row r="4252" spans="1:8" x14ac:dyDescent="0.25">
      <c r="A4252" s="8" t="s">
        <v>13639</v>
      </c>
      <c r="B4252" s="8" t="s">
        <v>14492</v>
      </c>
      <c r="C4252" s="2">
        <v>46271.416666666664</v>
      </c>
      <c r="D4252" s="8" t="s">
        <v>13935</v>
      </c>
      <c r="E4252" s="8" t="s">
        <v>73</v>
      </c>
      <c r="F4252">
        <v>4</v>
      </c>
      <c r="G4252" s="2">
        <v>46271.75</v>
      </c>
      <c r="H4252" s="2">
        <v>46271.583333333336</v>
      </c>
    </row>
    <row r="4253" spans="1:8" x14ac:dyDescent="0.25">
      <c r="A4253" s="8" t="s">
        <v>13642</v>
      </c>
      <c r="B4253" s="8" t="s">
        <v>14492</v>
      </c>
      <c r="C4253" s="2">
        <v>46271.416666666664</v>
      </c>
      <c r="D4253" s="8" t="s">
        <v>13935</v>
      </c>
      <c r="E4253" s="8" t="s">
        <v>77</v>
      </c>
      <c r="F4253">
        <v>7</v>
      </c>
      <c r="G4253" s="2">
        <v>46271.75</v>
      </c>
      <c r="H4253" s="2">
        <v>46271.583333333336</v>
      </c>
    </row>
    <row r="4254" spans="1:8" x14ac:dyDescent="0.25">
      <c r="A4254" s="8" t="s">
        <v>13645</v>
      </c>
      <c r="B4254" s="8" t="s">
        <v>14493</v>
      </c>
      <c r="C4254" s="2">
        <v>46271.416666666664</v>
      </c>
      <c r="D4254" s="8" t="s">
        <v>13937</v>
      </c>
      <c r="E4254" s="8" t="s">
        <v>11</v>
      </c>
      <c r="F4254">
        <v>5</v>
      </c>
      <c r="G4254" s="2">
        <v>46271.75</v>
      </c>
      <c r="H4254" s="2">
        <v>46271.583333333336</v>
      </c>
    </row>
    <row r="4255" spans="1:8" x14ac:dyDescent="0.25">
      <c r="A4255" s="8" t="s">
        <v>13648</v>
      </c>
      <c r="B4255" s="8" t="s">
        <v>14493</v>
      </c>
      <c r="C4255" s="2">
        <v>46271.416666666664</v>
      </c>
      <c r="D4255" s="8" t="s">
        <v>13937</v>
      </c>
      <c r="E4255" s="8" t="s">
        <v>18</v>
      </c>
      <c r="F4255">
        <v>4</v>
      </c>
      <c r="G4255" s="2">
        <v>46271.75</v>
      </c>
      <c r="H4255" s="2">
        <v>46271.583333333336</v>
      </c>
    </row>
    <row r="4256" spans="1:8" x14ac:dyDescent="0.25">
      <c r="A4256" s="8" t="s">
        <v>13653</v>
      </c>
      <c r="B4256" s="8" t="s">
        <v>14493</v>
      </c>
      <c r="C4256" s="2">
        <v>46271.416666666664</v>
      </c>
      <c r="D4256" s="8" t="s">
        <v>13937</v>
      </c>
      <c r="E4256" s="8" t="s">
        <v>20</v>
      </c>
      <c r="F4256">
        <v>2</v>
      </c>
      <c r="G4256" s="2">
        <v>46271.75</v>
      </c>
      <c r="H4256" s="2">
        <v>46271.583333333336</v>
      </c>
    </row>
    <row r="4257" spans="1:8" x14ac:dyDescent="0.25">
      <c r="A4257" s="8" t="s">
        <v>13656</v>
      </c>
      <c r="B4257" s="8" t="s">
        <v>14493</v>
      </c>
      <c r="C4257" s="2">
        <v>46271.416666666664</v>
      </c>
      <c r="D4257" s="8" t="s">
        <v>13937</v>
      </c>
      <c r="E4257" s="8" t="s">
        <v>28</v>
      </c>
      <c r="F4257">
        <v>5</v>
      </c>
      <c r="G4257" s="2">
        <v>46271.75</v>
      </c>
      <c r="H4257" s="2">
        <v>46271.583333333336</v>
      </c>
    </row>
    <row r="4258" spans="1:8" x14ac:dyDescent="0.25">
      <c r="A4258" s="8" t="s">
        <v>13659</v>
      </c>
      <c r="B4258" s="8" t="s">
        <v>14493</v>
      </c>
      <c r="C4258" s="2">
        <v>46271.416666666664</v>
      </c>
      <c r="D4258" s="8" t="s">
        <v>13937</v>
      </c>
      <c r="E4258" s="8" t="s">
        <v>30</v>
      </c>
      <c r="F4258">
        <v>4</v>
      </c>
      <c r="G4258" s="2">
        <v>46271.75</v>
      </c>
      <c r="H4258" s="2">
        <v>46271.583333333336</v>
      </c>
    </row>
    <row r="4259" spans="1:8" x14ac:dyDescent="0.25">
      <c r="A4259" s="8" t="s">
        <v>13662</v>
      </c>
      <c r="B4259" s="8" t="s">
        <v>14493</v>
      </c>
      <c r="C4259" s="2">
        <v>46271.416666666664</v>
      </c>
      <c r="D4259" s="8" t="s">
        <v>13937</v>
      </c>
      <c r="E4259" s="8" t="s">
        <v>43</v>
      </c>
      <c r="F4259">
        <v>1</v>
      </c>
      <c r="G4259" s="2">
        <v>46271.75</v>
      </c>
      <c r="H4259" s="2">
        <v>46271.583333333336</v>
      </c>
    </row>
    <row r="4260" spans="1:8" x14ac:dyDescent="0.25">
      <c r="A4260" s="8" t="s">
        <v>13665</v>
      </c>
      <c r="B4260" s="8" t="s">
        <v>14493</v>
      </c>
      <c r="C4260" s="2">
        <v>46271.416666666664</v>
      </c>
      <c r="D4260" s="8" t="s">
        <v>13937</v>
      </c>
      <c r="E4260" s="8" t="s">
        <v>45</v>
      </c>
      <c r="F4260">
        <v>5</v>
      </c>
      <c r="G4260" s="2">
        <v>46271.75</v>
      </c>
      <c r="H4260" s="2">
        <v>46271.583333333336</v>
      </c>
    </row>
    <row r="4261" spans="1:8" x14ac:dyDescent="0.25">
      <c r="A4261" s="8" t="s">
        <v>13668</v>
      </c>
      <c r="B4261" s="8" t="s">
        <v>14493</v>
      </c>
      <c r="C4261" s="2">
        <v>46271.416666666664</v>
      </c>
      <c r="D4261" s="8" t="s">
        <v>13937</v>
      </c>
      <c r="E4261" s="8" t="s">
        <v>47</v>
      </c>
      <c r="F4261">
        <v>1</v>
      </c>
      <c r="G4261" s="2">
        <v>46271.75</v>
      </c>
      <c r="H4261" s="2">
        <v>46271.583333333336</v>
      </c>
    </row>
    <row r="4262" spans="1:8" x14ac:dyDescent="0.25">
      <c r="A4262" s="8" t="s">
        <v>13671</v>
      </c>
      <c r="B4262" s="8" t="s">
        <v>14493</v>
      </c>
      <c r="C4262" s="2">
        <v>46271.416666666664</v>
      </c>
      <c r="D4262" s="8" t="s">
        <v>13937</v>
      </c>
      <c r="E4262" s="8" t="s">
        <v>51</v>
      </c>
      <c r="F4262">
        <v>1</v>
      </c>
      <c r="G4262" s="2">
        <v>46271.75</v>
      </c>
      <c r="H4262" s="2">
        <v>46271.583333333336</v>
      </c>
    </row>
    <row r="4263" spans="1:8" x14ac:dyDescent="0.25">
      <c r="A4263" s="8" t="s">
        <v>13674</v>
      </c>
      <c r="B4263" s="8" t="s">
        <v>14493</v>
      </c>
      <c r="C4263" s="2">
        <v>46271.416666666664</v>
      </c>
      <c r="D4263" s="8" t="s">
        <v>13937</v>
      </c>
      <c r="E4263" s="8" t="s">
        <v>65</v>
      </c>
      <c r="F4263">
        <v>1</v>
      </c>
      <c r="G4263" s="2">
        <v>46271.75</v>
      </c>
      <c r="H4263" s="2">
        <v>46271.583333333336</v>
      </c>
    </row>
    <row r="4264" spans="1:8" x14ac:dyDescent="0.25">
      <c r="A4264" s="8" t="s">
        <v>13677</v>
      </c>
      <c r="B4264" s="8" t="s">
        <v>14493</v>
      </c>
      <c r="C4264" s="2">
        <v>46271.416666666664</v>
      </c>
      <c r="D4264" s="8" t="s">
        <v>13937</v>
      </c>
      <c r="E4264" s="8" t="s">
        <v>71</v>
      </c>
      <c r="F4264">
        <v>4</v>
      </c>
      <c r="G4264" s="2">
        <v>46271.75</v>
      </c>
      <c r="H4264" s="2">
        <v>46271.583333333336</v>
      </c>
    </row>
    <row r="4265" spans="1:8" x14ac:dyDescent="0.25">
      <c r="A4265" s="8" t="s">
        <v>13682</v>
      </c>
      <c r="B4265" s="8" t="s">
        <v>14493</v>
      </c>
      <c r="C4265" s="2">
        <v>46271.416666666664</v>
      </c>
      <c r="D4265" s="8" t="s">
        <v>13937</v>
      </c>
      <c r="E4265" s="8" t="s">
        <v>73</v>
      </c>
      <c r="F4265">
        <v>1</v>
      </c>
      <c r="G4265" s="2">
        <v>46271.75</v>
      </c>
      <c r="H4265" s="2">
        <v>46271.583333333336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939F-3322-445D-BAEA-3D71D1387263}">
  <dimension ref="A1:L197"/>
  <sheetViews>
    <sheetView zoomScale="85" zoomScaleNormal="85" workbookViewId="0">
      <selection activeCell="J14" sqref="J14"/>
    </sheetView>
  </sheetViews>
  <sheetFormatPr defaultRowHeight="13.8" x14ac:dyDescent="0.25"/>
  <cols>
    <col min="1" max="1" width="16.21875" bestFit="1" customWidth="1"/>
    <col min="2" max="2" width="14.44140625" bestFit="1" customWidth="1"/>
    <col min="3" max="3" width="8" bestFit="1" customWidth="1"/>
    <col min="4" max="4" width="11.33203125" bestFit="1" customWidth="1"/>
    <col min="5" max="5" width="13.88671875" bestFit="1" customWidth="1"/>
    <col min="6" max="6" width="22.21875" bestFit="1" customWidth="1"/>
    <col min="7" max="7" width="17.77734375" bestFit="1" customWidth="1"/>
    <col min="8" max="8" width="15" bestFit="1" customWidth="1"/>
    <col min="9" max="9" width="23.21875" bestFit="1" customWidth="1"/>
  </cols>
  <sheetData>
    <row r="1" spans="1:12" x14ac:dyDescent="0.25">
      <c r="A1" t="s">
        <v>13683</v>
      </c>
      <c r="B1" t="s">
        <v>13684</v>
      </c>
      <c r="C1" t="s">
        <v>0</v>
      </c>
      <c r="D1" t="s">
        <v>85</v>
      </c>
      <c r="E1" t="s">
        <v>86</v>
      </c>
      <c r="F1" t="s">
        <v>13685</v>
      </c>
      <c r="G1" t="s">
        <v>13686</v>
      </c>
      <c r="H1" t="s">
        <v>13687</v>
      </c>
      <c r="I1" t="s">
        <v>13688</v>
      </c>
      <c r="J1" t="s">
        <v>13915</v>
      </c>
      <c r="K1" t="s">
        <v>13916</v>
      </c>
      <c r="L1" t="s">
        <v>13917</v>
      </c>
    </row>
    <row r="2" spans="1:12" x14ac:dyDescent="0.25">
      <c r="A2" t="s">
        <v>13689</v>
      </c>
      <c r="B2" s="2">
        <v>46211.833333333336</v>
      </c>
      <c r="C2" t="s">
        <v>28</v>
      </c>
      <c r="D2" t="s">
        <v>104</v>
      </c>
      <c r="E2" t="s">
        <v>105</v>
      </c>
      <c r="F2">
        <v>56</v>
      </c>
      <c r="G2">
        <v>54</v>
      </c>
      <c r="H2">
        <v>54</v>
      </c>
      <c r="I2" t="s">
        <v>13690</v>
      </c>
      <c r="J2">
        <f t="shared" ref="J2:J33" si="0">H2-F2</f>
        <v>-2</v>
      </c>
      <c r="K2" t="str">
        <f t="shared" ref="K2:K33" si="1">IF(J2=0,"一致",IF(J2&gt;0,"盘盈","盘亏"))</f>
        <v>盘亏</v>
      </c>
      <c r="L2">
        <f>J2*VLOOKUP(stock_counts__2[[#This Row],[sku]],products!A:F,6,0)</f>
        <v>-61.58</v>
      </c>
    </row>
    <row r="3" spans="1:12" x14ac:dyDescent="0.25">
      <c r="A3" t="s">
        <v>13691</v>
      </c>
      <c r="B3" s="2">
        <v>46211.833333333336</v>
      </c>
      <c r="C3" t="s">
        <v>32</v>
      </c>
      <c r="D3" t="s">
        <v>108</v>
      </c>
      <c r="E3" t="s">
        <v>109</v>
      </c>
      <c r="F3">
        <v>48</v>
      </c>
      <c r="G3">
        <v>48</v>
      </c>
      <c r="H3">
        <v>48</v>
      </c>
      <c r="I3" t="s">
        <v>13692</v>
      </c>
      <c r="J3">
        <f t="shared" si="0"/>
        <v>0</v>
      </c>
      <c r="K3" t="str">
        <f t="shared" si="1"/>
        <v>一致</v>
      </c>
      <c r="L3">
        <f>J3*VLOOKUP(stock_counts__2[[#This Row],[sku]],products!A:F,6,0)</f>
        <v>0</v>
      </c>
    </row>
    <row r="4" spans="1:12" x14ac:dyDescent="0.25">
      <c r="A4" t="s">
        <v>13693</v>
      </c>
      <c r="B4" s="2">
        <v>46211.833333333336</v>
      </c>
      <c r="C4" t="s">
        <v>34</v>
      </c>
      <c r="D4" t="s">
        <v>110</v>
      </c>
      <c r="E4" t="s">
        <v>111</v>
      </c>
      <c r="F4">
        <v>80</v>
      </c>
      <c r="G4">
        <v>80</v>
      </c>
      <c r="H4">
        <v>80</v>
      </c>
      <c r="I4" t="s">
        <v>13692</v>
      </c>
      <c r="J4">
        <f t="shared" si="0"/>
        <v>0</v>
      </c>
      <c r="K4" t="str">
        <f t="shared" si="1"/>
        <v>一致</v>
      </c>
      <c r="L4">
        <f>J4*VLOOKUP(stock_counts__2[[#This Row],[sku]],products!A:F,6,0)</f>
        <v>0</v>
      </c>
    </row>
    <row r="5" spans="1:12" x14ac:dyDescent="0.25">
      <c r="A5" t="s">
        <v>13694</v>
      </c>
      <c r="B5" s="2">
        <v>46211.833333333336</v>
      </c>
      <c r="C5" t="s">
        <v>41</v>
      </c>
      <c r="D5" t="s">
        <v>114</v>
      </c>
      <c r="E5" t="s">
        <v>115</v>
      </c>
      <c r="F5">
        <v>8</v>
      </c>
      <c r="G5">
        <v>8</v>
      </c>
      <c r="H5">
        <v>8</v>
      </c>
      <c r="I5" t="s">
        <v>13692</v>
      </c>
      <c r="J5">
        <f t="shared" si="0"/>
        <v>0</v>
      </c>
      <c r="K5" t="str">
        <f t="shared" si="1"/>
        <v>一致</v>
      </c>
      <c r="L5">
        <f>J5*VLOOKUP(stock_counts__2[[#This Row],[sku]],products!A:F,6,0)</f>
        <v>0</v>
      </c>
    </row>
    <row r="6" spans="1:12" x14ac:dyDescent="0.25">
      <c r="A6" t="s">
        <v>13695</v>
      </c>
      <c r="B6" s="2">
        <v>46211.833333333336</v>
      </c>
      <c r="C6" t="s">
        <v>43</v>
      </c>
      <c r="D6" t="s">
        <v>116</v>
      </c>
      <c r="E6" t="s">
        <v>117</v>
      </c>
      <c r="F6">
        <v>66</v>
      </c>
      <c r="G6">
        <v>66</v>
      </c>
      <c r="H6">
        <v>66</v>
      </c>
      <c r="I6" t="s">
        <v>13692</v>
      </c>
      <c r="J6">
        <f t="shared" si="0"/>
        <v>0</v>
      </c>
      <c r="K6" t="str">
        <f t="shared" si="1"/>
        <v>一致</v>
      </c>
      <c r="L6">
        <f>J6*VLOOKUP(stock_counts__2[[#This Row],[sku]],products!A:F,6,0)</f>
        <v>0</v>
      </c>
    </row>
    <row r="7" spans="1:12" x14ac:dyDescent="0.25">
      <c r="A7" t="s">
        <v>13696</v>
      </c>
      <c r="B7" s="2">
        <v>46211.833333333336</v>
      </c>
      <c r="C7" t="s">
        <v>47</v>
      </c>
      <c r="D7" t="s">
        <v>120</v>
      </c>
      <c r="E7" t="s">
        <v>121</v>
      </c>
      <c r="F7">
        <v>35</v>
      </c>
      <c r="G7">
        <v>35</v>
      </c>
      <c r="H7">
        <v>35</v>
      </c>
      <c r="I7" t="s">
        <v>13692</v>
      </c>
      <c r="J7">
        <f t="shared" si="0"/>
        <v>0</v>
      </c>
      <c r="K7" t="str">
        <f t="shared" si="1"/>
        <v>一致</v>
      </c>
      <c r="L7">
        <f>J7*VLOOKUP(stock_counts__2[[#This Row],[sku]],products!A:F,6,0)</f>
        <v>0</v>
      </c>
    </row>
    <row r="8" spans="1:12" x14ac:dyDescent="0.25">
      <c r="A8" t="s">
        <v>13697</v>
      </c>
      <c r="B8" s="2">
        <v>46211.833333333336</v>
      </c>
      <c r="C8" t="s">
        <v>53</v>
      </c>
      <c r="D8" t="s">
        <v>126</v>
      </c>
      <c r="E8" t="s">
        <v>127</v>
      </c>
      <c r="F8">
        <v>56</v>
      </c>
      <c r="G8">
        <v>56</v>
      </c>
      <c r="H8">
        <v>56</v>
      </c>
      <c r="I8" t="s">
        <v>13692</v>
      </c>
      <c r="J8">
        <f t="shared" si="0"/>
        <v>0</v>
      </c>
      <c r="K8" t="str">
        <f t="shared" si="1"/>
        <v>一致</v>
      </c>
      <c r="L8">
        <f>J8*VLOOKUP(stock_counts__2[[#This Row],[sku]],products!A:F,6,0)</f>
        <v>0</v>
      </c>
    </row>
    <row r="9" spans="1:12" x14ac:dyDescent="0.25">
      <c r="A9" t="s">
        <v>13698</v>
      </c>
      <c r="B9" s="2">
        <v>46211.833333333336</v>
      </c>
      <c r="C9" t="s">
        <v>79</v>
      </c>
      <c r="D9" t="s">
        <v>148</v>
      </c>
      <c r="E9" t="s">
        <v>149</v>
      </c>
      <c r="F9">
        <v>239</v>
      </c>
      <c r="G9">
        <v>239</v>
      </c>
      <c r="H9">
        <v>239</v>
      </c>
      <c r="I9" t="s">
        <v>13692</v>
      </c>
      <c r="J9">
        <f t="shared" si="0"/>
        <v>0</v>
      </c>
      <c r="K9" t="str">
        <f t="shared" si="1"/>
        <v>一致</v>
      </c>
      <c r="L9">
        <f>J9*VLOOKUP(stock_counts__2[[#This Row],[sku]],products!A:F,6,0)</f>
        <v>0</v>
      </c>
    </row>
    <row r="10" spans="1:12" x14ac:dyDescent="0.25">
      <c r="A10" t="s">
        <v>13699</v>
      </c>
      <c r="B10" s="2">
        <v>46211.833333333336</v>
      </c>
      <c r="C10" t="s">
        <v>82</v>
      </c>
      <c r="D10" t="s">
        <v>150</v>
      </c>
      <c r="E10" t="s">
        <v>151</v>
      </c>
      <c r="F10">
        <v>240</v>
      </c>
      <c r="G10">
        <v>240</v>
      </c>
      <c r="H10">
        <v>240</v>
      </c>
      <c r="I10" t="s">
        <v>13692</v>
      </c>
      <c r="J10">
        <f t="shared" si="0"/>
        <v>0</v>
      </c>
      <c r="K10" t="str">
        <f t="shared" si="1"/>
        <v>一致</v>
      </c>
      <c r="L10">
        <f>J10*VLOOKUP(stock_counts__2[[#This Row],[sku]],products!A:F,6,0)</f>
        <v>0</v>
      </c>
    </row>
    <row r="11" spans="1:12" x14ac:dyDescent="0.25">
      <c r="A11" t="s">
        <v>13700</v>
      </c>
      <c r="B11" s="2">
        <v>46211.833333333336</v>
      </c>
      <c r="C11" t="s">
        <v>30</v>
      </c>
      <c r="D11" t="s">
        <v>159</v>
      </c>
      <c r="E11" t="s">
        <v>107</v>
      </c>
      <c r="F11">
        <v>50</v>
      </c>
      <c r="G11">
        <v>50</v>
      </c>
      <c r="H11">
        <v>50</v>
      </c>
      <c r="I11" t="s">
        <v>13692</v>
      </c>
      <c r="J11">
        <f t="shared" si="0"/>
        <v>0</v>
      </c>
      <c r="K11" t="str">
        <f t="shared" si="1"/>
        <v>一致</v>
      </c>
      <c r="L11">
        <f>J11*VLOOKUP(stock_counts__2[[#This Row],[sku]],products!A:F,6,0)</f>
        <v>0</v>
      </c>
    </row>
    <row r="12" spans="1:12" x14ac:dyDescent="0.25">
      <c r="A12" t="s">
        <v>13701</v>
      </c>
      <c r="B12" s="2">
        <v>46211.833333333336</v>
      </c>
      <c r="C12" t="s">
        <v>32</v>
      </c>
      <c r="D12" t="s">
        <v>160</v>
      </c>
      <c r="E12" t="s">
        <v>109</v>
      </c>
      <c r="F12">
        <v>21</v>
      </c>
      <c r="G12">
        <v>21</v>
      </c>
      <c r="H12">
        <v>21</v>
      </c>
      <c r="I12" t="s">
        <v>13692</v>
      </c>
      <c r="J12">
        <f t="shared" si="0"/>
        <v>0</v>
      </c>
      <c r="K12" t="str">
        <f t="shared" si="1"/>
        <v>一致</v>
      </c>
      <c r="L12">
        <f>J12*VLOOKUP(stock_counts__2[[#This Row],[sku]],products!A:F,6,0)</f>
        <v>0</v>
      </c>
    </row>
    <row r="13" spans="1:12" x14ac:dyDescent="0.25">
      <c r="A13" t="s">
        <v>13702</v>
      </c>
      <c r="B13" s="2">
        <v>46211.833333333336</v>
      </c>
      <c r="C13" t="s">
        <v>34</v>
      </c>
      <c r="D13" t="s">
        <v>161</v>
      </c>
      <c r="E13" t="s">
        <v>111</v>
      </c>
      <c r="F13">
        <v>86</v>
      </c>
      <c r="G13">
        <v>84</v>
      </c>
      <c r="H13">
        <v>84</v>
      </c>
      <c r="I13" t="s">
        <v>13690</v>
      </c>
      <c r="J13">
        <f t="shared" si="0"/>
        <v>-2</v>
      </c>
      <c r="K13" t="str">
        <f t="shared" si="1"/>
        <v>盘亏</v>
      </c>
      <c r="L13">
        <f>J13*VLOOKUP(stock_counts__2[[#This Row],[sku]],products!A:F,6,0)</f>
        <v>-58.1</v>
      </c>
    </row>
    <row r="14" spans="1:12" x14ac:dyDescent="0.25">
      <c r="A14" t="s">
        <v>13703</v>
      </c>
      <c r="B14" s="2">
        <v>46211.833333333336</v>
      </c>
      <c r="C14" t="s">
        <v>41</v>
      </c>
      <c r="D14" t="s">
        <v>163</v>
      </c>
      <c r="E14" t="s">
        <v>115</v>
      </c>
      <c r="F14">
        <v>60</v>
      </c>
      <c r="G14">
        <v>60</v>
      </c>
      <c r="H14">
        <v>60</v>
      </c>
      <c r="I14" t="s">
        <v>13692</v>
      </c>
      <c r="J14">
        <f t="shared" si="0"/>
        <v>0</v>
      </c>
      <c r="K14" t="str">
        <f t="shared" si="1"/>
        <v>一致</v>
      </c>
      <c r="L14">
        <f>J14*VLOOKUP(stock_counts__2[[#This Row],[sku]],products!A:F,6,0)</f>
        <v>0</v>
      </c>
    </row>
    <row r="15" spans="1:12" x14ac:dyDescent="0.25">
      <c r="A15" t="s">
        <v>13704</v>
      </c>
      <c r="B15" s="2">
        <v>46211.833333333336</v>
      </c>
      <c r="C15" t="s">
        <v>45</v>
      </c>
      <c r="D15" t="s">
        <v>165</v>
      </c>
      <c r="E15" t="s">
        <v>119</v>
      </c>
      <c r="F15">
        <v>35</v>
      </c>
      <c r="G15">
        <v>35</v>
      </c>
      <c r="H15">
        <v>35</v>
      </c>
      <c r="I15" t="s">
        <v>13692</v>
      </c>
      <c r="J15">
        <f t="shared" si="0"/>
        <v>0</v>
      </c>
      <c r="K15" t="str">
        <f t="shared" si="1"/>
        <v>一致</v>
      </c>
      <c r="L15">
        <f>J15*VLOOKUP(stock_counts__2[[#This Row],[sku]],products!A:F,6,0)</f>
        <v>0</v>
      </c>
    </row>
    <row r="16" spans="1:12" x14ac:dyDescent="0.25">
      <c r="A16" t="s">
        <v>13705</v>
      </c>
      <c r="B16" s="2">
        <v>46211.833333333336</v>
      </c>
      <c r="C16" t="s">
        <v>49</v>
      </c>
      <c r="D16" t="s">
        <v>167</v>
      </c>
      <c r="E16" t="s">
        <v>123</v>
      </c>
      <c r="F16">
        <v>20</v>
      </c>
      <c r="G16">
        <v>20</v>
      </c>
      <c r="H16">
        <v>20</v>
      </c>
      <c r="I16" t="s">
        <v>13692</v>
      </c>
      <c r="J16">
        <f t="shared" si="0"/>
        <v>0</v>
      </c>
      <c r="K16" t="str">
        <f t="shared" si="1"/>
        <v>一致</v>
      </c>
      <c r="L16">
        <f>J16*VLOOKUP(stock_counts__2[[#This Row],[sku]],products!A:F,6,0)</f>
        <v>0</v>
      </c>
    </row>
    <row r="17" spans="1:12" x14ac:dyDescent="0.25">
      <c r="A17" t="s">
        <v>13706</v>
      </c>
      <c r="B17" s="2">
        <v>46211.833333333336</v>
      </c>
      <c r="C17" t="s">
        <v>51</v>
      </c>
      <c r="D17" t="s">
        <v>168</v>
      </c>
      <c r="E17" t="s">
        <v>125</v>
      </c>
      <c r="F17">
        <v>67</v>
      </c>
      <c r="G17">
        <v>67</v>
      </c>
      <c r="H17">
        <v>67</v>
      </c>
      <c r="I17" t="s">
        <v>13692</v>
      </c>
      <c r="J17">
        <f t="shared" si="0"/>
        <v>0</v>
      </c>
      <c r="K17" t="str">
        <f t="shared" si="1"/>
        <v>一致</v>
      </c>
      <c r="L17">
        <f>J17*VLOOKUP(stock_counts__2[[#This Row],[sku]],products!A:F,6,0)</f>
        <v>0</v>
      </c>
    </row>
    <row r="18" spans="1:12" x14ac:dyDescent="0.25">
      <c r="A18" t="s">
        <v>13707</v>
      </c>
      <c r="B18" s="2">
        <v>46211.833333333336</v>
      </c>
      <c r="C18" t="s">
        <v>53</v>
      </c>
      <c r="D18" t="s">
        <v>169</v>
      </c>
      <c r="E18" t="s">
        <v>127</v>
      </c>
      <c r="F18">
        <v>24</v>
      </c>
      <c r="G18">
        <v>24</v>
      </c>
      <c r="H18">
        <v>24</v>
      </c>
      <c r="I18" t="s">
        <v>13692</v>
      </c>
      <c r="J18">
        <f t="shared" si="0"/>
        <v>0</v>
      </c>
      <c r="K18" t="str">
        <f t="shared" si="1"/>
        <v>一致</v>
      </c>
      <c r="L18">
        <f>J18*VLOOKUP(stock_counts__2[[#This Row],[sku]],products!A:F,6,0)</f>
        <v>0</v>
      </c>
    </row>
    <row r="19" spans="1:12" x14ac:dyDescent="0.25">
      <c r="A19" t="s">
        <v>13708</v>
      </c>
      <c r="B19" s="2">
        <v>46211.833333333336</v>
      </c>
      <c r="C19" t="s">
        <v>55</v>
      </c>
      <c r="D19" t="s">
        <v>170</v>
      </c>
      <c r="E19" t="s">
        <v>129</v>
      </c>
      <c r="F19">
        <v>99</v>
      </c>
      <c r="G19">
        <v>100</v>
      </c>
      <c r="H19">
        <v>100</v>
      </c>
      <c r="I19" t="s">
        <v>13690</v>
      </c>
      <c r="J19">
        <f t="shared" si="0"/>
        <v>1</v>
      </c>
      <c r="K19" t="str">
        <f t="shared" si="1"/>
        <v>盘盈</v>
      </c>
      <c r="L19">
        <f>J19*VLOOKUP(stock_counts__2[[#This Row],[sku]],products!A:F,6,0)</f>
        <v>81.96</v>
      </c>
    </row>
    <row r="20" spans="1:12" x14ac:dyDescent="0.25">
      <c r="A20" t="s">
        <v>13709</v>
      </c>
      <c r="B20" s="2">
        <v>46211.833333333336</v>
      </c>
      <c r="C20" t="s">
        <v>57</v>
      </c>
      <c r="D20" t="s">
        <v>171</v>
      </c>
      <c r="E20" t="s">
        <v>131</v>
      </c>
      <c r="F20">
        <v>14</v>
      </c>
      <c r="G20">
        <v>14</v>
      </c>
      <c r="H20">
        <v>14</v>
      </c>
      <c r="I20" t="s">
        <v>13692</v>
      </c>
      <c r="J20">
        <f t="shared" si="0"/>
        <v>0</v>
      </c>
      <c r="K20" t="str">
        <f t="shared" si="1"/>
        <v>一致</v>
      </c>
      <c r="L20">
        <f>J20*VLOOKUP(stock_counts__2[[#This Row],[sku]],products!A:F,6,0)</f>
        <v>0</v>
      </c>
    </row>
    <row r="21" spans="1:12" x14ac:dyDescent="0.25">
      <c r="A21" t="s">
        <v>13710</v>
      </c>
      <c r="B21" s="2">
        <v>46211.833333333336</v>
      </c>
      <c r="C21" t="s">
        <v>59</v>
      </c>
      <c r="D21" t="s">
        <v>172</v>
      </c>
      <c r="E21" t="s">
        <v>133</v>
      </c>
      <c r="F21">
        <v>11</v>
      </c>
      <c r="G21">
        <v>11</v>
      </c>
      <c r="H21">
        <v>11</v>
      </c>
      <c r="I21" t="s">
        <v>13692</v>
      </c>
      <c r="J21">
        <f t="shared" si="0"/>
        <v>0</v>
      </c>
      <c r="K21" t="str">
        <f t="shared" si="1"/>
        <v>一致</v>
      </c>
      <c r="L21">
        <f>J21*VLOOKUP(stock_counts__2[[#This Row],[sku]],products!A:F,6,0)</f>
        <v>0</v>
      </c>
    </row>
    <row r="22" spans="1:12" x14ac:dyDescent="0.25">
      <c r="A22" t="s">
        <v>13711</v>
      </c>
      <c r="B22" s="2">
        <v>46211.833333333336</v>
      </c>
      <c r="C22" t="s">
        <v>67</v>
      </c>
      <c r="D22" t="s">
        <v>174</v>
      </c>
      <c r="E22" t="s">
        <v>137</v>
      </c>
      <c r="F22">
        <v>39</v>
      </c>
      <c r="G22">
        <v>39</v>
      </c>
      <c r="H22">
        <v>39</v>
      </c>
      <c r="I22" t="s">
        <v>13692</v>
      </c>
      <c r="J22">
        <f t="shared" si="0"/>
        <v>0</v>
      </c>
      <c r="K22" t="str">
        <f t="shared" si="1"/>
        <v>一致</v>
      </c>
      <c r="L22">
        <f>J22*VLOOKUP(stock_counts__2[[#This Row],[sku]],products!A:F,6,0)</f>
        <v>0</v>
      </c>
    </row>
    <row r="23" spans="1:12" x14ac:dyDescent="0.25">
      <c r="A23" t="s">
        <v>13712</v>
      </c>
      <c r="B23" s="2">
        <v>46211.833333333336</v>
      </c>
      <c r="C23" t="s">
        <v>69</v>
      </c>
      <c r="D23" t="s">
        <v>175</v>
      </c>
      <c r="E23" t="s">
        <v>139</v>
      </c>
      <c r="F23">
        <v>17</v>
      </c>
      <c r="G23">
        <v>17</v>
      </c>
      <c r="H23">
        <v>17</v>
      </c>
      <c r="I23" t="s">
        <v>13692</v>
      </c>
      <c r="J23">
        <f t="shared" si="0"/>
        <v>0</v>
      </c>
      <c r="K23" t="str">
        <f t="shared" si="1"/>
        <v>一致</v>
      </c>
      <c r="L23">
        <f>J23*VLOOKUP(stock_counts__2[[#This Row],[sku]],products!A:F,6,0)</f>
        <v>0</v>
      </c>
    </row>
    <row r="24" spans="1:12" x14ac:dyDescent="0.25">
      <c r="A24" t="s">
        <v>13713</v>
      </c>
      <c r="B24" s="2">
        <v>46211.833333333336</v>
      </c>
      <c r="C24" t="s">
        <v>73</v>
      </c>
      <c r="D24" t="s">
        <v>177</v>
      </c>
      <c r="E24" t="s">
        <v>143</v>
      </c>
      <c r="F24">
        <v>55</v>
      </c>
      <c r="G24">
        <v>53</v>
      </c>
      <c r="H24">
        <v>53</v>
      </c>
      <c r="I24" t="s">
        <v>13690</v>
      </c>
      <c r="J24">
        <f t="shared" si="0"/>
        <v>-2</v>
      </c>
      <c r="K24" t="str">
        <f t="shared" si="1"/>
        <v>盘亏</v>
      </c>
      <c r="L24">
        <f>J24*VLOOKUP(stock_counts__2[[#This Row],[sku]],products!A:F,6,0)</f>
        <v>-28.38</v>
      </c>
    </row>
    <row r="25" spans="1:12" x14ac:dyDescent="0.25">
      <c r="A25" t="s">
        <v>13714</v>
      </c>
      <c r="B25" s="2">
        <v>46211.833333333336</v>
      </c>
      <c r="C25" t="s">
        <v>75</v>
      </c>
      <c r="D25" t="s">
        <v>178</v>
      </c>
      <c r="E25" t="s">
        <v>145</v>
      </c>
      <c r="F25">
        <v>11</v>
      </c>
      <c r="G25">
        <v>11</v>
      </c>
      <c r="H25">
        <v>11</v>
      </c>
      <c r="I25" t="s">
        <v>13692</v>
      </c>
      <c r="J25">
        <f t="shared" si="0"/>
        <v>0</v>
      </c>
      <c r="K25" t="str">
        <f t="shared" si="1"/>
        <v>一致</v>
      </c>
      <c r="L25">
        <f>J25*VLOOKUP(stock_counts__2[[#This Row],[sku]],products!A:F,6,0)</f>
        <v>0</v>
      </c>
    </row>
    <row r="26" spans="1:12" x14ac:dyDescent="0.25">
      <c r="A26" t="s">
        <v>13715</v>
      </c>
      <c r="B26" s="2">
        <v>46211.833333333336</v>
      </c>
      <c r="C26" t="s">
        <v>77</v>
      </c>
      <c r="D26" t="s">
        <v>179</v>
      </c>
      <c r="E26" t="s">
        <v>147</v>
      </c>
      <c r="F26">
        <v>19</v>
      </c>
      <c r="G26">
        <v>19</v>
      </c>
      <c r="H26">
        <v>19</v>
      </c>
      <c r="I26" t="s">
        <v>13692</v>
      </c>
      <c r="J26">
        <f t="shared" si="0"/>
        <v>0</v>
      </c>
      <c r="K26" t="str">
        <f t="shared" si="1"/>
        <v>一致</v>
      </c>
      <c r="L26">
        <f>J26*VLOOKUP(stock_counts__2[[#This Row],[sku]],products!A:F,6,0)</f>
        <v>0</v>
      </c>
    </row>
    <row r="27" spans="1:12" x14ac:dyDescent="0.25">
      <c r="A27" t="s">
        <v>13716</v>
      </c>
      <c r="B27" s="2">
        <v>46211.833333333336</v>
      </c>
      <c r="C27" t="s">
        <v>22</v>
      </c>
      <c r="D27" t="s">
        <v>183</v>
      </c>
      <c r="E27" t="s">
        <v>99</v>
      </c>
      <c r="F27">
        <v>25</v>
      </c>
      <c r="G27">
        <v>25</v>
      </c>
      <c r="H27">
        <v>25</v>
      </c>
      <c r="I27" t="s">
        <v>13692</v>
      </c>
      <c r="J27">
        <f t="shared" si="0"/>
        <v>0</v>
      </c>
      <c r="K27" t="str">
        <f t="shared" si="1"/>
        <v>一致</v>
      </c>
      <c r="L27">
        <f>J27*VLOOKUP(stock_counts__2[[#This Row],[sku]],products!A:F,6,0)</f>
        <v>0</v>
      </c>
    </row>
    <row r="28" spans="1:12" x14ac:dyDescent="0.25">
      <c r="A28" t="s">
        <v>13717</v>
      </c>
      <c r="B28" s="2">
        <v>46211.833333333336</v>
      </c>
      <c r="C28" t="s">
        <v>36</v>
      </c>
      <c r="D28" t="s">
        <v>187</v>
      </c>
      <c r="E28" t="s">
        <v>113</v>
      </c>
      <c r="F28">
        <v>86</v>
      </c>
      <c r="G28">
        <v>86</v>
      </c>
      <c r="H28">
        <v>86</v>
      </c>
      <c r="I28" t="s">
        <v>13692</v>
      </c>
      <c r="J28">
        <f t="shared" si="0"/>
        <v>0</v>
      </c>
      <c r="K28" t="str">
        <f t="shared" si="1"/>
        <v>一致</v>
      </c>
      <c r="L28">
        <f>J28*VLOOKUP(stock_counts__2[[#This Row],[sku]],products!A:F,6,0)</f>
        <v>0</v>
      </c>
    </row>
    <row r="29" spans="1:12" x14ac:dyDescent="0.25">
      <c r="A29" t="s">
        <v>13718</v>
      </c>
      <c r="B29" s="2">
        <v>46211.833333333336</v>
      </c>
      <c r="C29" t="s">
        <v>41</v>
      </c>
      <c r="D29" t="s">
        <v>188</v>
      </c>
      <c r="E29" t="s">
        <v>115</v>
      </c>
      <c r="F29">
        <v>22</v>
      </c>
      <c r="G29">
        <v>22</v>
      </c>
      <c r="H29">
        <v>22</v>
      </c>
      <c r="I29" t="s">
        <v>13692</v>
      </c>
      <c r="J29">
        <f t="shared" si="0"/>
        <v>0</v>
      </c>
      <c r="K29" t="str">
        <f t="shared" si="1"/>
        <v>一致</v>
      </c>
      <c r="L29">
        <f>J29*VLOOKUP(stock_counts__2[[#This Row],[sku]],products!A:F,6,0)</f>
        <v>0</v>
      </c>
    </row>
    <row r="30" spans="1:12" x14ac:dyDescent="0.25">
      <c r="A30" t="s">
        <v>13719</v>
      </c>
      <c r="B30" s="2">
        <v>46211.833333333336</v>
      </c>
      <c r="C30" t="s">
        <v>45</v>
      </c>
      <c r="D30" t="s">
        <v>189</v>
      </c>
      <c r="E30" t="s">
        <v>119</v>
      </c>
      <c r="F30">
        <v>69</v>
      </c>
      <c r="G30">
        <v>69</v>
      </c>
      <c r="H30">
        <v>69</v>
      </c>
      <c r="I30" t="s">
        <v>13692</v>
      </c>
      <c r="J30">
        <f t="shared" si="0"/>
        <v>0</v>
      </c>
      <c r="K30" t="str">
        <f t="shared" si="1"/>
        <v>一致</v>
      </c>
      <c r="L30">
        <f>J30*VLOOKUP(stock_counts__2[[#This Row],[sku]],products!A:F,6,0)</f>
        <v>0</v>
      </c>
    </row>
    <row r="31" spans="1:12" x14ac:dyDescent="0.25">
      <c r="A31" t="s">
        <v>13720</v>
      </c>
      <c r="B31" s="2">
        <v>46211.833333333336</v>
      </c>
      <c r="C31" t="s">
        <v>47</v>
      </c>
      <c r="D31" t="s">
        <v>190</v>
      </c>
      <c r="E31" t="s">
        <v>121</v>
      </c>
      <c r="F31">
        <v>75</v>
      </c>
      <c r="G31">
        <v>75</v>
      </c>
      <c r="H31">
        <v>75</v>
      </c>
      <c r="I31" t="s">
        <v>13692</v>
      </c>
      <c r="J31">
        <f t="shared" si="0"/>
        <v>0</v>
      </c>
      <c r="K31" t="str">
        <f t="shared" si="1"/>
        <v>一致</v>
      </c>
      <c r="L31">
        <f>J31*VLOOKUP(stock_counts__2[[#This Row],[sku]],products!A:F,6,0)</f>
        <v>0</v>
      </c>
    </row>
    <row r="32" spans="1:12" x14ac:dyDescent="0.25">
      <c r="A32" t="s">
        <v>13721</v>
      </c>
      <c r="B32" s="2">
        <v>46211.833333333336</v>
      </c>
      <c r="C32" t="s">
        <v>49</v>
      </c>
      <c r="D32" t="s">
        <v>191</v>
      </c>
      <c r="E32" t="s">
        <v>123</v>
      </c>
      <c r="F32">
        <v>89</v>
      </c>
      <c r="G32">
        <v>89</v>
      </c>
      <c r="H32">
        <v>89</v>
      </c>
      <c r="I32" t="s">
        <v>13692</v>
      </c>
      <c r="J32">
        <f t="shared" si="0"/>
        <v>0</v>
      </c>
      <c r="K32" t="str">
        <f t="shared" si="1"/>
        <v>一致</v>
      </c>
      <c r="L32">
        <f>J32*VLOOKUP(stock_counts__2[[#This Row],[sku]],products!A:F,6,0)</f>
        <v>0</v>
      </c>
    </row>
    <row r="33" spans="1:12" x14ac:dyDescent="0.25">
      <c r="A33" t="s">
        <v>13722</v>
      </c>
      <c r="B33" s="2">
        <v>46211.833333333336</v>
      </c>
      <c r="C33" t="s">
        <v>55</v>
      </c>
      <c r="D33" t="s">
        <v>192</v>
      </c>
      <c r="E33" t="s">
        <v>129</v>
      </c>
      <c r="F33">
        <v>16</v>
      </c>
      <c r="G33">
        <v>16</v>
      </c>
      <c r="H33">
        <v>16</v>
      </c>
      <c r="I33" t="s">
        <v>13692</v>
      </c>
      <c r="J33">
        <f t="shared" si="0"/>
        <v>0</v>
      </c>
      <c r="K33" t="str">
        <f t="shared" si="1"/>
        <v>一致</v>
      </c>
      <c r="L33">
        <f>J33*VLOOKUP(stock_counts__2[[#This Row],[sku]],products!A:F,6,0)</f>
        <v>0</v>
      </c>
    </row>
    <row r="34" spans="1:12" x14ac:dyDescent="0.25">
      <c r="A34" t="s">
        <v>13723</v>
      </c>
      <c r="B34" s="2">
        <v>46211.833333333336</v>
      </c>
      <c r="C34" t="s">
        <v>57</v>
      </c>
      <c r="D34" t="s">
        <v>193</v>
      </c>
      <c r="E34" t="s">
        <v>131</v>
      </c>
      <c r="F34">
        <v>76</v>
      </c>
      <c r="G34">
        <v>76</v>
      </c>
      <c r="H34">
        <v>76</v>
      </c>
      <c r="I34" t="s">
        <v>13692</v>
      </c>
      <c r="J34">
        <f t="shared" ref="J34:J65" si="2">H34-F34</f>
        <v>0</v>
      </c>
      <c r="K34" t="str">
        <f t="shared" ref="K34:K65" si="3">IF(J34=0,"一致",IF(J34&gt;0,"盘盈","盘亏"))</f>
        <v>一致</v>
      </c>
      <c r="L34">
        <f>J34*VLOOKUP(stock_counts__2[[#This Row],[sku]],products!A:F,6,0)</f>
        <v>0</v>
      </c>
    </row>
    <row r="35" spans="1:12" x14ac:dyDescent="0.25">
      <c r="A35" t="s">
        <v>13724</v>
      </c>
      <c r="B35" s="2">
        <v>46211.833333333336</v>
      </c>
      <c r="C35" t="s">
        <v>59</v>
      </c>
      <c r="D35" t="s">
        <v>194</v>
      </c>
      <c r="E35" t="s">
        <v>133</v>
      </c>
      <c r="F35">
        <v>64</v>
      </c>
      <c r="G35">
        <v>62</v>
      </c>
      <c r="H35">
        <v>62</v>
      </c>
      <c r="I35" t="s">
        <v>13690</v>
      </c>
      <c r="J35">
        <f t="shared" si="2"/>
        <v>-2</v>
      </c>
      <c r="K35" t="str">
        <f t="shared" si="3"/>
        <v>盘亏</v>
      </c>
      <c r="L35">
        <f>J35*VLOOKUP(stock_counts__2[[#This Row],[sku]],products!A:F,6,0)</f>
        <v>-41.54</v>
      </c>
    </row>
    <row r="36" spans="1:12" x14ac:dyDescent="0.25">
      <c r="A36" t="s">
        <v>13725</v>
      </c>
      <c r="B36" s="2">
        <v>46211.833333333336</v>
      </c>
      <c r="C36" t="s">
        <v>65</v>
      </c>
      <c r="D36" t="s">
        <v>195</v>
      </c>
      <c r="E36" t="s">
        <v>135</v>
      </c>
      <c r="F36">
        <v>67</v>
      </c>
      <c r="G36">
        <v>68</v>
      </c>
      <c r="H36">
        <v>68</v>
      </c>
      <c r="I36" t="s">
        <v>13690</v>
      </c>
      <c r="J36">
        <f t="shared" si="2"/>
        <v>1</v>
      </c>
      <c r="K36" t="str">
        <f t="shared" si="3"/>
        <v>盘盈</v>
      </c>
      <c r="L36">
        <f>J36*VLOOKUP(stock_counts__2[[#This Row],[sku]],products!A:F,6,0)</f>
        <v>16.36</v>
      </c>
    </row>
    <row r="37" spans="1:12" x14ac:dyDescent="0.25">
      <c r="A37" t="s">
        <v>13726</v>
      </c>
      <c r="B37" s="2">
        <v>46211.833333333336</v>
      </c>
      <c r="C37" t="s">
        <v>67</v>
      </c>
      <c r="D37" t="s">
        <v>196</v>
      </c>
      <c r="E37" t="s">
        <v>137</v>
      </c>
      <c r="F37">
        <v>84</v>
      </c>
      <c r="G37">
        <v>84</v>
      </c>
      <c r="H37">
        <v>84</v>
      </c>
      <c r="I37" t="s">
        <v>13692</v>
      </c>
      <c r="J37">
        <f t="shared" si="2"/>
        <v>0</v>
      </c>
      <c r="K37" t="str">
        <f t="shared" si="3"/>
        <v>一致</v>
      </c>
      <c r="L37">
        <f>J37*VLOOKUP(stock_counts__2[[#This Row],[sku]],products!A:F,6,0)</f>
        <v>0</v>
      </c>
    </row>
    <row r="38" spans="1:12" x14ac:dyDescent="0.25">
      <c r="A38" t="s">
        <v>13727</v>
      </c>
      <c r="B38" s="2">
        <v>46211.833333333336</v>
      </c>
      <c r="C38" t="s">
        <v>69</v>
      </c>
      <c r="D38" t="s">
        <v>197</v>
      </c>
      <c r="E38" t="s">
        <v>139</v>
      </c>
      <c r="F38">
        <v>77</v>
      </c>
      <c r="G38">
        <v>77</v>
      </c>
      <c r="H38">
        <v>77</v>
      </c>
      <c r="I38" t="s">
        <v>13692</v>
      </c>
      <c r="J38">
        <f t="shared" si="2"/>
        <v>0</v>
      </c>
      <c r="K38" t="str">
        <f t="shared" si="3"/>
        <v>一致</v>
      </c>
      <c r="L38">
        <f>J38*VLOOKUP(stock_counts__2[[#This Row],[sku]],products!A:F,6,0)</f>
        <v>0</v>
      </c>
    </row>
    <row r="39" spans="1:12" x14ac:dyDescent="0.25">
      <c r="A39" t="s">
        <v>13728</v>
      </c>
      <c r="B39" s="2">
        <v>46211.833333333336</v>
      </c>
      <c r="C39" t="s">
        <v>71</v>
      </c>
      <c r="D39" t="s">
        <v>198</v>
      </c>
      <c r="E39" t="s">
        <v>141</v>
      </c>
      <c r="F39">
        <v>48</v>
      </c>
      <c r="G39">
        <v>48</v>
      </c>
      <c r="H39">
        <v>48</v>
      </c>
      <c r="I39" t="s">
        <v>13692</v>
      </c>
      <c r="J39">
        <f t="shared" si="2"/>
        <v>0</v>
      </c>
      <c r="K39" t="str">
        <f t="shared" si="3"/>
        <v>一致</v>
      </c>
      <c r="L39">
        <f>J39*VLOOKUP(stock_counts__2[[#This Row],[sku]],products!A:F,6,0)</f>
        <v>0</v>
      </c>
    </row>
    <row r="40" spans="1:12" x14ac:dyDescent="0.25">
      <c r="A40" t="s">
        <v>13729</v>
      </c>
      <c r="B40" s="2">
        <v>46211.833333333336</v>
      </c>
      <c r="C40" t="s">
        <v>75</v>
      </c>
      <c r="D40" t="s">
        <v>199</v>
      </c>
      <c r="E40" t="s">
        <v>145</v>
      </c>
      <c r="F40">
        <v>67</v>
      </c>
      <c r="G40">
        <v>67</v>
      </c>
      <c r="H40">
        <v>67</v>
      </c>
      <c r="I40" t="s">
        <v>13692</v>
      </c>
      <c r="J40">
        <f t="shared" si="2"/>
        <v>0</v>
      </c>
      <c r="K40" t="str">
        <f t="shared" si="3"/>
        <v>一致</v>
      </c>
      <c r="L40">
        <f>J40*VLOOKUP(stock_counts__2[[#This Row],[sku]],products!A:F,6,0)</f>
        <v>0</v>
      </c>
    </row>
    <row r="41" spans="1:12" x14ac:dyDescent="0.25">
      <c r="A41" t="s">
        <v>13730</v>
      </c>
      <c r="B41" s="2">
        <v>46211.833333333336</v>
      </c>
      <c r="C41" t="s">
        <v>77</v>
      </c>
      <c r="D41" t="s">
        <v>200</v>
      </c>
      <c r="E41" t="s">
        <v>147</v>
      </c>
      <c r="F41">
        <v>91</v>
      </c>
      <c r="G41">
        <v>91</v>
      </c>
      <c r="H41">
        <v>91</v>
      </c>
      <c r="I41" t="s">
        <v>13692</v>
      </c>
      <c r="J41">
        <f t="shared" si="2"/>
        <v>0</v>
      </c>
      <c r="K41" t="str">
        <f t="shared" si="3"/>
        <v>一致</v>
      </c>
      <c r="L41">
        <f>J41*VLOOKUP(stock_counts__2[[#This Row],[sku]],products!A:F,6,0)</f>
        <v>0</v>
      </c>
    </row>
    <row r="42" spans="1:12" x14ac:dyDescent="0.25">
      <c r="A42" t="s">
        <v>13731</v>
      </c>
      <c r="B42" s="2">
        <v>46211.833333333336</v>
      </c>
      <c r="C42" t="s">
        <v>11</v>
      </c>
      <c r="D42" t="s">
        <v>201</v>
      </c>
      <c r="E42" t="s">
        <v>92</v>
      </c>
      <c r="F42">
        <v>31</v>
      </c>
      <c r="G42">
        <v>31</v>
      </c>
      <c r="H42">
        <v>31</v>
      </c>
      <c r="I42" t="s">
        <v>13692</v>
      </c>
      <c r="J42">
        <f t="shared" si="2"/>
        <v>0</v>
      </c>
      <c r="K42" t="str">
        <f t="shared" si="3"/>
        <v>一致</v>
      </c>
      <c r="L42">
        <f>J42*VLOOKUP(stock_counts__2[[#This Row],[sku]],products!A:F,6,0)</f>
        <v>0</v>
      </c>
    </row>
    <row r="43" spans="1:12" x14ac:dyDescent="0.25">
      <c r="A43" t="s">
        <v>13732</v>
      </c>
      <c r="B43" s="2">
        <v>46211.833333333336</v>
      </c>
      <c r="C43" t="s">
        <v>18</v>
      </c>
      <c r="D43" t="s">
        <v>202</v>
      </c>
      <c r="E43" t="s">
        <v>95</v>
      </c>
      <c r="F43">
        <v>35</v>
      </c>
      <c r="G43">
        <v>35</v>
      </c>
      <c r="H43">
        <v>35</v>
      </c>
      <c r="I43" t="s">
        <v>13692</v>
      </c>
      <c r="J43">
        <f t="shared" si="2"/>
        <v>0</v>
      </c>
      <c r="K43" t="str">
        <f t="shared" si="3"/>
        <v>一致</v>
      </c>
      <c r="L43">
        <f>J43*VLOOKUP(stock_counts__2[[#This Row],[sku]],products!A:F,6,0)</f>
        <v>0</v>
      </c>
    </row>
    <row r="44" spans="1:12" x14ac:dyDescent="0.25">
      <c r="A44" t="s">
        <v>13733</v>
      </c>
      <c r="B44" s="2">
        <v>46211.833333333336</v>
      </c>
      <c r="C44" t="s">
        <v>20</v>
      </c>
      <c r="D44" t="s">
        <v>203</v>
      </c>
      <c r="E44" t="s">
        <v>97</v>
      </c>
      <c r="F44">
        <v>3</v>
      </c>
      <c r="G44">
        <v>3</v>
      </c>
      <c r="H44">
        <v>3</v>
      </c>
      <c r="I44" t="s">
        <v>13692</v>
      </c>
      <c r="J44">
        <f t="shared" si="2"/>
        <v>0</v>
      </c>
      <c r="K44" t="str">
        <f t="shared" si="3"/>
        <v>一致</v>
      </c>
      <c r="L44">
        <f>J44*VLOOKUP(stock_counts__2[[#This Row],[sku]],products!A:F,6,0)</f>
        <v>0</v>
      </c>
    </row>
    <row r="45" spans="1:12" x14ac:dyDescent="0.25">
      <c r="A45" t="s">
        <v>13734</v>
      </c>
      <c r="B45" s="2">
        <v>46211.833333333336</v>
      </c>
      <c r="C45" t="s">
        <v>24</v>
      </c>
      <c r="D45" t="s">
        <v>205</v>
      </c>
      <c r="E45" t="s">
        <v>101</v>
      </c>
      <c r="F45">
        <v>57</v>
      </c>
      <c r="G45">
        <v>57</v>
      </c>
      <c r="H45">
        <v>57</v>
      </c>
      <c r="I45" t="s">
        <v>13692</v>
      </c>
      <c r="J45">
        <f t="shared" si="2"/>
        <v>0</v>
      </c>
      <c r="K45" t="str">
        <f t="shared" si="3"/>
        <v>一致</v>
      </c>
      <c r="L45">
        <f>J45*VLOOKUP(stock_counts__2[[#This Row],[sku]],products!A:F,6,0)</f>
        <v>0</v>
      </c>
    </row>
    <row r="46" spans="1:12" x14ac:dyDescent="0.25">
      <c r="A46" t="s">
        <v>13735</v>
      </c>
      <c r="B46" s="2">
        <v>46211.833333333336</v>
      </c>
      <c r="C46" t="s">
        <v>30</v>
      </c>
      <c r="D46" t="s">
        <v>207</v>
      </c>
      <c r="E46" t="s">
        <v>107</v>
      </c>
      <c r="F46">
        <v>92</v>
      </c>
      <c r="G46">
        <v>90</v>
      </c>
      <c r="H46">
        <v>90</v>
      </c>
      <c r="I46" t="s">
        <v>13690</v>
      </c>
      <c r="J46">
        <f t="shared" si="2"/>
        <v>-2</v>
      </c>
      <c r="K46" t="str">
        <f t="shared" si="3"/>
        <v>盘亏</v>
      </c>
      <c r="L46">
        <f>J46*VLOOKUP(stock_counts__2[[#This Row],[sku]],products!A:F,6,0)</f>
        <v>-145.08000000000001</v>
      </c>
    </row>
    <row r="47" spans="1:12" x14ac:dyDescent="0.25">
      <c r="A47" t="s">
        <v>13736</v>
      </c>
      <c r="B47" s="2">
        <v>46211.833333333336</v>
      </c>
      <c r="C47" t="s">
        <v>43</v>
      </c>
      <c r="D47" t="s">
        <v>208</v>
      </c>
      <c r="E47" t="s">
        <v>117</v>
      </c>
      <c r="F47">
        <v>43</v>
      </c>
      <c r="G47">
        <v>43</v>
      </c>
      <c r="H47">
        <v>43</v>
      </c>
      <c r="I47" t="s">
        <v>13692</v>
      </c>
      <c r="J47">
        <f t="shared" si="2"/>
        <v>0</v>
      </c>
      <c r="K47" t="str">
        <f t="shared" si="3"/>
        <v>一致</v>
      </c>
      <c r="L47">
        <f>J47*VLOOKUP(stock_counts__2[[#This Row],[sku]],products!A:F,6,0)</f>
        <v>0</v>
      </c>
    </row>
    <row r="48" spans="1:12" x14ac:dyDescent="0.25">
      <c r="A48" t="s">
        <v>13737</v>
      </c>
      <c r="B48" s="2">
        <v>46211.833333333336</v>
      </c>
      <c r="C48" t="s">
        <v>51</v>
      </c>
      <c r="D48" t="s">
        <v>209</v>
      </c>
      <c r="E48" t="s">
        <v>125</v>
      </c>
      <c r="F48">
        <v>74</v>
      </c>
      <c r="G48">
        <v>74</v>
      </c>
      <c r="H48">
        <v>74</v>
      </c>
      <c r="I48" t="s">
        <v>13692</v>
      </c>
      <c r="J48">
        <f t="shared" si="2"/>
        <v>0</v>
      </c>
      <c r="K48" t="str">
        <f t="shared" si="3"/>
        <v>一致</v>
      </c>
      <c r="L48">
        <f>J48*VLOOKUP(stock_counts__2[[#This Row],[sku]],products!A:F,6,0)</f>
        <v>0</v>
      </c>
    </row>
    <row r="49" spans="1:12" x14ac:dyDescent="0.25">
      <c r="A49" t="s">
        <v>13738</v>
      </c>
      <c r="B49" s="2">
        <v>46211.833333333336</v>
      </c>
      <c r="C49" t="s">
        <v>53</v>
      </c>
      <c r="D49" t="s">
        <v>210</v>
      </c>
      <c r="E49" t="s">
        <v>127</v>
      </c>
      <c r="F49">
        <v>43</v>
      </c>
      <c r="G49">
        <v>43</v>
      </c>
      <c r="H49">
        <v>43</v>
      </c>
      <c r="I49" t="s">
        <v>13692</v>
      </c>
      <c r="J49">
        <f t="shared" si="2"/>
        <v>0</v>
      </c>
      <c r="K49" t="str">
        <f t="shared" si="3"/>
        <v>一致</v>
      </c>
      <c r="L49">
        <f>J49*VLOOKUP(stock_counts__2[[#This Row],[sku]],products!A:F,6,0)</f>
        <v>0</v>
      </c>
    </row>
    <row r="50" spans="1:12" x14ac:dyDescent="0.25">
      <c r="A50" t="s">
        <v>13739</v>
      </c>
      <c r="B50" s="2">
        <v>46211.833333333336</v>
      </c>
      <c r="C50" t="s">
        <v>57</v>
      </c>
      <c r="D50" t="s">
        <v>211</v>
      </c>
      <c r="E50" t="s">
        <v>131</v>
      </c>
      <c r="F50">
        <v>55</v>
      </c>
      <c r="G50">
        <v>55</v>
      </c>
      <c r="H50">
        <v>55</v>
      </c>
      <c r="I50" t="s">
        <v>13692</v>
      </c>
      <c r="J50">
        <f t="shared" si="2"/>
        <v>0</v>
      </c>
      <c r="K50" t="str">
        <f t="shared" si="3"/>
        <v>一致</v>
      </c>
      <c r="L50">
        <f>J50*VLOOKUP(stock_counts__2[[#This Row],[sku]],products!A:F,6,0)</f>
        <v>0</v>
      </c>
    </row>
    <row r="51" spans="1:12" x14ac:dyDescent="0.25">
      <c r="A51" t="s">
        <v>13740</v>
      </c>
      <c r="B51" s="2">
        <v>46211.833333333336</v>
      </c>
      <c r="C51" t="s">
        <v>71</v>
      </c>
      <c r="D51" t="s">
        <v>212</v>
      </c>
      <c r="E51" t="s">
        <v>141</v>
      </c>
      <c r="F51">
        <v>100</v>
      </c>
      <c r="G51">
        <v>100</v>
      </c>
      <c r="H51">
        <v>100</v>
      </c>
      <c r="I51" t="s">
        <v>13692</v>
      </c>
      <c r="J51">
        <f t="shared" si="2"/>
        <v>0</v>
      </c>
      <c r="K51" t="str">
        <f t="shared" si="3"/>
        <v>一致</v>
      </c>
      <c r="L51">
        <f>J51*VLOOKUP(stock_counts__2[[#This Row],[sku]],products!A:F,6,0)</f>
        <v>0</v>
      </c>
    </row>
    <row r="52" spans="1:12" x14ac:dyDescent="0.25">
      <c r="A52" t="s">
        <v>13741</v>
      </c>
      <c r="B52" s="2">
        <v>46211.833333333336</v>
      </c>
      <c r="C52" t="s">
        <v>73</v>
      </c>
      <c r="D52" t="s">
        <v>213</v>
      </c>
      <c r="E52" t="s">
        <v>143</v>
      </c>
      <c r="F52">
        <v>77</v>
      </c>
      <c r="G52">
        <v>77</v>
      </c>
      <c r="H52">
        <v>77</v>
      </c>
      <c r="I52" t="s">
        <v>13692</v>
      </c>
      <c r="J52">
        <f t="shared" si="2"/>
        <v>0</v>
      </c>
      <c r="K52" t="str">
        <f t="shared" si="3"/>
        <v>一致</v>
      </c>
      <c r="L52">
        <f>J52*VLOOKUP(stock_counts__2[[#This Row],[sku]],products!A:F,6,0)</f>
        <v>0</v>
      </c>
    </row>
    <row r="53" spans="1:12" x14ac:dyDescent="0.25">
      <c r="A53" t="s">
        <v>13742</v>
      </c>
      <c r="B53" s="2">
        <v>46211.833333333336</v>
      </c>
      <c r="C53" t="s">
        <v>11</v>
      </c>
      <c r="D53" t="s">
        <v>214</v>
      </c>
      <c r="E53" t="s">
        <v>92</v>
      </c>
      <c r="F53">
        <v>52</v>
      </c>
      <c r="G53">
        <v>53</v>
      </c>
      <c r="H53">
        <v>53</v>
      </c>
      <c r="I53" t="s">
        <v>13690</v>
      </c>
      <c r="J53">
        <f t="shared" si="2"/>
        <v>1</v>
      </c>
      <c r="K53" t="str">
        <f t="shared" si="3"/>
        <v>盘盈</v>
      </c>
      <c r="L53">
        <f>J53*VLOOKUP(stock_counts__2[[#This Row],[sku]],products!A:F,6,0)</f>
        <v>79.760000000000005</v>
      </c>
    </row>
    <row r="54" spans="1:12" x14ac:dyDescent="0.25">
      <c r="A54" t="s">
        <v>13743</v>
      </c>
      <c r="B54" s="2">
        <v>46211.833333333336</v>
      </c>
      <c r="C54" t="s">
        <v>18</v>
      </c>
      <c r="D54" t="s">
        <v>215</v>
      </c>
      <c r="E54" t="s">
        <v>95</v>
      </c>
      <c r="F54">
        <v>75</v>
      </c>
      <c r="G54">
        <v>75</v>
      </c>
      <c r="H54">
        <v>75</v>
      </c>
      <c r="I54" t="s">
        <v>13692</v>
      </c>
      <c r="J54">
        <f t="shared" si="2"/>
        <v>0</v>
      </c>
      <c r="K54" t="str">
        <f t="shared" si="3"/>
        <v>一致</v>
      </c>
      <c r="L54">
        <f>J54*VLOOKUP(stock_counts__2[[#This Row],[sku]],products!A:F,6,0)</f>
        <v>0</v>
      </c>
    </row>
    <row r="55" spans="1:12" x14ac:dyDescent="0.25">
      <c r="A55" t="s">
        <v>13744</v>
      </c>
      <c r="B55" s="2">
        <v>46211.833333333336</v>
      </c>
      <c r="C55" t="s">
        <v>20</v>
      </c>
      <c r="D55" t="s">
        <v>216</v>
      </c>
      <c r="E55" t="s">
        <v>97</v>
      </c>
      <c r="F55">
        <v>47</v>
      </c>
      <c r="G55">
        <v>47</v>
      </c>
      <c r="H55">
        <v>47</v>
      </c>
      <c r="I55" t="s">
        <v>13692</v>
      </c>
      <c r="J55">
        <f t="shared" si="2"/>
        <v>0</v>
      </c>
      <c r="K55" t="str">
        <f t="shared" si="3"/>
        <v>一致</v>
      </c>
      <c r="L55">
        <f>J55*VLOOKUP(stock_counts__2[[#This Row],[sku]],products!A:F,6,0)</f>
        <v>0</v>
      </c>
    </row>
    <row r="56" spans="1:12" x14ac:dyDescent="0.25">
      <c r="A56" t="s">
        <v>13745</v>
      </c>
      <c r="B56" s="2">
        <v>46211.833333333336</v>
      </c>
      <c r="C56" t="s">
        <v>22</v>
      </c>
      <c r="D56" t="s">
        <v>217</v>
      </c>
      <c r="E56" t="s">
        <v>99</v>
      </c>
      <c r="F56">
        <v>81</v>
      </c>
      <c r="G56">
        <v>81</v>
      </c>
      <c r="H56">
        <v>81</v>
      </c>
      <c r="I56" t="s">
        <v>13692</v>
      </c>
      <c r="J56">
        <f t="shared" si="2"/>
        <v>0</v>
      </c>
      <c r="K56" t="str">
        <f t="shared" si="3"/>
        <v>一致</v>
      </c>
      <c r="L56">
        <f>J56*VLOOKUP(stock_counts__2[[#This Row],[sku]],products!A:F,6,0)</f>
        <v>0</v>
      </c>
    </row>
    <row r="57" spans="1:12" x14ac:dyDescent="0.25">
      <c r="A57" t="s">
        <v>13746</v>
      </c>
      <c r="B57" s="2">
        <v>46211.833333333336</v>
      </c>
      <c r="C57" t="s">
        <v>24</v>
      </c>
      <c r="D57" t="s">
        <v>218</v>
      </c>
      <c r="E57" t="s">
        <v>101</v>
      </c>
      <c r="F57">
        <v>72</v>
      </c>
      <c r="G57">
        <v>70</v>
      </c>
      <c r="H57">
        <v>70</v>
      </c>
      <c r="I57" t="s">
        <v>13690</v>
      </c>
      <c r="J57">
        <f t="shared" si="2"/>
        <v>-2</v>
      </c>
      <c r="K57" t="str">
        <f t="shared" si="3"/>
        <v>盘亏</v>
      </c>
      <c r="L57">
        <f>J57*VLOOKUP(stock_counts__2[[#This Row],[sku]],products!A:F,6,0)</f>
        <v>-113.22</v>
      </c>
    </row>
    <row r="58" spans="1:12" x14ac:dyDescent="0.25">
      <c r="A58" t="s">
        <v>13747</v>
      </c>
      <c r="B58" s="2">
        <v>46211.833333333336</v>
      </c>
      <c r="C58" t="s">
        <v>26</v>
      </c>
      <c r="D58" t="s">
        <v>219</v>
      </c>
      <c r="E58" t="s">
        <v>103</v>
      </c>
      <c r="F58">
        <v>77</v>
      </c>
      <c r="G58">
        <v>77</v>
      </c>
      <c r="H58">
        <v>77</v>
      </c>
      <c r="I58" t="s">
        <v>13692</v>
      </c>
      <c r="J58">
        <f t="shared" si="2"/>
        <v>0</v>
      </c>
      <c r="K58" t="str">
        <f t="shared" si="3"/>
        <v>一致</v>
      </c>
      <c r="L58">
        <f>J58*VLOOKUP(stock_counts__2[[#This Row],[sku]],products!A:F,6,0)</f>
        <v>0</v>
      </c>
    </row>
    <row r="59" spans="1:12" x14ac:dyDescent="0.25">
      <c r="A59" t="s">
        <v>13748</v>
      </c>
      <c r="B59" s="2">
        <v>46211.833333333336</v>
      </c>
      <c r="C59" t="s">
        <v>28</v>
      </c>
      <c r="D59" t="s">
        <v>221</v>
      </c>
      <c r="E59" t="s">
        <v>105</v>
      </c>
      <c r="F59">
        <v>33</v>
      </c>
      <c r="G59">
        <v>33</v>
      </c>
      <c r="H59">
        <v>33</v>
      </c>
      <c r="I59" t="s">
        <v>13692</v>
      </c>
      <c r="J59">
        <f t="shared" si="2"/>
        <v>0</v>
      </c>
      <c r="K59" t="str">
        <f t="shared" si="3"/>
        <v>一致</v>
      </c>
      <c r="L59">
        <f>J59*VLOOKUP(stock_counts__2[[#This Row],[sku]],products!A:F,6,0)</f>
        <v>0</v>
      </c>
    </row>
    <row r="60" spans="1:12" x14ac:dyDescent="0.25">
      <c r="A60" t="s">
        <v>13749</v>
      </c>
      <c r="B60" s="2">
        <v>46211.833333333336</v>
      </c>
      <c r="C60" t="s">
        <v>32</v>
      </c>
      <c r="D60" t="s">
        <v>222</v>
      </c>
      <c r="E60" t="s">
        <v>109</v>
      </c>
      <c r="F60">
        <v>68</v>
      </c>
      <c r="G60">
        <v>68</v>
      </c>
      <c r="H60">
        <v>68</v>
      </c>
      <c r="I60" t="s">
        <v>13692</v>
      </c>
      <c r="J60">
        <f t="shared" si="2"/>
        <v>0</v>
      </c>
      <c r="K60" t="str">
        <f t="shared" si="3"/>
        <v>一致</v>
      </c>
      <c r="L60">
        <f>J60*VLOOKUP(stock_counts__2[[#This Row],[sku]],products!A:F,6,0)</f>
        <v>0</v>
      </c>
    </row>
    <row r="61" spans="1:12" x14ac:dyDescent="0.25">
      <c r="A61" t="s">
        <v>13750</v>
      </c>
      <c r="B61" s="2">
        <v>46211.833333333336</v>
      </c>
      <c r="C61" t="s">
        <v>36</v>
      </c>
      <c r="D61" t="s">
        <v>223</v>
      </c>
      <c r="E61" t="s">
        <v>113</v>
      </c>
      <c r="F61">
        <v>63</v>
      </c>
      <c r="G61">
        <v>63</v>
      </c>
      <c r="H61">
        <v>63</v>
      </c>
      <c r="I61" t="s">
        <v>13692</v>
      </c>
      <c r="J61">
        <f t="shared" si="2"/>
        <v>0</v>
      </c>
      <c r="K61" t="str">
        <f t="shared" si="3"/>
        <v>一致</v>
      </c>
      <c r="L61">
        <f>J61*VLOOKUP(stock_counts__2[[#This Row],[sku]],products!A:F,6,0)</f>
        <v>0</v>
      </c>
    </row>
    <row r="62" spans="1:12" x14ac:dyDescent="0.25">
      <c r="A62" t="s">
        <v>13751</v>
      </c>
      <c r="B62" s="2">
        <v>46211.833333333336</v>
      </c>
      <c r="C62" t="s">
        <v>41</v>
      </c>
      <c r="D62" t="s">
        <v>224</v>
      </c>
      <c r="E62" t="s">
        <v>115</v>
      </c>
      <c r="F62">
        <v>70</v>
      </c>
      <c r="G62">
        <v>70</v>
      </c>
      <c r="H62">
        <v>70</v>
      </c>
      <c r="I62" t="s">
        <v>13692</v>
      </c>
      <c r="J62">
        <f t="shared" si="2"/>
        <v>0</v>
      </c>
      <c r="K62" t="str">
        <f t="shared" si="3"/>
        <v>一致</v>
      </c>
      <c r="L62">
        <f>J62*VLOOKUP(stock_counts__2[[#This Row],[sku]],products!A:F,6,0)</f>
        <v>0</v>
      </c>
    </row>
    <row r="63" spans="1:12" x14ac:dyDescent="0.25">
      <c r="A63" t="s">
        <v>13752</v>
      </c>
      <c r="B63" s="2">
        <v>46211.833333333336</v>
      </c>
      <c r="C63" t="s">
        <v>45</v>
      </c>
      <c r="D63" t="s">
        <v>225</v>
      </c>
      <c r="E63" t="s">
        <v>119</v>
      </c>
      <c r="F63">
        <v>69</v>
      </c>
      <c r="G63">
        <v>69</v>
      </c>
      <c r="H63">
        <v>69</v>
      </c>
      <c r="I63" t="s">
        <v>13692</v>
      </c>
      <c r="J63">
        <f t="shared" si="2"/>
        <v>0</v>
      </c>
      <c r="K63" t="str">
        <f t="shared" si="3"/>
        <v>一致</v>
      </c>
      <c r="L63">
        <f>J63*VLOOKUP(stock_counts__2[[#This Row],[sku]],products!A:F,6,0)</f>
        <v>0</v>
      </c>
    </row>
    <row r="64" spans="1:12" x14ac:dyDescent="0.25">
      <c r="A64" t="s">
        <v>13753</v>
      </c>
      <c r="B64" s="2">
        <v>46211.833333333336</v>
      </c>
      <c r="C64" t="s">
        <v>49</v>
      </c>
      <c r="D64" t="s">
        <v>226</v>
      </c>
      <c r="E64" t="s">
        <v>123</v>
      </c>
      <c r="F64">
        <v>52</v>
      </c>
      <c r="G64">
        <v>52</v>
      </c>
      <c r="H64">
        <v>52</v>
      </c>
      <c r="I64" t="s">
        <v>13692</v>
      </c>
      <c r="J64">
        <f t="shared" si="2"/>
        <v>0</v>
      </c>
      <c r="K64" t="str">
        <f t="shared" si="3"/>
        <v>一致</v>
      </c>
      <c r="L64">
        <f>J64*VLOOKUP(stock_counts__2[[#This Row],[sku]],products!A:F,6,0)</f>
        <v>0</v>
      </c>
    </row>
    <row r="65" spans="1:12" x14ac:dyDescent="0.25">
      <c r="A65" t="s">
        <v>13754</v>
      </c>
      <c r="B65" s="2">
        <v>46211.833333333336</v>
      </c>
      <c r="C65" t="s">
        <v>59</v>
      </c>
      <c r="D65" t="s">
        <v>227</v>
      </c>
      <c r="E65" t="s">
        <v>133</v>
      </c>
      <c r="F65">
        <v>90</v>
      </c>
      <c r="G65">
        <v>90</v>
      </c>
      <c r="H65">
        <v>90</v>
      </c>
      <c r="I65" t="s">
        <v>13692</v>
      </c>
      <c r="J65">
        <f t="shared" si="2"/>
        <v>0</v>
      </c>
      <c r="K65" t="str">
        <f t="shared" si="3"/>
        <v>一致</v>
      </c>
      <c r="L65">
        <f>J65*VLOOKUP(stock_counts__2[[#This Row],[sku]],products!A:F,6,0)</f>
        <v>0</v>
      </c>
    </row>
    <row r="66" spans="1:12" x14ac:dyDescent="0.25">
      <c r="A66" t="s">
        <v>13755</v>
      </c>
      <c r="B66" s="2">
        <v>46211.833333333336</v>
      </c>
      <c r="C66" t="s">
        <v>65</v>
      </c>
      <c r="D66" t="s">
        <v>228</v>
      </c>
      <c r="E66" t="s">
        <v>135</v>
      </c>
      <c r="F66">
        <v>63</v>
      </c>
      <c r="G66">
        <v>63</v>
      </c>
      <c r="H66">
        <v>63</v>
      </c>
      <c r="I66" t="s">
        <v>13692</v>
      </c>
      <c r="J66">
        <f t="shared" ref="J66:J97" si="4">H66-F66</f>
        <v>0</v>
      </c>
      <c r="K66" t="str">
        <f t="shared" ref="K66:K97" si="5">IF(J66=0,"一致",IF(J66&gt;0,"盘盈","盘亏"))</f>
        <v>一致</v>
      </c>
      <c r="L66">
        <f>J66*VLOOKUP(stock_counts__2[[#This Row],[sku]],products!A:F,6,0)</f>
        <v>0</v>
      </c>
    </row>
    <row r="67" spans="1:12" x14ac:dyDescent="0.25">
      <c r="A67" t="s">
        <v>13756</v>
      </c>
      <c r="B67" s="2">
        <v>46211.833333333336</v>
      </c>
      <c r="C67" t="s">
        <v>69</v>
      </c>
      <c r="D67" t="s">
        <v>229</v>
      </c>
      <c r="E67" t="s">
        <v>139</v>
      </c>
      <c r="F67">
        <v>92</v>
      </c>
      <c r="G67">
        <v>92</v>
      </c>
      <c r="H67">
        <v>92</v>
      </c>
      <c r="I67" t="s">
        <v>13692</v>
      </c>
      <c r="J67">
        <f t="shared" si="4"/>
        <v>0</v>
      </c>
      <c r="K67" t="str">
        <f t="shared" si="5"/>
        <v>一致</v>
      </c>
      <c r="L67">
        <f>J67*VLOOKUP(stock_counts__2[[#This Row],[sku]],products!A:F,6,0)</f>
        <v>0</v>
      </c>
    </row>
    <row r="68" spans="1:12" x14ac:dyDescent="0.25">
      <c r="A68" t="s">
        <v>13757</v>
      </c>
      <c r="B68" s="2">
        <v>46211.833333333336</v>
      </c>
      <c r="C68" t="s">
        <v>75</v>
      </c>
      <c r="D68" t="s">
        <v>230</v>
      </c>
      <c r="E68" t="s">
        <v>145</v>
      </c>
      <c r="F68">
        <v>62</v>
      </c>
      <c r="G68">
        <v>60</v>
      </c>
      <c r="H68">
        <v>60</v>
      </c>
      <c r="I68" t="s">
        <v>13690</v>
      </c>
      <c r="J68">
        <f t="shared" si="4"/>
        <v>-2</v>
      </c>
      <c r="K68" t="str">
        <f t="shared" si="5"/>
        <v>盘亏</v>
      </c>
      <c r="L68">
        <f>J68*VLOOKUP(stock_counts__2[[#This Row],[sku]],products!A:F,6,0)</f>
        <v>-61.78</v>
      </c>
    </row>
    <row r="69" spans="1:12" x14ac:dyDescent="0.25">
      <c r="A69" t="s">
        <v>13758</v>
      </c>
      <c r="B69" s="2">
        <v>46241.833333333336</v>
      </c>
      <c r="C69" t="s">
        <v>32</v>
      </c>
      <c r="D69" t="s">
        <v>108</v>
      </c>
      <c r="E69" t="s">
        <v>109</v>
      </c>
      <c r="F69">
        <v>48</v>
      </c>
      <c r="G69">
        <v>48</v>
      </c>
      <c r="H69">
        <v>48</v>
      </c>
      <c r="I69" t="s">
        <v>13692</v>
      </c>
      <c r="J69">
        <f t="shared" si="4"/>
        <v>0</v>
      </c>
      <c r="K69" t="str">
        <f t="shared" si="5"/>
        <v>一致</v>
      </c>
      <c r="L69">
        <f>J69*VLOOKUP(stock_counts__2[[#This Row],[sku]],products!A:F,6,0)</f>
        <v>0</v>
      </c>
    </row>
    <row r="70" spans="1:12" x14ac:dyDescent="0.25">
      <c r="A70" t="s">
        <v>13759</v>
      </c>
      <c r="B70" s="2">
        <v>46241.833333333336</v>
      </c>
      <c r="C70" t="s">
        <v>34</v>
      </c>
      <c r="D70" t="s">
        <v>110</v>
      </c>
      <c r="E70" t="s">
        <v>111</v>
      </c>
      <c r="F70">
        <v>80</v>
      </c>
      <c r="G70">
        <v>81</v>
      </c>
      <c r="H70">
        <v>81</v>
      </c>
      <c r="I70" t="s">
        <v>13690</v>
      </c>
      <c r="J70">
        <f t="shared" si="4"/>
        <v>1</v>
      </c>
      <c r="K70" t="str">
        <f t="shared" si="5"/>
        <v>盘盈</v>
      </c>
      <c r="L70">
        <f>J70*VLOOKUP(stock_counts__2[[#This Row],[sku]],products!A:F,6,0)</f>
        <v>29.05</v>
      </c>
    </row>
    <row r="71" spans="1:12" x14ac:dyDescent="0.25">
      <c r="A71" t="s">
        <v>13760</v>
      </c>
      <c r="B71" s="2">
        <v>46241.833333333336</v>
      </c>
      <c r="C71" t="s">
        <v>53</v>
      </c>
      <c r="D71" t="s">
        <v>126</v>
      </c>
      <c r="E71" t="s">
        <v>127</v>
      </c>
      <c r="F71">
        <v>25</v>
      </c>
      <c r="G71">
        <v>25</v>
      </c>
      <c r="H71">
        <v>25</v>
      </c>
      <c r="I71" t="s">
        <v>13692</v>
      </c>
      <c r="J71">
        <f t="shared" si="4"/>
        <v>0</v>
      </c>
      <c r="K71" t="str">
        <f t="shared" si="5"/>
        <v>一致</v>
      </c>
      <c r="L71">
        <f>J71*VLOOKUP(stock_counts__2[[#This Row],[sku]],products!A:F,6,0)</f>
        <v>0</v>
      </c>
    </row>
    <row r="72" spans="1:12" x14ac:dyDescent="0.25">
      <c r="A72" t="s">
        <v>13761</v>
      </c>
      <c r="B72" s="2">
        <v>46241.833333333336</v>
      </c>
      <c r="C72" t="s">
        <v>79</v>
      </c>
      <c r="D72" t="s">
        <v>148</v>
      </c>
      <c r="E72" t="s">
        <v>149</v>
      </c>
      <c r="F72">
        <v>232</v>
      </c>
      <c r="G72">
        <v>232</v>
      </c>
      <c r="H72">
        <v>232</v>
      </c>
      <c r="I72" t="s">
        <v>13692</v>
      </c>
      <c r="J72">
        <f t="shared" si="4"/>
        <v>0</v>
      </c>
      <c r="K72" t="str">
        <f t="shared" si="5"/>
        <v>一致</v>
      </c>
      <c r="L72">
        <f>J72*VLOOKUP(stock_counts__2[[#This Row],[sku]],products!A:F,6,0)</f>
        <v>0</v>
      </c>
    </row>
    <row r="73" spans="1:12" x14ac:dyDescent="0.25">
      <c r="A73" t="s">
        <v>13762</v>
      </c>
      <c r="B73" s="2">
        <v>46241.833333333336</v>
      </c>
      <c r="C73" t="s">
        <v>82</v>
      </c>
      <c r="D73" t="s">
        <v>150</v>
      </c>
      <c r="E73" t="s">
        <v>151</v>
      </c>
      <c r="F73">
        <v>240</v>
      </c>
      <c r="G73">
        <v>240</v>
      </c>
      <c r="H73">
        <v>240</v>
      </c>
      <c r="I73" t="s">
        <v>13692</v>
      </c>
      <c r="J73">
        <f t="shared" si="4"/>
        <v>0</v>
      </c>
      <c r="K73" t="str">
        <f t="shared" si="5"/>
        <v>一致</v>
      </c>
      <c r="L73">
        <f>J73*VLOOKUP(stock_counts__2[[#This Row],[sku]],products!A:F,6,0)</f>
        <v>0</v>
      </c>
    </row>
    <row r="74" spans="1:12" x14ac:dyDescent="0.25">
      <c r="A74" t="s">
        <v>13763</v>
      </c>
      <c r="B74" s="2">
        <v>46241.833333333336</v>
      </c>
      <c r="C74" t="s">
        <v>34</v>
      </c>
      <c r="D74" t="s">
        <v>161</v>
      </c>
      <c r="E74" t="s">
        <v>111</v>
      </c>
      <c r="F74">
        <v>86</v>
      </c>
      <c r="G74">
        <v>86</v>
      </c>
      <c r="H74">
        <v>86</v>
      </c>
      <c r="I74" t="s">
        <v>13692</v>
      </c>
      <c r="J74">
        <f t="shared" si="4"/>
        <v>0</v>
      </c>
      <c r="K74" t="str">
        <f t="shared" si="5"/>
        <v>一致</v>
      </c>
      <c r="L74">
        <f>J74*VLOOKUP(stock_counts__2[[#This Row],[sku]],products!A:F,6,0)</f>
        <v>0</v>
      </c>
    </row>
    <row r="75" spans="1:12" x14ac:dyDescent="0.25">
      <c r="A75" t="s">
        <v>13764</v>
      </c>
      <c r="B75" s="2">
        <v>46241.833333333336</v>
      </c>
      <c r="C75" t="s">
        <v>41</v>
      </c>
      <c r="D75" t="s">
        <v>163</v>
      </c>
      <c r="E75" t="s">
        <v>115</v>
      </c>
      <c r="F75">
        <v>60</v>
      </c>
      <c r="G75">
        <v>60</v>
      </c>
      <c r="H75">
        <v>60</v>
      </c>
      <c r="I75" t="s">
        <v>13692</v>
      </c>
      <c r="J75">
        <f t="shared" si="4"/>
        <v>0</v>
      </c>
      <c r="K75" t="str">
        <f t="shared" si="5"/>
        <v>一致</v>
      </c>
      <c r="L75">
        <f>J75*VLOOKUP(stock_counts__2[[#This Row],[sku]],products!A:F,6,0)</f>
        <v>0</v>
      </c>
    </row>
    <row r="76" spans="1:12" x14ac:dyDescent="0.25">
      <c r="A76" t="s">
        <v>13765</v>
      </c>
      <c r="B76" s="2">
        <v>46241.833333333336</v>
      </c>
      <c r="C76" t="s">
        <v>49</v>
      </c>
      <c r="D76" t="s">
        <v>167</v>
      </c>
      <c r="E76" t="s">
        <v>123</v>
      </c>
      <c r="F76">
        <v>17</v>
      </c>
      <c r="G76">
        <v>17</v>
      </c>
      <c r="H76">
        <v>17</v>
      </c>
      <c r="I76" t="s">
        <v>13692</v>
      </c>
      <c r="J76">
        <f t="shared" si="4"/>
        <v>0</v>
      </c>
      <c r="K76" t="str">
        <f t="shared" si="5"/>
        <v>一致</v>
      </c>
      <c r="L76">
        <f>J76*VLOOKUP(stock_counts__2[[#This Row],[sku]],products!A:F,6,0)</f>
        <v>0</v>
      </c>
    </row>
    <row r="77" spans="1:12" x14ac:dyDescent="0.25">
      <c r="A77" t="s">
        <v>13766</v>
      </c>
      <c r="B77" s="2">
        <v>46241.833333333336</v>
      </c>
      <c r="C77" t="s">
        <v>51</v>
      </c>
      <c r="D77" t="s">
        <v>168</v>
      </c>
      <c r="E77" t="s">
        <v>125</v>
      </c>
      <c r="F77">
        <v>8</v>
      </c>
      <c r="G77">
        <v>8</v>
      </c>
      <c r="H77">
        <v>8</v>
      </c>
      <c r="I77" t="s">
        <v>13692</v>
      </c>
      <c r="J77">
        <f t="shared" si="4"/>
        <v>0</v>
      </c>
      <c r="K77" t="str">
        <f t="shared" si="5"/>
        <v>一致</v>
      </c>
      <c r="L77">
        <f>J77*VLOOKUP(stock_counts__2[[#This Row],[sku]],products!A:F,6,0)</f>
        <v>0</v>
      </c>
    </row>
    <row r="78" spans="1:12" x14ac:dyDescent="0.25">
      <c r="A78" t="s">
        <v>13767</v>
      </c>
      <c r="B78" s="2">
        <v>46241.833333333336</v>
      </c>
      <c r="C78" t="s">
        <v>57</v>
      </c>
      <c r="D78" t="s">
        <v>171</v>
      </c>
      <c r="E78" t="s">
        <v>131</v>
      </c>
      <c r="F78">
        <v>14</v>
      </c>
      <c r="G78">
        <v>14</v>
      </c>
      <c r="H78">
        <v>14</v>
      </c>
      <c r="I78" t="s">
        <v>13692</v>
      </c>
      <c r="J78">
        <f t="shared" si="4"/>
        <v>0</v>
      </c>
      <c r="K78" t="str">
        <f t="shared" si="5"/>
        <v>一致</v>
      </c>
      <c r="L78">
        <f>J78*VLOOKUP(stock_counts__2[[#This Row],[sku]],products!A:F,6,0)</f>
        <v>0</v>
      </c>
    </row>
    <row r="79" spans="1:12" x14ac:dyDescent="0.25">
      <c r="A79" t="s">
        <v>13768</v>
      </c>
      <c r="B79" s="2">
        <v>46241.833333333336</v>
      </c>
      <c r="C79" t="s">
        <v>36</v>
      </c>
      <c r="D79" t="s">
        <v>187</v>
      </c>
      <c r="E79" t="s">
        <v>113</v>
      </c>
      <c r="F79">
        <v>81</v>
      </c>
      <c r="G79">
        <v>79</v>
      </c>
      <c r="H79">
        <v>79</v>
      </c>
      <c r="I79" t="s">
        <v>13690</v>
      </c>
      <c r="J79">
        <f t="shared" si="4"/>
        <v>-2</v>
      </c>
      <c r="K79" t="str">
        <f t="shared" si="5"/>
        <v>盘亏</v>
      </c>
      <c r="L79">
        <f>J79*VLOOKUP(stock_counts__2[[#This Row],[sku]],products!A:F,6,0)</f>
        <v>-48.12</v>
      </c>
    </row>
    <row r="80" spans="1:12" x14ac:dyDescent="0.25">
      <c r="A80" t="s">
        <v>13769</v>
      </c>
      <c r="B80" s="2">
        <v>46241.833333333336</v>
      </c>
      <c r="C80" t="s">
        <v>45</v>
      </c>
      <c r="D80" t="s">
        <v>189</v>
      </c>
      <c r="E80" t="s">
        <v>119</v>
      </c>
      <c r="F80">
        <v>69</v>
      </c>
      <c r="G80">
        <v>69</v>
      </c>
      <c r="H80">
        <v>69</v>
      </c>
      <c r="I80" t="s">
        <v>13692</v>
      </c>
      <c r="J80">
        <f t="shared" si="4"/>
        <v>0</v>
      </c>
      <c r="K80" t="str">
        <f t="shared" si="5"/>
        <v>一致</v>
      </c>
      <c r="L80">
        <f>J80*VLOOKUP(stock_counts__2[[#This Row],[sku]],products!A:F,6,0)</f>
        <v>0</v>
      </c>
    </row>
    <row r="81" spans="1:12" x14ac:dyDescent="0.25">
      <c r="A81" t="s">
        <v>13770</v>
      </c>
      <c r="B81" s="2">
        <v>46241.833333333336</v>
      </c>
      <c r="C81" t="s">
        <v>47</v>
      </c>
      <c r="D81" t="s">
        <v>190</v>
      </c>
      <c r="E81" t="s">
        <v>121</v>
      </c>
      <c r="F81">
        <v>6</v>
      </c>
      <c r="G81">
        <v>6</v>
      </c>
      <c r="H81">
        <v>6</v>
      </c>
      <c r="I81" t="s">
        <v>13692</v>
      </c>
      <c r="J81">
        <f t="shared" si="4"/>
        <v>0</v>
      </c>
      <c r="K81" t="str">
        <f t="shared" si="5"/>
        <v>一致</v>
      </c>
      <c r="L81">
        <f>J81*VLOOKUP(stock_counts__2[[#This Row],[sku]],products!A:F,6,0)</f>
        <v>0</v>
      </c>
    </row>
    <row r="82" spans="1:12" x14ac:dyDescent="0.25">
      <c r="A82" t="s">
        <v>13771</v>
      </c>
      <c r="B82" s="2">
        <v>46241.833333333336</v>
      </c>
      <c r="C82" t="s">
        <v>49</v>
      </c>
      <c r="D82" t="s">
        <v>191</v>
      </c>
      <c r="E82" t="s">
        <v>123</v>
      </c>
      <c r="F82">
        <v>89</v>
      </c>
      <c r="G82">
        <v>89</v>
      </c>
      <c r="H82">
        <v>89</v>
      </c>
      <c r="I82" t="s">
        <v>13692</v>
      </c>
      <c r="J82">
        <f t="shared" si="4"/>
        <v>0</v>
      </c>
      <c r="K82" t="str">
        <f t="shared" si="5"/>
        <v>一致</v>
      </c>
      <c r="L82">
        <f>J82*VLOOKUP(stock_counts__2[[#This Row],[sku]],products!A:F,6,0)</f>
        <v>0</v>
      </c>
    </row>
    <row r="83" spans="1:12" x14ac:dyDescent="0.25">
      <c r="A83" t="s">
        <v>13772</v>
      </c>
      <c r="B83" s="2">
        <v>46241.833333333336</v>
      </c>
      <c r="C83" t="s">
        <v>57</v>
      </c>
      <c r="D83" t="s">
        <v>193</v>
      </c>
      <c r="E83" t="s">
        <v>131</v>
      </c>
      <c r="F83">
        <v>76</v>
      </c>
      <c r="G83">
        <v>76</v>
      </c>
      <c r="H83">
        <v>76</v>
      </c>
      <c r="I83" t="s">
        <v>13692</v>
      </c>
      <c r="J83">
        <f t="shared" si="4"/>
        <v>0</v>
      </c>
      <c r="K83" t="str">
        <f t="shared" si="5"/>
        <v>一致</v>
      </c>
      <c r="L83">
        <f>J83*VLOOKUP(stock_counts__2[[#This Row],[sku]],products!A:F,6,0)</f>
        <v>0</v>
      </c>
    </row>
    <row r="84" spans="1:12" x14ac:dyDescent="0.25">
      <c r="A84" t="s">
        <v>13773</v>
      </c>
      <c r="B84" s="2">
        <v>46241.833333333336</v>
      </c>
      <c r="C84" t="s">
        <v>18</v>
      </c>
      <c r="D84" t="s">
        <v>202</v>
      </c>
      <c r="E84" t="s">
        <v>95</v>
      </c>
      <c r="F84">
        <v>35</v>
      </c>
      <c r="G84">
        <v>35</v>
      </c>
      <c r="H84">
        <v>35</v>
      </c>
      <c r="I84" t="s">
        <v>13692</v>
      </c>
      <c r="J84">
        <f t="shared" si="4"/>
        <v>0</v>
      </c>
      <c r="K84" t="str">
        <f t="shared" si="5"/>
        <v>一致</v>
      </c>
      <c r="L84">
        <f>J84*VLOOKUP(stock_counts__2[[#This Row],[sku]],products!A:F,6,0)</f>
        <v>0</v>
      </c>
    </row>
    <row r="85" spans="1:12" x14ac:dyDescent="0.25">
      <c r="A85" t="s">
        <v>13774</v>
      </c>
      <c r="B85" s="2">
        <v>46241.833333333336</v>
      </c>
      <c r="C85" t="s">
        <v>30</v>
      </c>
      <c r="D85" t="s">
        <v>207</v>
      </c>
      <c r="E85" t="s">
        <v>107</v>
      </c>
      <c r="F85">
        <v>92</v>
      </c>
      <c r="G85">
        <v>92</v>
      </c>
      <c r="H85">
        <v>92</v>
      </c>
      <c r="I85" t="s">
        <v>13692</v>
      </c>
      <c r="J85">
        <f t="shared" si="4"/>
        <v>0</v>
      </c>
      <c r="K85" t="str">
        <f t="shared" si="5"/>
        <v>一致</v>
      </c>
      <c r="L85">
        <f>J85*VLOOKUP(stock_counts__2[[#This Row],[sku]],products!A:F,6,0)</f>
        <v>0</v>
      </c>
    </row>
    <row r="86" spans="1:12" x14ac:dyDescent="0.25">
      <c r="A86" t="s">
        <v>13775</v>
      </c>
      <c r="B86" s="2">
        <v>46241.833333333336</v>
      </c>
      <c r="C86" t="s">
        <v>57</v>
      </c>
      <c r="D86" t="s">
        <v>211</v>
      </c>
      <c r="E86" t="s">
        <v>131</v>
      </c>
      <c r="F86">
        <v>2</v>
      </c>
      <c r="G86">
        <v>2</v>
      </c>
      <c r="H86">
        <v>2</v>
      </c>
      <c r="I86" t="s">
        <v>13692</v>
      </c>
      <c r="J86">
        <f t="shared" si="4"/>
        <v>0</v>
      </c>
      <c r="K86" t="str">
        <f t="shared" si="5"/>
        <v>一致</v>
      </c>
      <c r="L86">
        <f>J86*VLOOKUP(stock_counts__2[[#This Row],[sku]],products!A:F,6,0)</f>
        <v>0</v>
      </c>
    </row>
    <row r="87" spans="1:12" x14ac:dyDescent="0.25">
      <c r="A87" t="s">
        <v>13776</v>
      </c>
      <c r="B87" s="2">
        <v>46241.833333333336</v>
      </c>
      <c r="C87" t="s">
        <v>71</v>
      </c>
      <c r="D87" t="s">
        <v>212</v>
      </c>
      <c r="E87" t="s">
        <v>141</v>
      </c>
      <c r="F87">
        <v>32</v>
      </c>
      <c r="G87">
        <v>33</v>
      </c>
      <c r="H87">
        <v>33</v>
      </c>
      <c r="I87" t="s">
        <v>13690</v>
      </c>
      <c r="J87">
        <f t="shared" si="4"/>
        <v>1</v>
      </c>
      <c r="K87" t="str">
        <f t="shared" si="5"/>
        <v>盘盈</v>
      </c>
      <c r="L87">
        <f>J87*VLOOKUP(stock_counts__2[[#This Row],[sku]],products!A:F,6,0)</f>
        <v>39.42</v>
      </c>
    </row>
    <row r="88" spans="1:12" x14ac:dyDescent="0.25">
      <c r="A88" t="s">
        <v>13777</v>
      </c>
      <c r="B88" s="2">
        <v>46241.833333333336</v>
      </c>
      <c r="C88" t="s">
        <v>73</v>
      </c>
      <c r="D88" t="s">
        <v>213</v>
      </c>
      <c r="E88" t="s">
        <v>143</v>
      </c>
      <c r="F88">
        <v>30</v>
      </c>
      <c r="G88">
        <v>30</v>
      </c>
      <c r="H88">
        <v>30</v>
      </c>
      <c r="I88" t="s">
        <v>13692</v>
      </c>
      <c r="J88">
        <f t="shared" si="4"/>
        <v>0</v>
      </c>
      <c r="K88" t="str">
        <f t="shared" si="5"/>
        <v>一致</v>
      </c>
      <c r="L88">
        <f>J88*VLOOKUP(stock_counts__2[[#This Row],[sku]],products!A:F,6,0)</f>
        <v>0</v>
      </c>
    </row>
    <row r="89" spans="1:12" x14ac:dyDescent="0.25">
      <c r="A89" t="s">
        <v>13778</v>
      </c>
      <c r="B89" s="2">
        <v>46241.833333333336</v>
      </c>
      <c r="C89" t="s">
        <v>24</v>
      </c>
      <c r="D89" t="s">
        <v>218</v>
      </c>
      <c r="E89" t="s">
        <v>101</v>
      </c>
      <c r="F89">
        <v>57</v>
      </c>
      <c r="G89">
        <v>57</v>
      </c>
      <c r="H89">
        <v>57</v>
      </c>
      <c r="I89" t="s">
        <v>13692</v>
      </c>
      <c r="J89">
        <f t="shared" si="4"/>
        <v>0</v>
      </c>
      <c r="K89" t="str">
        <f t="shared" si="5"/>
        <v>一致</v>
      </c>
      <c r="L89">
        <f>J89*VLOOKUP(stock_counts__2[[#This Row],[sku]],products!A:F,6,0)</f>
        <v>0</v>
      </c>
    </row>
    <row r="90" spans="1:12" x14ac:dyDescent="0.25">
      <c r="A90" t="s">
        <v>13779</v>
      </c>
      <c r="B90" s="2">
        <v>46241.833333333336</v>
      </c>
      <c r="C90" t="s">
        <v>26</v>
      </c>
      <c r="D90" t="s">
        <v>219</v>
      </c>
      <c r="E90" t="s">
        <v>103</v>
      </c>
      <c r="F90">
        <v>77</v>
      </c>
      <c r="G90">
        <v>75</v>
      </c>
      <c r="H90">
        <v>75</v>
      </c>
      <c r="I90" t="s">
        <v>13690</v>
      </c>
      <c r="J90">
        <f t="shared" si="4"/>
        <v>-2</v>
      </c>
      <c r="K90" t="str">
        <f t="shared" si="5"/>
        <v>盘亏</v>
      </c>
      <c r="L90">
        <f>J90*VLOOKUP(stock_counts__2[[#This Row],[sku]],products!A:F,6,0)</f>
        <v>-60.14</v>
      </c>
    </row>
    <row r="91" spans="1:12" x14ac:dyDescent="0.25">
      <c r="A91" t="s">
        <v>13780</v>
      </c>
      <c r="B91" s="2">
        <v>46241.833333333336</v>
      </c>
      <c r="C91" t="s">
        <v>32</v>
      </c>
      <c r="D91" t="s">
        <v>222</v>
      </c>
      <c r="E91" t="s">
        <v>109</v>
      </c>
      <c r="F91">
        <v>10</v>
      </c>
      <c r="G91">
        <v>10</v>
      </c>
      <c r="H91">
        <v>10</v>
      </c>
      <c r="I91" t="s">
        <v>13692</v>
      </c>
      <c r="J91">
        <f t="shared" si="4"/>
        <v>0</v>
      </c>
      <c r="K91" t="str">
        <f t="shared" si="5"/>
        <v>一致</v>
      </c>
      <c r="L91">
        <f>J91*VLOOKUP(stock_counts__2[[#This Row],[sku]],products!A:F,6,0)</f>
        <v>0</v>
      </c>
    </row>
    <row r="92" spans="1:12" x14ac:dyDescent="0.25">
      <c r="A92" t="s">
        <v>13781</v>
      </c>
      <c r="B92" s="2">
        <v>46241.833333333336</v>
      </c>
      <c r="C92" t="s">
        <v>45</v>
      </c>
      <c r="D92" t="s">
        <v>225</v>
      </c>
      <c r="E92" t="s">
        <v>119</v>
      </c>
      <c r="F92">
        <v>22</v>
      </c>
      <c r="G92">
        <v>22</v>
      </c>
      <c r="H92">
        <v>22</v>
      </c>
      <c r="I92" t="s">
        <v>13692</v>
      </c>
      <c r="J92">
        <f t="shared" si="4"/>
        <v>0</v>
      </c>
      <c r="K92" t="str">
        <f t="shared" si="5"/>
        <v>一致</v>
      </c>
      <c r="L92">
        <f>J92*VLOOKUP(stock_counts__2[[#This Row],[sku]],products!A:F,6,0)</f>
        <v>0</v>
      </c>
    </row>
    <row r="93" spans="1:12" x14ac:dyDescent="0.25">
      <c r="A93" t="s">
        <v>13782</v>
      </c>
      <c r="B93" s="2">
        <v>46241.833333333336</v>
      </c>
      <c r="C93" t="s">
        <v>59</v>
      </c>
      <c r="D93" t="s">
        <v>227</v>
      </c>
      <c r="E93" t="s">
        <v>133</v>
      </c>
      <c r="F93">
        <v>35</v>
      </c>
      <c r="G93">
        <v>35</v>
      </c>
      <c r="H93">
        <v>35</v>
      </c>
      <c r="I93" t="s">
        <v>13692</v>
      </c>
      <c r="J93">
        <f t="shared" si="4"/>
        <v>0</v>
      </c>
      <c r="K93" t="str">
        <f t="shared" si="5"/>
        <v>一致</v>
      </c>
      <c r="L93">
        <f>J93*VLOOKUP(stock_counts__2[[#This Row],[sku]],products!A:F,6,0)</f>
        <v>0</v>
      </c>
    </row>
    <row r="94" spans="1:12" x14ac:dyDescent="0.25">
      <c r="A94" t="s">
        <v>13783</v>
      </c>
      <c r="B94" s="2">
        <v>46241.833333333336</v>
      </c>
      <c r="C94" t="s">
        <v>69</v>
      </c>
      <c r="D94" t="s">
        <v>229</v>
      </c>
      <c r="E94" t="s">
        <v>139</v>
      </c>
      <c r="F94">
        <v>20</v>
      </c>
      <c r="G94">
        <v>20</v>
      </c>
      <c r="H94">
        <v>20</v>
      </c>
      <c r="I94" t="s">
        <v>13692</v>
      </c>
      <c r="J94">
        <f t="shared" si="4"/>
        <v>0</v>
      </c>
      <c r="K94" t="str">
        <f t="shared" si="5"/>
        <v>一致</v>
      </c>
      <c r="L94">
        <f>J94*VLOOKUP(stock_counts__2[[#This Row],[sku]],products!A:F,6,0)</f>
        <v>0</v>
      </c>
    </row>
    <row r="95" spans="1:12" x14ac:dyDescent="0.25">
      <c r="A95" t="s">
        <v>13784</v>
      </c>
      <c r="B95" s="2">
        <v>46241.833333333336</v>
      </c>
      <c r="C95" t="s">
        <v>75</v>
      </c>
      <c r="D95" t="s">
        <v>230</v>
      </c>
      <c r="E95" t="s">
        <v>145</v>
      </c>
      <c r="F95">
        <v>4</v>
      </c>
      <c r="G95">
        <v>4</v>
      </c>
      <c r="H95">
        <v>4</v>
      </c>
      <c r="I95" t="s">
        <v>13692</v>
      </c>
      <c r="J95">
        <f t="shared" si="4"/>
        <v>0</v>
      </c>
      <c r="K95" t="str">
        <f t="shared" si="5"/>
        <v>一致</v>
      </c>
      <c r="L95">
        <f>J95*VLOOKUP(stock_counts__2[[#This Row],[sku]],products!A:F,6,0)</f>
        <v>0</v>
      </c>
    </row>
    <row r="96" spans="1:12" x14ac:dyDescent="0.25">
      <c r="A96" t="s">
        <v>13785</v>
      </c>
      <c r="B96" s="2">
        <v>46241.833333333336</v>
      </c>
      <c r="C96" t="s">
        <v>24</v>
      </c>
      <c r="D96" t="s">
        <v>234</v>
      </c>
      <c r="E96" t="s">
        <v>101</v>
      </c>
      <c r="F96">
        <v>14</v>
      </c>
      <c r="G96">
        <v>14</v>
      </c>
      <c r="H96">
        <v>14</v>
      </c>
      <c r="I96" t="s">
        <v>13692</v>
      </c>
      <c r="J96">
        <f t="shared" si="4"/>
        <v>0</v>
      </c>
      <c r="K96" t="str">
        <f t="shared" si="5"/>
        <v>一致</v>
      </c>
      <c r="L96">
        <f>J96*VLOOKUP(stock_counts__2[[#This Row],[sku]],products!A:F,6,0)</f>
        <v>0</v>
      </c>
    </row>
    <row r="97" spans="1:12" x14ac:dyDescent="0.25">
      <c r="A97" t="s">
        <v>13786</v>
      </c>
      <c r="B97" s="2">
        <v>46241.833333333336</v>
      </c>
      <c r="C97" t="s">
        <v>28</v>
      </c>
      <c r="D97" t="s">
        <v>236</v>
      </c>
      <c r="E97" t="s">
        <v>105</v>
      </c>
      <c r="F97">
        <v>64</v>
      </c>
      <c r="G97">
        <v>64</v>
      </c>
      <c r="H97">
        <v>64</v>
      </c>
      <c r="I97" t="s">
        <v>13692</v>
      </c>
      <c r="J97">
        <f t="shared" si="4"/>
        <v>0</v>
      </c>
      <c r="K97" t="str">
        <f t="shared" si="5"/>
        <v>一致</v>
      </c>
      <c r="L97">
        <f>J97*VLOOKUP(stock_counts__2[[#This Row],[sku]],products!A:F,6,0)</f>
        <v>0</v>
      </c>
    </row>
    <row r="98" spans="1:12" x14ac:dyDescent="0.25">
      <c r="A98" t="s">
        <v>13787</v>
      </c>
      <c r="B98" s="2">
        <v>46241.833333333336</v>
      </c>
      <c r="C98" t="s">
        <v>43</v>
      </c>
      <c r="D98" t="s">
        <v>237</v>
      </c>
      <c r="E98" t="s">
        <v>117</v>
      </c>
      <c r="F98">
        <v>74</v>
      </c>
      <c r="G98">
        <v>74</v>
      </c>
      <c r="H98">
        <v>74</v>
      </c>
      <c r="I98" t="s">
        <v>13692</v>
      </c>
      <c r="J98">
        <f t="shared" ref="J98:J129" si="6">H98-F98</f>
        <v>0</v>
      </c>
      <c r="K98" t="str">
        <f t="shared" ref="K98:K129" si="7">IF(J98=0,"一致",IF(J98&gt;0,"盘盈","盘亏"))</f>
        <v>一致</v>
      </c>
      <c r="L98">
        <f>J98*VLOOKUP(stock_counts__2[[#This Row],[sku]],products!A:F,6,0)</f>
        <v>0</v>
      </c>
    </row>
    <row r="99" spans="1:12" x14ac:dyDescent="0.25">
      <c r="A99" t="s">
        <v>13788</v>
      </c>
      <c r="B99" s="2">
        <v>46241.833333333336</v>
      </c>
      <c r="C99" t="s">
        <v>53</v>
      </c>
      <c r="D99" t="s">
        <v>239</v>
      </c>
      <c r="E99" t="s">
        <v>127</v>
      </c>
      <c r="F99">
        <v>76</v>
      </c>
      <c r="G99">
        <v>76</v>
      </c>
      <c r="H99">
        <v>76</v>
      </c>
      <c r="I99" t="s">
        <v>13692</v>
      </c>
      <c r="J99">
        <f t="shared" si="6"/>
        <v>0</v>
      </c>
      <c r="K99" t="str">
        <f t="shared" si="7"/>
        <v>一致</v>
      </c>
      <c r="L99">
        <f>J99*VLOOKUP(stock_counts__2[[#This Row],[sku]],products!A:F,6,0)</f>
        <v>0</v>
      </c>
    </row>
    <row r="100" spans="1:12" x14ac:dyDescent="0.25">
      <c r="A100" t="s">
        <v>13789</v>
      </c>
      <c r="B100" s="2">
        <v>46241.833333333336</v>
      </c>
      <c r="C100" t="s">
        <v>55</v>
      </c>
      <c r="D100" t="s">
        <v>240</v>
      </c>
      <c r="E100" t="s">
        <v>129</v>
      </c>
      <c r="F100">
        <v>23</v>
      </c>
      <c r="G100">
        <v>23</v>
      </c>
      <c r="H100">
        <v>23</v>
      </c>
      <c r="I100" t="s">
        <v>13692</v>
      </c>
      <c r="J100">
        <f t="shared" si="6"/>
        <v>0</v>
      </c>
      <c r="K100" t="str">
        <f t="shared" si="7"/>
        <v>一致</v>
      </c>
      <c r="L100">
        <f>J100*VLOOKUP(stock_counts__2[[#This Row],[sku]],products!A:F,6,0)</f>
        <v>0</v>
      </c>
    </row>
    <row r="101" spans="1:12" x14ac:dyDescent="0.25">
      <c r="A101" t="s">
        <v>13790</v>
      </c>
      <c r="B101" s="2">
        <v>46241.833333333336</v>
      </c>
      <c r="C101" t="s">
        <v>65</v>
      </c>
      <c r="D101" t="s">
        <v>241</v>
      </c>
      <c r="E101" t="s">
        <v>135</v>
      </c>
      <c r="F101">
        <v>67</v>
      </c>
      <c r="G101">
        <v>65</v>
      </c>
      <c r="H101">
        <v>65</v>
      </c>
      <c r="I101" t="s">
        <v>13690</v>
      </c>
      <c r="J101">
        <f t="shared" si="6"/>
        <v>-2</v>
      </c>
      <c r="K101" t="str">
        <f t="shared" si="7"/>
        <v>盘亏</v>
      </c>
      <c r="L101">
        <f>J101*VLOOKUP(stock_counts__2[[#This Row],[sku]],products!A:F,6,0)</f>
        <v>-32.72</v>
      </c>
    </row>
    <row r="102" spans="1:12" x14ac:dyDescent="0.25">
      <c r="A102" t="s">
        <v>13791</v>
      </c>
      <c r="B102" s="2">
        <v>46241.833333333336</v>
      </c>
      <c r="C102" t="s">
        <v>67</v>
      </c>
      <c r="D102" t="s">
        <v>242</v>
      </c>
      <c r="E102" t="s">
        <v>137</v>
      </c>
      <c r="F102">
        <v>41</v>
      </c>
      <c r="G102">
        <v>41</v>
      </c>
      <c r="H102">
        <v>41</v>
      </c>
      <c r="I102" t="s">
        <v>13692</v>
      </c>
      <c r="J102">
        <f t="shared" si="6"/>
        <v>0</v>
      </c>
      <c r="K102" t="str">
        <f t="shared" si="7"/>
        <v>一致</v>
      </c>
      <c r="L102">
        <f>J102*VLOOKUP(stock_counts__2[[#This Row],[sku]],products!A:F,6,0)</f>
        <v>0</v>
      </c>
    </row>
    <row r="103" spans="1:12" x14ac:dyDescent="0.25">
      <c r="A103" t="s">
        <v>13792</v>
      </c>
      <c r="B103" s="2">
        <v>46241.833333333336</v>
      </c>
      <c r="C103" t="s">
        <v>77</v>
      </c>
      <c r="D103" t="s">
        <v>243</v>
      </c>
      <c r="E103" t="s">
        <v>147</v>
      </c>
      <c r="F103">
        <v>44</v>
      </c>
      <c r="G103">
        <v>44</v>
      </c>
      <c r="H103">
        <v>44</v>
      </c>
      <c r="I103" t="s">
        <v>13692</v>
      </c>
      <c r="J103">
        <f t="shared" si="6"/>
        <v>0</v>
      </c>
      <c r="K103" t="str">
        <f t="shared" si="7"/>
        <v>一致</v>
      </c>
      <c r="L103">
        <f>J103*VLOOKUP(stock_counts__2[[#This Row],[sku]],products!A:F,6,0)</f>
        <v>0</v>
      </c>
    </row>
    <row r="104" spans="1:12" x14ac:dyDescent="0.25">
      <c r="A104" t="s">
        <v>13793</v>
      </c>
      <c r="B104" s="2">
        <v>46241.833333333336</v>
      </c>
      <c r="C104" t="s">
        <v>18</v>
      </c>
      <c r="D104" t="s">
        <v>244</v>
      </c>
      <c r="E104" t="s">
        <v>95</v>
      </c>
      <c r="F104">
        <v>42</v>
      </c>
      <c r="G104">
        <v>43</v>
      </c>
      <c r="H104">
        <v>43</v>
      </c>
      <c r="I104" t="s">
        <v>13690</v>
      </c>
      <c r="J104">
        <f t="shared" si="6"/>
        <v>1</v>
      </c>
      <c r="K104" t="str">
        <f t="shared" si="7"/>
        <v>盘盈</v>
      </c>
      <c r="L104">
        <f>J104*VLOOKUP(stock_counts__2[[#This Row],[sku]],products!A:F,6,0)</f>
        <v>78.48</v>
      </c>
    </row>
    <row r="105" spans="1:12" x14ac:dyDescent="0.25">
      <c r="A105" t="s">
        <v>13794</v>
      </c>
      <c r="B105" s="2">
        <v>46241.833333333336</v>
      </c>
      <c r="C105" t="s">
        <v>28</v>
      </c>
      <c r="D105" t="s">
        <v>249</v>
      </c>
      <c r="E105" t="s">
        <v>105</v>
      </c>
      <c r="F105">
        <v>69</v>
      </c>
      <c r="G105">
        <v>69</v>
      </c>
      <c r="H105">
        <v>69</v>
      </c>
      <c r="I105" t="s">
        <v>13692</v>
      </c>
      <c r="J105">
        <f t="shared" si="6"/>
        <v>0</v>
      </c>
      <c r="K105" t="str">
        <f t="shared" si="7"/>
        <v>一致</v>
      </c>
      <c r="L105">
        <f>J105*VLOOKUP(stock_counts__2[[#This Row],[sku]],products!A:F,6,0)</f>
        <v>0</v>
      </c>
    </row>
    <row r="106" spans="1:12" x14ac:dyDescent="0.25">
      <c r="A106" t="s">
        <v>13795</v>
      </c>
      <c r="B106" s="2">
        <v>46241.833333333336</v>
      </c>
      <c r="C106" t="s">
        <v>30</v>
      </c>
      <c r="D106" t="s">
        <v>250</v>
      </c>
      <c r="E106" t="s">
        <v>107</v>
      </c>
      <c r="F106">
        <v>9</v>
      </c>
      <c r="G106">
        <v>9</v>
      </c>
      <c r="H106">
        <v>9</v>
      </c>
      <c r="I106" t="s">
        <v>13692</v>
      </c>
      <c r="J106">
        <f t="shared" si="6"/>
        <v>0</v>
      </c>
      <c r="K106" t="str">
        <f t="shared" si="7"/>
        <v>一致</v>
      </c>
      <c r="L106">
        <f>J106*VLOOKUP(stock_counts__2[[#This Row],[sku]],products!A:F,6,0)</f>
        <v>0</v>
      </c>
    </row>
    <row r="107" spans="1:12" x14ac:dyDescent="0.25">
      <c r="A107" t="s">
        <v>13796</v>
      </c>
      <c r="B107" s="2">
        <v>46241.833333333336</v>
      </c>
      <c r="C107" t="s">
        <v>49</v>
      </c>
      <c r="D107" t="s">
        <v>253</v>
      </c>
      <c r="E107" t="s">
        <v>123</v>
      </c>
      <c r="F107">
        <v>6</v>
      </c>
      <c r="G107">
        <v>6</v>
      </c>
      <c r="H107">
        <v>6</v>
      </c>
      <c r="I107" t="s">
        <v>13692</v>
      </c>
      <c r="J107">
        <f t="shared" si="6"/>
        <v>0</v>
      </c>
      <c r="K107" t="str">
        <f t="shared" si="7"/>
        <v>一致</v>
      </c>
      <c r="L107">
        <f>J107*VLOOKUP(stock_counts__2[[#This Row],[sku]],products!A:F,6,0)</f>
        <v>0</v>
      </c>
    </row>
    <row r="108" spans="1:12" x14ac:dyDescent="0.25">
      <c r="A108" t="s">
        <v>13797</v>
      </c>
      <c r="B108" s="2">
        <v>46241.833333333336</v>
      </c>
      <c r="C108" t="s">
        <v>51</v>
      </c>
      <c r="D108" t="s">
        <v>254</v>
      </c>
      <c r="E108" t="s">
        <v>125</v>
      </c>
      <c r="F108">
        <v>98</v>
      </c>
      <c r="G108">
        <v>98</v>
      </c>
      <c r="H108">
        <v>98</v>
      </c>
      <c r="I108" t="s">
        <v>13692</v>
      </c>
      <c r="J108">
        <f t="shared" si="6"/>
        <v>0</v>
      </c>
      <c r="K108" t="str">
        <f t="shared" si="7"/>
        <v>一致</v>
      </c>
      <c r="L108">
        <f>J108*VLOOKUP(stock_counts__2[[#This Row],[sku]],products!A:F,6,0)</f>
        <v>0</v>
      </c>
    </row>
    <row r="109" spans="1:12" x14ac:dyDescent="0.25">
      <c r="A109" t="s">
        <v>13798</v>
      </c>
      <c r="B109" s="2">
        <v>46241.833333333336</v>
      </c>
      <c r="C109" t="s">
        <v>57</v>
      </c>
      <c r="D109" t="s">
        <v>255</v>
      </c>
      <c r="E109" t="s">
        <v>131</v>
      </c>
      <c r="F109">
        <v>10</v>
      </c>
      <c r="G109">
        <v>10</v>
      </c>
      <c r="H109">
        <v>10</v>
      </c>
      <c r="I109" t="s">
        <v>13692</v>
      </c>
      <c r="J109">
        <f t="shared" si="6"/>
        <v>0</v>
      </c>
      <c r="K109" t="str">
        <f t="shared" si="7"/>
        <v>一致</v>
      </c>
      <c r="L109">
        <f>J109*VLOOKUP(stock_counts__2[[#This Row],[sku]],products!A:F,6,0)</f>
        <v>0</v>
      </c>
    </row>
    <row r="110" spans="1:12" x14ac:dyDescent="0.25">
      <c r="A110" t="s">
        <v>13799</v>
      </c>
      <c r="B110" s="2">
        <v>46241.833333333336</v>
      </c>
      <c r="C110" t="s">
        <v>69</v>
      </c>
      <c r="D110" t="s">
        <v>256</v>
      </c>
      <c r="E110" t="s">
        <v>139</v>
      </c>
      <c r="F110">
        <v>84</v>
      </c>
      <c r="G110">
        <v>84</v>
      </c>
      <c r="H110">
        <v>84</v>
      </c>
      <c r="I110" t="s">
        <v>13692</v>
      </c>
      <c r="J110">
        <f t="shared" si="6"/>
        <v>0</v>
      </c>
      <c r="K110" t="str">
        <f t="shared" si="7"/>
        <v>一致</v>
      </c>
      <c r="L110">
        <f>J110*VLOOKUP(stock_counts__2[[#This Row],[sku]],products!A:F,6,0)</f>
        <v>0</v>
      </c>
    </row>
    <row r="111" spans="1:12" x14ac:dyDescent="0.25">
      <c r="A111" t="s">
        <v>13800</v>
      </c>
      <c r="B111" s="2">
        <v>46241.833333333336</v>
      </c>
      <c r="C111" t="s">
        <v>71</v>
      </c>
      <c r="D111" t="s">
        <v>257</v>
      </c>
      <c r="E111" t="s">
        <v>141</v>
      </c>
      <c r="F111">
        <v>62</v>
      </c>
      <c r="G111">
        <v>62</v>
      </c>
      <c r="H111">
        <v>62</v>
      </c>
      <c r="I111" t="s">
        <v>13692</v>
      </c>
      <c r="J111">
        <f t="shared" si="6"/>
        <v>0</v>
      </c>
      <c r="K111" t="str">
        <f t="shared" si="7"/>
        <v>一致</v>
      </c>
      <c r="L111">
        <f>J111*VLOOKUP(stock_counts__2[[#This Row],[sku]],products!A:F,6,0)</f>
        <v>0</v>
      </c>
    </row>
    <row r="112" spans="1:12" x14ac:dyDescent="0.25">
      <c r="A112" t="s">
        <v>13801</v>
      </c>
      <c r="B112" s="2">
        <v>46241.833333333336</v>
      </c>
      <c r="C112" t="s">
        <v>73</v>
      </c>
      <c r="D112" t="s">
        <v>258</v>
      </c>
      <c r="E112" t="s">
        <v>143</v>
      </c>
      <c r="F112">
        <v>93</v>
      </c>
      <c r="G112">
        <v>91</v>
      </c>
      <c r="H112">
        <v>91</v>
      </c>
      <c r="I112" t="s">
        <v>13690</v>
      </c>
      <c r="J112">
        <f t="shared" si="6"/>
        <v>-2</v>
      </c>
      <c r="K112" t="str">
        <f t="shared" si="7"/>
        <v>盘亏</v>
      </c>
      <c r="L112">
        <f>J112*VLOOKUP(stock_counts__2[[#This Row],[sku]],products!A:F,6,0)</f>
        <v>-28.38</v>
      </c>
    </row>
    <row r="113" spans="1:12" x14ac:dyDescent="0.25">
      <c r="A113" t="s">
        <v>13802</v>
      </c>
      <c r="B113" s="2">
        <v>46241.833333333336</v>
      </c>
      <c r="C113" t="s">
        <v>75</v>
      </c>
      <c r="D113" t="s">
        <v>259</v>
      </c>
      <c r="E113" t="s">
        <v>145</v>
      </c>
      <c r="F113">
        <v>70</v>
      </c>
      <c r="G113">
        <v>70</v>
      </c>
      <c r="H113">
        <v>70</v>
      </c>
      <c r="I113" t="s">
        <v>13692</v>
      </c>
      <c r="J113">
        <f t="shared" si="6"/>
        <v>0</v>
      </c>
      <c r="K113" t="str">
        <f t="shared" si="7"/>
        <v>一致</v>
      </c>
      <c r="L113">
        <f>J113*VLOOKUP(stock_counts__2[[#This Row],[sku]],products!A:F,6,0)</f>
        <v>0</v>
      </c>
    </row>
    <row r="114" spans="1:12" x14ac:dyDescent="0.25">
      <c r="A114" t="s">
        <v>13803</v>
      </c>
      <c r="B114" s="2">
        <v>46241.833333333336</v>
      </c>
      <c r="C114" t="s">
        <v>24</v>
      </c>
      <c r="D114" t="s">
        <v>263</v>
      </c>
      <c r="E114" t="s">
        <v>101</v>
      </c>
      <c r="F114">
        <v>7</v>
      </c>
      <c r="G114">
        <v>7</v>
      </c>
      <c r="H114">
        <v>7</v>
      </c>
      <c r="I114" t="s">
        <v>13692</v>
      </c>
      <c r="J114">
        <f t="shared" si="6"/>
        <v>0</v>
      </c>
      <c r="K114" t="str">
        <f t="shared" si="7"/>
        <v>一致</v>
      </c>
      <c r="L114">
        <f>J114*VLOOKUP(stock_counts__2[[#This Row],[sku]],products!A:F,6,0)</f>
        <v>0</v>
      </c>
    </row>
    <row r="115" spans="1:12" x14ac:dyDescent="0.25">
      <c r="A115" t="s">
        <v>13804</v>
      </c>
      <c r="B115" s="2">
        <v>46241.833333333336</v>
      </c>
      <c r="C115" t="s">
        <v>41</v>
      </c>
      <c r="D115" t="s">
        <v>265</v>
      </c>
      <c r="E115" t="s">
        <v>115</v>
      </c>
      <c r="F115">
        <v>68</v>
      </c>
      <c r="G115">
        <v>68</v>
      </c>
      <c r="H115">
        <v>68</v>
      </c>
      <c r="I115" t="s">
        <v>13692</v>
      </c>
      <c r="J115">
        <f t="shared" si="6"/>
        <v>0</v>
      </c>
      <c r="K115" t="str">
        <f t="shared" si="7"/>
        <v>一致</v>
      </c>
      <c r="L115">
        <f>J115*VLOOKUP(stock_counts__2[[#This Row],[sku]],products!A:F,6,0)</f>
        <v>0</v>
      </c>
    </row>
    <row r="116" spans="1:12" x14ac:dyDescent="0.25">
      <c r="A116" t="s">
        <v>13805</v>
      </c>
      <c r="B116" s="2">
        <v>46241.833333333336</v>
      </c>
      <c r="C116" t="s">
        <v>43</v>
      </c>
      <c r="D116" t="s">
        <v>266</v>
      </c>
      <c r="E116" t="s">
        <v>117</v>
      </c>
      <c r="F116">
        <v>46</v>
      </c>
      <c r="G116">
        <v>46</v>
      </c>
      <c r="H116">
        <v>46</v>
      </c>
      <c r="I116" t="s">
        <v>13692</v>
      </c>
      <c r="J116">
        <f t="shared" si="6"/>
        <v>0</v>
      </c>
      <c r="K116" t="str">
        <f t="shared" si="7"/>
        <v>一致</v>
      </c>
      <c r="L116">
        <f>J116*VLOOKUP(stock_counts__2[[#This Row],[sku]],products!A:F,6,0)</f>
        <v>0</v>
      </c>
    </row>
    <row r="117" spans="1:12" x14ac:dyDescent="0.25">
      <c r="A117" t="s">
        <v>13806</v>
      </c>
      <c r="B117" s="2">
        <v>46241.833333333336</v>
      </c>
      <c r="C117" t="s">
        <v>45</v>
      </c>
      <c r="D117" t="s">
        <v>267</v>
      </c>
      <c r="E117" t="s">
        <v>119</v>
      </c>
      <c r="F117">
        <v>34</v>
      </c>
      <c r="G117">
        <v>34</v>
      </c>
      <c r="H117">
        <v>34</v>
      </c>
      <c r="I117" t="s">
        <v>13692</v>
      </c>
      <c r="J117">
        <f t="shared" si="6"/>
        <v>0</v>
      </c>
      <c r="K117" t="str">
        <f t="shared" si="7"/>
        <v>一致</v>
      </c>
      <c r="L117">
        <f>J117*VLOOKUP(stock_counts__2[[#This Row],[sku]],products!A:F,6,0)</f>
        <v>0</v>
      </c>
    </row>
    <row r="118" spans="1:12" x14ac:dyDescent="0.25">
      <c r="A118" t="s">
        <v>13807</v>
      </c>
      <c r="B118" s="2">
        <v>46241.833333333336</v>
      </c>
      <c r="C118" t="s">
        <v>47</v>
      </c>
      <c r="D118" t="s">
        <v>268</v>
      </c>
      <c r="E118" t="s">
        <v>121</v>
      </c>
      <c r="F118">
        <v>63</v>
      </c>
      <c r="G118">
        <v>63</v>
      </c>
      <c r="H118">
        <v>63</v>
      </c>
      <c r="I118" t="s">
        <v>13692</v>
      </c>
      <c r="J118">
        <f t="shared" si="6"/>
        <v>0</v>
      </c>
      <c r="K118" t="str">
        <f t="shared" si="7"/>
        <v>一致</v>
      </c>
      <c r="L118">
        <f>J118*VLOOKUP(stock_counts__2[[#This Row],[sku]],products!A:F,6,0)</f>
        <v>0</v>
      </c>
    </row>
    <row r="119" spans="1:12" x14ac:dyDescent="0.25">
      <c r="A119" t="s">
        <v>13808</v>
      </c>
      <c r="B119" s="2">
        <v>46241.833333333336</v>
      </c>
      <c r="C119" t="s">
        <v>55</v>
      </c>
      <c r="D119" t="s">
        <v>269</v>
      </c>
      <c r="E119" t="s">
        <v>129</v>
      </c>
      <c r="F119">
        <v>85</v>
      </c>
      <c r="G119">
        <v>85</v>
      </c>
      <c r="H119">
        <v>85</v>
      </c>
      <c r="I119" t="s">
        <v>13692</v>
      </c>
      <c r="J119">
        <f t="shared" si="6"/>
        <v>0</v>
      </c>
      <c r="K119" t="str">
        <f t="shared" si="7"/>
        <v>一致</v>
      </c>
      <c r="L119">
        <f>J119*VLOOKUP(stock_counts__2[[#This Row],[sku]],products!A:F,6,0)</f>
        <v>0</v>
      </c>
    </row>
    <row r="120" spans="1:12" x14ac:dyDescent="0.25">
      <c r="A120" t="s">
        <v>13809</v>
      </c>
      <c r="B120" s="2">
        <v>46241.833333333336</v>
      </c>
      <c r="C120" t="s">
        <v>59</v>
      </c>
      <c r="D120" t="s">
        <v>270</v>
      </c>
      <c r="E120" t="s">
        <v>133</v>
      </c>
      <c r="F120">
        <v>60</v>
      </c>
      <c r="G120">
        <v>60</v>
      </c>
      <c r="H120">
        <v>60</v>
      </c>
      <c r="I120" t="s">
        <v>13692</v>
      </c>
      <c r="J120">
        <f t="shared" si="6"/>
        <v>0</v>
      </c>
      <c r="K120" t="str">
        <f t="shared" si="7"/>
        <v>一致</v>
      </c>
      <c r="L120">
        <f>J120*VLOOKUP(stock_counts__2[[#This Row],[sku]],products!A:F,6,0)</f>
        <v>0</v>
      </c>
    </row>
    <row r="121" spans="1:12" x14ac:dyDescent="0.25">
      <c r="A121" t="s">
        <v>13810</v>
      </c>
      <c r="B121" s="2">
        <v>46241.833333333336</v>
      </c>
      <c r="C121" t="s">
        <v>67</v>
      </c>
      <c r="D121" t="s">
        <v>271</v>
      </c>
      <c r="E121" t="s">
        <v>137</v>
      </c>
      <c r="F121">
        <v>81</v>
      </c>
      <c r="G121">
        <v>82</v>
      </c>
      <c r="H121">
        <v>82</v>
      </c>
      <c r="I121" t="s">
        <v>13690</v>
      </c>
      <c r="J121">
        <f t="shared" si="6"/>
        <v>1</v>
      </c>
      <c r="K121" t="str">
        <f t="shared" si="7"/>
        <v>盘盈</v>
      </c>
      <c r="L121">
        <f>J121*VLOOKUP(stock_counts__2[[#This Row],[sku]],products!A:F,6,0)</f>
        <v>12.46</v>
      </c>
    </row>
    <row r="122" spans="1:12" x14ac:dyDescent="0.25">
      <c r="A122" t="s">
        <v>13811</v>
      </c>
      <c r="B122" s="2">
        <v>46241.833333333336</v>
      </c>
      <c r="C122" t="s">
        <v>75</v>
      </c>
      <c r="D122" t="s">
        <v>272</v>
      </c>
      <c r="E122" t="s">
        <v>145</v>
      </c>
      <c r="F122">
        <v>74</v>
      </c>
      <c r="G122">
        <v>74</v>
      </c>
      <c r="H122">
        <v>74</v>
      </c>
      <c r="I122" t="s">
        <v>13692</v>
      </c>
      <c r="J122">
        <f t="shared" si="6"/>
        <v>0</v>
      </c>
      <c r="K122" t="str">
        <f t="shared" si="7"/>
        <v>一致</v>
      </c>
      <c r="L122">
        <f>J122*VLOOKUP(stock_counts__2[[#This Row],[sku]],products!A:F,6,0)</f>
        <v>0</v>
      </c>
    </row>
    <row r="123" spans="1:12" x14ac:dyDescent="0.25">
      <c r="A123" t="s">
        <v>13812</v>
      </c>
      <c r="B123" s="2">
        <v>46241.833333333336</v>
      </c>
      <c r="C123" t="s">
        <v>77</v>
      </c>
      <c r="D123" t="s">
        <v>273</v>
      </c>
      <c r="E123" t="s">
        <v>147</v>
      </c>
      <c r="F123">
        <v>86</v>
      </c>
      <c r="G123">
        <v>84</v>
      </c>
      <c r="H123">
        <v>84</v>
      </c>
      <c r="I123" t="s">
        <v>13690</v>
      </c>
      <c r="J123">
        <f t="shared" si="6"/>
        <v>-2</v>
      </c>
      <c r="K123" t="str">
        <f t="shared" si="7"/>
        <v>盘亏</v>
      </c>
      <c r="L123">
        <f>J123*VLOOKUP(stock_counts__2[[#This Row],[sku]],products!A:F,6,0)</f>
        <v>-111.06</v>
      </c>
    </row>
    <row r="124" spans="1:12" x14ac:dyDescent="0.25">
      <c r="A124" t="s">
        <v>13813</v>
      </c>
      <c r="B124" s="2">
        <v>46241.833333333336</v>
      </c>
      <c r="C124" t="s">
        <v>11</v>
      </c>
      <c r="D124" t="s">
        <v>274</v>
      </c>
      <c r="E124" t="s">
        <v>92</v>
      </c>
      <c r="F124">
        <v>44</v>
      </c>
      <c r="G124">
        <v>44</v>
      </c>
      <c r="H124">
        <v>44</v>
      </c>
      <c r="I124" t="s">
        <v>13692</v>
      </c>
      <c r="J124">
        <f t="shared" si="6"/>
        <v>0</v>
      </c>
      <c r="K124" t="str">
        <f t="shared" si="7"/>
        <v>一致</v>
      </c>
      <c r="L124">
        <f>J124*VLOOKUP(stock_counts__2[[#This Row],[sku]],products!A:F,6,0)</f>
        <v>0</v>
      </c>
    </row>
    <row r="125" spans="1:12" x14ac:dyDescent="0.25">
      <c r="A125" t="s">
        <v>13814</v>
      </c>
      <c r="B125" s="2">
        <v>46241.833333333336</v>
      </c>
      <c r="C125" t="s">
        <v>18</v>
      </c>
      <c r="D125" t="s">
        <v>275</v>
      </c>
      <c r="E125" t="s">
        <v>95</v>
      </c>
      <c r="F125">
        <v>71</v>
      </c>
      <c r="G125">
        <v>71</v>
      </c>
      <c r="H125">
        <v>71</v>
      </c>
      <c r="I125" t="s">
        <v>13692</v>
      </c>
      <c r="J125">
        <f t="shared" si="6"/>
        <v>0</v>
      </c>
      <c r="K125" t="str">
        <f t="shared" si="7"/>
        <v>一致</v>
      </c>
      <c r="L125">
        <f>J125*VLOOKUP(stock_counts__2[[#This Row],[sku]],products!A:F,6,0)</f>
        <v>0</v>
      </c>
    </row>
    <row r="126" spans="1:12" x14ac:dyDescent="0.25">
      <c r="A126" t="s">
        <v>13815</v>
      </c>
      <c r="B126" s="2">
        <v>46241.833333333336</v>
      </c>
      <c r="C126" t="s">
        <v>20</v>
      </c>
      <c r="D126" t="s">
        <v>276</v>
      </c>
      <c r="E126" t="s">
        <v>97</v>
      </c>
      <c r="F126">
        <v>12</v>
      </c>
      <c r="G126">
        <v>12</v>
      </c>
      <c r="H126">
        <v>12</v>
      </c>
      <c r="I126" t="s">
        <v>13692</v>
      </c>
      <c r="J126">
        <f t="shared" si="6"/>
        <v>0</v>
      </c>
      <c r="K126" t="str">
        <f t="shared" si="7"/>
        <v>一致</v>
      </c>
      <c r="L126">
        <f>J126*VLOOKUP(stock_counts__2[[#This Row],[sku]],products!A:F,6,0)</f>
        <v>0</v>
      </c>
    </row>
    <row r="127" spans="1:12" x14ac:dyDescent="0.25">
      <c r="A127" t="s">
        <v>13816</v>
      </c>
      <c r="B127" s="2">
        <v>46241.833333333336</v>
      </c>
      <c r="C127" t="s">
        <v>22</v>
      </c>
      <c r="D127" t="s">
        <v>277</v>
      </c>
      <c r="E127" t="s">
        <v>99</v>
      </c>
      <c r="F127">
        <v>60</v>
      </c>
      <c r="G127">
        <v>60</v>
      </c>
      <c r="H127">
        <v>60</v>
      </c>
      <c r="I127" t="s">
        <v>13692</v>
      </c>
      <c r="J127">
        <f t="shared" si="6"/>
        <v>0</v>
      </c>
      <c r="K127" t="str">
        <f t="shared" si="7"/>
        <v>一致</v>
      </c>
      <c r="L127">
        <f>J127*VLOOKUP(stock_counts__2[[#This Row],[sku]],products!A:F,6,0)</f>
        <v>0</v>
      </c>
    </row>
    <row r="128" spans="1:12" x14ac:dyDescent="0.25">
      <c r="A128" t="s">
        <v>13817</v>
      </c>
      <c r="B128" s="2">
        <v>46241.833333333336</v>
      </c>
      <c r="C128" t="s">
        <v>24</v>
      </c>
      <c r="D128" t="s">
        <v>278</v>
      </c>
      <c r="E128" t="s">
        <v>101</v>
      </c>
      <c r="F128">
        <v>36</v>
      </c>
      <c r="G128">
        <v>36</v>
      </c>
      <c r="H128">
        <v>36</v>
      </c>
      <c r="I128" t="s">
        <v>13692</v>
      </c>
      <c r="J128">
        <f t="shared" si="6"/>
        <v>0</v>
      </c>
      <c r="K128" t="str">
        <f t="shared" si="7"/>
        <v>一致</v>
      </c>
      <c r="L128">
        <f>J128*VLOOKUP(stock_counts__2[[#This Row],[sku]],products!A:F,6,0)</f>
        <v>0</v>
      </c>
    </row>
    <row r="129" spans="1:12" x14ac:dyDescent="0.25">
      <c r="A129" t="s">
        <v>13818</v>
      </c>
      <c r="B129" s="2">
        <v>46241.833333333336</v>
      </c>
      <c r="C129" t="s">
        <v>26</v>
      </c>
      <c r="D129" t="s">
        <v>279</v>
      </c>
      <c r="E129" t="s">
        <v>103</v>
      </c>
      <c r="F129">
        <v>55</v>
      </c>
      <c r="G129">
        <v>55</v>
      </c>
      <c r="H129">
        <v>55</v>
      </c>
      <c r="I129" t="s">
        <v>13692</v>
      </c>
      <c r="J129">
        <f t="shared" si="6"/>
        <v>0</v>
      </c>
      <c r="K129" t="str">
        <f t="shared" si="7"/>
        <v>一致</v>
      </c>
      <c r="L129">
        <f>J129*VLOOKUP(stock_counts__2[[#This Row],[sku]],products!A:F,6,0)</f>
        <v>0</v>
      </c>
    </row>
    <row r="130" spans="1:12" x14ac:dyDescent="0.25">
      <c r="A130" t="s">
        <v>13819</v>
      </c>
      <c r="B130" s="2">
        <v>46241.833333333336</v>
      </c>
      <c r="C130" t="s">
        <v>32</v>
      </c>
      <c r="D130" t="s">
        <v>280</v>
      </c>
      <c r="E130" t="s">
        <v>109</v>
      </c>
      <c r="F130">
        <v>78</v>
      </c>
      <c r="G130">
        <v>78</v>
      </c>
      <c r="H130">
        <v>78</v>
      </c>
      <c r="I130" t="s">
        <v>13692</v>
      </c>
      <c r="J130">
        <f t="shared" ref="J130:J161" si="8">H130-F130</f>
        <v>0</v>
      </c>
      <c r="K130" t="str">
        <f t="shared" ref="K130:K161" si="9">IF(J130=0,"一致",IF(J130&gt;0,"盘盈","盘亏"))</f>
        <v>一致</v>
      </c>
      <c r="L130">
        <f>J130*VLOOKUP(stock_counts__2[[#This Row],[sku]],products!A:F,6,0)</f>
        <v>0</v>
      </c>
    </row>
    <row r="131" spans="1:12" x14ac:dyDescent="0.25">
      <c r="A131" t="s">
        <v>13820</v>
      </c>
      <c r="B131" s="2">
        <v>46241.833333333336</v>
      </c>
      <c r="C131" t="s">
        <v>36</v>
      </c>
      <c r="D131" t="s">
        <v>281</v>
      </c>
      <c r="E131" t="s">
        <v>113</v>
      </c>
      <c r="F131">
        <v>85</v>
      </c>
      <c r="G131">
        <v>85</v>
      </c>
      <c r="H131">
        <v>85</v>
      </c>
      <c r="I131" t="s">
        <v>13692</v>
      </c>
      <c r="J131">
        <f t="shared" si="8"/>
        <v>0</v>
      </c>
      <c r="K131" t="str">
        <f t="shared" si="9"/>
        <v>一致</v>
      </c>
      <c r="L131">
        <f>J131*VLOOKUP(stock_counts__2[[#This Row],[sku]],products!A:F,6,0)</f>
        <v>0</v>
      </c>
    </row>
    <row r="132" spans="1:12" x14ac:dyDescent="0.25">
      <c r="A132" t="s">
        <v>13821</v>
      </c>
      <c r="B132" s="2">
        <v>46241.833333333336</v>
      </c>
      <c r="C132" t="s">
        <v>47</v>
      </c>
      <c r="D132" t="s">
        <v>282</v>
      </c>
      <c r="E132" t="s">
        <v>121</v>
      </c>
      <c r="F132">
        <v>100</v>
      </c>
      <c r="G132">
        <v>100</v>
      </c>
      <c r="H132">
        <v>100</v>
      </c>
      <c r="I132" t="s">
        <v>13692</v>
      </c>
      <c r="J132">
        <f t="shared" si="8"/>
        <v>0</v>
      </c>
      <c r="K132" t="str">
        <f t="shared" si="9"/>
        <v>一致</v>
      </c>
      <c r="L132">
        <f>J132*VLOOKUP(stock_counts__2[[#This Row],[sku]],products!A:F,6,0)</f>
        <v>0</v>
      </c>
    </row>
    <row r="133" spans="1:12" x14ac:dyDescent="0.25">
      <c r="A133" t="s">
        <v>13822</v>
      </c>
      <c r="B133" s="2">
        <v>46241.833333333336</v>
      </c>
      <c r="C133" t="s">
        <v>59</v>
      </c>
      <c r="D133" t="s">
        <v>283</v>
      </c>
      <c r="E133" t="s">
        <v>133</v>
      </c>
      <c r="F133">
        <v>97</v>
      </c>
      <c r="G133">
        <v>97</v>
      </c>
      <c r="H133">
        <v>97</v>
      </c>
      <c r="I133" t="s">
        <v>13692</v>
      </c>
      <c r="J133">
        <f t="shared" si="8"/>
        <v>0</v>
      </c>
      <c r="K133" t="str">
        <f t="shared" si="9"/>
        <v>一致</v>
      </c>
      <c r="L133">
        <f>J133*VLOOKUP(stock_counts__2[[#This Row],[sku]],products!A:F,6,0)</f>
        <v>0</v>
      </c>
    </row>
    <row r="134" spans="1:12" x14ac:dyDescent="0.25">
      <c r="A134" t="s">
        <v>13823</v>
      </c>
      <c r="B134" s="2">
        <v>46241.833333333336</v>
      </c>
      <c r="C134" t="s">
        <v>65</v>
      </c>
      <c r="D134" t="s">
        <v>284</v>
      </c>
      <c r="E134" t="s">
        <v>135</v>
      </c>
      <c r="F134">
        <v>68</v>
      </c>
      <c r="G134">
        <v>66</v>
      </c>
      <c r="H134">
        <v>66</v>
      </c>
      <c r="I134" t="s">
        <v>13690</v>
      </c>
      <c r="J134">
        <f t="shared" si="8"/>
        <v>-2</v>
      </c>
      <c r="K134" t="str">
        <f t="shared" si="9"/>
        <v>盘亏</v>
      </c>
      <c r="L134">
        <f>J134*VLOOKUP(stock_counts__2[[#This Row],[sku]],products!A:F,6,0)</f>
        <v>-32.72</v>
      </c>
    </row>
    <row r="135" spans="1:12" x14ac:dyDescent="0.25">
      <c r="A135" t="s">
        <v>13824</v>
      </c>
      <c r="B135" s="2">
        <v>46271.833333333336</v>
      </c>
      <c r="C135" t="s">
        <v>34</v>
      </c>
      <c r="D135" t="s">
        <v>110</v>
      </c>
      <c r="E135" t="s">
        <v>111</v>
      </c>
      <c r="F135">
        <v>80</v>
      </c>
      <c r="G135">
        <v>80</v>
      </c>
      <c r="H135">
        <v>80</v>
      </c>
      <c r="I135" t="s">
        <v>13692</v>
      </c>
      <c r="J135">
        <f t="shared" si="8"/>
        <v>0</v>
      </c>
      <c r="K135" t="str">
        <f t="shared" si="9"/>
        <v>一致</v>
      </c>
      <c r="L135">
        <f>J135*VLOOKUP(stock_counts__2[[#This Row],[sku]],products!A:F,6,0)</f>
        <v>0</v>
      </c>
    </row>
    <row r="136" spans="1:12" x14ac:dyDescent="0.25">
      <c r="A136" t="s">
        <v>13825</v>
      </c>
      <c r="B136" s="2">
        <v>46271.833333333336</v>
      </c>
      <c r="C136" t="s">
        <v>79</v>
      </c>
      <c r="D136" t="s">
        <v>148</v>
      </c>
      <c r="E136" t="s">
        <v>149</v>
      </c>
      <c r="F136">
        <v>212</v>
      </c>
      <c r="G136">
        <v>212</v>
      </c>
      <c r="H136">
        <v>212</v>
      </c>
      <c r="I136" t="s">
        <v>13692</v>
      </c>
      <c r="J136">
        <f t="shared" si="8"/>
        <v>0</v>
      </c>
      <c r="K136" t="str">
        <f t="shared" si="9"/>
        <v>一致</v>
      </c>
      <c r="L136">
        <f>J136*VLOOKUP(stock_counts__2[[#This Row],[sku]],products!A:F,6,0)</f>
        <v>0</v>
      </c>
    </row>
    <row r="137" spans="1:12" x14ac:dyDescent="0.25">
      <c r="A137" t="s">
        <v>13826</v>
      </c>
      <c r="B137" s="2">
        <v>46271.833333333336</v>
      </c>
      <c r="C137" t="s">
        <v>82</v>
      </c>
      <c r="D137" t="s">
        <v>150</v>
      </c>
      <c r="E137" t="s">
        <v>151</v>
      </c>
      <c r="F137">
        <v>240</v>
      </c>
      <c r="G137">
        <v>240</v>
      </c>
      <c r="H137">
        <v>240</v>
      </c>
      <c r="I137" t="s">
        <v>13692</v>
      </c>
      <c r="J137">
        <f t="shared" si="8"/>
        <v>0</v>
      </c>
      <c r="K137" t="str">
        <f t="shared" si="9"/>
        <v>一致</v>
      </c>
      <c r="L137">
        <f>J137*VLOOKUP(stock_counts__2[[#This Row],[sku]],products!A:F,6,0)</f>
        <v>0</v>
      </c>
    </row>
    <row r="138" spans="1:12" x14ac:dyDescent="0.25">
      <c r="A138" t="s">
        <v>13827</v>
      </c>
      <c r="B138" s="2">
        <v>46271.833333333336</v>
      </c>
      <c r="C138" t="s">
        <v>34</v>
      </c>
      <c r="D138" t="s">
        <v>161</v>
      </c>
      <c r="E138" t="s">
        <v>111</v>
      </c>
      <c r="F138">
        <v>86</v>
      </c>
      <c r="G138">
        <v>87</v>
      </c>
      <c r="H138">
        <v>87</v>
      </c>
      <c r="I138" t="s">
        <v>13690</v>
      </c>
      <c r="J138">
        <f t="shared" si="8"/>
        <v>1</v>
      </c>
      <c r="K138" t="str">
        <f t="shared" si="9"/>
        <v>盘盈</v>
      </c>
      <c r="L138">
        <f>J138*VLOOKUP(stock_counts__2[[#This Row],[sku]],products!A:F,6,0)</f>
        <v>29.05</v>
      </c>
    </row>
    <row r="139" spans="1:12" x14ac:dyDescent="0.25">
      <c r="A139" t="s">
        <v>13828</v>
      </c>
      <c r="B139" s="2">
        <v>46271.833333333336</v>
      </c>
      <c r="C139" t="s">
        <v>41</v>
      </c>
      <c r="D139" t="s">
        <v>163</v>
      </c>
      <c r="E139" t="s">
        <v>115</v>
      </c>
      <c r="F139">
        <v>60</v>
      </c>
      <c r="G139">
        <v>60</v>
      </c>
      <c r="H139">
        <v>60</v>
      </c>
      <c r="I139" t="s">
        <v>13692</v>
      </c>
      <c r="J139">
        <f t="shared" si="8"/>
        <v>0</v>
      </c>
      <c r="K139" t="str">
        <f t="shared" si="9"/>
        <v>一致</v>
      </c>
      <c r="L139">
        <f>J139*VLOOKUP(stock_counts__2[[#This Row],[sku]],products!A:F,6,0)</f>
        <v>0</v>
      </c>
    </row>
    <row r="140" spans="1:12" x14ac:dyDescent="0.25">
      <c r="A140" t="s">
        <v>13829</v>
      </c>
      <c r="B140" s="2">
        <v>46271.833333333336</v>
      </c>
      <c r="C140" t="s">
        <v>57</v>
      </c>
      <c r="D140" t="s">
        <v>171</v>
      </c>
      <c r="E140" t="s">
        <v>131</v>
      </c>
      <c r="F140">
        <v>13</v>
      </c>
      <c r="G140">
        <v>13</v>
      </c>
      <c r="H140">
        <v>13</v>
      </c>
      <c r="I140" t="s">
        <v>13692</v>
      </c>
      <c r="J140">
        <f t="shared" si="8"/>
        <v>0</v>
      </c>
      <c r="K140" t="str">
        <f t="shared" si="9"/>
        <v>一致</v>
      </c>
      <c r="L140">
        <f>J140*VLOOKUP(stock_counts__2[[#This Row],[sku]],products!A:F,6,0)</f>
        <v>0</v>
      </c>
    </row>
    <row r="141" spans="1:12" x14ac:dyDescent="0.25">
      <c r="A141" t="s">
        <v>13830</v>
      </c>
      <c r="B141" s="2">
        <v>46271.833333333336</v>
      </c>
      <c r="C141" t="s">
        <v>45</v>
      </c>
      <c r="D141" t="s">
        <v>189</v>
      </c>
      <c r="E141" t="s">
        <v>119</v>
      </c>
      <c r="F141">
        <v>69</v>
      </c>
      <c r="G141">
        <v>69</v>
      </c>
      <c r="H141">
        <v>69</v>
      </c>
      <c r="I141" t="s">
        <v>13692</v>
      </c>
      <c r="J141">
        <f t="shared" si="8"/>
        <v>0</v>
      </c>
      <c r="K141" t="str">
        <f t="shared" si="9"/>
        <v>一致</v>
      </c>
      <c r="L141">
        <f>J141*VLOOKUP(stock_counts__2[[#This Row],[sku]],products!A:F,6,0)</f>
        <v>0</v>
      </c>
    </row>
    <row r="142" spans="1:12" x14ac:dyDescent="0.25">
      <c r="A142" t="s">
        <v>13831</v>
      </c>
      <c r="B142" s="2">
        <v>46271.833333333336</v>
      </c>
      <c r="C142" t="s">
        <v>49</v>
      </c>
      <c r="D142" t="s">
        <v>191</v>
      </c>
      <c r="E142" t="s">
        <v>123</v>
      </c>
      <c r="F142">
        <v>80</v>
      </c>
      <c r="G142">
        <v>80</v>
      </c>
      <c r="H142">
        <v>80</v>
      </c>
      <c r="I142" t="s">
        <v>13692</v>
      </c>
      <c r="J142">
        <f t="shared" si="8"/>
        <v>0</v>
      </c>
      <c r="K142" t="str">
        <f t="shared" si="9"/>
        <v>一致</v>
      </c>
      <c r="L142">
        <f>J142*VLOOKUP(stock_counts__2[[#This Row],[sku]],products!A:F,6,0)</f>
        <v>0</v>
      </c>
    </row>
    <row r="143" spans="1:12" x14ac:dyDescent="0.25">
      <c r="A143" t="s">
        <v>13832</v>
      </c>
      <c r="B143" s="2">
        <v>46271.833333333336</v>
      </c>
      <c r="C143" t="s">
        <v>57</v>
      </c>
      <c r="D143" t="s">
        <v>193</v>
      </c>
      <c r="E143" t="s">
        <v>131</v>
      </c>
      <c r="F143">
        <v>76</v>
      </c>
      <c r="G143">
        <v>76</v>
      </c>
      <c r="H143">
        <v>76</v>
      </c>
      <c r="I143" t="s">
        <v>13692</v>
      </c>
      <c r="J143">
        <f t="shared" si="8"/>
        <v>0</v>
      </c>
      <c r="K143" t="str">
        <f t="shared" si="9"/>
        <v>一致</v>
      </c>
      <c r="L143">
        <f>J143*VLOOKUP(stock_counts__2[[#This Row],[sku]],products!A:F,6,0)</f>
        <v>0</v>
      </c>
    </row>
    <row r="144" spans="1:12" x14ac:dyDescent="0.25">
      <c r="A144" t="s">
        <v>13833</v>
      </c>
      <c r="B144" s="2">
        <v>46271.833333333336</v>
      </c>
      <c r="C144" t="s">
        <v>18</v>
      </c>
      <c r="D144" t="s">
        <v>202</v>
      </c>
      <c r="E144" t="s">
        <v>95</v>
      </c>
      <c r="F144">
        <v>35</v>
      </c>
      <c r="G144">
        <v>35</v>
      </c>
      <c r="H144">
        <v>35</v>
      </c>
      <c r="I144" t="s">
        <v>13692</v>
      </c>
      <c r="J144">
        <f t="shared" si="8"/>
        <v>0</v>
      </c>
      <c r="K144" t="str">
        <f t="shared" si="9"/>
        <v>一致</v>
      </c>
      <c r="L144">
        <f>J144*VLOOKUP(stock_counts__2[[#This Row],[sku]],products!A:F,6,0)</f>
        <v>0</v>
      </c>
    </row>
    <row r="145" spans="1:12" x14ac:dyDescent="0.25">
      <c r="A145" t="s">
        <v>13834</v>
      </c>
      <c r="B145" s="2">
        <v>46271.833333333336</v>
      </c>
      <c r="C145" t="s">
        <v>24</v>
      </c>
      <c r="D145" t="s">
        <v>218</v>
      </c>
      <c r="E145" t="s">
        <v>101</v>
      </c>
      <c r="F145">
        <v>8</v>
      </c>
      <c r="G145">
        <v>6</v>
      </c>
      <c r="H145">
        <v>6</v>
      </c>
      <c r="I145" t="s">
        <v>13690</v>
      </c>
      <c r="J145">
        <f t="shared" si="8"/>
        <v>-2</v>
      </c>
      <c r="K145" t="str">
        <f t="shared" si="9"/>
        <v>盘亏</v>
      </c>
      <c r="L145">
        <f>J145*VLOOKUP(stock_counts__2[[#This Row],[sku]],products!A:F,6,0)</f>
        <v>-113.22</v>
      </c>
    </row>
    <row r="146" spans="1:12" x14ac:dyDescent="0.25">
      <c r="A146" t="s">
        <v>13835</v>
      </c>
      <c r="B146" s="2">
        <v>46271.833333333336</v>
      </c>
      <c r="C146" t="s">
        <v>26</v>
      </c>
      <c r="D146" t="s">
        <v>219</v>
      </c>
      <c r="E146" t="s">
        <v>103</v>
      </c>
      <c r="F146">
        <v>77</v>
      </c>
      <c r="G146">
        <v>77</v>
      </c>
      <c r="H146">
        <v>77</v>
      </c>
      <c r="I146" t="s">
        <v>13692</v>
      </c>
      <c r="J146">
        <f t="shared" si="8"/>
        <v>0</v>
      </c>
      <c r="K146" t="str">
        <f t="shared" si="9"/>
        <v>一致</v>
      </c>
      <c r="L146">
        <f>J146*VLOOKUP(stock_counts__2[[#This Row],[sku]],products!A:F,6,0)</f>
        <v>0</v>
      </c>
    </row>
    <row r="147" spans="1:12" x14ac:dyDescent="0.25">
      <c r="A147" t="s">
        <v>13836</v>
      </c>
      <c r="B147" s="2">
        <v>46271.833333333336</v>
      </c>
      <c r="C147" t="s">
        <v>28</v>
      </c>
      <c r="D147" t="s">
        <v>236</v>
      </c>
      <c r="E147" t="s">
        <v>105</v>
      </c>
      <c r="F147">
        <v>23</v>
      </c>
      <c r="G147">
        <v>23</v>
      </c>
      <c r="H147">
        <v>23</v>
      </c>
      <c r="I147" t="s">
        <v>13692</v>
      </c>
      <c r="J147">
        <f t="shared" si="8"/>
        <v>0</v>
      </c>
      <c r="K147" t="str">
        <f t="shared" si="9"/>
        <v>一致</v>
      </c>
      <c r="L147">
        <f>J147*VLOOKUP(stock_counts__2[[#This Row],[sku]],products!A:F,6,0)</f>
        <v>0</v>
      </c>
    </row>
    <row r="148" spans="1:12" x14ac:dyDescent="0.25">
      <c r="A148" t="s">
        <v>13837</v>
      </c>
      <c r="B148" s="2">
        <v>46271.833333333336</v>
      </c>
      <c r="C148" t="s">
        <v>69</v>
      </c>
      <c r="D148" t="s">
        <v>256</v>
      </c>
      <c r="E148" t="s">
        <v>139</v>
      </c>
      <c r="F148">
        <v>36</v>
      </c>
      <c r="G148">
        <v>36</v>
      </c>
      <c r="H148">
        <v>36</v>
      </c>
      <c r="I148" t="s">
        <v>13692</v>
      </c>
      <c r="J148">
        <f t="shared" si="8"/>
        <v>0</v>
      </c>
      <c r="K148" t="str">
        <f t="shared" si="9"/>
        <v>一致</v>
      </c>
      <c r="L148">
        <f>J148*VLOOKUP(stock_counts__2[[#This Row],[sku]],products!A:F,6,0)</f>
        <v>0</v>
      </c>
    </row>
    <row r="149" spans="1:12" x14ac:dyDescent="0.25">
      <c r="A149" t="s">
        <v>13838</v>
      </c>
      <c r="B149" s="2">
        <v>46271.833333333336</v>
      </c>
      <c r="C149" t="s">
        <v>41</v>
      </c>
      <c r="D149" t="s">
        <v>265</v>
      </c>
      <c r="E149" t="s">
        <v>115</v>
      </c>
      <c r="F149">
        <v>14</v>
      </c>
      <c r="G149">
        <v>14</v>
      </c>
      <c r="H149">
        <v>14</v>
      </c>
      <c r="I149" t="s">
        <v>13692</v>
      </c>
      <c r="J149">
        <f t="shared" si="8"/>
        <v>0</v>
      </c>
      <c r="K149" t="str">
        <f t="shared" si="9"/>
        <v>一致</v>
      </c>
      <c r="L149">
        <f>J149*VLOOKUP(stock_counts__2[[#This Row],[sku]],products!A:F,6,0)</f>
        <v>0</v>
      </c>
    </row>
    <row r="150" spans="1:12" x14ac:dyDescent="0.25">
      <c r="A150" t="s">
        <v>13839</v>
      </c>
      <c r="B150" s="2">
        <v>46271.833333333336</v>
      </c>
      <c r="C150" t="s">
        <v>55</v>
      </c>
      <c r="D150" t="s">
        <v>269</v>
      </c>
      <c r="E150" t="s">
        <v>129</v>
      </c>
      <c r="F150">
        <v>40</v>
      </c>
      <c r="G150">
        <v>40</v>
      </c>
      <c r="H150">
        <v>40</v>
      </c>
      <c r="I150" t="s">
        <v>13692</v>
      </c>
      <c r="J150">
        <f t="shared" si="8"/>
        <v>0</v>
      </c>
      <c r="K150" t="str">
        <f t="shared" si="9"/>
        <v>一致</v>
      </c>
      <c r="L150">
        <f>J150*VLOOKUP(stock_counts__2[[#This Row],[sku]],products!A:F,6,0)</f>
        <v>0</v>
      </c>
    </row>
    <row r="151" spans="1:12" x14ac:dyDescent="0.25">
      <c r="A151" t="s">
        <v>13840</v>
      </c>
      <c r="B151" s="2">
        <v>46271.833333333336</v>
      </c>
      <c r="C151" t="s">
        <v>26</v>
      </c>
      <c r="D151" t="s">
        <v>279</v>
      </c>
      <c r="E151" t="s">
        <v>103</v>
      </c>
      <c r="F151">
        <v>16</v>
      </c>
      <c r="G151">
        <v>16</v>
      </c>
      <c r="H151">
        <v>16</v>
      </c>
      <c r="I151" t="s">
        <v>13692</v>
      </c>
      <c r="J151">
        <f t="shared" si="8"/>
        <v>0</v>
      </c>
      <c r="K151" t="str">
        <f t="shared" si="9"/>
        <v>一致</v>
      </c>
      <c r="L151">
        <f>J151*VLOOKUP(stock_counts__2[[#This Row],[sku]],products!A:F,6,0)</f>
        <v>0</v>
      </c>
    </row>
    <row r="152" spans="1:12" x14ac:dyDescent="0.25">
      <c r="A152" t="s">
        <v>13841</v>
      </c>
      <c r="B152" s="2">
        <v>46271.833333333336</v>
      </c>
      <c r="C152" t="s">
        <v>32</v>
      </c>
      <c r="D152" t="s">
        <v>280</v>
      </c>
      <c r="E152" t="s">
        <v>109</v>
      </c>
      <c r="F152">
        <v>73</v>
      </c>
      <c r="G152">
        <v>73</v>
      </c>
      <c r="H152">
        <v>73</v>
      </c>
      <c r="I152" t="s">
        <v>13692</v>
      </c>
      <c r="J152">
        <f t="shared" si="8"/>
        <v>0</v>
      </c>
      <c r="K152" t="str">
        <f t="shared" si="9"/>
        <v>一致</v>
      </c>
      <c r="L152">
        <f>J152*VLOOKUP(stock_counts__2[[#This Row],[sku]],products!A:F,6,0)</f>
        <v>0</v>
      </c>
    </row>
    <row r="153" spans="1:12" x14ac:dyDescent="0.25">
      <c r="A153" t="s">
        <v>13842</v>
      </c>
      <c r="B153" s="2">
        <v>46271.833333333336</v>
      </c>
      <c r="C153" t="s">
        <v>36</v>
      </c>
      <c r="D153" t="s">
        <v>281</v>
      </c>
      <c r="E153" t="s">
        <v>113</v>
      </c>
      <c r="F153">
        <v>28</v>
      </c>
      <c r="G153">
        <v>28</v>
      </c>
      <c r="H153">
        <v>28</v>
      </c>
      <c r="I153" t="s">
        <v>13692</v>
      </c>
      <c r="J153">
        <f t="shared" si="8"/>
        <v>0</v>
      </c>
      <c r="K153" t="str">
        <f t="shared" si="9"/>
        <v>一致</v>
      </c>
      <c r="L153">
        <f>J153*VLOOKUP(stock_counts__2[[#This Row],[sku]],products!A:F,6,0)</f>
        <v>0</v>
      </c>
    </row>
    <row r="154" spans="1:12" x14ac:dyDescent="0.25">
      <c r="A154" t="s">
        <v>13843</v>
      </c>
      <c r="B154" s="2">
        <v>46271.833333333336</v>
      </c>
      <c r="C154" t="s">
        <v>47</v>
      </c>
      <c r="D154" t="s">
        <v>282</v>
      </c>
      <c r="E154" t="s">
        <v>121</v>
      </c>
      <c r="F154">
        <v>84</v>
      </c>
      <c r="G154">
        <v>84</v>
      </c>
      <c r="H154">
        <v>84</v>
      </c>
      <c r="I154" t="s">
        <v>13692</v>
      </c>
      <c r="J154">
        <f t="shared" si="8"/>
        <v>0</v>
      </c>
      <c r="K154" t="str">
        <f t="shared" si="9"/>
        <v>一致</v>
      </c>
      <c r="L154">
        <f>J154*VLOOKUP(stock_counts__2[[#This Row],[sku]],products!A:F,6,0)</f>
        <v>0</v>
      </c>
    </row>
    <row r="155" spans="1:12" x14ac:dyDescent="0.25">
      <c r="A155" t="s">
        <v>13844</v>
      </c>
      <c r="B155" s="2">
        <v>46271.833333333336</v>
      </c>
      <c r="C155" t="s">
        <v>59</v>
      </c>
      <c r="D155" t="s">
        <v>283</v>
      </c>
      <c r="E155" t="s">
        <v>133</v>
      </c>
      <c r="F155">
        <v>35</v>
      </c>
      <c r="G155">
        <v>36</v>
      </c>
      <c r="H155">
        <v>36</v>
      </c>
      <c r="I155" t="s">
        <v>13690</v>
      </c>
      <c r="J155">
        <f t="shared" si="8"/>
        <v>1</v>
      </c>
      <c r="K155" t="str">
        <f t="shared" si="9"/>
        <v>盘盈</v>
      </c>
      <c r="L155">
        <f>J155*VLOOKUP(stock_counts__2[[#This Row],[sku]],products!A:F,6,0)</f>
        <v>20.77</v>
      </c>
    </row>
    <row r="156" spans="1:12" x14ac:dyDescent="0.25">
      <c r="A156" t="s">
        <v>13845</v>
      </c>
      <c r="B156" s="2">
        <v>46271.833333333336</v>
      </c>
      <c r="C156" t="s">
        <v>18</v>
      </c>
      <c r="D156" t="s">
        <v>286</v>
      </c>
      <c r="E156" t="s">
        <v>95</v>
      </c>
      <c r="F156">
        <v>12</v>
      </c>
      <c r="G156">
        <v>10</v>
      </c>
      <c r="H156">
        <v>10</v>
      </c>
      <c r="I156" t="s">
        <v>13690</v>
      </c>
      <c r="J156">
        <f t="shared" si="8"/>
        <v>-2</v>
      </c>
      <c r="K156" t="str">
        <f t="shared" si="9"/>
        <v>盘亏</v>
      </c>
      <c r="L156">
        <f>J156*VLOOKUP(stock_counts__2[[#This Row],[sku]],products!A:F,6,0)</f>
        <v>-156.96</v>
      </c>
    </row>
    <row r="157" spans="1:12" x14ac:dyDescent="0.25">
      <c r="A157" t="s">
        <v>13846</v>
      </c>
      <c r="B157" s="2">
        <v>46271.833333333336</v>
      </c>
      <c r="C157" t="s">
        <v>24</v>
      </c>
      <c r="D157" t="s">
        <v>289</v>
      </c>
      <c r="E157" t="s">
        <v>101</v>
      </c>
      <c r="F157">
        <v>80</v>
      </c>
      <c r="G157">
        <v>80</v>
      </c>
      <c r="H157">
        <v>80</v>
      </c>
      <c r="I157" t="s">
        <v>13692</v>
      </c>
      <c r="J157">
        <f t="shared" si="8"/>
        <v>0</v>
      </c>
      <c r="K157" t="str">
        <f t="shared" si="9"/>
        <v>一致</v>
      </c>
      <c r="L157">
        <f>J157*VLOOKUP(stock_counts__2[[#This Row],[sku]],products!A:F,6,0)</f>
        <v>0</v>
      </c>
    </row>
    <row r="158" spans="1:12" x14ac:dyDescent="0.25">
      <c r="A158" t="s">
        <v>13847</v>
      </c>
      <c r="B158" s="2">
        <v>46271.833333333336</v>
      </c>
      <c r="C158" t="s">
        <v>26</v>
      </c>
      <c r="D158" t="s">
        <v>290</v>
      </c>
      <c r="E158" t="s">
        <v>103</v>
      </c>
      <c r="F158">
        <v>26</v>
      </c>
      <c r="G158">
        <v>26</v>
      </c>
      <c r="H158">
        <v>26</v>
      </c>
      <c r="I158" t="s">
        <v>13692</v>
      </c>
      <c r="J158">
        <f t="shared" si="8"/>
        <v>0</v>
      </c>
      <c r="K158" t="str">
        <f t="shared" si="9"/>
        <v>一致</v>
      </c>
      <c r="L158">
        <f>J158*VLOOKUP(stock_counts__2[[#This Row],[sku]],products!A:F,6,0)</f>
        <v>0</v>
      </c>
    </row>
    <row r="159" spans="1:12" x14ac:dyDescent="0.25">
      <c r="A159" t="s">
        <v>13848</v>
      </c>
      <c r="B159" s="2">
        <v>46271.833333333336</v>
      </c>
      <c r="C159" t="s">
        <v>30</v>
      </c>
      <c r="D159" t="s">
        <v>291</v>
      </c>
      <c r="E159" t="s">
        <v>107</v>
      </c>
      <c r="F159">
        <v>26</v>
      </c>
      <c r="G159">
        <v>26</v>
      </c>
      <c r="H159">
        <v>26</v>
      </c>
      <c r="I159" t="s">
        <v>13692</v>
      </c>
      <c r="J159">
        <f t="shared" si="8"/>
        <v>0</v>
      </c>
      <c r="K159" t="str">
        <f t="shared" si="9"/>
        <v>一致</v>
      </c>
      <c r="L159">
        <f>J159*VLOOKUP(stock_counts__2[[#This Row],[sku]],products!A:F,6,0)</f>
        <v>0</v>
      </c>
    </row>
    <row r="160" spans="1:12" x14ac:dyDescent="0.25">
      <c r="A160" t="s">
        <v>13849</v>
      </c>
      <c r="B160" s="2">
        <v>46271.833333333336</v>
      </c>
      <c r="C160" t="s">
        <v>34</v>
      </c>
      <c r="D160" t="s">
        <v>292</v>
      </c>
      <c r="E160" t="s">
        <v>111</v>
      </c>
      <c r="F160">
        <v>71</v>
      </c>
      <c r="G160">
        <v>71</v>
      </c>
      <c r="H160">
        <v>71</v>
      </c>
      <c r="I160" t="s">
        <v>13692</v>
      </c>
      <c r="J160">
        <f t="shared" si="8"/>
        <v>0</v>
      </c>
      <c r="K160" t="str">
        <f t="shared" si="9"/>
        <v>一致</v>
      </c>
      <c r="L160">
        <f>J160*VLOOKUP(stock_counts__2[[#This Row],[sku]],products!A:F,6,0)</f>
        <v>0</v>
      </c>
    </row>
    <row r="161" spans="1:12" x14ac:dyDescent="0.25">
      <c r="A161" t="s">
        <v>13850</v>
      </c>
      <c r="B161" s="2">
        <v>46271.833333333336</v>
      </c>
      <c r="C161" t="s">
        <v>43</v>
      </c>
      <c r="D161" t="s">
        <v>294</v>
      </c>
      <c r="E161" t="s">
        <v>117</v>
      </c>
      <c r="F161">
        <v>69</v>
      </c>
      <c r="G161">
        <v>69</v>
      </c>
      <c r="H161">
        <v>69</v>
      </c>
      <c r="I161" t="s">
        <v>13692</v>
      </c>
      <c r="J161">
        <f t="shared" si="8"/>
        <v>0</v>
      </c>
      <c r="K161" t="str">
        <f t="shared" si="9"/>
        <v>一致</v>
      </c>
      <c r="L161">
        <f>J161*VLOOKUP(stock_counts__2[[#This Row],[sku]],products!A:F,6,0)</f>
        <v>0</v>
      </c>
    </row>
    <row r="162" spans="1:12" x14ac:dyDescent="0.25">
      <c r="A162" t="s">
        <v>13851</v>
      </c>
      <c r="B162" s="2">
        <v>46271.833333333336</v>
      </c>
      <c r="C162" t="s">
        <v>51</v>
      </c>
      <c r="D162" t="s">
        <v>296</v>
      </c>
      <c r="E162" t="s">
        <v>125</v>
      </c>
      <c r="F162">
        <v>68</v>
      </c>
      <c r="G162">
        <v>68</v>
      </c>
      <c r="H162">
        <v>68</v>
      </c>
      <c r="I162" t="s">
        <v>13692</v>
      </c>
      <c r="J162">
        <f t="shared" ref="J162:J197" si="10">H162-F162</f>
        <v>0</v>
      </c>
      <c r="K162" t="str">
        <f t="shared" ref="K162:K193" si="11">IF(J162=0,"一致",IF(J162&gt;0,"盘盈","盘亏"))</f>
        <v>一致</v>
      </c>
      <c r="L162">
        <f>J162*VLOOKUP(stock_counts__2[[#This Row],[sku]],products!A:F,6,0)</f>
        <v>0</v>
      </c>
    </row>
    <row r="163" spans="1:12" x14ac:dyDescent="0.25">
      <c r="A163" t="s">
        <v>13852</v>
      </c>
      <c r="B163" s="2">
        <v>46271.833333333336</v>
      </c>
      <c r="C163" t="s">
        <v>53</v>
      </c>
      <c r="D163" t="s">
        <v>297</v>
      </c>
      <c r="E163" t="s">
        <v>127</v>
      </c>
      <c r="F163">
        <v>64</v>
      </c>
      <c r="G163">
        <v>64</v>
      </c>
      <c r="H163">
        <v>64</v>
      </c>
      <c r="I163" t="s">
        <v>13692</v>
      </c>
      <c r="J163">
        <f t="shared" si="10"/>
        <v>0</v>
      </c>
      <c r="K163" t="str">
        <f t="shared" si="11"/>
        <v>一致</v>
      </c>
      <c r="L163">
        <f>J163*VLOOKUP(stock_counts__2[[#This Row],[sku]],products!A:F,6,0)</f>
        <v>0</v>
      </c>
    </row>
    <row r="164" spans="1:12" x14ac:dyDescent="0.25">
      <c r="A164" t="s">
        <v>13853</v>
      </c>
      <c r="B164" s="2">
        <v>46271.833333333336</v>
      </c>
      <c r="C164" t="s">
        <v>67</v>
      </c>
      <c r="D164" t="s">
        <v>300</v>
      </c>
      <c r="E164" t="s">
        <v>137</v>
      </c>
      <c r="F164">
        <v>39</v>
      </c>
      <c r="G164">
        <v>39</v>
      </c>
      <c r="H164">
        <v>39</v>
      </c>
      <c r="I164" t="s">
        <v>13692</v>
      </c>
      <c r="J164">
        <f t="shared" si="10"/>
        <v>0</v>
      </c>
      <c r="K164" t="str">
        <f t="shared" si="11"/>
        <v>一致</v>
      </c>
      <c r="L164">
        <f>J164*VLOOKUP(stock_counts__2[[#This Row],[sku]],products!A:F,6,0)</f>
        <v>0</v>
      </c>
    </row>
    <row r="165" spans="1:12" x14ac:dyDescent="0.25">
      <c r="A165" t="s">
        <v>13854</v>
      </c>
      <c r="B165" s="2">
        <v>46271.833333333336</v>
      </c>
      <c r="C165" t="s">
        <v>69</v>
      </c>
      <c r="D165" t="s">
        <v>301</v>
      </c>
      <c r="E165" t="s">
        <v>139</v>
      </c>
      <c r="F165">
        <v>81</v>
      </c>
      <c r="G165">
        <v>81</v>
      </c>
      <c r="H165">
        <v>81</v>
      </c>
      <c r="I165" t="s">
        <v>13692</v>
      </c>
      <c r="J165">
        <f t="shared" si="10"/>
        <v>0</v>
      </c>
      <c r="K165" t="str">
        <f t="shared" si="11"/>
        <v>一致</v>
      </c>
      <c r="L165">
        <f>J165*VLOOKUP(stock_counts__2[[#This Row],[sku]],products!A:F,6,0)</f>
        <v>0</v>
      </c>
    </row>
    <row r="166" spans="1:12" x14ac:dyDescent="0.25">
      <c r="A166" t="s">
        <v>13855</v>
      </c>
      <c r="B166" s="2">
        <v>46271.833333333336</v>
      </c>
      <c r="C166" t="s">
        <v>73</v>
      </c>
      <c r="D166" t="s">
        <v>303</v>
      </c>
      <c r="E166" t="s">
        <v>143</v>
      </c>
      <c r="F166">
        <v>38</v>
      </c>
      <c r="G166">
        <v>38</v>
      </c>
      <c r="H166">
        <v>38</v>
      </c>
      <c r="I166" t="s">
        <v>13692</v>
      </c>
      <c r="J166">
        <f t="shared" si="10"/>
        <v>0</v>
      </c>
      <c r="K166" t="str">
        <f t="shared" si="11"/>
        <v>一致</v>
      </c>
      <c r="L166">
        <f>J166*VLOOKUP(stock_counts__2[[#This Row],[sku]],products!A:F,6,0)</f>
        <v>0</v>
      </c>
    </row>
    <row r="167" spans="1:12" x14ac:dyDescent="0.25">
      <c r="A167" t="s">
        <v>13856</v>
      </c>
      <c r="B167" s="2">
        <v>46271.833333333336</v>
      </c>
      <c r="C167" t="s">
        <v>28</v>
      </c>
      <c r="D167" t="s">
        <v>310</v>
      </c>
      <c r="E167" t="s">
        <v>105</v>
      </c>
      <c r="F167">
        <v>71</v>
      </c>
      <c r="G167">
        <v>69</v>
      </c>
      <c r="H167">
        <v>69</v>
      </c>
      <c r="I167" t="s">
        <v>13690</v>
      </c>
      <c r="J167">
        <f t="shared" si="10"/>
        <v>-2</v>
      </c>
      <c r="K167" t="str">
        <f t="shared" si="11"/>
        <v>盘亏</v>
      </c>
      <c r="L167">
        <f>J167*VLOOKUP(stock_counts__2[[#This Row],[sku]],products!A:F,6,0)</f>
        <v>-61.58</v>
      </c>
    </row>
    <row r="168" spans="1:12" x14ac:dyDescent="0.25">
      <c r="A168" t="s">
        <v>13857</v>
      </c>
      <c r="B168" s="2">
        <v>46271.833333333336</v>
      </c>
      <c r="C168" t="s">
        <v>65</v>
      </c>
      <c r="D168" t="s">
        <v>313</v>
      </c>
      <c r="E168" t="s">
        <v>135</v>
      </c>
      <c r="F168">
        <v>59</v>
      </c>
      <c r="G168">
        <v>59</v>
      </c>
      <c r="H168">
        <v>59</v>
      </c>
      <c r="I168" t="s">
        <v>13692</v>
      </c>
      <c r="J168">
        <f t="shared" si="10"/>
        <v>0</v>
      </c>
      <c r="K168" t="str">
        <f t="shared" si="11"/>
        <v>一致</v>
      </c>
      <c r="L168">
        <f>J168*VLOOKUP(stock_counts__2[[#This Row],[sku]],products!A:F,6,0)</f>
        <v>0</v>
      </c>
    </row>
    <row r="169" spans="1:12" x14ac:dyDescent="0.25">
      <c r="A169" t="s">
        <v>13858</v>
      </c>
      <c r="B169" s="2">
        <v>46271.833333333336</v>
      </c>
      <c r="C169" t="s">
        <v>75</v>
      </c>
      <c r="D169" t="s">
        <v>314</v>
      </c>
      <c r="E169" t="s">
        <v>145</v>
      </c>
      <c r="F169">
        <v>77</v>
      </c>
      <c r="G169">
        <v>77</v>
      </c>
      <c r="H169">
        <v>77</v>
      </c>
      <c r="I169" t="s">
        <v>13692</v>
      </c>
      <c r="J169">
        <f t="shared" si="10"/>
        <v>0</v>
      </c>
      <c r="K169" t="str">
        <f t="shared" si="11"/>
        <v>一致</v>
      </c>
      <c r="L169">
        <f>J169*VLOOKUP(stock_counts__2[[#This Row],[sku]],products!A:F,6,0)</f>
        <v>0</v>
      </c>
    </row>
    <row r="170" spans="1:12" x14ac:dyDescent="0.25">
      <c r="A170" t="s">
        <v>13859</v>
      </c>
      <c r="B170" s="2">
        <v>46271.833333333336</v>
      </c>
      <c r="C170" t="s">
        <v>77</v>
      </c>
      <c r="D170" t="s">
        <v>315</v>
      </c>
      <c r="E170" t="s">
        <v>147</v>
      </c>
      <c r="F170">
        <v>56</v>
      </c>
      <c r="G170">
        <v>56</v>
      </c>
      <c r="H170">
        <v>56</v>
      </c>
      <c r="I170" t="s">
        <v>13692</v>
      </c>
      <c r="J170">
        <f t="shared" si="10"/>
        <v>0</v>
      </c>
      <c r="K170" t="str">
        <f t="shared" si="11"/>
        <v>一致</v>
      </c>
      <c r="L170">
        <f>J170*VLOOKUP(stock_counts__2[[#This Row],[sku]],products!A:F,6,0)</f>
        <v>0</v>
      </c>
    </row>
    <row r="171" spans="1:12" x14ac:dyDescent="0.25">
      <c r="A171" t="s">
        <v>13860</v>
      </c>
      <c r="B171" s="2">
        <v>46271.833333333336</v>
      </c>
      <c r="C171" t="s">
        <v>11</v>
      </c>
      <c r="D171" t="s">
        <v>316</v>
      </c>
      <c r="E171" t="s">
        <v>92</v>
      </c>
      <c r="F171">
        <v>49</v>
      </c>
      <c r="G171">
        <v>49</v>
      </c>
      <c r="H171">
        <v>49</v>
      </c>
      <c r="I171" t="s">
        <v>13692</v>
      </c>
      <c r="J171">
        <f t="shared" si="10"/>
        <v>0</v>
      </c>
      <c r="K171" t="str">
        <f t="shared" si="11"/>
        <v>一致</v>
      </c>
      <c r="L171">
        <f>J171*VLOOKUP(stock_counts__2[[#This Row],[sku]],products!A:F,6,0)</f>
        <v>0</v>
      </c>
    </row>
    <row r="172" spans="1:12" x14ac:dyDescent="0.25">
      <c r="A172" t="s">
        <v>13861</v>
      </c>
      <c r="B172" s="2">
        <v>46271.833333333336</v>
      </c>
      <c r="C172" t="s">
        <v>20</v>
      </c>
      <c r="D172" t="s">
        <v>317</v>
      </c>
      <c r="E172" t="s">
        <v>97</v>
      </c>
      <c r="F172">
        <v>18</v>
      </c>
      <c r="G172">
        <v>19</v>
      </c>
      <c r="H172">
        <v>19</v>
      </c>
      <c r="I172" t="s">
        <v>13690</v>
      </c>
      <c r="J172">
        <f t="shared" si="10"/>
        <v>1</v>
      </c>
      <c r="K172" t="str">
        <f t="shared" si="11"/>
        <v>盘盈</v>
      </c>
      <c r="L172">
        <f>J172*VLOOKUP(stock_counts__2[[#This Row],[sku]],products!A:F,6,0)</f>
        <v>41.99</v>
      </c>
    </row>
    <row r="173" spans="1:12" x14ac:dyDescent="0.25">
      <c r="A173" t="s">
        <v>13862</v>
      </c>
      <c r="B173" s="2">
        <v>46271.833333333336</v>
      </c>
      <c r="C173" t="s">
        <v>24</v>
      </c>
      <c r="D173" t="s">
        <v>319</v>
      </c>
      <c r="E173" t="s">
        <v>101</v>
      </c>
      <c r="F173">
        <v>13</v>
      </c>
      <c r="G173">
        <v>13</v>
      </c>
      <c r="H173">
        <v>13</v>
      </c>
      <c r="I173" t="s">
        <v>13692</v>
      </c>
      <c r="J173">
        <f t="shared" si="10"/>
        <v>0</v>
      </c>
      <c r="K173" t="str">
        <f t="shared" si="11"/>
        <v>一致</v>
      </c>
      <c r="L173">
        <f>J173*VLOOKUP(stock_counts__2[[#This Row],[sku]],products!A:F,6,0)</f>
        <v>0</v>
      </c>
    </row>
    <row r="174" spans="1:12" x14ac:dyDescent="0.25">
      <c r="A174" t="s">
        <v>13863</v>
      </c>
      <c r="B174" s="2">
        <v>46271.833333333336</v>
      </c>
      <c r="C174" t="s">
        <v>36</v>
      </c>
      <c r="D174" t="s">
        <v>321</v>
      </c>
      <c r="E174" t="s">
        <v>113</v>
      </c>
      <c r="F174">
        <v>88</v>
      </c>
      <c r="G174">
        <v>88</v>
      </c>
      <c r="H174">
        <v>88</v>
      </c>
      <c r="I174" t="s">
        <v>13692</v>
      </c>
      <c r="J174">
        <f t="shared" si="10"/>
        <v>0</v>
      </c>
      <c r="K174" t="str">
        <f t="shared" si="11"/>
        <v>一致</v>
      </c>
      <c r="L174">
        <f>J174*VLOOKUP(stock_counts__2[[#This Row],[sku]],products!A:F,6,0)</f>
        <v>0</v>
      </c>
    </row>
    <row r="175" spans="1:12" x14ac:dyDescent="0.25">
      <c r="A175" t="s">
        <v>13864</v>
      </c>
      <c r="B175" s="2">
        <v>46271.833333333336</v>
      </c>
      <c r="C175" t="s">
        <v>51</v>
      </c>
      <c r="D175" t="s">
        <v>323</v>
      </c>
      <c r="E175" t="s">
        <v>125</v>
      </c>
      <c r="F175">
        <v>17</v>
      </c>
      <c r="G175">
        <v>17</v>
      </c>
      <c r="H175">
        <v>17</v>
      </c>
      <c r="I175" t="s">
        <v>13692</v>
      </c>
      <c r="J175">
        <f t="shared" si="10"/>
        <v>0</v>
      </c>
      <c r="K175" t="str">
        <f t="shared" si="11"/>
        <v>一致</v>
      </c>
      <c r="L175">
        <f>J175*VLOOKUP(stock_counts__2[[#This Row],[sku]],products!A:F,6,0)</f>
        <v>0</v>
      </c>
    </row>
    <row r="176" spans="1:12" x14ac:dyDescent="0.25">
      <c r="A176" t="s">
        <v>13865</v>
      </c>
      <c r="B176" s="2">
        <v>46271.833333333336</v>
      </c>
      <c r="C176" t="s">
        <v>53</v>
      </c>
      <c r="D176" t="s">
        <v>324</v>
      </c>
      <c r="E176" t="s">
        <v>127</v>
      </c>
      <c r="F176">
        <v>43</v>
      </c>
      <c r="G176">
        <v>43</v>
      </c>
      <c r="H176">
        <v>43</v>
      </c>
      <c r="I176" t="s">
        <v>13692</v>
      </c>
      <c r="J176">
        <f t="shared" si="10"/>
        <v>0</v>
      </c>
      <c r="K176" t="str">
        <f t="shared" si="11"/>
        <v>一致</v>
      </c>
      <c r="L176">
        <f>J176*VLOOKUP(stock_counts__2[[#This Row],[sku]],products!A:F,6,0)</f>
        <v>0</v>
      </c>
    </row>
    <row r="177" spans="1:12" x14ac:dyDescent="0.25">
      <c r="A177" t="s">
        <v>13866</v>
      </c>
      <c r="B177" s="2">
        <v>46271.833333333336</v>
      </c>
      <c r="C177" t="s">
        <v>55</v>
      </c>
      <c r="D177" t="s">
        <v>325</v>
      </c>
      <c r="E177" t="s">
        <v>129</v>
      </c>
      <c r="F177">
        <v>68</v>
      </c>
      <c r="G177">
        <v>68</v>
      </c>
      <c r="H177">
        <v>68</v>
      </c>
      <c r="I177" t="s">
        <v>13692</v>
      </c>
      <c r="J177">
        <f t="shared" si="10"/>
        <v>0</v>
      </c>
      <c r="K177" t="str">
        <f t="shared" si="11"/>
        <v>一致</v>
      </c>
      <c r="L177">
        <f>J177*VLOOKUP(stock_counts__2[[#This Row],[sku]],products!A:F,6,0)</f>
        <v>0</v>
      </c>
    </row>
    <row r="178" spans="1:12" x14ac:dyDescent="0.25">
      <c r="A178" t="s">
        <v>13867</v>
      </c>
      <c r="B178" s="2">
        <v>46271.833333333336</v>
      </c>
      <c r="C178" t="s">
        <v>59</v>
      </c>
      <c r="D178" t="s">
        <v>326</v>
      </c>
      <c r="E178" t="s">
        <v>133</v>
      </c>
      <c r="F178">
        <v>69</v>
      </c>
      <c r="G178">
        <v>67</v>
      </c>
      <c r="H178">
        <v>67</v>
      </c>
      <c r="I178" t="s">
        <v>13690</v>
      </c>
      <c r="J178">
        <f t="shared" si="10"/>
        <v>-2</v>
      </c>
      <c r="K178" t="str">
        <f t="shared" si="11"/>
        <v>盘亏</v>
      </c>
      <c r="L178">
        <f>J178*VLOOKUP(stock_counts__2[[#This Row],[sku]],products!A:F,6,0)</f>
        <v>-41.54</v>
      </c>
    </row>
    <row r="179" spans="1:12" x14ac:dyDescent="0.25">
      <c r="A179" t="s">
        <v>13868</v>
      </c>
      <c r="B179" s="2">
        <v>46271.833333333336</v>
      </c>
      <c r="C179" t="s">
        <v>65</v>
      </c>
      <c r="D179" t="s">
        <v>327</v>
      </c>
      <c r="E179" t="s">
        <v>135</v>
      </c>
      <c r="F179">
        <v>94</v>
      </c>
      <c r="G179">
        <v>94</v>
      </c>
      <c r="H179">
        <v>94</v>
      </c>
      <c r="I179" t="s">
        <v>13692</v>
      </c>
      <c r="J179">
        <f t="shared" si="10"/>
        <v>0</v>
      </c>
      <c r="K179" t="str">
        <f t="shared" si="11"/>
        <v>一致</v>
      </c>
      <c r="L179">
        <f>J179*VLOOKUP(stock_counts__2[[#This Row],[sku]],products!A:F,6,0)</f>
        <v>0</v>
      </c>
    </row>
    <row r="180" spans="1:12" x14ac:dyDescent="0.25">
      <c r="A180" t="s">
        <v>13869</v>
      </c>
      <c r="B180" s="2">
        <v>46271.833333333336</v>
      </c>
      <c r="C180" t="s">
        <v>67</v>
      </c>
      <c r="D180" t="s">
        <v>328</v>
      </c>
      <c r="E180" t="s">
        <v>137</v>
      </c>
      <c r="F180">
        <v>87</v>
      </c>
      <c r="G180">
        <v>87</v>
      </c>
      <c r="H180">
        <v>87</v>
      </c>
      <c r="I180" t="s">
        <v>13692</v>
      </c>
      <c r="J180">
        <f t="shared" si="10"/>
        <v>0</v>
      </c>
      <c r="K180" t="str">
        <f t="shared" si="11"/>
        <v>一致</v>
      </c>
      <c r="L180">
        <f>J180*VLOOKUP(stock_counts__2[[#This Row],[sku]],products!A:F,6,0)</f>
        <v>0</v>
      </c>
    </row>
    <row r="181" spans="1:12" x14ac:dyDescent="0.25">
      <c r="A181" t="s">
        <v>13870</v>
      </c>
      <c r="B181" s="2">
        <v>46271.833333333336</v>
      </c>
      <c r="C181" t="s">
        <v>71</v>
      </c>
      <c r="D181" t="s">
        <v>329</v>
      </c>
      <c r="E181" t="s">
        <v>141</v>
      </c>
      <c r="F181">
        <v>60</v>
      </c>
      <c r="G181">
        <v>60</v>
      </c>
      <c r="H181">
        <v>60</v>
      </c>
      <c r="I181" t="s">
        <v>13692</v>
      </c>
      <c r="J181">
        <f t="shared" si="10"/>
        <v>0</v>
      </c>
      <c r="K181" t="str">
        <f t="shared" si="11"/>
        <v>一致</v>
      </c>
      <c r="L181">
        <f>J181*VLOOKUP(stock_counts__2[[#This Row],[sku]],products!A:F,6,0)</f>
        <v>0</v>
      </c>
    </row>
    <row r="182" spans="1:12" x14ac:dyDescent="0.25">
      <c r="A182" t="s">
        <v>13871</v>
      </c>
      <c r="B182" s="2">
        <v>46271.833333333336</v>
      </c>
      <c r="C182" t="s">
        <v>11</v>
      </c>
      <c r="D182" t="s">
        <v>330</v>
      </c>
      <c r="E182" t="s">
        <v>92</v>
      </c>
      <c r="F182">
        <v>2</v>
      </c>
      <c r="G182">
        <v>2</v>
      </c>
      <c r="H182">
        <v>2</v>
      </c>
      <c r="I182" t="s">
        <v>13692</v>
      </c>
      <c r="J182">
        <f t="shared" si="10"/>
        <v>0</v>
      </c>
      <c r="K182" t="str">
        <f t="shared" si="11"/>
        <v>一致</v>
      </c>
      <c r="L182">
        <f>J182*VLOOKUP(stock_counts__2[[#This Row],[sku]],products!A:F,6,0)</f>
        <v>0</v>
      </c>
    </row>
    <row r="183" spans="1:12" x14ac:dyDescent="0.25">
      <c r="A183" t="s">
        <v>13872</v>
      </c>
      <c r="B183" s="2">
        <v>46271.833333333336</v>
      </c>
      <c r="C183" t="s">
        <v>20</v>
      </c>
      <c r="D183" t="s">
        <v>332</v>
      </c>
      <c r="E183" t="s">
        <v>97</v>
      </c>
      <c r="F183">
        <v>3</v>
      </c>
      <c r="G183">
        <v>3</v>
      </c>
      <c r="H183">
        <v>3</v>
      </c>
      <c r="I183" t="s">
        <v>13692</v>
      </c>
      <c r="J183">
        <f t="shared" si="10"/>
        <v>0</v>
      </c>
      <c r="K183" t="str">
        <f t="shared" si="11"/>
        <v>一致</v>
      </c>
      <c r="L183">
        <f>J183*VLOOKUP(stock_counts__2[[#This Row],[sku]],products!A:F,6,0)</f>
        <v>0</v>
      </c>
    </row>
    <row r="184" spans="1:12" x14ac:dyDescent="0.25">
      <c r="A184" t="s">
        <v>13873</v>
      </c>
      <c r="B184" s="2">
        <v>46271.833333333336</v>
      </c>
      <c r="C184" t="s">
        <v>22</v>
      </c>
      <c r="D184" t="s">
        <v>333</v>
      </c>
      <c r="E184" t="s">
        <v>99</v>
      </c>
      <c r="F184">
        <v>17</v>
      </c>
      <c r="G184">
        <v>17</v>
      </c>
      <c r="H184">
        <v>17</v>
      </c>
      <c r="I184" t="s">
        <v>13692</v>
      </c>
      <c r="J184">
        <f t="shared" si="10"/>
        <v>0</v>
      </c>
      <c r="K184" t="str">
        <f t="shared" si="11"/>
        <v>一致</v>
      </c>
      <c r="L184">
        <f>J184*VLOOKUP(stock_counts__2[[#This Row],[sku]],products!A:F,6,0)</f>
        <v>0</v>
      </c>
    </row>
    <row r="185" spans="1:12" x14ac:dyDescent="0.25">
      <c r="A185" t="s">
        <v>13874</v>
      </c>
      <c r="B185" s="2">
        <v>46271.833333333336</v>
      </c>
      <c r="C185" t="s">
        <v>24</v>
      </c>
      <c r="D185" t="s">
        <v>334</v>
      </c>
      <c r="E185" t="s">
        <v>101</v>
      </c>
      <c r="F185">
        <v>21</v>
      </c>
      <c r="G185">
        <v>21</v>
      </c>
      <c r="H185">
        <v>21</v>
      </c>
      <c r="I185" t="s">
        <v>13692</v>
      </c>
      <c r="J185">
        <f t="shared" si="10"/>
        <v>0</v>
      </c>
      <c r="K185" t="str">
        <f t="shared" si="11"/>
        <v>一致</v>
      </c>
      <c r="L185">
        <f>J185*VLOOKUP(stock_counts__2[[#This Row],[sku]],products!A:F,6,0)</f>
        <v>0</v>
      </c>
    </row>
    <row r="186" spans="1:12" x14ac:dyDescent="0.25">
      <c r="A186" t="s">
        <v>13875</v>
      </c>
      <c r="B186" s="2">
        <v>46271.833333333336</v>
      </c>
      <c r="C186" t="s">
        <v>26</v>
      </c>
      <c r="D186" t="s">
        <v>335</v>
      </c>
      <c r="E186" t="s">
        <v>103</v>
      </c>
      <c r="F186">
        <v>39</v>
      </c>
      <c r="G186">
        <v>39</v>
      </c>
      <c r="H186">
        <v>39</v>
      </c>
      <c r="I186" t="s">
        <v>13692</v>
      </c>
      <c r="J186">
        <f t="shared" si="10"/>
        <v>0</v>
      </c>
      <c r="K186" t="str">
        <f t="shared" si="11"/>
        <v>一致</v>
      </c>
      <c r="L186">
        <f>J186*VLOOKUP(stock_counts__2[[#This Row],[sku]],products!A:F,6,0)</f>
        <v>0</v>
      </c>
    </row>
    <row r="187" spans="1:12" x14ac:dyDescent="0.25">
      <c r="A187" t="s">
        <v>13876</v>
      </c>
      <c r="B187" s="2">
        <v>46271.833333333336</v>
      </c>
      <c r="C187" t="s">
        <v>28</v>
      </c>
      <c r="D187" t="s">
        <v>336</v>
      </c>
      <c r="E187" t="s">
        <v>105</v>
      </c>
      <c r="F187">
        <v>44</v>
      </c>
      <c r="G187">
        <v>44</v>
      </c>
      <c r="H187">
        <v>44</v>
      </c>
      <c r="I187" t="s">
        <v>13692</v>
      </c>
      <c r="J187">
        <f t="shared" si="10"/>
        <v>0</v>
      </c>
      <c r="K187" t="str">
        <f t="shared" si="11"/>
        <v>一致</v>
      </c>
      <c r="L187">
        <f>J187*VLOOKUP(stock_counts__2[[#This Row],[sku]],products!A:F,6,0)</f>
        <v>0</v>
      </c>
    </row>
    <row r="188" spans="1:12" x14ac:dyDescent="0.25">
      <c r="A188" t="s">
        <v>13877</v>
      </c>
      <c r="B188" s="2">
        <v>46271.833333333336</v>
      </c>
      <c r="C188" t="s">
        <v>30</v>
      </c>
      <c r="D188" t="s">
        <v>337</v>
      </c>
      <c r="E188" t="s">
        <v>107</v>
      </c>
      <c r="F188">
        <v>68</v>
      </c>
      <c r="G188">
        <v>68</v>
      </c>
      <c r="H188">
        <v>68</v>
      </c>
      <c r="I188" t="s">
        <v>13692</v>
      </c>
      <c r="J188">
        <f t="shared" si="10"/>
        <v>0</v>
      </c>
      <c r="K188" t="str">
        <f t="shared" si="11"/>
        <v>一致</v>
      </c>
      <c r="L188">
        <f>J188*VLOOKUP(stock_counts__2[[#This Row],[sku]],products!A:F,6,0)</f>
        <v>0</v>
      </c>
    </row>
    <row r="189" spans="1:12" x14ac:dyDescent="0.25">
      <c r="A189" t="s">
        <v>13878</v>
      </c>
      <c r="B189" s="2">
        <v>46271.833333333336</v>
      </c>
      <c r="C189" t="s">
        <v>32</v>
      </c>
      <c r="D189" t="s">
        <v>338</v>
      </c>
      <c r="E189" t="s">
        <v>109</v>
      </c>
      <c r="F189">
        <v>67</v>
      </c>
      <c r="G189">
        <v>65</v>
      </c>
      <c r="H189">
        <v>65</v>
      </c>
      <c r="I189" t="s">
        <v>13690</v>
      </c>
      <c r="J189">
        <f t="shared" si="10"/>
        <v>-2</v>
      </c>
      <c r="K189" t="str">
        <f t="shared" si="11"/>
        <v>盘亏</v>
      </c>
      <c r="L189">
        <f>J189*VLOOKUP(stock_counts__2[[#This Row],[sku]],products!A:F,6,0)</f>
        <v>-42.24</v>
      </c>
    </row>
    <row r="190" spans="1:12" x14ac:dyDescent="0.25">
      <c r="A190" t="s">
        <v>13879</v>
      </c>
      <c r="B190" s="2">
        <v>46271.833333333336</v>
      </c>
      <c r="C190" t="s">
        <v>41</v>
      </c>
      <c r="D190" t="s">
        <v>339</v>
      </c>
      <c r="E190" t="s">
        <v>115</v>
      </c>
      <c r="F190">
        <v>89</v>
      </c>
      <c r="G190">
        <v>89</v>
      </c>
      <c r="H190">
        <v>89</v>
      </c>
      <c r="I190" t="s">
        <v>13692</v>
      </c>
      <c r="J190">
        <f t="shared" si="10"/>
        <v>0</v>
      </c>
      <c r="K190" t="str">
        <f t="shared" si="11"/>
        <v>一致</v>
      </c>
      <c r="L190">
        <f>J190*VLOOKUP(stock_counts__2[[#This Row],[sku]],products!A:F,6,0)</f>
        <v>0</v>
      </c>
    </row>
    <row r="191" spans="1:12" x14ac:dyDescent="0.25">
      <c r="A191" t="s">
        <v>13880</v>
      </c>
      <c r="B191" s="2">
        <v>46271.833333333336</v>
      </c>
      <c r="C191" t="s">
        <v>43</v>
      </c>
      <c r="D191" t="s">
        <v>340</v>
      </c>
      <c r="E191" t="s">
        <v>117</v>
      </c>
      <c r="F191">
        <v>38</v>
      </c>
      <c r="G191">
        <v>38</v>
      </c>
      <c r="H191">
        <v>38</v>
      </c>
      <c r="I191" t="s">
        <v>13692</v>
      </c>
      <c r="J191">
        <f t="shared" si="10"/>
        <v>0</v>
      </c>
      <c r="K191" t="str">
        <f t="shared" si="11"/>
        <v>一致</v>
      </c>
      <c r="L191">
        <f>J191*VLOOKUP(stock_counts__2[[#This Row],[sku]],products!A:F,6,0)</f>
        <v>0</v>
      </c>
    </row>
    <row r="192" spans="1:12" x14ac:dyDescent="0.25">
      <c r="A192" t="s">
        <v>13881</v>
      </c>
      <c r="B192" s="2">
        <v>46271.833333333336</v>
      </c>
      <c r="C192" t="s">
        <v>45</v>
      </c>
      <c r="D192" t="s">
        <v>341</v>
      </c>
      <c r="E192" t="s">
        <v>119</v>
      </c>
      <c r="F192">
        <v>62</v>
      </c>
      <c r="G192">
        <v>62</v>
      </c>
      <c r="H192">
        <v>62</v>
      </c>
      <c r="I192" t="s">
        <v>13692</v>
      </c>
      <c r="J192">
        <f t="shared" si="10"/>
        <v>0</v>
      </c>
      <c r="K192" t="str">
        <f t="shared" si="11"/>
        <v>一致</v>
      </c>
      <c r="L192">
        <f>J192*VLOOKUP(stock_counts__2[[#This Row],[sku]],products!A:F,6,0)</f>
        <v>0</v>
      </c>
    </row>
    <row r="193" spans="1:12" x14ac:dyDescent="0.25">
      <c r="A193" t="s">
        <v>13882</v>
      </c>
      <c r="B193" s="2">
        <v>46271.833333333336</v>
      </c>
      <c r="C193" t="s">
        <v>49</v>
      </c>
      <c r="D193" t="s">
        <v>342</v>
      </c>
      <c r="E193" t="s">
        <v>123</v>
      </c>
      <c r="F193">
        <v>37</v>
      </c>
      <c r="G193">
        <v>37</v>
      </c>
      <c r="H193">
        <v>37</v>
      </c>
      <c r="I193" t="s">
        <v>13692</v>
      </c>
      <c r="J193">
        <f t="shared" si="10"/>
        <v>0</v>
      </c>
      <c r="K193" t="str">
        <f t="shared" si="11"/>
        <v>一致</v>
      </c>
      <c r="L193">
        <f>J193*VLOOKUP(stock_counts__2[[#This Row],[sku]],products!A:F,6,0)</f>
        <v>0</v>
      </c>
    </row>
    <row r="194" spans="1:12" x14ac:dyDescent="0.25">
      <c r="A194" t="s">
        <v>13883</v>
      </c>
      <c r="B194" s="2">
        <v>46271.833333333336</v>
      </c>
      <c r="C194" t="s">
        <v>71</v>
      </c>
      <c r="D194" t="s">
        <v>343</v>
      </c>
      <c r="E194" t="s">
        <v>141</v>
      </c>
      <c r="F194">
        <v>100</v>
      </c>
      <c r="G194">
        <v>100</v>
      </c>
      <c r="H194">
        <v>100</v>
      </c>
      <c r="I194" t="s">
        <v>13692</v>
      </c>
      <c r="J194">
        <f t="shared" si="10"/>
        <v>0</v>
      </c>
      <c r="K194" t="str">
        <f t="shared" ref="K194:K197" si="12">IF(J194=0,"一致",IF(J194&gt;0,"盘盈","盘亏"))</f>
        <v>一致</v>
      </c>
      <c r="L194">
        <f>J194*VLOOKUP(stock_counts__2[[#This Row],[sku]],products!A:F,6,0)</f>
        <v>0</v>
      </c>
    </row>
    <row r="195" spans="1:12" x14ac:dyDescent="0.25">
      <c r="A195" t="s">
        <v>13884</v>
      </c>
      <c r="B195" s="2">
        <v>46271.833333333336</v>
      </c>
      <c r="C195" t="s">
        <v>73</v>
      </c>
      <c r="D195" t="s">
        <v>344</v>
      </c>
      <c r="E195" t="s">
        <v>143</v>
      </c>
      <c r="F195">
        <v>61</v>
      </c>
      <c r="G195">
        <v>61</v>
      </c>
      <c r="H195">
        <v>61</v>
      </c>
      <c r="I195" t="s">
        <v>13692</v>
      </c>
      <c r="J195">
        <f t="shared" si="10"/>
        <v>0</v>
      </c>
      <c r="K195" t="str">
        <f t="shared" si="12"/>
        <v>一致</v>
      </c>
      <c r="L195">
        <f>J195*VLOOKUP(stock_counts__2[[#This Row],[sku]],products!A:F,6,0)</f>
        <v>0</v>
      </c>
    </row>
    <row r="196" spans="1:12" x14ac:dyDescent="0.25">
      <c r="A196" t="s">
        <v>13885</v>
      </c>
      <c r="B196" s="2">
        <v>46271.833333333336</v>
      </c>
      <c r="C196" t="s">
        <v>75</v>
      </c>
      <c r="D196" t="s">
        <v>345</v>
      </c>
      <c r="E196" t="s">
        <v>145</v>
      </c>
      <c r="F196">
        <v>69</v>
      </c>
      <c r="G196">
        <v>69</v>
      </c>
      <c r="H196">
        <v>69</v>
      </c>
      <c r="I196" t="s">
        <v>13692</v>
      </c>
      <c r="J196">
        <f t="shared" si="10"/>
        <v>0</v>
      </c>
      <c r="K196" t="str">
        <f t="shared" si="12"/>
        <v>一致</v>
      </c>
      <c r="L196">
        <f>J196*VLOOKUP(stock_counts__2[[#This Row],[sku]],products!A:F,6,0)</f>
        <v>0</v>
      </c>
    </row>
    <row r="197" spans="1:12" x14ac:dyDescent="0.25">
      <c r="A197" t="s">
        <v>13886</v>
      </c>
      <c r="B197" s="2">
        <v>46271.833333333336</v>
      </c>
      <c r="C197" t="s">
        <v>77</v>
      </c>
      <c r="D197" t="s">
        <v>346</v>
      </c>
      <c r="E197" t="s">
        <v>147</v>
      </c>
      <c r="F197">
        <v>66</v>
      </c>
      <c r="G197">
        <v>66</v>
      </c>
      <c r="H197">
        <v>66</v>
      </c>
      <c r="I197" t="s">
        <v>13692</v>
      </c>
      <c r="J197">
        <f t="shared" si="10"/>
        <v>0</v>
      </c>
      <c r="K197" t="str">
        <f t="shared" si="12"/>
        <v>一致</v>
      </c>
      <c r="L197">
        <f>J197*VLOOKUP(stock_counts__2[[#This Row],[sku]],products!A:F,6,0)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E6EE-9904-4602-AFC7-800A6CC107C7}">
  <dimension ref="A1:CQ31"/>
  <sheetViews>
    <sheetView topLeftCell="CN1" workbookViewId="0">
      <selection activeCell="CY16" sqref="CY16"/>
    </sheetView>
  </sheetViews>
  <sheetFormatPr defaultRowHeight="13.8" outlineLevelCol="1" x14ac:dyDescent="0.25"/>
  <cols>
    <col min="2" max="2" width="9.109375" hidden="1" customWidth="1" outlineLevel="1"/>
    <col min="3" max="23" width="10.109375" hidden="1" customWidth="1" outlineLevel="1"/>
    <col min="24" max="32" width="9.109375" hidden="1" customWidth="1" outlineLevel="1"/>
    <col min="33" max="54" width="10.109375" hidden="1" customWidth="1" outlineLevel="1"/>
    <col min="55" max="63" width="9.109375" hidden="1" customWidth="1" outlineLevel="1"/>
    <col min="64" max="85" width="10.109375" hidden="1" customWidth="1" outlineLevel="1"/>
    <col min="86" max="91" width="9.109375" hidden="1" customWidth="1" outlineLevel="1"/>
    <col min="92" max="92" width="8.88671875" collapsed="1"/>
  </cols>
  <sheetData>
    <row r="1" spans="1:95" x14ac:dyDescent="0.25">
      <c r="A1" t="s">
        <v>13888</v>
      </c>
      <c r="B1" s="1">
        <v>46182</v>
      </c>
      <c r="C1" s="1">
        <f>B1+1</f>
        <v>46183</v>
      </c>
      <c r="D1" s="1">
        <f>C1+1</f>
        <v>46184</v>
      </c>
      <c r="E1" s="1">
        <f t="shared" ref="E1:BO1" si="0">D1+1</f>
        <v>46185</v>
      </c>
      <c r="F1" s="1">
        <f t="shared" si="0"/>
        <v>46186</v>
      </c>
      <c r="G1" s="1">
        <f t="shared" si="0"/>
        <v>46187</v>
      </c>
      <c r="H1" s="1">
        <f t="shared" si="0"/>
        <v>46188</v>
      </c>
      <c r="I1" s="1">
        <f t="shared" si="0"/>
        <v>46189</v>
      </c>
      <c r="J1" s="1">
        <f t="shared" si="0"/>
        <v>46190</v>
      </c>
      <c r="K1" s="1">
        <f t="shared" si="0"/>
        <v>46191</v>
      </c>
      <c r="L1" s="1">
        <f t="shared" si="0"/>
        <v>46192</v>
      </c>
      <c r="M1" s="1">
        <f t="shared" si="0"/>
        <v>46193</v>
      </c>
      <c r="N1" s="1">
        <f t="shared" si="0"/>
        <v>46194</v>
      </c>
      <c r="O1" s="1">
        <f t="shared" si="0"/>
        <v>46195</v>
      </c>
      <c r="P1" s="1">
        <f t="shared" si="0"/>
        <v>46196</v>
      </c>
      <c r="Q1" s="1">
        <f t="shared" si="0"/>
        <v>46197</v>
      </c>
      <c r="R1" s="1">
        <f t="shared" si="0"/>
        <v>46198</v>
      </c>
      <c r="S1" s="1">
        <f t="shared" si="0"/>
        <v>46199</v>
      </c>
      <c r="T1" s="1">
        <f t="shared" si="0"/>
        <v>46200</v>
      </c>
      <c r="U1" s="1">
        <f t="shared" si="0"/>
        <v>46201</v>
      </c>
      <c r="V1" s="1">
        <f t="shared" si="0"/>
        <v>46202</v>
      </c>
      <c r="W1" s="1">
        <f t="shared" si="0"/>
        <v>46203</v>
      </c>
      <c r="X1" s="1">
        <f t="shared" si="0"/>
        <v>46204</v>
      </c>
      <c r="Y1" s="1">
        <f t="shared" si="0"/>
        <v>46205</v>
      </c>
      <c r="Z1" s="1">
        <f t="shared" si="0"/>
        <v>46206</v>
      </c>
      <c r="AA1" s="1">
        <f t="shared" si="0"/>
        <v>46207</v>
      </c>
      <c r="AB1" s="1">
        <f t="shared" si="0"/>
        <v>46208</v>
      </c>
      <c r="AC1" s="1">
        <f t="shared" si="0"/>
        <v>46209</v>
      </c>
      <c r="AD1" s="1">
        <f t="shared" si="0"/>
        <v>46210</v>
      </c>
      <c r="AE1" s="1">
        <f t="shared" si="0"/>
        <v>46211</v>
      </c>
      <c r="AF1" s="1">
        <f t="shared" si="0"/>
        <v>46212</v>
      </c>
      <c r="AG1" s="1">
        <f t="shared" si="0"/>
        <v>46213</v>
      </c>
      <c r="AH1" s="1">
        <f t="shared" si="0"/>
        <v>46214</v>
      </c>
      <c r="AI1" s="1">
        <f t="shared" si="0"/>
        <v>46215</v>
      </c>
      <c r="AJ1" s="1">
        <f t="shared" si="0"/>
        <v>46216</v>
      </c>
      <c r="AK1" s="1">
        <f t="shared" si="0"/>
        <v>46217</v>
      </c>
      <c r="AL1" s="1">
        <f t="shared" si="0"/>
        <v>46218</v>
      </c>
      <c r="AM1" s="1">
        <f t="shared" si="0"/>
        <v>46219</v>
      </c>
      <c r="AN1" s="1">
        <f t="shared" si="0"/>
        <v>46220</v>
      </c>
      <c r="AO1" s="1">
        <f t="shared" si="0"/>
        <v>46221</v>
      </c>
      <c r="AP1" s="1">
        <f t="shared" si="0"/>
        <v>46222</v>
      </c>
      <c r="AQ1" s="1">
        <f t="shared" si="0"/>
        <v>46223</v>
      </c>
      <c r="AR1" s="1">
        <f t="shared" si="0"/>
        <v>46224</v>
      </c>
      <c r="AS1" s="1">
        <f t="shared" si="0"/>
        <v>46225</v>
      </c>
      <c r="AT1" s="1">
        <f t="shared" si="0"/>
        <v>46226</v>
      </c>
      <c r="AU1" s="1">
        <f t="shared" si="0"/>
        <v>46227</v>
      </c>
      <c r="AV1" s="1">
        <f t="shared" si="0"/>
        <v>46228</v>
      </c>
      <c r="AW1" s="1">
        <f t="shared" si="0"/>
        <v>46229</v>
      </c>
      <c r="AX1" s="1">
        <f t="shared" si="0"/>
        <v>46230</v>
      </c>
      <c r="AY1" s="1">
        <f t="shared" si="0"/>
        <v>46231</v>
      </c>
      <c r="AZ1" s="1">
        <f t="shared" si="0"/>
        <v>46232</v>
      </c>
      <c r="BA1" s="1">
        <f t="shared" si="0"/>
        <v>46233</v>
      </c>
      <c r="BB1" s="1">
        <f t="shared" si="0"/>
        <v>46234</v>
      </c>
      <c r="BC1" s="1">
        <f t="shared" si="0"/>
        <v>46235</v>
      </c>
      <c r="BD1" s="1">
        <f t="shared" si="0"/>
        <v>46236</v>
      </c>
      <c r="BE1" s="1">
        <f t="shared" si="0"/>
        <v>46237</v>
      </c>
      <c r="BF1" s="1">
        <f t="shared" si="0"/>
        <v>46238</v>
      </c>
      <c r="BG1" s="1">
        <f t="shared" si="0"/>
        <v>46239</v>
      </c>
      <c r="BH1" s="1">
        <f t="shared" si="0"/>
        <v>46240</v>
      </c>
      <c r="BI1" s="1">
        <f t="shared" si="0"/>
        <v>46241</v>
      </c>
      <c r="BJ1" s="1">
        <f t="shared" si="0"/>
        <v>46242</v>
      </c>
      <c r="BK1" s="1">
        <f t="shared" si="0"/>
        <v>46243</v>
      </c>
      <c r="BL1" s="1">
        <f t="shared" si="0"/>
        <v>46244</v>
      </c>
      <c r="BM1" s="1">
        <f t="shared" si="0"/>
        <v>46245</v>
      </c>
      <c r="BN1" s="1">
        <f t="shared" si="0"/>
        <v>46246</v>
      </c>
      <c r="BO1" s="1">
        <f t="shared" si="0"/>
        <v>46247</v>
      </c>
      <c r="BP1" s="1">
        <f t="shared" ref="BP1:CM1" si="1">BO1+1</f>
        <v>46248</v>
      </c>
      <c r="BQ1" s="1">
        <f t="shared" si="1"/>
        <v>46249</v>
      </c>
      <c r="BR1" s="1">
        <f t="shared" si="1"/>
        <v>46250</v>
      </c>
      <c r="BS1" s="1">
        <f t="shared" si="1"/>
        <v>46251</v>
      </c>
      <c r="BT1" s="1">
        <f t="shared" si="1"/>
        <v>46252</v>
      </c>
      <c r="BU1" s="1">
        <f t="shared" si="1"/>
        <v>46253</v>
      </c>
      <c r="BV1" s="1">
        <f t="shared" si="1"/>
        <v>46254</v>
      </c>
      <c r="BW1" s="1">
        <f t="shared" si="1"/>
        <v>46255</v>
      </c>
      <c r="BX1" s="1">
        <f t="shared" si="1"/>
        <v>46256</v>
      </c>
      <c r="BY1" s="1">
        <f t="shared" si="1"/>
        <v>46257</v>
      </c>
      <c r="BZ1" s="1">
        <f t="shared" si="1"/>
        <v>46258</v>
      </c>
      <c r="CA1" s="1">
        <f t="shared" si="1"/>
        <v>46259</v>
      </c>
      <c r="CB1" s="1">
        <f t="shared" si="1"/>
        <v>46260</v>
      </c>
      <c r="CC1" s="1">
        <f t="shared" si="1"/>
        <v>46261</v>
      </c>
      <c r="CD1" s="1">
        <f t="shared" si="1"/>
        <v>46262</v>
      </c>
      <c r="CE1" s="1">
        <f t="shared" si="1"/>
        <v>46263</v>
      </c>
      <c r="CF1" s="1">
        <f t="shared" si="1"/>
        <v>46264</v>
      </c>
      <c r="CG1" s="1">
        <f t="shared" si="1"/>
        <v>46265</v>
      </c>
      <c r="CH1" s="1">
        <f t="shared" si="1"/>
        <v>46266</v>
      </c>
      <c r="CI1" s="1">
        <f t="shared" si="1"/>
        <v>46267</v>
      </c>
      <c r="CJ1" s="1">
        <f t="shared" si="1"/>
        <v>46268</v>
      </c>
      <c r="CK1" s="1">
        <f t="shared" si="1"/>
        <v>46269</v>
      </c>
      <c r="CL1" s="1">
        <f t="shared" si="1"/>
        <v>46270</v>
      </c>
      <c r="CM1" s="1">
        <f t="shared" si="1"/>
        <v>46271</v>
      </c>
      <c r="CN1" t="s">
        <v>13918</v>
      </c>
      <c r="CO1" t="s">
        <v>13919</v>
      </c>
      <c r="CP1" t="s">
        <v>13920</v>
      </c>
      <c r="CQ1" t="s">
        <v>13921</v>
      </c>
    </row>
    <row r="2" spans="1:95" x14ac:dyDescent="0.25">
      <c r="A2" t="s">
        <v>11</v>
      </c>
      <c r="B2">
        <f>SUMIFS(movements!$H:$H,movements!$E:$E,$A2,movements!$D:$D,"OPENING",movements!$C:$C,"&lt;"&amp;B$1+1)+SUMIFS(movements!$H:$H,movements!$E:$E,$A2,movements!$D:$D,"RECEIPT",movements!$C:$C,"&lt;"&amp;B$1+1)-SUMIFS(movements!$H:$H,movements!$E:$E,$A2,movements!$D:$D,"ISSUE",movements!$C:$C,"&lt;"&amp;B$1+1)</f>
        <v>77</v>
      </c>
      <c r="C2">
        <f>SUMIFS(movements!$H:$H,movements!$E:$E,$A2,movements!$D:$D,"OPENING",movements!$C:$C,"&lt;"&amp;C$1+1)+SUMIFS(movements!$H:$H,movements!$E:$E,$A2,movements!$D:$D,"RECEIPT",movements!$C:$C,"&lt;"&amp;C$1+1)-SUMIFS(movements!$H:$H,movements!$E:$E,$A2,movements!$D:$D,"ISSUE",movements!$C:$C,"&lt;"&amp;C$1+1)</f>
        <v>66</v>
      </c>
      <c r="D2">
        <f>SUMIFS(movements!$H:$H,movements!$E:$E,$A2,movements!$D:$D,"OPENING",movements!$C:$C,"&lt;"&amp;D$1+1)+SUMIFS(movements!$H:$H,movements!$E:$E,$A2,movements!$D:$D,"RECEIPT",movements!$C:$C,"&lt;"&amp;D$1+1)-SUMIFS(movements!$H:$H,movements!$E:$E,$A2,movements!$D:$D,"ISSUE",movements!$C:$C,"&lt;"&amp;D$1+1)</f>
        <v>58</v>
      </c>
      <c r="E2">
        <f>SUMIFS(movements!$H:$H,movements!$E:$E,$A2,movements!$D:$D,"OPENING",movements!$C:$C,"&lt;"&amp;E$1+1)+SUMIFS(movements!$H:$H,movements!$E:$E,$A2,movements!$D:$D,"RECEIPT",movements!$C:$C,"&lt;"&amp;E$1+1)-SUMIFS(movements!$H:$H,movements!$E:$E,$A2,movements!$D:$D,"ISSUE",movements!$C:$C,"&lt;"&amp;E$1+1)</f>
        <v>43</v>
      </c>
      <c r="F2">
        <f>SUMIFS(movements!$H:$H,movements!$E:$E,$A2,movements!$D:$D,"OPENING",movements!$C:$C,"&lt;"&amp;F$1+1)+SUMIFS(movements!$H:$H,movements!$E:$E,$A2,movements!$D:$D,"RECEIPT",movements!$C:$C,"&lt;"&amp;F$1+1)-SUMIFS(movements!$H:$H,movements!$E:$E,$A2,movements!$D:$D,"ISSUE",movements!$C:$C,"&lt;"&amp;F$1+1)</f>
        <v>33</v>
      </c>
      <c r="G2">
        <f>SUMIFS(movements!$H:$H,movements!$E:$E,$A2,movements!$D:$D,"OPENING",movements!$C:$C,"&lt;"&amp;G$1+1)+SUMIFS(movements!$H:$H,movements!$E:$E,$A2,movements!$D:$D,"RECEIPT",movements!$C:$C,"&lt;"&amp;G$1+1)-SUMIFS(movements!$H:$H,movements!$E:$E,$A2,movements!$D:$D,"ISSUE",movements!$C:$C,"&lt;"&amp;G$1+1)</f>
        <v>24</v>
      </c>
      <c r="H2">
        <f>SUMIFS(movements!$H:$H,movements!$E:$E,$A2,movements!$D:$D,"OPENING",movements!$C:$C,"&lt;"&amp;H$1+1)+SUMIFS(movements!$H:$H,movements!$E:$E,$A2,movements!$D:$D,"RECEIPT",movements!$C:$C,"&lt;"&amp;H$1+1)-SUMIFS(movements!$H:$H,movements!$E:$E,$A2,movements!$D:$D,"ISSUE",movements!$C:$C,"&lt;"&amp;H$1+1)</f>
        <v>8</v>
      </c>
      <c r="I2">
        <f>SUMIFS(movements!$H:$H,movements!$E:$E,$A2,movements!$D:$D,"OPENING",movements!$C:$C,"&lt;"&amp;I$1+1)+SUMIFS(movements!$H:$H,movements!$E:$E,$A2,movements!$D:$D,"RECEIPT",movements!$C:$C,"&lt;"&amp;I$1+1)-SUMIFS(movements!$H:$H,movements!$E:$E,$A2,movements!$D:$D,"ISSUE",movements!$C:$C,"&lt;"&amp;I$1+1)</f>
        <v>81</v>
      </c>
      <c r="J2">
        <f>SUMIFS(movements!$H:$H,movements!$E:$E,$A2,movements!$D:$D,"OPENING",movements!$C:$C,"&lt;"&amp;J$1+1)+SUMIFS(movements!$H:$H,movements!$E:$E,$A2,movements!$D:$D,"RECEIPT",movements!$C:$C,"&lt;"&amp;J$1+1)-SUMIFS(movements!$H:$H,movements!$E:$E,$A2,movements!$D:$D,"ISSUE",movements!$C:$C,"&lt;"&amp;J$1+1)</f>
        <v>66</v>
      </c>
      <c r="K2">
        <f>SUMIFS(movements!$H:$H,movements!$E:$E,$A2,movements!$D:$D,"OPENING",movements!$C:$C,"&lt;"&amp;K$1+1)+SUMIFS(movements!$H:$H,movements!$E:$E,$A2,movements!$D:$D,"RECEIPT",movements!$C:$C,"&lt;"&amp;K$1+1)-SUMIFS(movements!$H:$H,movements!$E:$E,$A2,movements!$D:$D,"ISSUE",movements!$C:$C,"&lt;"&amp;K$1+1)</f>
        <v>51</v>
      </c>
      <c r="L2">
        <f>SUMIFS(movements!$H:$H,movements!$E:$E,$A2,movements!$D:$D,"OPENING",movements!$C:$C,"&lt;"&amp;L$1+1)+SUMIFS(movements!$H:$H,movements!$E:$E,$A2,movements!$D:$D,"RECEIPT",movements!$C:$C,"&lt;"&amp;L$1+1)-SUMIFS(movements!$H:$H,movements!$E:$E,$A2,movements!$D:$D,"ISSUE",movements!$C:$C,"&lt;"&amp;L$1+1)</f>
        <v>44</v>
      </c>
      <c r="M2">
        <f>SUMIFS(movements!$H:$H,movements!$E:$E,$A2,movements!$D:$D,"OPENING",movements!$C:$C,"&lt;"&amp;M$1+1)+SUMIFS(movements!$H:$H,movements!$E:$E,$A2,movements!$D:$D,"RECEIPT",movements!$C:$C,"&lt;"&amp;M$1+1)-SUMIFS(movements!$H:$H,movements!$E:$E,$A2,movements!$D:$D,"ISSUE",movements!$C:$C,"&lt;"&amp;M$1+1)</f>
        <v>30</v>
      </c>
      <c r="N2">
        <f>SUMIFS(movements!$H:$H,movements!$E:$E,$A2,movements!$D:$D,"OPENING",movements!$C:$C,"&lt;"&amp;N$1+1)+SUMIFS(movements!$H:$H,movements!$E:$E,$A2,movements!$D:$D,"RECEIPT",movements!$C:$C,"&lt;"&amp;N$1+1)-SUMIFS(movements!$H:$H,movements!$E:$E,$A2,movements!$D:$D,"ISSUE",movements!$C:$C,"&lt;"&amp;N$1+1)</f>
        <v>15</v>
      </c>
      <c r="O2">
        <f>SUMIFS(movements!$H:$H,movements!$E:$E,$A2,movements!$D:$D,"OPENING",movements!$C:$C,"&lt;"&amp;O$1+1)+SUMIFS(movements!$H:$H,movements!$E:$E,$A2,movements!$D:$D,"RECEIPT",movements!$C:$C,"&lt;"&amp;O$1+1)-SUMIFS(movements!$H:$H,movements!$E:$E,$A2,movements!$D:$D,"ISSUE",movements!$C:$C,"&lt;"&amp;O$1+1)</f>
        <v>15</v>
      </c>
      <c r="P2">
        <f>SUMIFS(movements!$H:$H,movements!$E:$E,$A2,movements!$D:$D,"OPENING",movements!$C:$C,"&lt;"&amp;P$1+1)+SUMIFS(movements!$H:$H,movements!$E:$E,$A2,movements!$D:$D,"RECEIPT",movements!$C:$C,"&lt;"&amp;P$1+1)-SUMIFS(movements!$H:$H,movements!$E:$E,$A2,movements!$D:$D,"ISSUE",movements!$C:$C,"&lt;"&amp;P$1+1)</f>
        <v>98</v>
      </c>
      <c r="Q2">
        <f>SUMIFS(movements!$H:$H,movements!$E:$E,$A2,movements!$D:$D,"OPENING",movements!$C:$C,"&lt;"&amp;Q$1+1)+SUMIFS(movements!$H:$H,movements!$E:$E,$A2,movements!$D:$D,"RECEIPT",movements!$C:$C,"&lt;"&amp;Q$1+1)-SUMIFS(movements!$H:$H,movements!$E:$E,$A2,movements!$D:$D,"ISSUE",movements!$C:$C,"&lt;"&amp;Q$1+1)</f>
        <v>90</v>
      </c>
      <c r="R2">
        <f>SUMIFS(movements!$H:$H,movements!$E:$E,$A2,movements!$D:$D,"OPENING",movements!$C:$C,"&lt;"&amp;R$1+1)+SUMIFS(movements!$H:$H,movements!$E:$E,$A2,movements!$D:$D,"RECEIPT",movements!$C:$C,"&lt;"&amp;R$1+1)-SUMIFS(movements!$H:$H,movements!$E:$E,$A2,movements!$D:$D,"ISSUE",movements!$C:$C,"&lt;"&amp;R$1+1)</f>
        <v>83</v>
      </c>
      <c r="S2">
        <f>SUMIFS(movements!$H:$H,movements!$E:$E,$A2,movements!$D:$D,"OPENING",movements!$C:$C,"&lt;"&amp;S$1+1)+SUMIFS(movements!$H:$H,movements!$E:$E,$A2,movements!$D:$D,"RECEIPT",movements!$C:$C,"&lt;"&amp;S$1+1)-SUMIFS(movements!$H:$H,movements!$E:$E,$A2,movements!$D:$D,"ISSUE",movements!$C:$C,"&lt;"&amp;S$1+1)</f>
        <v>72</v>
      </c>
      <c r="T2">
        <f>SUMIFS(movements!$H:$H,movements!$E:$E,$A2,movements!$D:$D,"OPENING",movements!$C:$C,"&lt;"&amp;T$1+1)+SUMIFS(movements!$H:$H,movements!$E:$E,$A2,movements!$D:$D,"RECEIPT",movements!$C:$C,"&lt;"&amp;T$1+1)-SUMIFS(movements!$H:$H,movements!$E:$E,$A2,movements!$D:$D,"ISSUE",movements!$C:$C,"&lt;"&amp;T$1+1)</f>
        <v>52</v>
      </c>
      <c r="U2">
        <f>SUMIFS(movements!$H:$H,movements!$E:$E,$A2,movements!$D:$D,"OPENING",movements!$C:$C,"&lt;"&amp;U$1+1)+SUMIFS(movements!$H:$H,movements!$E:$E,$A2,movements!$D:$D,"RECEIPT",movements!$C:$C,"&lt;"&amp;U$1+1)-SUMIFS(movements!$H:$H,movements!$E:$E,$A2,movements!$D:$D,"ISSUE",movements!$C:$C,"&lt;"&amp;U$1+1)</f>
        <v>47</v>
      </c>
      <c r="V2">
        <f>SUMIFS(movements!$H:$H,movements!$E:$E,$A2,movements!$D:$D,"OPENING",movements!$C:$C,"&lt;"&amp;V$1+1)+SUMIFS(movements!$H:$H,movements!$E:$E,$A2,movements!$D:$D,"RECEIPT",movements!$C:$C,"&lt;"&amp;V$1+1)-SUMIFS(movements!$H:$H,movements!$E:$E,$A2,movements!$D:$D,"ISSUE",movements!$C:$C,"&lt;"&amp;V$1+1)</f>
        <v>39</v>
      </c>
      <c r="W2">
        <f>SUMIFS(movements!$H:$H,movements!$E:$E,$A2,movements!$D:$D,"OPENING",movements!$C:$C,"&lt;"&amp;W$1+1)+SUMIFS(movements!$H:$H,movements!$E:$E,$A2,movements!$D:$D,"RECEIPT",movements!$C:$C,"&lt;"&amp;W$1+1)-SUMIFS(movements!$H:$H,movements!$E:$E,$A2,movements!$D:$D,"ISSUE",movements!$C:$C,"&lt;"&amp;W$1+1)</f>
        <v>102</v>
      </c>
      <c r="X2">
        <f>SUMIFS(movements!$H:$H,movements!$E:$E,$A2,movements!$D:$D,"OPENING",movements!$C:$C,"&lt;"&amp;X$1+1)+SUMIFS(movements!$H:$H,movements!$E:$E,$A2,movements!$D:$D,"RECEIPT",movements!$C:$C,"&lt;"&amp;X$1+1)-SUMIFS(movements!$H:$H,movements!$E:$E,$A2,movements!$D:$D,"ISSUE",movements!$C:$C,"&lt;"&amp;X$1+1)</f>
        <v>88</v>
      </c>
      <c r="Y2">
        <f>SUMIFS(movements!$H:$H,movements!$E:$E,$A2,movements!$D:$D,"OPENING",movements!$C:$C,"&lt;"&amp;Y$1+1)+SUMIFS(movements!$H:$H,movements!$E:$E,$A2,movements!$D:$D,"RECEIPT",movements!$C:$C,"&lt;"&amp;Y$1+1)-SUMIFS(movements!$H:$H,movements!$E:$E,$A2,movements!$D:$D,"ISSUE",movements!$C:$C,"&lt;"&amp;Y$1+1)</f>
        <v>79</v>
      </c>
      <c r="Z2">
        <f>SUMIFS(movements!$H:$H,movements!$E:$E,$A2,movements!$D:$D,"OPENING",movements!$C:$C,"&lt;"&amp;Z$1+1)+SUMIFS(movements!$H:$H,movements!$E:$E,$A2,movements!$D:$D,"RECEIPT",movements!$C:$C,"&lt;"&amp;Z$1+1)-SUMIFS(movements!$H:$H,movements!$E:$E,$A2,movements!$D:$D,"ISSUE",movements!$C:$C,"&lt;"&amp;Z$1+1)</f>
        <v>73</v>
      </c>
      <c r="AA2">
        <f>SUMIFS(movements!$H:$H,movements!$E:$E,$A2,movements!$D:$D,"OPENING",movements!$C:$C,"&lt;"&amp;AA$1+1)+SUMIFS(movements!$H:$H,movements!$E:$E,$A2,movements!$D:$D,"RECEIPT",movements!$C:$C,"&lt;"&amp;AA$1+1)-SUMIFS(movements!$H:$H,movements!$E:$E,$A2,movements!$D:$D,"ISSUE",movements!$C:$C,"&lt;"&amp;AA$1+1)</f>
        <v>49</v>
      </c>
      <c r="AB2">
        <f>SUMIFS(movements!$H:$H,movements!$E:$E,$A2,movements!$D:$D,"OPENING",movements!$C:$C,"&lt;"&amp;AB$1+1)+SUMIFS(movements!$H:$H,movements!$E:$E,$A2,movements!$D:$D,"RECEIPT",movements!$C:$C,"&lt;"&amp;AB$1+1)-SUMIFS(movements!$H:$H,movements!$E:$E,$A2,movements!$D:$D,"ISSUE",movements!$C:$C,"&lt;"&amp;AB$1+1)</f>
        <v>43</v>
      </c>
      <c r="AC2">
        <f>SUMIFS(movements!$H:$H,movements!$E:$E,$A2,movements!$D:$D,"OPENING",movements!$C:$C,"&lt;"&amp;AC$1+1)+SUMIFS(movements!$H:$H,movements!$E:$E,$A2,movements!$D:$D,"RECEIPT",movements!$C:$C,"&lt;"&amp;AC$1+1)-SUMIFS(movements!$H:$H,movements!$E:$E,$A2,movements!$D:$D,"ISSUE",movements!$C:$C,"&lt;"&amp;AC$1+1)</f>
        <v>31</v>
      </c>
      <c r="AD2">
        <f>SUMIFS(movements!$H:$H,movements!$E:$E,$A2,movements!$D:$D,"OPENING",movements!$C:$C,"&lt;"&amp;AD$1+1)+SUMIFS(movements!$H:$H,movements!$E:$E,$A2,movements!$D:$D,"RECEIPT",movements!$C:$C,"&lt;"&amp;AD$1+1)-SUMIFS(movements!$H:$H,movements!$E:$E,$A2,movements!$D:$D,"ISSUE",movements!$C:$C,"&lt;"&amp;AD$1+1)</f>
        <v>91</v>
      </c>
      <c r="AE2">
        <f>SUMIFS(movements!$H:$H,movements!$E:$E,$A2,movements!$D:$D,"OPENING",movements!$C:$C,"&lt;"&amp;AE$1+1)+SUMIFS(movements!$H:$H,movements!$E:$E,$A2,movements!$D:$D,"RECEIPT",movements!$C:$C,"&lt;"&amp;AE$1+1)-SUMIFS(movements!$H:$H,movements!$E:$E,$A2,movements!$D:$D,"ISSUE",movements!$C:$C,"&lt;"&amp;AE$1+1)</f>
        <v>83</v>
      </c>
      <c r="AF2">
        <f>SUMIFS(movements!$H:$H,movements!$E:$E,$A2,movements!$D:$D,"OPENING",movements!$C:$C,"&lt;"&amp;AF$1+1)+SUMIFS(movements!$H:$H,movements!$E:$E,$A2,movements!$D:$D,"RECEIPT",movements!$C:$C,"&lt;"&amp;AF$1+1)-SUMIFS(movements!$H:$H,movements!$E:$E,$A2,movements!$D:$D,"ISSUE",movements!$C:$C,"&lt;"&amp;AF$1+1)</f>
        <v>77</v>
      </c>
      <c r="AG2">
        <f>SUMIFS(movements!$H:$H,movements!$E:$E,$A2,movements!$D:$D,"OPENING",movements!$C:$C,"&lt;"&amp;AG$1+1)+SUMIFS(movements!$H:$H,movements!$E:$E,$A2,movements!$D:$D,"RECEIPT",movements!$C:$C,"&lt;"&amp;AG$1+1)-SUMIFS(movements!$H:$H,movements!$E:$E,$A2,movements!$D:$D,"ISSUE",movements!$C:$C,"&lt;"&amp;AG$1+1)</f>
        <v>69</v>
      </c>
      <c r="AH2">
        <f>SUMIFS(movements!$H:$H,movements!$E:$E,$A2,movements!$D:$D,"OPENING",movements!$C:$C,"&lt;"&amp;AH$1+1)+SUMIFS(movements!$H:$H,movements!$E:$E,$A2,movements!$D:$D,"RECEIPT",movements!$C:$C,"&lt;"&amp;AH$1+1)-SUMIFS(movements!$H:$H,movements!$E:$E,$A2,movements!$D:$D,"ISSUE",movements!$C:$C,"&lt;"&amp;AH$1+1)</f>
        <v>46</v>
      </c>
      <c r="AI2">
        <f>SUMIFS(movements!$H:$H,movements!$E:$E,$A2,movements!$D:$D,"OPENING",movements!$C:$C,"&lt;"&amp;AI$1+1)+SUMIFS(movements!$H:$H,movements!$E:$E,$A2,movements!$D:$D,"RECEIPT",movements!$C:$C,"&lt;"&amp;AI$1+1)-SUMIFS(movements!$H:$H,movements!$E:$E,$A2,movements!$D:$D,"ISSUE",movements!$C:$C,"&lt;"&amp;AI$1+1)</f>
        <v>32</v>
      </c>
      <c r="AJ2">
        <f>SUMIFS(movements!$H:$H,movements!$E:$E,$A2,movements!$D:$D,"OPENING",movements!$C:$C,"&lt;"&amp;AJ$1+1)+SUMIFS(movements!$H:$H,movements!$E:$E,$A2,movements!$D:$D,"RECEIPT",movements!$C:$C,"&lt;"&amp;AJ$1+1)-SUMIFS(movements!$H:$H,movements!$E:$E,$A2,movements!$D:$D,"ISSUE",movements!$C:$C,"&lt;"&amp;AJ$1+1)</f>
        <v>20</v>
      </c>
      <c r="AK2">
        <f>SUMIFS(movements!$H:$H,movements!$E:$E,$A2,movements!$D:$D,"OPENING",movements!$C:$C,"&lt;"&amp;AK$1+1)+SUMIFS(movements!$H:$H,movements!$E:$E,$A2,movements!$D:$D,"RECEIPT",movements!$C:$C,"&lt;"&amp;AK$1+1)-SUMIFS(movements!$H:$H,movements!$E:$E,$A2,movements!$D:$D,"ISSUE",movements!$C:$C,"&lt;"&amp;AK$1+1)</f>
        <v>12</v>
      </c>
      <c r="AL2">
        <f>SUMIFS(movements!$H:$H,movements!$E:$E,$A2,movements!$D:$D,"OPENING",movements!$C:$C,"&lt;"&amp;AL$1+1)+SUMIFS(movements!$H:$H,movements!$E:$E,$A2,movements!$D:$D,"RECEIPT",movements!$C:$C,"&lt;"&amp;AL$1+1)-SUMIFS(movements!$H:$H,movements!$E:$E,$A2,movements!$D:$D,"ISSUE",movements!$C:$C,"&lt;"&amp;AL$1+1)</f>
        <v>0</v>
      </c>
      <c r="AM2">
        <f>SUMIFS(movements!$H:$H,movements!$E:$E,$A2,movements!$D:$D,"OPENING",movements!$C:$C,"&lt;"&amp;AM$1+1)+SUMIFS(movements!$H:$H,movements!$E:$E,$A2,movements!$D:$D,"RECEIPT",movements!$C:$C,"&lt;"&amp;AM$1+1)-SUMIFS(movements!$H:$H,movements!$E:$E,$A2,movements!$D:$D,"ISSUE",movements!$C:$C,"&lt;"&amp;AM$1+1)</f>
        <v>0</v>
      </c>
      <c r="AN2">
        <f>SUMIFS(movements!$H:$H,movements!$E:$E,$A2,movements!$D:$D,"OPENING",movements!$C:$C,"&lt;"&amp;AN$1+1)+SUMIFS(movements!$H:$H,movements!$E:$E,$A2,movements!$D:$D,"RECEIPT",movements!$C:$C,"&lt;"&amp;AN$1+1)-SUMIFS(movements!$H:$H,movements!$E:$E,$A2,movements!$D:$D,"ISSUE",movements!$C:$C,"&lt;"&amp;AN$1+1)</f>
        <v>0</v>
      </c>
      <c r="AO2">
        <f>SUMIFS(movements!$H:$H,movements!$E:$E,$A2,movements!$D:$D,"OPENING",movements!$C:$C,"&lt;"&amp;AO$1+1)+SUMIFS(movements!$H:$H,movements!$E:$E,$A2,movements!$D:$D,"RECEIPT",movements!$C:$C,"&lt;"&amp;AO$1+1)-SUMIFS(movements!$H:$H,movements!$E:$E,$A2,movements!$D:$D,"ISSUE",movements!$C:$C,"&lt;"&amp;AO$1+1)</f>
        <v>0</v>
      </c>
      <c r="AP2">
        <f>SUMIFS(movements!$H:$H,movements!$E:$E,$A2,movements!$D:$D,"OPENING",movements!$C:$C,"&lt;"&amp;AP$1+1)+SUMIFS(movements!$H:$H,movements!$E:$E,$A2,movements!$D:$D,"RECEIPT",movements!$C:$C,"&lt;"&amp;AP$1+1)-SUMIFS(movements!$H:$H,movements!$E:$E,$A2,movements!$D:$D,"ISSUE",movements!$C:$C,"&lt;"&amp;AP$1+1)</f>
        <v>0</v>
      </c>
      <c r="AQ2">
        <f>SUMIFS(movements!$H:$H,movements!$E:$E,$A2,movements!$D:$D,"OPENING",movements!$C:$C,"&lt;"&amp;AQ$1+1)+SUMIFS(movements!$H:$H,movements!$E:$E,$A2,movements!$D:$D,"RECEIPT",movements!$C:$C,"&lt;"&amp;AQ$1+1)-SUMIFS(movements!$H:$H,movements!$E:$E,$A2,movements!$D:$D,"ISSUE",movements!$C:$C,"&lt;"&amp;AQ$1+1)</f>
        <v>0</v>
      </c>
      <c r="AR2">
        <f>SUMIFS(movements!$H:$H,movements!$E:$E,$A2,movements!$D:$D,"OPENING",movements!$C:$C,"&lt;"&amp;AR$1+1)+SUMIFS(movements!$H:$H,movements!$E:$E,$A2,movements!$D:$D,"RECEIPT",movements!$C:$C,"&lt;"&amp;AR$1+1)-SUMIFS(movements!$H:$H,movements!$E:$E,$A2,movements!$D:$D,"ISSUE",movements!$C:$C,"&lt;"&amp;AR$1+1)</f>
        <v>0</v>
      </c>
      <c r="AS2">
        <f>SUMIFS(movements!$H:$H,movements!$E:$E,$A2,movements!$D:$D,"OPENING",movements!$C:$C,"&lt;"&amp;AS$1+1)+SUMIFS(movements!$H:$H,movements!$E:$E,$A2,movements!$D:$D,"RECEIPT",movements!$C:$C,"&lt;"&amp;AS$1+1)-SUMIFS(movements!$H:$H,movements!$E:$E,$A2,movements!$D:$D,"ISSUE",movements!$C:$C,"&lt;"&amp;AS$1+1)</f>
        <v>0</v>
      </c>
      <c r="AT2">
        <f>SUMIFS(movements!$H:$H,movements!$E:$E,$A2,movements!$D:$D,"OPENING",movements!$C:$C,"&lt;"&amp;AT$1+1)+SUMIFS(movements!$H:$H,movements!$E:$E,$A2,movements!$D:$D,"RECEIPT",movements!$C:$C,"&lt;"&amp;AT$1+1)-SUMIFS(movements!$H:$H,movements!$E:$E,$A2,movements!$D:$D,"ISSUE",movements!$C:$C,"&lt;"&amp;AT$1+1)</f>
        <v>0</v>
      </c>
      <c r="AU2">
        <f>SUMIFS(movements!$H:$H,movements!$E:$E,$A2,movements!$D:$D,"OPENING",movements!$C:$C,"&lt;"&amp;AU$1+1)+SUMIFS(movements!$H:$H,movements!$E:$E,$A2,movements!$D:$D,"RECEIPT",movements!$C:$C,"&lt;"&amp;AU$1+1)-SUMIFS(movements!$H:$H,movements!$E:$E,$A2,movements!$D:$D,"ISSUE",movements!$C:$C,"&lt;"&amp;AU$1+1)</f>
        <v>0</v>
      </c>
      <c r="AV2">
        <f>SUMIFS(movements!$H:$H,movements!$E:$E,$A2,movements!$D:$D,"OPENING",movements!$C:$C,"&lt;"&amp;AV$1+1)+SUMIFS(movements!$H:$H,movements!$E:$E,$A2,movements!$D:$D,"RECEIPT",movements!$C:$C,"&lt;"&amp;AV$1+1)-SUMIFS(movements!$H:$H,movements!$E:$E,$A2,movements!$D:$D,"ISSUE",movements!$C:$C,"&lt;"&amp;AV$1+1)</f>
        <v>0</v>
      </c>
      <c r="AW2">
        <f>SUMIFS(movements!$H:$H,movements!$E:$E,$A2,movements!$D:$D,"OPENING",movements!$C:$C,"&lt;"&amp;AW$1+1)+SUMIFS(movements!$H:$H,movements!$E:$E,$A2,movements!$D:$D,"RECEIPT",movements!$C:$C,"&lt;"&amp;AW$1+1)-SUMIFS(movements!$H:$H,movements!$E:$E,$A2,movements!$D:$D,"ISSUE",movements!$C:$C,"&lt;"&amp;AW$1+1)</f>
        <v>0</v>
      </c>
      <c r="AX2">
        <f>SUMIFS(movements!$H:$H,movements!$E:$E,$A2,movements!$D:$D,"OPENING",movements!$C:$C,"&lt;"&amp;AX$1+1)+SUMIFS(movements!$H:$H,movements!$E:$E,$A2,movements!$D:$D,"RECEIPT",movements!$C:$C,"&lt;"&amp;AX$1+1)-SUMIFS(movements!$H:$H,movements!$E:$E,$A2,movements!$D:$D,"ISSUE",movements!$C:$C,"&lt;"&amp;AX$1+1)</f>
        <v>0</v>
      </c>
      <c r="AY2">
        <f>SUMIFS(movements!$H:$H,movements!$E:$E,$A2,movements!$D:$D,"OPENING",movements!$C:$C,"&lt;"&amp;AY$1+1)+SUMIFS(movements!$H:$H,movements!$E:$E,$A2,movements!$D:$D,"RECEIPT",movements!$C:$C,"&lt;"&amp;AY$1+1)-SUMIFS(movements!$H:$H,movements!$E:$E,$A2,movements!$D:$D,"ISSUE",movements!$C:$C,"&lt;"&amp;AY$1+1)</f>
        <v>0</v>
      </c>
      <c r="AZ2">
        <f>SUMIFS(movements!$H:$H,movements!$E:$E,$A2,movements!$D:$D,"OPENING",movements!$C:$C,"&lt;"&amp;AZ$1+1)+SUMIFS(movements!$H:$H,movements!$E:$E,$A2,movements!$D:$D,"RECEIPT",movements!$C:$C,"&lt;"&amp;AZ$1+1)-SUMIFS(movements!$H:$H,movements!$E:$E,$A2,movements!$D:$D,"ISSUE",movements!$C:$C,"&lt;"&amp;AZ$1+1)</f>
        <v>0</v>
      </c>
      <c r="BA2">
        <f>SUMIFS(movements!$H:$H,movements!$E:$E,$A2,movements!$D:$D,"OPENING",movements!$C:$C,"&lt;"&amp;BA$1+1)+SUMIFS(movements!$H:$H,movements!$E:$E,$A2,movements!$D:$D,"RECEIPT",movements!$C:$C,"&lt;"&amp;BA$1+1)-SUMIFS(movements!$H:$H,movements!$E:$E,$A2,movements!$D:$D,"ISSUE",movements!$C:$C,"&lt;"&amp;BA$1+1)</f>
        <v>0</v>
      </c>
      <c r="BB2">
        <f>SUMIFS(movements!$H:$H,movements!$E:$E,$A2,movements!$D:$D,"OPENING",movements!$C:$C,"&lt;"&amp;BB$1+1)+SUMIFS(movements!$H:$H,movements!$E:$E,$A2,movements!$D:$D,"RECEIPT",movements!$C:$C,"&lt;"&amp;BB$1+1)-SUMIFS(movements!$H:$H,movements!$E:$E,$A2,movements!$D:$D,"ISSUE",movements!$C:$C,"&lt;"&amp;BB$1+1)</f>
        <v>0</v>
      </c>
      <c r="BC2">
        <f>SUMIFS(movements!$H:$H,movements!$E:$E,$A2,movements!$D:$D,"OPENING",movements!$C:$C,"&lt;"&amp;BC$1+1)+SUMIFS(movements!$H:$H,movements!$E:$E,$A2,movements!$D:$D,"RECEIPT",movements!$C:$C,"&lt;"&amp;BC$1+1)-SUMIFS(movements!$H:$H,movements!$E:$E,$A2,movements!$D:$D,"ISSUE",movements!$C:$C,"&lt;"&amp;BC$1+1)</f>
        <v>0</v>
      </c>
      <c r="BD2">
        <f>SUMIFS(movements!$H:$H,movements!$E:$E,$A2,movements!$D:$D,"OPENING",movements!$C:$C,"&lt;"&amp;BD$1+1)+SUMIFS(movements!$H:$H,movements!$E:$E,$A2,movements!$D:$D,"RECEIPT",movements!$C:$C,"&lt;"&amp;BD$1+1)-SUMIFS(movements!$H:$H,movements!$E:$E,$A2,movements!$D:$D,"ISSUE",movements!$C:$C,"&lt;"&amp;BD$1+1)</f>
        <v>0</v>
      </c>
      <c r="BE2">
        <f>SUMIFS(movements!$H:$H,movements!$E:$E,$A2,movements!$D:$D,"OPENING",movements!$C:$C,"&lt;"&amp;BE$1+1)+SUMIFS(movements!$H:$H,movements!$E:$E,$A2,movements!$D:$D,"RECEIPT",movements!$C:$C,"&lt;"&amp;BE$1+1)-SUMIFS(movements!$H:$H,movements!$E:$E,$A2,movements!$D:$D,"ISSUE",movements!$C:$C,"&lt;"&amp;BE$1+1)</f>
        <v>0</v>
      </c>
      <c r="BF2">
        <f>SUMIFS(movements!$H:$H,movements!$E:$E,$A2,movements!$D:$D,"OPENING",movements!$C:$C,"&lt;"&amp;BF$1+1)+SUMIFS(movements!$H:$H,movements!$E:$E,$A2,movements!$D:$D,"RECEIPT",movements!$C:$C,"&lt;"&amp;BF$1+1)-SUMIFS(movements!$H:$H,movements!$E:$E,$A2,movements!$D:$D,"ISSUE",movements!$C:$C,"&lt;"&amp;BF$1+1)</f>
        <v>78</v>
      </c>
      <c r="BG2">
        <f>SUMIFS(movements!$H:$H,movements!$E:$E,$A2,movements!$D:$D,"OPENING",movements!$C:$C,"&lt;"&amp;BG$1+1)+SUMIFS(movements!$H:$H,movements!$E:$E,$A2,movements!$D:$D,"RECEIPT",movements!$C:$C,"&lt;"&amp;BG$1+1)-SUMIFS(movements!$H:$H,movements!$E:$E,$A2,movements!$D:$D,"ISSUE",movements!$C:$C,"&lt;"&amp;BG$1+1)</f>
        <v>69</v>
      </c>
      <c r="BH2">
        <f>SUMIFS(movements!$H:$H,movements!$E:$E,$A2,movements!$D:$D,"OPENING",movements!$C:$C,"&lt;"&amp;BH$1+1)+SUMIFS(movements!$H:$H,movements!$E:$E,$A2,movements!$D:$D,"RECEIPT",movements!$C:$C,"&lt;"&amp;BH$1+1)-SUMIFS(movements!$H:$H,movements!$E:$E,$A2,movements!$D:$D,"ISSUE",movements!$C:$C,"&lt;"&amp;BH$1+1)</f>
        <v>58</v>
      </c>
      <c r="BI2">
        <f>SUMIFS(movements!$H:$H,movements!$E:$E,$A2,movements!$D:$D,"OPENING",movements!$C:$C,"&lt;"&amp;BI$1+1)+SUMIFS(movements!$H:$H,movements!$E:$E,$A2,movements!$D:$D,"RECEIPT",movements!$C:$C,"&lt;"&amp;BI$1+1)-SUMIFS(movements!$H:$H,movements!$E:$E,$A2,movements!$D:$D,"ISSUE",movements!$C:$C,"&lt;"&amp;BI$1+1)</f>
        <v>44</v>
      </c>
      <c r="BJ2">
        <f>SUMIFS(movements!$H:$H,movements!$E:$E,$A2,movements!$D:$D,"OPENING",movements!$C:$C,"&lt;"&amp;BJ$1+1)+SUMIFS(movements!$H:$H,movements!$E:$E,$A2,movements!$D:$D,"RECEIPT",movements!$C:$C,"&lt;"&amp;BJ$1+1)-SUMIFS(movements!$H:$H,movements!$E:$E,$A2,movements!$D:$D,"ISSUE",movements!$C:$C,"&lt;"&amp;BJ$1+1)</f>
        <v>23</v>
      </c>
      <c r="BK2">
        <f>SUMIFS(movements!$H:$H,movements!$E:$E,$A2,movements!$D:$D,"OPENING",movements!$C:$C,"&lt;"&amp;BK$1+1)+SUMIFS(movements!$H:$H,movements!$E:$E,$A2,movements!$D:$D,"RECEIPT",movements!$C:$C,"&lt;"&amp;BK$1+1)-SUMIFS(movements!$H:$H,movements!$E:$E,$A2,movements!$D:$D,"ISSUE",movements!$C:$C,"&lt;"&amp;BK$1+1)</f>
        <v>9</v>
      </c>
      <c r="BL2">
        <f>SUMIFS(movements!$H:$H,movements!$E:$E,$A2,movements!$D:$D,"OPENING",movements!$C:$C,"&lt;"&amp;BL$1+1)+SUMIFS(movements!$H:$H,movements!$E:$E,$A2,movements!$D:$D,"RECEIPT",movements!$C:$C,"&lt;"&amp;BL$1+1)-SUMIFS(movements!$H:$H,movements!$E:$E,$A2,movements!$D:$D,"ISSUE",movements!$C:$C,"&lt;"&amp;BL$1+1)</f>
        <v>0</v>
      </c>
      <c r="BM2">
        <f>SUMIFS(movements!$H:$H,movements!$E:$E,$A2,movements!$D:$D,"OPENING",movements!$C:$C,"&lt;"&amp;BM$1+1)+SUMIFS(movements!$H:$H,movements!$E:$E,$A2,movements!$D:$D,"RECEIPT",movements!$C:$C,"&lt;"&amp;BM$1+1)-SUMIFS(movements!$H:$H,movements!$E:$E,$A2,movements!$D:$D,"ISSUE",movements!$C:$C,"&lt;"&amp;BM$1+1)</f>
        <v>87</v>
      </c>
      <c r="BN2">
        <f>SUMIFS(movements!$H:$H,movements!$E:$E,$A2,movements!$D:$D,"OPENING",movements!$C:$C,"&lt;"&amp;BN$1+1)+SUMIFS(movements!$H:$H,movements!$E:$E,$A2,movements!$D:$D,"RECEIPT",movements!$C:$C,"&lt;"&amp;BN$1+1)-SUMIFS(movements!$H:$H,movements!$E:$E,$A2,movements!$D:$D,"ISSUE",movements!$C:$C,"&lt;"&amp;BN$1+1)</f>
        <v>78</v>
      </c>
      <c r="BO2">
        <f>SUMIFS(movements!$H:$H,movements!$E:$E,$A2,movements!$D:$D,"OPENING",movements!$C:$C,"&lt;"&amp;BO$1+1)+SUMIFS(movements!$H:$H,movements!$E:$E,$A2,movements!$D:$D,"RECEIPT",movements!$C:$C,"&lt;"&amp;BO$1+1)-SUMIFS(movements!$H:$H,movements!$E:$E,$A2,movements!$D:$D,"ISSUE",movements!$C:$C,"&lt;"&amp;BO$1+1)</f>
        <v>77</v>
      </c>
      <c r="BP2">
        <f>SUMIFS(movements!$H:$H,movements!$E:$E,$A2,movements!$D:$D,"OPENING",movements!$C:$C,"&lt;"&amp;BP$1+1)+SUMIFS(movements!$H:$H,movements!$E:$E,$A2,movements!$D:$D,"RECEIPT",movements!$C:$C,"&lt;"&amp;BP$1+1)-SUMIFS(movements!$H:$H,movements!$E:$E,$A2,movements!$D:$D,"ISSUE",movements!$C:$C,"&lt;"&amp;BP$1+1)</f>
        <v>68</v>
      </c>
      <c r="BQ2">
        <f>SUMIFS(movements!$H:$H,movements!$E:$E,$A2,movements!$D:$D,"OPENING",movements!$C:$C,"&lt;"&amp;BQ$1+1)+SUMIFS(movements!$H:$H,movements!$E:$E,$A2,movements!$D:$D,"RECEIPT",movements!$C:$C,"&lt;"&amp;BQ$1+1)-SUMIFS(movements!$H:$H,movements!$E:$E,$A2,movements!$D:$D,"ISSUE",movements!$C:$C,"&lt;"&amp;BQ$1+1)</f>
        <v>58</v>
      </c>
      <c r="BR2">
        <f>SUMIFS(movements!$H:$H,movements!$E:$E,$A2,movements!$D:$D,"OPENING",movements!$C:$C,"&lt;"&amp;BR$1+1)+SUMIFS(movements!$H:$H,movements!$E:$E,$A2,movements!$D:$D,"RECEIPT",movements!$C:$C,"&lt;"&amp;BR$1+1)-SUMIFS(movements!$H:$H,movements!$E:$E,$A2,movements!$D:$D,"ISSUE",movements!$C:$C,"&lt;"&amp;BR$1+1)</f>
        <v>38</v>
      </c>
      <c r="BS2">
        <f>SUMIFS(movements!$H:$H,movements!$E:$E,$A2,movements!$D:$D,"OPENING",movements!$C:$C,"&lt;"&amp;BS$1+1)+SUMIFS(movements!$H:$H,movements!$E:$E,$A2,movements!$D:$D,"RECEIPT",movements!$C:$C,"&lt;"&amp;BS$1+1)-SUMIFS(movements!$H:$H,movements!$E:$E,$A2,movements!$D:$D,"ISSUE",movements!$C:$C,"&lt;"&amp;BS$1+1)</f>
        <v>29</v>
      </c>
      <c r="BT2">
        <f>SUMIFS(movements!$H:$H,movements!$E:$E,$A2,movements!$D:$D,"OPENING",movements!$C:$C,"&lt;"&amp;BT$1+1)+SUMIFS(movements!$H:$H,movements!$E:$E,$A2,movements!$D:$D,"RECEIPT",movements!$C:$C,"&lt;"&amp;BT$1+1)-SUMIFS(movements!$H:$H,movements!$E:$E,$A2,movements!$D:$D,"ISSUE",movements!$C:$C,"&lt;"&amp;BT$1+1)</f>
        <v>95</v>
      </c>
      <c r="BU2">
        <f>SUMIFS(movements!$H:$H,movements!$E:$E,$A2,movements!$D:$D,"OPENING",movements!$C:$C,"&lt;"&amp;BU$1+1)+SUMIFS(movements!$H:$H,movements!$E:$E,$A2,movements!$D:$D,"RECEIPT",movements!$C:$C,"&lt;"&amp;BU$1+1)-SUMIFS(movements!$H:$H,movements!$E:$E,$A2,movements!$D:$D,"ISSUE",movements!$C:$C,"&lt;"&amp;BU$1+1)</f>
        <v>87</v>
      </c>
      <c r="BV2">
        <f>SUMIFS(movements!$H:$H,movements!$E:$E,$A2,movements!$D:$D,"OPENING",movements!$C:$C,"&lt;"&amp;BV$1+1)+SUMIFS(movements!$H:$H,movements!$E:$E,$A2,movements!$D:$D,"RECEIPT",movements!$C:$C,"&lt;"&amp;BV$1+1)-SUMIFS(movements!$H:$H,movements!$E:$E,$A2,movements!$D:$D,"ISSUE",movements!$C:$C,"&lt;"&amp;BV$1+1)</f>
        <v>82</v>
      </c>
      <c r="BW2">
        <f>SUMIFS(movements!$H:$H,movements!$E:$E,$A2,movements!$D:$D,"OPENING",movements!$C:$C,"&lt;"&amp;BW$1+1)+SUMIFS(movements!$H:$H,movements!$E:$E,$A2,movements!$D:$D,"RECEIPT",movements!$C:$C,"&lt;"&amp;BW$1+1)-SUMIFS(movements!$H:$H,movements!$E:$E,$A2,movements!$D:$D,"ISSUE",movements!$C:$C,"&lt;"&amp;BW$1+1)</f>
        <v>73</v>
      </c>
      <c r="BX2">
        <f>SUMIFS(movements!$H:$H,movements!$E:$E,$A2,movements!$D:$D,"OPENING",movements!$C:$C,"&lt;"&amp;BX$1+1)+SUMIFS(movements!$H:$H,movements!$E:$E,$A2,movements!$D:$D,"RECEIPT",movements!$C:$C,"&lt;"&amp;BX$1+1)-SUMIFS(movements!$H:$H,movements!$E:$E,$A2,movements!$D:$D,"ISSUE",movements!$C:$C,"&lt;"&amp;BX$1+1)</f>
        <v>57</v>
      </c>
      <c r="BY2">
        <f>SUMIFS(movements!$H:$H,movements!$E:$E,$A2,movements!$D:$D,"OPENING",movements!$C:$C,"&lt;"&amp;BY$1+1)+SUMIFS(movements!$H:$H,movements!$E:$E,$A2,movements!$D:$D,"RECEIPT",movements!$C:$C,"&lt;"&amp;BY$1+1)-SUMIFS(movements!$H:$H,movements!$E:$E,$A2,movements!$D:$D,"ISSUE",movements!$C:$C,"&lt;"&amp;BY$1+1)</f>
        <v>36</v>
      </c>
      <c r="BZ2">
        <f>SUMIFS(movements!$H:$H,movements!$E:$E,$A2,movements!$D:$D,"OPENING",movements!$C:$C,"&lt;"&amp;BZ$1+1)+SUMIFS(movements!$H:$H,movements!$E:$E,$A2,movements!$D:$D,"RECEIPT",movements!$C:$C,"&lt;"&amp;BZ$1+1)-SUMIFS(movements!$H:$H,movements!$E:$E,$A2,movements!$D:$D,"ISSUE",movements!$C:$C,"&lt;"&amp;BZ$1+1)</f>
        <v>31</v>
      </c>
      <c r="CA2">
        <f>SUMIFS(movements!$H:$H,movements!$E:$E,$A2,movements!$D:$D,"OPENING",movements!$C:$C,"&lt;"&amp;CA$1+1)+SUMIFS(movements!$H:$H,movements!$E:$E,$A2,movements!$D:$D,"RECEIPT",movements!$C:$C,"&lt;"&amp;CA$1+1)-SUMIFS(movements!$H:$H,movements!$E:$E,$A2,movements!$D:$D,"ISSUE",movements!$C:$C,"&lt;"&amp;CA$1+1)</f>
        <v>113</v>
      </c>
      <c r="CB2">
        <f>SUMIFS(movements!$H:$H,movements!$E:$E,$A2,movements!$D:$D,"OPENING",movements!$C:$C,"&lt;"&amp;CB$1+1)+SUMIFS(movements!$H:$H,movements!$E:$E,$A2,movements!$D:$D,"RECEIPT",movements!$C:$C,"&lt;"&amp;CB$1+1)-SUMIFS(movements!$H:$H,movements!$E:$E,$A2,movements!$D:$D,"ISSUE",movements!$C:$C,"&lt;"&amp;CB$1+1)</f>
        <v>106</v>
      </c>
      <c r="CC2">
        <f>SUMIFS(movements!$H:$H,movements!$E:$E,$A2,movements!$D:$D,"OPENING",movements!$C:$C,"&lt;"&amp;CC$1+1)+SUMIFS(movements!$H:$H,movements!$E:$E,$A2,movements!$D:$D,"RECEIPT",movements!$C:$C,"&lt;"&amp;CC$1+1)-SUMIFS(movements!$H:$H,movements!$E:$E,$A2,movements!$D:$D,"ISSUE",movements!$C:$C,"&lt;"&amp;CC$1+1)</f>
        <v>96</v>
      </c>
      <c r="CD2">
        <f>SUMIFS(movements!$H:$H,movements!$E:$E,$A2,movements!$D:$D,"OPENING",movements!$C:$C,"&lt;"&amp;CD$1+1)+SUMIFS(movements!$H:$H,movements!$E:$E,$A2,movements!$D:$D,"RECEIPT",movements!$C:$C,"&lt;"&amp;CD$1+1)-SUMIFS(movements!$H:$H,movements!$E:$E,$A2,movements!$D:$D,"ISSUE",movements!$C:$C,"&lt;"&amp;CD$1+1)</f>
        <v>91</v>
      </c>
      <c r="CE2">
        <f>SUMIFS(movements!$H:$H,movements!$E:$E,$A2,movements!$D:$D,"OPENING",movements!$C:$C,"&lt;"&amp;CE$1+1)+SUMIFS(movements!$H:$H,movements!$E:$E,$A2,movements!$D:$D,"RECEIPT",movements!$C:$C,"&lt;"&amp;CE$1+1)-SUMIFS(movements!$H:$H,movements!$E:$E,$A2,movements!$D:$D,"ISSUE",movements!$C:$C,"&lt;"&amp;CE$1+1)</f>
        <v>77</v>
      </c>
      <c r="CF2">
        <f>SUMIFS(movements!$H:$H,movements!$E:$E,$A2,movements!$D:$D,"OPENING",movements!$C:$C,"&lt;"&amp;CF$1+1)+SUMIFS(movements!$H:$H,movements!$E:$E,$A2,movements!$D:$D,"RECEIPT",movements!$C:$C,"&lt;"&amp;CF$1+1)-SUMIFS(movements!$H:$H,movements!$E:$E,$A2,movements!$D:$D,"ISSUE",movements!$C:$C,"&lt;"&amp;CF$1+1)</f>
        <v>66</v>
      </c>
      <c r="CG2">
        <f>SUMIFS(movements!$H:$H,movements!$E:$E,$A2,movements!$D:$D,"OPENING",movements!$C:$C,"&lt;"&amp;CG$1+1)+SUMIFS(movements!$H:$H,movements!$E:$E,$A2,movements!$D:$D,"RECEIPT",movements!$C:$C,"&lt;"&amp;CG$1+1)-SUMIFS(movements!$H:$H,movements!$E:$E,$A2,movements!$D:$D,"ISSUE",movements!$C:$C,"&lt;"&amp;CG$1+1)</f>
        <v>49</v>
      </c>
      <c r="CH2">
        <f>SUMIFS(movements!$H:$H,movements!$E:$E,$A2,movements!$D:$D,"OPENING",movements!$C:$C,"&lt;"&amp;CH$1+1)+SUMIFS(movements!$H:$H,movements!$E:$E,$A2,movements!$D:$D,"RECEIPT",movements!$C:$C,"&lt;"&amp;CH$1+1)-SUMIFS(movements!$H:$H,movements!$E:$E,$A2,movements!$D:$D,"ISSUE",movements!$C:$C,"&lt;"&amp;CH$1+1)</f>
        <v>109</v>
      </c>
      <c r="CI2">
        <f>SUMIFS(movements!$H:$H,movements!$E:$E,$A2,movements!$D:$D,"OPENING",movements!$C:$C,"&lt;"&amp;CI$1+1)+SUMIFS(movements!$H:$H,movements!$E:$E,$A2,movements!$D:$D,"RECEIPT",movements!$C:$C,"&lt;"&amp;CI$1+1)-SUMIFS(movements!$H:$H,movements!$E:$E,$A2,movements!$D:$D,"ISSUE",movements!$C:$C,"&lt;"&amp;CI$1+1)</f>
        <v>92</v>
      </c>
      <c r="CJ2">
        <f>SUMIFS(movements!$H:$H,movements!$E:$E,$A2,movements!$D:$D,"OPENING",movements!$C:$C,"&lt;"&amp;CJ$1+1)+SUMIFS(movements!$H:$H,movements!$E:$E,$A2,movements!$D:$D,"RECEIPT",movements!$C:$C,"&lt;"&amp;CJ$1+1)-SUMIFS(movements!$H:$H,movements!$E:$E,$A2,movements!$D:$D,"ISSUE",movements!$C:$C,"&lt;"&amp;CJ$1+1)</f>
        <v>89</v>
      </c>
      <c r="CK2">
        <f>SUMIFS(movements!$H:$H,movements!$E:$E,$A2,movements!$D:$D,"OPENING",movements!$C:$C,"&lt;"&amp;CK$1+1)+SUMIFS(movements!$H:$H,movements!$E:$E,$A2,movements!$D:$D,"RECEIPT",movements!$C:$C,"&lt;"&amp;CK$1+1)-SUMIFS(movements!$H:$H,movements!$E:$E,$A2,movements!$D:$D,"ISSUE",movements!$C:$C,"&lt;"&amp;CK$1+1)</f>
        <v>80</v>
      </c>
      <c r="CL2">
        <f>SUMIFS(movements!$H:$H,movements!$E:$E,$A2,movements!$D:$D,"OPENING",movements!$C:$C,"&lt;"&amp;CL$1+1)+SUMIFS(movements!$H:$H,movements!$E:$E,$A2,movements!$D:$D,"RECEIPT",movements!$C:$C,"&lt;"&amp;CL$1+1)-SUMIFS(movements!$H:$H,movements!$E:$E,$A2,movements!$D:$D,"ISSUE",movements!$C:$C,"&lt;"&amp;CL$1+1)</f>
        <v>75</v>
      </c>
      <c r="CM2">
        <f>SUMIFS(movements!$H:$H,movements!$E:$E,$A2,movements!$D:$D,"OPENING",movements!$C:$C,"&lt;"&amp;CM$1+1)+SUMIFS(movements!$H:$H,movements!$E:$E,$A2,movements!$D:$D,"RECEIPT",movements!$C:$C,"&lt;"&amp;CM$1+1)-SUMIFS(movements!$H:$H,movements!$E:$E,$A2,movements!$D:$D,"ISSUE",movements!$C:$C,"&lt;"&amp;CM$1+1)</f>
        <v>51</v>
      </c>
      <c r="CN2">
        <f>AVERAGE(B2:CM2)</f>
        <v>47.31111111111111</v>
      </c>
      <c r="CO2">
        <f>SUMIFS(movements!$H:$H,movements!$E:$E,$A2,movements!$D:$D,"ISSUE",movements!$C:$C,"&gt;="&amp;$B$1,movements!$C:$C,"&lt;"&amp;($CM$1+1))</f>
        <v>777</v>
      </c>
      <c r="CP2">
        <f>IF(CN2=0,"无法计算",CO2/CN2)</f>
        <v>16.423203381869424</v>
      </c>
      <c r="CQ2">
        <f>IF(CO2=0,"期间无出库",IF(CN2=0,"无法计算",90/CP2))</f>
        <v>5.480051480051479</v>
      </c>
    </row>
    <row r="3" spans="1:95" x14ac:dyDescent="0.25">
      <c r="A3" t="s">
        <v>18</v>
      </c>
      <c r="B3">
        <f>SUMIFS(movements!$H:$H,movements!$E:$E,$A3,movements!$D:$D,"OPENING",movements!$C:$C,"&lt;"&amp;B$1+1)+SUMIFS(movements!$H:$H,movements!$E:$E,$A3,movements!$D:$D,"RECEIPT",movements!$C:$C,"&lt;"&amp;B$1+1)-SUMIFS(movements!$H:$H,movements!$E:$E,$A3,movements!$D:$D,"ISSUE",movements!$C:$C,"&lt;"&amp;B$1+1)</f>
        <v>74</v>
      </c>
      <c r="C3">
        <f>SUMIFS(movements!$H:$H,movements!$E:$E,$A3,movements!$D:$D,"OPENING",movements!$C:$C,"&lt;"&amp;C$1+1)+SUMIFS(movements!$H:$H,movements!$E:$E,$A3,movements!$D:$D,"RECEIPT",movements!$C:$C,"&lt;"&amp;C$1+1)-SUMIFS(movements!$H:$H,movements!$E:$E,$A3,movements!$D:$D,"ISSUE",movements!$C:$C,"&lt;"&amp;C$1+1)</f>
        <v>70</v>
      </c>
      <c r="D3">
        <f>SUMIFS(movements!$H:$H,movements!$E:$E,$A3,movements!$D:$D,"OPENING",movements!$C:$C,"&lt;"&amp;D$1+1)+SUMIFS(movements!$H:$H,movements!$E:$E,$A3,movements!$D:$D,"RECEIPT",movements!$C:$C,"&lt;"&amp;D$1+1)-SUMIFS(movements!$H:$H,movements!$E:$E,$A3,movements!$D:$D,"ISSUE",movements!$C:$C,"&lt;"&amp;D$1+1)</f>
        <v>61</v>
      </c>
      <c r="E3">
        <f>SUMIFS(movements!$H:$H,movements!$E:$E,$A3,movements!$D:$D,"OPENING",movements!$C:$C,"&lt;"&amp;E$1+1)+SUMIFS(movements!$H:$H,movements!$E:$E,$A3,movements!$D:$D,"RECEIPT",movements!$C:$C,"&lt;"&amp;E$1+1)-SUMIFS(movements!$H:$H,movements!$E:$E,$A3,movements!$D:$D,"ISSUE",movements!$C:$C,"&lt;"&amp;E$1+1)</f>
        <v>55</v>
      </c>
      <c r="F3">
        <f>SUMIFS(movements!$H:$H,movements!$E:$E,$A3,movements!$D:$D,"OPENING",movements!$C:$C,"&lt;"&amp;F$1+1)+SUMIFS(movements!$H:$H,movements!$E:$E,$A3,movements!$D:$D,"RECEIPT",movements!$C:$C,"&lt;"&amp;F$1+1)-SUMIFS(movements!$H:$H,movements!$E:$E,$A3,movements!$D:$D,"ISSUE",movements!$C:$C,"&lt;"&amp;F$1+1)</f>
        <v>52</v>
      </c>
      <c r="G3">
        <f>SUMIFS(movements!$H:$H,movements!$E:$E,$A3,movements!$D:$D,"OPENING",movements!$C:$C,"&lt;"&amp;G$1+1)+SUMIFS(movements!$H:$H,movements!$E:$E,$A3,movements!$D:$D,"RECEIPT",movements!$C:$C,"&lt;"&amp;G$1+1)-SUMIFS(movements!$H:$H,movements!$E:$E,$A3,movements!$D:$D,"ISSUE",movements!$C:$C,"&lt;"&amp;G$1+1)</f>
        <v>38</v>
      </c>
      <c r="H3">
        <f>SUMIFS(movements!$H:$H,movements!$E:$E,$A3,movements!$D:$D,"OPENING",movements!$C:$C,"&lt;"&amp;H$1+1)+SUMIFS(movements!$H:$H,movements!$E:$E,$A3,movements!$D:$D,"RECEIPT",movements!$C:$C,"&lt;"&amp;H$1+1)-SUMIFS(movements!$H:$H,movements!$E:$E,$A3,movements!$D:$D,"ISSUE",movements!$C:$C,"&lt;"&amp;H$1+1)</f>
        <v>21</v>
      </c>
      <c r="I3">
        <f>SUMIFS(movements!$H:$H,movements!$E:$E,$A3,movements!$D:$D,"OPENING",movements!$C:$C,"&lt;"&amp;I$1+1)+SUMIFS(movements!$H:$H,movements!$E:$E,$A3,movements!$D:$D,"RECEIPT",movements!$C:$C,"&lt;"&amp;I$1+1)-SUMIFS(movements!$H:$H,movements!$E:$E,$A3,movements!$D:$D,"ISSUE",movements!$C:$C,"&lt;"&amp;I$1+1)</f>
        <v>96</v>
      </c>
      <c r="J3">
        <f>SUMIFS(movements!$H:$H,movements!$E:$E,$A3,movements!$D:$D,"OPENING",movements!$C:$C,"&lt;"&amp;J$1+1)+SUMIFS(movements!$H:$H,movements!$E:$E,$A3,movements!$D:$D,"RECEIPT",movements!$C:$C,"&lt;"&amp;J$1+1)-SUMIFS(movements!$H:$H,movements!$E:$E,$A3,movements!$D:$D,"ISSUE",movements!$C:$C,"&lt;"&amp;J$1+1)</f>
        <v>93</v>
      </c>
      <c r="K3">
        <f>SUMIFS(movements!$H:$H,movements!$E:$E,$A3,movements!$D:$D,"OPENING",movements!$C:$C,"&lt;"&amp;K$1+1)+SUMIFS(movements!$H:$H,movements!$E:$E,$A3,movements!$D:$D,"RECEIPT",movements!$C:$C,"&lt;"&amp;K$1+1)-SUMIFS(movements!$H:$H,movements!$E:$E,$A3,movements!$D:$D,"ISSUE",movements!$C:$C,"&lt;"&amp;K$1+1)</f>
        <v>80</v>
      </c>
      <c r="L3">
        <f>SUMIFS(movements!$H:$H,movements!$E:$E,$A3,movements!$D:$D,"OPENING",movements!$C:$C,"&lt;"&amp;L$1+1)+SUMIFS(movements!$H:$H,movements!$E:$E,$A3,movements!$D:$D,"RECEIPT",movements!$C:$C,"&lt;"&amp;L$1+1)-SUMIFS(movements!$H:$H,movements!$E:$E,$A3,movements!$D:$D,"ISSUE",movements!$C:$C,"&lt;"&amp;L$1+1)</f>
        <v>69</v>
      </c>
      <c r="M3">
        <f>SUMIFS(movements!$H:$H,movements!$E:$E,$A3,movements!$D:$D,"OPENING",movements!$C:$C,"&lt;"&amp;M$1+1)+SUMIFS(movements!$H:$H,movements!$E:$E,$A3,movements!$D:$D,"RECEIPT",movements!$C:$C,"&lt;"&amp;M$1+1)-SUMIFS(movements!$H:$H,movements!$E:$E,$A3,movements!$D:$D,"ISSUE",movements!$C:$C,"&lt;"&amp;M$1+1)</f>
        <v>69</v>
      </c>
      <c r="N3">
        <f>SUMIFS(movements!$H:$H,movements!$E:$E,$A3,movements!$D:$D,"OPENING",movements!$C:$C,"&lt;"&amp;N$1+1)+SUMIFS(movements!$H:$H,movements!$E:$E,$A3,movements!$D:$D,"RECEIPT",movements!$C:$C,"&lt;"&amp;N$1+1)-SUMIFS(movements!$H:$H,movements!$E:$E,$A3,movements!$D:$D,"ISSUE",movements!$C:$C,"&lt;"&amp;N$1+1)</f>
        <v>50</v>
      </c>
      <c r="O3">
        <f>SUMIFS(movements!$H:$H,movements!$E:$E,$A3,movements!$D:$D,"OPENING",movements!$C:$C,"&lt;"&amp;O$1+1)+SUMIFS(movements!$H:$H,movements!$E:$E,$A3,movements!$D:$D,"RECEIPT",movements!$C:$C,"&lt;"&amp;O$1+1)-SUMIFS(movements!$H:$H,movements!$E:$E,$A3,movements!$D:$D,"ISSUE",movements!$C:$C,"&lt;"&amp;O$1+1)</f>
        <v>40</v>
      </c>
      <c r="P3">
        <f>SUMIFS(movements!$H:$H,movements!$E:$E,$A3,movements!$D:$D,"OPENING",movements!$C:$C,"&lt;"&amp;P$1+1)+SUMIFS(movements!$H:$H,movements!$E:$E,$A3,movements!$D:$D,"RECEIPT",movements!$C:$C,"&lt;"&amp;P$1+1)-SUMIFS(movements!$H:$H,movements!$E:$E,$A3,movements!$D:$D,"ISSUE",movements!$C:$C,"&lt;"&amp;P$1+1)</f>
        <v>112</v>
      </c>
      <c r="Q3">
        <f>SUMIFS(movements!$H:$H,movements!$E:$E,$A3,movements!$D:$D,"OPENING",movements!$C:$C,"&lt;"&amp;Q$1+1)+SUMIFS(movements!$H:$H,movements!$E:$E,$A3,movements!$D:$D,"RECEIPT",movements!$C:$C,"&lt;"&amp;Q$1+1)-SUMIFS(movements!$H:$H,movements!$E:$E,$A3,movements!$D:$D,"ISSUE",movements!$C:$C,"&lt;"&amp;Q$1+1)</f>
        <v>95</v>
      </c>
      <c r="R3">
        <f>SUMIFS(movements!$H:$H,movements!$E:$E,$A3,movements!$D:$D,"OPENING",movements!$C:$C,"&lt;"&amp;R$1+1)+SUMIFS(movements!$H:$H,movements!$E:$E,$A3,movements!$D:$D,"RECEIPT",movements!$C:$C,"&lt;"&amp;R$1+1)-SUMIFS(movements!$H:$H,movements!$E:$E,$A3,movements!$D:$D,"ISSUE",movements!$C:$C,"&lt;"&amp;R$1+1)</f>
        <v>79</v>
      </c>
      <c r="S3">
        <f>SUMIFS(movements!$H:$H,movements!$E:$E,$A3,movements!$D:$D,"OPENING",movements!$C:$C,"&lt;"&amp;S$1+1)+SUMIFS(movements!$H:$H,movements!$E:$E,$A3,movements!$D:$D,"RECEIPT",movements!$C:$C,"&lt;"&amp;S$1+1)-SUMIFS(movements!$H:$H,movements!$E:$E,$A3,movements!$D:$D,"ISSUE",movements!$C:$C,"&lt;"&amp;S$1+1)</f>
        <v>72</v>
      </c>
      <c r="T3">
        <f>SUMIFS(movements!$H:$H,movements!$E:$E,$A3,movements!$D:$D,"OPENING",movements!$C:$C,"&lt;"&amp;T$1+1)+SUMIFS(movements!$H:$H,movements!$E:$E,$A3,movements!$D:$D,"RECEIPT",movements!$C:$C,"&lt;"&amp;T$1+1)-SUMIFS(movements!$H:$H,movements!$E:$E,$A3,movements!$D:$D,"ISSUE",movements!$C:$C,"&lt;"&amp;T$1+1)</f>
        <v>58</v>
      </c>
      <c r="U3">
        <f>SUMIFS(movements!$H:$H,movements!$E:$E,$A3,movements!$D:$D,"OPENING",movements!$C:$C,"&lt;"&amp;U$1+1)+SUMIFS(movements!$H:$H,movements!$E:$E,$A3,movements!$D:$D,"RECEIPT",movements!$C:$C,"&lt;"&amp;U$1+1)-SUMIFS(movements!$H:$H,movements!$E:$E,$A3,movements!$D:$D,"ISSUE",movements!$C:$C,"&lt;"&amp;U$1+1)</f>
        <v>49</v>
      </c>
      <c r="V3">
        <f>SUMIFS(movements!$H:$H,movements!$E:$E,$A3,movements!$D:$D,"OPENING",movements!$C:$C,"&lt;"&amp;V$1+1)+SUMIFS(movements!$H:$H,movements!$E:$E,$A3,movements!$D:$D,"RECEIPT",movements!$C:$C,"&lt;"&amp;V$1+1)-SUMIFS(movements!$H:$H,movements!$E:$E,$A3,movements!$D:$D,"ISSUE",movements!$C:$C,"&lt;"&amp;V$1+1)</f>
        <v>39</v>
      </c>
      <c r="W3">
        <f>SUMIFS(movements!$H:$H,movements!$E:$E,$A3,movements!$D:$D,"OPENING",movements!$C:$C,"&lt;"&amp;W$1+1)+SUMIFS(movements!$H:$H,movements!$E:$E,$A3,movements!$D:$D,"RECEIPT",movements!$C:$C,"&lt;"&amp;W$1+1)-SUMIFS(movements!$H:$H,movements!$E:$E,$A3,movements!$D:$D,"ISSUE",movements!$C:$C,"&lt;"&amp;W$1+1)</f>
        <v>91</v>
      </c>
      <c r="X3">
        <f>SUMIFS(movements!$H:$H,movements!$E:$E,$A3,movements!$D:$D,"OPENING",movements!$C:$C,"&lt;"&amp;X$1+1)+SUMIFS(movements!$H:$H,movements!$E:$E,$A3,movements!$D:$D,"RECEIPT",movements!$C:$C,"&lt;"&amp;X$1+1)-SUMIFS(movements!$H:$H,movements!$E:$E,$A3,movements!$D:$D,"ISSUE",movements!$C:$C,"&lt;"&amp;X$1+1)</f>
        <v>78</v>
      </c>
      <c r="Y3">
        <f>SUMIFS(movements!$H:$H,movements!$E:$E,$A3,movements!$D:$D,"OPENING",movements!$C:$C,"&lt;"&amp;Y$1+1)+SUMIFS(movements!$H:$H,movements!$E:$E,$A3,movements!$D:$D,"RECEIPT",movements!$C:$C,"&lt;"&amp;Y$1+1)-SUMIFS(movements!$H:$H,movements!$E:$E,$A3,movements!$D:$D,"ISSUE",movements!$C:$C,"&lt;"&amp;Y$1+1)</f>
        <v>67</v>
      </c>
      <c r="Z3">
        <f>SUMIFS(movements!$H:$H,movements!$E:$E,$A3,movements!$D:$D,"OPENING",movements!$C:$C,"&lt;"&amp;Z$1+1)+SUMIFS(movements!$H:$H,movements!$E:$E,$A3,movements!$D:$D,"RECEIPT",movements!$C:$C,"&lt;"&amp;Z$1+1)-SUMIFS(movements!$H:$H,movements!$E:$E,$A3,movements!$D:$D,"ISSUE",movements!$C:$C,"&lt;"&amp;Z$1+1)</f>
        <v>50</v>
      </c>
      <c r="AA3">
        <f>SUMIFS(movements!$H:$H,movements!$E:$E,$A3,movements!$D:$D,"OPENING",movements!$C:$C,"&lt;"&amp;AA$1+1)+SUMIFS(movements!$H:$H,movements!$E:$E,$A3,movements!$D:$D,"RECEIPT",movements!$C:$C,"&lt;"&amp;AA$1+1)-SUMIFS(movements!$H:$H,movements!$E:$E,$A3,movements!$D:$D,"ISSUE",movements!$C:$C,"&lt;"&amp;AA$1+1)</f>
        <v>42</v>
      </c>
      <c r="AB3">
        <f>SUMIFS(movements!$H:$H,movements!$E:$E,$A3,movements!$D:$D,"OPENING",movements!$C:$C,"&lt;"&amp;AB$1+1)+SUMIFS(movements!$H:$H,movements!$E:$E,$A3,movements!$D:$D,"RECEIPT",movements!$C:$C,"&lt;"&amp;AB$1+1)-SUMIFS(movements!$H:$H,movements!$E:$E,$A3,movements!$D:$D,"ISSUE",movements!$C:$C,"&lt;"&amp;AB$1+1)</f>
        <v>38</v>
      </c>
      <c r="AC3">
        <f>SUMIFS(movements!$H:$H,movements!$E:$E,$A3,movements!$D:$D,"OPENING",movements!$C:$C,"&lt;"&amp;AC$1+1)+SUMIFS(movements!$H:$H,movements!$E:$E,$A3,movements!$D:$D,"RECEIPT",movements!$C:$C,"&lt;"&amp;AC$1+1)-SUMIFS(movements!$H:$H,movements!$E:$E,$A3,movements!$D:$D,"ISSUE",movements!$C:$C,"&lt;"&amp;AC$1+1)</f>
        <v>35</v>
      </c>
      <c r="AD3">
        <f>SUMIFS(movements!$H:$H,movements!$E:$E,$A3,movements!$D:$D,"OPENING",movements!$C:$C,"&lt;"&amp;AD$1+1)+SUMIFS(movements!$H:$H,movements!$E:$E,$A3,movements!$D:$D,"RECEIPT",movements!$C:$C,"&lt;"&amp;AD$1+1)-SUMIFS(movements!$H:$H,movements!$E:$E,$A3,movements!$D:$D,"ISSUE",movements!$C:$C,"&lt;"&amp;AD$1+1)</f>
        <v>113</v>
      </c>
      <c r="AE3">
        <f>SUMIFS(movements!$H:$H,movements!$E:$E,$A3,movements!$D:$D,"OPENING",movements!$C:$C,"&lt;"&amp;AE$1+1)+SUMIFS(movements!$H:$H,movements!$E:$E,$A3,movements!$D:$D,"RECEIPT",movements!$C:$C,"&lt;"&amp;AE$1+1)-SUMIFS(movements!$H:$H,movements!$E:$E,$A3,movements!$D:$D,"ISSUE",movements!$C:$C,"&lt;"&amp;AE$1+1)</f>
        <v>110</v>
      </c>
      <c r="AF3">
        <f>SUMIFS(movements!$H:$H,movements!$E:$E,$A3,movements!$D:$D,"OPENING",movements!$C:$C,"&lt;"&amp;AF$1+1)+SUMIFS(movements!$H:$H,movements!$E:$E,$A3,movements!$D:$D,"RECEIPT",movements!$C:$C,"&lt;"&amp;AF$1+1)-SUMIFS(movements!$H:$H,movements!$E:$E,$A3,movements!$D:$D,"ISSUE",movements!$C:$C,"&lt;"&amp;AF$1+1)</f>
        <v>98</v>
      </c>
      <c r="AG3">
        <f>SUMIFS(movements!$H:$H,movements!$E:$E,$A3,movements!$D:$D,"OPENING",movements!$C:$C,"&lt;"&amp;AG$1+1)+SUMIFS(movements!$H:$H,movements!$E:$E,$A3,movements!$D:$D,"RECEIPT",movements!$C:$C,"&lt;"&amp;AG$1+1)-SUMIFS(movements!$H:$H,movements!$E:$E,$A3,movements!$D:$D,"ISSUE",movements!$C:$C,"&lt;"&amp;AG$1+1)</f>
        <v>88</v>
      </c>
      <c r="AH3">
        <f>SUMIFS(movements!$H:$H,movements!$E:$E,$A3,movements!$D:$D,"OPENING",movements!$C:$C,"&lt;"&amp;AH$1+1)+SUMIFS(movements!$H:$H,movements!$E:$E,$A3,movements!$D:$D,"RECEIPT",movements!$C:$C,"&lt;"&amp;AH$1+1)-SUMIFS(movements!$H:$H,movements!$E:$E,$A3,movements!$D:$D,"ISSUE",movements!$C:$C,"&lt;"&amp;AH$1+1)</f>
        <v>81</v>
      </c>
      <c r="AI3">
        <f>SUMIFS(movements!$H:$H,movements!$E:$E,$A3,movements!$D:$D,"OPENING",movements!$C:$C,"&lt;"&amp;AI$1+1)+SUMIFS(movements!$H:$H,movements!$E:$E,$A3,movements!$D:$D,"RECEIPT",movements!$C:$C,"&lt;"&amp;AI$1+1)-SUMIFS(movements!$H:$H,movements!$E:$E,$A3,movements!$D:$D,"ISSUE",movements!$C:$C,"&lt;"&amp;AI$1+1)</f>
        <v>74</v>
      </c>
      <c r="AJ3">
        <f>SUMIFS(movements!$H:$H,movements!$E:$E,$A3,movements!$D:$D,"OPENING",movements!$C:$C,"&lt;"&amp;AJ$1+1)+SUMIFS(movements!$H:$H,movements!$E:$E,$A3,movements!$D:$D,"RECEIPT",movements!$C:$C,"&lt;"&amp;AJ$1+1)-SUMIFS(movements!$H:$H,movements!$E:$E,$A3,movements!$D:$D,"ISSUE",movements!$C:$C,"&lt;"&amp;AJ$1+1)</f>
        <v>67</v>
      </c>
      <c r="AK3">
        <f>SUMIFS(movements!$H:$H,movements!$E:$E,$A3,movements!$D:$D,"OPENING",movements!$C:$C,"&lt;"&amp;AK$1+1)+SUMIFS(movements!$H:$H,movements!$E:$E,$A3,movements!$D:$D,"RECEIPT",movements!$C:$C,"&lt;"&amp;AK$1+1)-SUMIFS(movements!$H:$H,movements!$E:$E,$A3,movements!$D:$D,"ISSUE",movements!$C:$C,"&lt;"&amp;AK$1+1)</f>
        <v>154</v>
      </c>
      <c r="AL3">
        <f>SUMIFS(movements!$H:$H,movements!$E:$E,$A3,movements!$D:$D,"OPENING",movements!$C:$C,"&lt;"&amp;AL$1+1)+SUMIFS(movements!$H:$H,movements!$E:$E,$A3,movements!$D:$D,"RECEIPT",movements!$C:$C,"&lt;"&amp;AL$1+1)-SUMIFS(movements!$H:$H,movements!$E:$E,$A3,movements!$D:$D,"ISSUE",movements!$C:$C,"&lt;"&amp;AL$1+1)</f>
        <v>142</v>
      </c>
      <c r="AM3">
        <f>SUMIFS(movements!$H:$H,movements!$E:$E,$A3,movements!$D:$D,"OPENING",movements!$C:$C,"&lt;"&amp;AM$1+1)+SUMIFS(movements!$H:$H,movements!$E:$E,$A3,movements!$D:$D,"RECEIPT",movements!$C:$C,"&lt;"&amp;AM$1+1)-SUMIFS(movements!$H:$H,movements!$E:$E,$A3,movements!$D:$D,"ISSUE",movements!$C:$C,"&lt;"&amp;AM$1+1)</f>
        <v>132</v>
      </c>
      <c r="AN3">
        <f>SUMIFS(movements!$H:$H,movements!$E:$E,$A3,movements!$D:$D,"OPENING",movements!$C:$C,"&lt;"&amp;AN$1+1)+SUMIFS(movements!$H:$H,movements!$E:$E,$A3,movements!$D:$D,"RECEIPT",movements!$C:$C,"&lt;"&amp;AN$1+1)-SUMIFS(movements!$H:$H,movements!$E:$E,$A3,movements!$D:$D,"ISSUE",movements!$C:$C,"&lt;"&amp;AN$1+1)</f>
        <v>112</v>
      </c>
      <c r="AO3">
        <f>SUMIFS(movements!$H:$H,movements!$E:$E,$A3,movements!$D:$D,"OPENING",movements!$C:$C,"&lt;"&amp;AO$1+1)+SUMIFS(movements!$H:$H,movements!$E:$E,$A3,movements!$D:$D,"RECEIPT",movements!$C:$C,"&lt;"&amp;AO$1+1)-SUMIFS(movements!$H:$H,movements!$E:$E,$A3,movements!$D:$D,"ISSUE",movements!$C:$C,"&lt;"&amp;AO$1+1)</f>
        <v>87</v>
      </c>
      <c r="AP3">
        <f>SUMIFS(movements!$H:$H,movements!$E:$E,$A3,movements!$D:$D,"OPENING",movements!$C:$C,"&lt;"&amp;AP$1+1)+SUMIFS(movements!$H:$H,movements!$E:$E,$A3,movements!$D:$D,"RECEIPT",movements!$C:$C,"&lt;"&amp;AP$1+1)-SUMIFS(movements!$H:$H,movements!$E:$E,$A3,movements!$D:$D,"ISSUE",movements!$C:$C,"&lt;"&amp;AP$1+1)</f>
        <v>75</v>
      </c>
      <c r="AQ3">
        <f>SUMIFS(movements!$H:$H,movements!$E:$E,$A3,movements!$D:$D,"OPENING",movements!$C:$C,"&lt;"&amp;AQ$1+1)+SUMIFS(movements!$H:$H,movements!$E:$E,$A3,movements!$D:$D,"RECEIPT",movements!$C:$C,"&lt;"&amp;AQ$1+1)-SUMIFS(movements!$H:$H,movements!$E:$E,$A3,movements!$D:$D,"ISSUE",movements!$C:$C,"&lt;"&amp;AQ$1+1)</f>
        <v>71</v>
      </c>
      <c r="AR3">
        <f>SUMIFS(movements!$H:$H,movements!$E:$E,$A3,movements!$D:$D,"OPENING",movements!$C:$C,"&lt;"&amp;AR$1+1)+SUMIFS(movements!$H:$H,movements!$E:$E,$A3,movements!$D:$D,"RECEIPT",movements!$C:$C,"&lt;"&amp;AR$1+1)-SUMIFS(movements!$H:$H,movements!$E:$E,$A3,movements!$D:$D,"ISSUE",movements!$C:$C,"&lt;"&amp;AR$1+1)</f>
        <v>140</v>
      </c>
      <c r="AS3">
        <f>SUMIFS(movements!$H:$H,movements!$E:$E,$A3,movements!$D:$D,"OPENING",movements!$C:$C,"&lt;"&amp;AS$1+1)+SUMIFS(movements!$H:$H,movements!$E:$E,$A3,movements!$D:$D,"RECEIPT",movements!$C:$C,"&lt;"&amp;AS$1+1)-SUMIFS(movements!$H:$H,movements!$E:$E,$A3,movements!$D:$D,"ISSUE",movements!$C:$C,"&lt;"&amp;AS$1+1)</f>
        <v>128</v>
      </c>
      <c r="AT3">
        <f>SUMIFS(movements!$H:$H,movements!$E:$E,$A3,movements!$D:$D,"OPENING",movements!$C:$C,"&lt;"&amp;AT$1+1)+SUMIFS(movements!$H:$H,movements!$E:$E,$A3,movements!$D:$D,"RECEIPT",movements!$C:$C,"&lt;"&amp;AT$1+1)-SUMIFS(movements!$H:$H,movements!$E:$E,$A3,movements!$D:$D,"ISSUE",movements!$C:$C,"&lt;"&amp;AT$1+1)</f>
        <v>111</v>
      </c>
      <c r="AU3">
        <f>SUMIFS(movements!$H:$H,movements!$E:$E,$A3,movements!$D:$D,"OPENING",movements!$C:$C,"&lt;"&amp;AU$1+1)+SUMIFS(movements!$H:$H,movements!$E:$E,$A3,movements!$D:$D,"RECEIPT",movements!$C:$C,"&lt;"&amp;AU$1+1)-SUMIFS(movements!$H:$H,movements!$E:$E,$A3,movements!$D:$D,"ISSUE",movements!$C:$C,"&lt;"&amp;AU$1+1)</f>
        <v>107</v>
      </c>
      <c r="AV3">
        <f>SUMIFS(movements!$H:$H,movements!$E:$E,$A3,movements!$D:$D,"OPENING",movements!$C:$C,"&lt;"&amp;AV$1+1)+SUMIFS(movements!$H:$H,movements!$E:$E,$A3,movements!$D:$D,"RECEIPT",movements!$C:$C,"&lt;"&amp;AV$1+1)-SUMIFS(movements!$H:$H,movements!$E:$E,$A3,movements!$D:$D,"ISSUE",movements!$C:$C,"&lt;"&amp;AV$1+1)</f>
        <v>97</v>
      </c>
      <c r="AW3">
        <f>SUMIFS(movements!$H:$H,movements!$E:$E,$A3,movements!$D:$D,"OPENING",movements!$C:$C,"&lt;"&amp;AW$1+1)+SUMIFS(movements!$H:$H,movements!$E:$E,$A3,movements!$D:$D,"RECEIPT",movements!$C:$C,"&lt;"&amp;AW$1+1)-SUMIFS(movements!$H:$H,movements!$E:$E,$A3,movements!$D:$D,"ISSUE",movements!$C:$C,"&lt;"&amp;AW$1+1)</f>
        <v>84</v>
      </c>
      <c r="AX3">
        <f>SUMIFS(movements!$H:$H,movements!$E:$E,$A3,movements!$D:$D,"OPENING",movements!$C:$C,"&lt;"&amp;AX$1+1)+SUMIFS(movements!$H:$H,movements!$E:$E,$A3,movements!$D:$D,"RECEIPT",movements!$C:$C,"&lt;"&amp;AX$1+1)-SUMIFS(movements!$H:$H,movements!$E:$E,$A3,movements!$D:$D,"ISSUE",movements!$C:$C,"&lt;"&amp;AX$1+1)</f>
        <v>77</v>
      </c>
      <c r="AY3">
        <f>SUMIFS(movements!$H:$H,movements!$E:$E,$A3,movements!$D:$D,"OPENING",movements!$C:$C,"&lt;"&amp;AY$1+1)+SUMIFS(movements!$H:$H,movements!$E:$E,$A3,movements!$D:$D,"RECEIPT",movements!$C:$C,"&lt;"&amp;AY$1+1)-SUMIFS(movements!$H:$H,movements!$E:$E,$A3,movements!$D:$D,"ISSUE",movements!$C:$C,"&lt;"&amp;AY$1+1)</f>
        <v>131</v>
      </c>
      <c r="AZ3">
        <f>SUMIFS(movements!$H:$H,movements!$E:$E,$A3,movements!$D:$D,"OPENING",movements!$C:$C,"&lt;"&amp;AZ$1+1)+SUMIFS(movements!$H:$H,movements!$E:$E,$A3,movements!$D:$D,"RECEIPT",movements!$C:$C,"&lt;"&amp;AZ$1+1)-SUMIFS(movements!$H:$H,movements!$E:$E,$A3,movements!$D:$D,"ISSUE",movements!$C:$C,"&lt;"&amp;AZ$1+1)</f>
        <v>119</v>
      </c>
      <c r="BA3">
        <f>SUMIFS(movements!$H:$H,movements!$E:$E,$A3,movements!$D:$D,"OPENING",movements!$C:$C,"&lt;"&amp;BA$1+1)+SUMIFS(movements!$H:$H,movements!$E:$E,$A3,movements!$D:$D,"RECEIPT",movements!$C:$C,"&lt;"&amp;BA$1+1)-SUMIFS(movements!$H:$H,movements!$E:$E,$A3,movements!$D:$D,"ISSUE",movements!$C:$C,"&lt;"&amp;BA$1+1)</f>
        <v>112</v>
      </c>
      <c r="BB3">
        <f>SUMIFS(movements!$H:$H,movements!$E:$E,$A3,movements!$D:$D,"OPENING",movements!$C:$C,"&lt;"&amp;BB$1+1)+SUMIFS(movements!$H:$H,movements!$E:$E,$A3,movements!$D:$D,"RECEIPT",movements!$C:$C,"&lt;"&amp;BB$1+1)-SUMIFS(movements!$H:$H,movements!$E:$E,$A3,movements!$D:$D,"ISSUE",movements!$C:$C,"&lt;"&amp;BB$1+1)</f>
        <v>102</v>
      </c>
      <c r="BC3">
        <f>SUMIFS(movements!$H:$H,movements!$E:$E,$A3,movements!$D:$D,"OPENING",movements!$C:$C,"&lt;"&amp;BC$1+1)+SUMIFS(movements!$H:$H,movements!$E:$E,$A3,movements!$D:$D,"RECEIPT",movements!$C:$C,"&lt;"&amp;BC$1+1)-SUMIFS(movements!$H:$H,movements!$E:$E,$A3,movements!$D:$D,"ISSUE",movements!$C:$C,"&lt;"&amp;BC$1+1)</f>
        <v>94</v>
      </c>
      <c r="BD3">
        <f>SUMIFS(movements!$H:$H,movements!$E:$E,$A3,movements!$D:$D,"OPENING",movements!$C:$C,"&lt;"&amp;BD$1+1)+SUMIFS(movements!$H:$H,movements!$E:$E,$A3,movements!$D:$D,"RECEIPT",movements!$C:$C,"&lt;"&amp;BD$1+1)-SUMIFS(movements!$H:$H,movements!$E:$E,$A3,movements!$D:$D,"ISSUE",movements!$C:$C,"&lt;"&amp;BD$1+1)</f>
        <v>84</v>
      </c>
      <c r="BE3">
        <f>SUMIFS(movements!$H:$H,movements!$E:$E,$A3,movements!$D:$D,"OPENING",movements!$C:$C,"&lt;"&amp;BE$1+1)+SUMIFS(movements!$H:$H,movements!$E:$E,$A3,movements!$D:$D,"RECEIPT",movements!$C:$C,"&lt;"&amp;BE$1+1)-SUMIFS(movements!$H:$H,movements!$E:$E,$A3,movements!$D:$D,"ISSUE",movements!$C:$C,"&lt;"&amp;BE$1+1)</f>
        <v>82</v>
      </c>
      <c r="BF3">
        <f>SUMIFS(movements!$H:$H,movements!$E:$E,$A3,movements!$D:$D,"OPENING",movements!$C:$C,"&lt;"&amp;BF$1+1)+SUMIFS(movements!$H:$H,movements!$E:$E,$A3,movements!$D:$D,"RECEIPT",movements!$C:$C,"&lt;"&amp;BF$1+1)-SUMIFS(movements!$H:$H,movements!$E:$E,$A3,movements!$D:$D,"ISSUE",movements!$C:$C,"&lt;"&amp;BF$1+1)</f>
        <v>168</v>
      </c>
      <c r="BG3">
        <f>SUMIFS(movements!$H:$H,movements!$E:$E,$A3,movements!$D:$D,"OPENING",movements!$C:$C,"&lt;"&amp;BG$1+1)+SUMIFS(movements!$H:$H,movements!$E:$E,$A3,movements!$D:$D,"RECEIPT",movements!$C:$C,"&lt;"&amp;BG$1+1)-SUMIFS(movements!$H:$H,movements!$E:$E,$A3,movements!$D:$D,"ISSUE",movements!$C:$C,"&lt;"&amp;BG$1+1)</f>
        <v>162</v>
      </c>
      <c r="BH3">
        <f>SUMIFS(movements!$H:$H,movements!$E:$E,$A3,movements!$D:$D,"OPENING",movements!$C:$C,"&lt;"&amp;BH$1+1)+SUMIFS(movements!$H:$H,movements!$E:$E,$A3,movements!$D:$D,"RECEIPT",movements!$C:$C,"&lt;"&amp;BH$1+1)-SUMIFS(movements!$H:$H,movements!$E:$E,$A3,movements!$D:$D,"ISSUE",movements!$C:$C,"&lt;"&amp;BH$1+1)</f>
        <v>152</v>
      </c>
      <c r="BI3">
        <f>SUMIFS(movements!$H:$H,movements!$E:$E,$A3,movements!$D:$D,"OPENING",movements!$C:$C,"&lt;"&amp;BI$1+1)+SUMIFS(movements!$H:$H,movements!$E:$E,$A3,movements!$D:$D,"RECEIPT",movements!$C:$C,"&lt;"&amp;BI$1+1)-SUMIFS(movements!$H:$H,movements!$E:$E,$A3,movements!$D:$D,"ISSUE",movements!$C:$C,"&lt;"&amp;BI$1+1)</f>
        <v>148</v>
      </c>
      <c r="BJ3">
        <f>SUMIFS(movements!$H:$H,movements!$E:$E,$A3,movements!$D:$D,"OPENING",movements!$C:$C,"&lt;"&amp;BJ$1+1)+SUMIFS(movements!$H:$H,movements!$E:$E,$A3,movements!$D:$D,"RECEIPT",movements!$C:$C,"&lt;"&amp;BJ$1+1)-SUMIFS(movements!$H:$H,movements!$E:$E,$A3,movements!$D:$D,"ISSUE",movements!$C:$C,"&lt;"&amp;BJ$1+1)</f>
        <v>128</v>
      </c>
      <c r="BK3">
        <f>SUMIFS(movements!$H:$H,movements!$E:$E,$A3,movements!$D:$D,"OPENING",movements!$C:$C,"&lt;"&amp;BK$1+1)+SUMIFS(movements!$H:$H,movements!$E:$E,$A3,movements!$D:$D,"RECEIPT",movements!$C:$C,"&lt;"&amp;BK$1+1)-SUMIFS(movements!$H:$H,movements!$E:$E,$A3,movements!$D:$D,"ISSUE",movements!$C:$C,"&lt;"&amp;BK$1+1)</f>
        <v>113</v>
      </c>
      <c r="BL3">
        <f>SUMIFS(movements!$H:$H,movements!$E:$E,$A3,movements!$D:$D,"OPENING",movements!$C:$C,"&lt;"&amp;BL$1+1)+SUMIFS(movements!$H:$H,movements!$E:$E,$A3,movements!$D:$D,"RECEIPT",movements!$C:$C,"&lt;"&amp;BL$1+1)-SUMIFS(movements!$H:$H,movements!$E:$E,$A3,movements!$D:$D,"ISSUE",movements!$C:$C,"&lt;"&amp;BL$1+1)</f>
        <v>102</v>
      </c>
      <c r="BM3">
        <f>SUMIFS(movements!$H:$H,movements!$E:$E,$A3,movements!$D:$D,"OPENING",movements!$C:$C,"&lt;"&amp;BM$1+1)+SUMIFS(movements!$H:$H,movements!$E:$E,$A3,movements!$D:$D,"RECEIPT",movements!$C:$C,"&lt;"&amp;BM$1+1)-SUMIFS(movements!$H:$H,movements!$E:$E,$A3,movements!$D:$D,"ISSUE",movements!$C:$C,"&lt;"&amp;BM$1+1)</f>
        <v>158</v>
      </c>
      <c r="BN3">
        <f>SUMIFS(movements!$H:$H,movements!$E:$E,$A3,movements!$D:$D,"OPENING",movements!$C:$C,"&lt;"&amp;BN$1+1)+SUMIFS(movements!$H:$H,movements!$E:$E,$A3,movements!$D:$D,"RECEIPT",movements!$C:$C,"&lt;"&amp;BN$1+1)-SUMIFS(movements!$H:$H,movements!$E:$E,$A3,movements!$D:$D,"ISSUE",movements!$C:$C,"&lt;"&amp;BN$1+1)</f>
        <v>150</v>
      </c>
      <c r="BO3">
        <f>SUMIFS(movements!$H:$H,movements!$E:$E,$A3,movements!$D:$D,"OPENING",movements!$C:$C,"&lt;"&amp;BO$1+1)+SUMIFS(movements!$H:$H,movements!$E:$E,$A3,movements!$D:$D,"RECEIPT",movements!$C:$C,"&lt;"&amp;BO$1+1)-SUMIFS(movements!$H:$H,movements!$E:$E,$A3,movements!$D:$D,"ISSUE",movements!$C:$C,"&lt;"&amp;BO$1+1)</f>
        <v>141</v>
      </c>
      <c r="BP3">
        <f>SUMIFS(movements!$H:$H,movements!$E:$E,$A3,movements!$D:$D,"OPENING",movements!$C:$C,"&lt;"&amp;BP$1+1)+SUMIFS(movements!$H:$H,movements!$E:$E,$A3,movements!$D:$D,"RECEIPT",movements!$C:$C,"&lt;"&amp;BP$1+1)-SUMIFS(movements!$H:$H,movements!$E:$E,$A3,movements!$D:$D,"ISSUE",movements!$C:$C,"&lt;"&amp;BP$1+1)</f>
        <v>136</v>
      </c>
      <c r="BQ3">
        <f>SUMIFS(movements!$H:$H,movements!$E:$E,$A3,movements!$D:$D,"OPENING",movements!$C:$C,"&lt;"&amp;BQ$1+1)+SUMIFS(movements!$H:$H,movements!$E:$E,$A3,movements!$D:$D,"RECEIPT",movements!$C:$C,"&lt;"&amp;BQ$1+1)-SUMIFS(movements!$H:$H,movements!$E:$E,$A3,movements!$D:$D,"ISSUE",movements!$C:$C,"&lt;"&amp;BQ$1+1)</f>
        <v>127</v>
      </c>
      <c r="BR3">
        <f>SUMIFS(movements!$H:$H,movements!$E:$E,$A3,movements!$D:$D,"OPENING",movements!$C:$C,"&lt;"&amp;BR$1+1)+SUMIFS(movements!$H:$H,movements!$E:$E,$A3,movements!$D:$D,"RECEIPT",movements!$C:$C,"&lt;"&amp;BR$1+1)-SUMIFS(movements!$H:$H,movements!$E:$E,$A3,movements!$D:$D,"ISSUE",movements!$C:$C,"&lt;"&amp;BR$1+1)</f>
        <v>115</v>
      </c>
      <c r="BS3">
        <f>SUMIFS(movements!$H:$H,movements!$E:$E,$A3,movements!$D:$D,"OPENING",movements!$C:$C,"&lt;"&amp;BS$1+1)+SUMIFS(movements!$H:$H,movements!$E:$E,$A3,movements!$D:$D,"RECEIPT",movements!$C:$C,"&lt;"&amp;BS$1+1)-SUMIFS(movements!$H:$H,movements!$E:$E,$A3,movements!$D:$D,"ISSUE",movements!$C:$C,"&lt;"&amp;BS$1+1)</f>
        <v>105</v>
      </c>
      <c r="BT3">
        <f>SUMIFS(movements!$H:$H,movements!$E:$E,$A3,movements!$D:$D,"OPENING",movements!$C:$C,"&lt;"&amp;BT$1+1)+SUMIFS(movements!$H:$H,movements!$E:$E,$A3,movements!$D:$D,"RECEIPT",movements!$C:$C,"&lt;"&amp;BT$1+1)-SUMIFS(movements!$H:$H,movements!$E:$E,$A3,movements!$D:$D,"ISSUE",movements!$C:$C,"&lt;"&amp;BT$1+1)</f>
        <v>192</v>
      </c>
      <c r="BU3">
        <f>SUMIFS(movements!$H:$H,movements!$E:$E,$A3,movements!$D:$D,"OPENING",movements!$C:$C,"&lt;"&amp;BU$1+1)+SUMIFS(movements!$H:$H,movements!$E:$E,$A3,movements!$D:$D,"RECEIPT",movements!$C:$C,"&lt;"&amp;BU$1+1)-SUMIFS(movements!$H:$H,movements!$E:$E,$A3,movements!$D:$D,"ISSUE",movements!$C:$C,"&lt;"&amp;BU$1+1)</f>
        <v>187</v>
      </c>
      <c r="BV3">
        <f>SUMIFS(movements!$H:$H,movements!$E:$E,$A3,movements!$D:$D,"OPENING",movements!$C:$C,"&lt;"&amp;BV$1+1)+SUMIFS(movements!$H:$H,movements!$E:$E,$A3,movements!$D:$D,"RECEIPT",movements!$C:$C,"&lt;"&amp;BV$1+1)-SUMIFS(movements!$H:$H,movements!$E:$E,$A3,movements!$D:$D,"ISSUE",movements!$C:$C,"&lt;"&amp;BV$1+1)</f>
        <v>170</v>
      </c>
      <c r="BW3">
        <f>SUMIFS(movements!$H:$H,movements!$E:$E,$A3,movements!$D:$D,"OPENING",movements!$C:$C,"&lt;"&amp;BW$1+1)+SUMIFS(movements!$H:$H,movements!$E:$E,$A3,movements!$D:$D,"RECEIPT",movements!$C:$C,"&lt;"&amp;BW$1+1)-SUMIFS(movements!$H:$H,movements!$E:$E,$A3,movements!$D:$D,"ISSUE",movements!$C:$C,"&lt;"&amp;BW$1+1)</f>
        <v>164</v>
      </c>
      <c r="BX3">
        <f>SUMIFS(movements!$H:$H,movements!$E:$E,$A3,movements!$D:$D,"OPENING",movements!$C:$C,"&lt;"&amp;BX$1+1)+SUMIFS(movements!$H:$H,movements!$E:$E,$A3,movements!$D:$D,"RECEIPT",movements!$C:$C,"&lt;"&amp;BX$1+1)-SUMIFS(movements!$H:$H,movements!$E:$E,$A3,movements!$D:$D,"ISSUE",movements!$C:$C,"&lt;"&amp;BX$1+1)</f>
        <v>149</v>
      </c>
      <c r="BY3">
        <f>SUMIFS(movements!$H:$H,movements!$E:$E,$A3,movements!$D:$D,"OPENING",movements!$C:$C,"&lt;"&amp;BY$1+1)+SUMIFS(movements!$H:$H,movements!$E:$E,$A3,movements!$D:$D,"RECEIPT",movements!$C:$C,"&lt;"&amp;BY$1+1)-SUMIFS(movements!$H:$H,movements!$E:$E,$A3,movements!$D:$D,"ISSUE",movements!$C:$C,"&lt;"&amp;BY$1+1)</f>
        <v>142</v>
      </c>
      <c r="BZ3">
        <f>SUMIFS(movements!$H:$H,movements!$E:$E,$A3,movements!$D:$D,"OPENING",movements!$C:$C,"&lt;"&amp;BZ$1+1)+SUMIFS(movements!$H:$H,movements!$E:$E,$A3,movements!$D:$D,"RECEIPT",movements!$C:$C,"&lt;"&amp;BZ$1+1)-SUMIFS(movements!$H:$H,movements!$E:$E,$A3,movements!$D:$D,"ISSUE",movements!$C:$C,"&lt;"&amp;BZ$1+1)</f>
        <v>133</v>
      </c>
      <c r="CA3">
        <f>SUMIFS(movements!$H:$H,movements!$E:$E,$A3,movements!$D:$D,"OPENING",movements!$C:$C,"&lt;"&amp;CA$1+1)+SUMIFS(movements!$H:$H,movements!$E:$E,$A3,movements!$D:$D,"RECEIPT",movements!$C:$C,"&lt;"&amp;CA$1+1)-SUMIFS(movements!$H:$H,movements!$E:$E,$A3,movements!$D:$D,"ISSUE",movements!$C:$C,"&lt;"&amp;CA$1+1)</f>
        <v>119</v>
      </c>
      <c r="CB3">
        <f>SUMIFS(movements!$H:$H,movements!$E:$E,$A3,movements!$D:$D,"OPENING",movements!$C:$C,"&lt;"&amp;CB$1+1)+SUMIFS(movements!$H:$H,movements!$E:$E,$A3,movements!$D:$D,"RECEIPT",movements!$C:$C,"&lt;"&amp;CB$1+1)-SUMIFS(movements!$H:$H,movements!$E:$E,$A3,movements!$D:$D,"ISSUE",movements!$C:$C,"&lt;"&amp;CB$1+1)</f>
        <v>108</v>
      </c>
      <c r="CC3">
        <f>SUMIFS(movements!$H:$H,movements!$E:$E,$A3,movements!$D:$D,"OPENING",movements!$C:$C,"&lt;"&amp;CC$1+1)+SUMIFS(movements!$H:$H,movements!$E:$E,$A3,movements!$D:$D,"RECEIPT",movements!$C:$C,"&lt;"&amp;CC$1+1)-SUMIFS(movements!$H:$H,movements!$E:$E,$A3,movements!$D:$D,"ISSUE",movements!$C:$C,"&lt;"&amp;CC$1+1)</f>
        <v>96</v>
      </c>
      <c r="CD3">
        <f>SUMIFS(movements!$H:$H,movements!$E:$E,$A3,movements!$D:$D,"OPENING",movements!$C:$C,"&lt;"&amp;CD$1+1)+SUMIFS(movements!$H:$H,movements!$E:$E,$A3,movements!$D:$D,"RECEIPT",movements!$C:$C,"&lt;"&amp;CD$1+1)-SUMIFS(movements!$H:$H,movements!$E:$E,$A3,movements!$D:$D,"ISSUE",movements!$C:$C,"&lt;"&amp;CD$1+1)</f>
        <v>81</v>
      </c>
      <c r="CE3">
        <f>SUMIFS(movements!$H:$H,movements!$E:$E,$A3,movements!$D:$D,"OPENING",movements!$C:$C,"&lt;"&amp;CE$1+1)+SUMIFS(movements!$H:$H,movements!$E:$E,$A3,movements!$D:$D,"RECEIPT",movements!$C:$C,"&lt;"&amp;CE$1+1)-SUMIFS(movements!$H:$H,movements!$E:$E,$A3,movements!$D:$D,"ISSUE",movements!$C:$C,"&lt;"&amp;CE$1+1)</f>
        <v>65</v>
      </c>
      <c r="CF3">
        <f>SUMIFS(movements!$H:$H,movements!$E:$E,$A3,movements!$D:$D,"OPENING",movements!$C:$C,"&lt;"&amp;CF$1+1)+SUMIFS(movements!$H:$H,movements!$E:$E,$A3,movements!$D:$D,"RECEIPT",movements!$C:$C,"&lt;"&amp;CF$1+1)-SUMIFS(movements!$H:$H,movements!$E:$E,$A3,movements!$D:$D,"ISSUE",movements!$C:$C,"&lt;"&amp;CF$1+1)</f>
        <v>51</v>
      </c>
      <c r="CG3">
        <f>SUMIFS(movements!$H:$H,movements!$E:$E,$A3,movements!$D:$D,"OPENING",movements!$C:$C,"&lt;"&amp;CG$1+1)+SUMIFS(movements!$H:$H,movements!$E:$E,$A3,movements!$D:$D,"RECEIPT",movements!$C:$C,"&lt;"&amp;CG$1+1)-SUMIFS(movements!$H:$H,movements!$E:$E,$A3,movements!$D:$D,"ISSUE",movements!$C:$C,"&lt;"&amp;CG$1+1)</f>
        <v>48</v>
      </c>
      <c r="CH3">
        <f>SUMIFS(movements!$H:$H,movements!$E:$E,$A3,movements!$D:$D,"OPENING",movements!$C:$C,"&lt;"&amp;CH$1+1)+SUMIFS(movements!$H:$H,movements!$E:$E,$A3,movements!$D:$D,"RECEIPT",movements!$C:$C,"&lt;"&amp;CH$1+1)-SUMIFS(movements!$H:$H,movements!$E:$E,$A3,movements!$D:$D,"ISSUE",movements!$C:$C,"&lt;"&amp;CH$1+1)</f>
        <v>119</v>
      </c>
      <c r="CI3">
        <f>SUMIFS(movements!$H:$H,movements!$E:$E,$A3,movements!$D:$D,"OPENING",movements!$C:$C,"&lt;"&amp;CI$1+1)+SUMIFS(movements!$H:$H,movements!$E:$E,$A3,movements!$D:$D,"RECEIPT",movements!$C:$C,"&lt;"&amp;CI$1+1)-SUMIFS(movements!$H:$H,movements!$E:$E,$A3,movements!$D:$D,"ISSUE",movements!$C:$C,"&lt;"&amp;CI$1+1)</f>
        <v>105</v>
      </c>
      <c r="CJ3">
        <f>SUMIFS(movements!$H:$H,movements!$E:$E,$A3,movements!$D:$D,"OPENING",movements!$C:$C,"&lt;"&amp;CJ$1+1)+SUMIFS(movements!$H:$H,movements!$E:$E,$A3,movements!$D:$D,"RECEIPT",movements!$C:$C,"&lt;"&amp;CJ$1+1)-SUMIFS(movements!$H:$H,movements!$E:$E,$A3,movements!$D:$D,"ISSUE",movements!$C:$C,"&lt;"&amp;CJ$1+1)</f>
        <v>87</v>
      </c>
      <c r="CK3">
        <f>SUMIFS(movements!$H:$H,movements!$E:$E,$A3,movements!$D:$D,"OPENING",movements!$C:$C,"&lt;"&amp;CK$1+1)+SUMIFS(movements!$H:$H,movements!$E:$E,$A3,movements!$D:$D,"RECEIPT",movements!$C:$C,"&lt;"&amp;CK$1+1)-SUMIFS(movements!$H:$H,movements!$E:$E,$A3,movements!$D:$D,"ISSUE",movements!$C:$C,"&lt;"&amp;CK$1+1)</f>
        <v>79</v>
      </c>
      <c r="CL3">
        <f>SUMIFS(movements!$H:$H,movements!$E:$E,$A3,movements!$D:$D,"OPENING",movements!$C:$C,"&lt;"&amp;CL$1+1)+SUMIFS(movements!$H:$H,movements!$E:$E,$A3,movements!$D:$D,"RECEIPT",movements!$C:$C,"&lt;"&amp;CL$1+1)-SUMIFS(movements!$H:$H,movements!$E:$E,$A3,movements!$D:$D,"ISSUE",movements!$C:$C,"&lt;"&amp;CL$1+1)</f>
        <v>66</v>
      </c>
      <c r="CM3">
        <f>SUMIFS(movements!$H:$H,movements!$E:$E,$A3,movements!$D:$D,"OPENING",movements!$C:$C,"&lt;"&amp;CM$1+1)+SUMIFS(movements!$H:$H,movements!$E:$E,$A3,movements!$D:$D,"RECEIPT",movements!$C:$C,"&lt;"&amp;CM$1+1)-SUMIFS(movements!$H:$H,movements!$E:$E,$A3,movements!$D:$D,"ISSUE",movements!$C:$C,"&lt;"&amp;CM$1+1)</f>
        <v>47</v>
      </c>
      <c r="CN3">
        <f t="shared" ref="CN3:CN31" si="2">AVERAGE(B3:CM3)</f>
        <v>97.311111111111117</v>
      </c>
      <c r="CO3">
        <f>SUMIFS(movements!$H:$H,movements!$E:$E,$A3,movements!$D:$D,"ISSUE",movements!$C:$C,"&gt;="&amp;$B$1,movements!$C:$C,"&lt;"&amp;($CM$1+1))</f>
        <v>933</v>
      </c>
      <c r="CP3">
        <f t="shared" ref="CP3:CP31" si="3">IF(CN3=0,"无法计算",CO3/CN3)</f>
        <v>9.5878054350308286</v>
      </c>
      <c r="CQ3">
        <f t="shared" ref="CQ3:CQ31" si="4">IF(CO3=0,"期间无出库",IF(CN3=0,"无法计算",90/CP3))</f>
        <v>9.3869239013933559</v>
      </c>
    </row>
    <row r="4" spans="1:95" x14ac:dyDescent="0.25">
      <c r="A4" t="s">
        <v>20</v>
      </c>
      <c r="B4">
        <f>SUMIFS(movements!$H:$H,movements!$E:$E,$A4,movements!$D:$D,"OPENING",movements!$C:$C,"&lt;"&amp;B$1+1)+SUMIFS(movements!$H:$H,movements!$E:$E,$A4,movements!$D:$D,"RECEIPT",movements!$C:$C,"&lt;"&amp;B$1+1)-SUMIFS(movements!$H:$H,movements!$E:$E,$A4,movements!$D:$D,"ISSUE",movements!$C:$C,"&lt;"&amp;B$1+1)</f>
        <v>63</v>
      </c>
      <c r="C4">
        <f>SUMIFS(movements!$H:$H,movements!$E:$E,$A4,movements!$D:$D,"OPENING",movements!$C:$C,"&lt;"&amp;C$1+1)+SUMIFS(movements!$H:$H,movements!$E:$E,$A4,movements!$D:$D,"RECEIPT",movements!$C:$C,"&lt;"&amp;C$1+1)-SUMIFS(movements!$H:$H,movements!$E:$E,$A4,movements!$D:$D,"ISSUE",movements!$C:$C,"&lt;"&amp;C$1+1)</f>
        <v>53</v>
      </c>
      <c r="D4">
        <f>SUMIFS(movements!$H:$H,movements!$E:$E,$A4,movements!$D:$D,"OPENING",movements!$C:$C,"&lt;"&amp;D$1+1)+SUMIFS(movements!$H:$H,movements!$E:$E,$A4,movements!$D:$D,"RECEIPT",movements!$C:$C,"&lt;"&amp;D$1+1)-SUMIFS(movements!$H:$H,movements!$E:$E,$A4,movements!$D:$D,"ISSUE",movements!$C:$C,"&lt;"&amp;D$1+1)</f>
        <v>41</v>
      </c>
      <c r="E4">
        <f>SUMIFS(movements!$H:$H,movements!$E:$E,$A4,movements!$D:$D,"OPENING",movements!$C:$C,"&lt;"&amp;E$1+1)+SUMIFS(movements!$H:$H,movements!$E:$E,$A4,movements!$D:$D,"RECEIPT",movements!$C:$C,"&lt;"&amp;E$1+1)-SUMIFS(movements!$H:$H,movements!$E:$E,$A4,movements!$D:$D,"ISSUE",movements!$C:$C,"&lt;"&amp;E$1+1)</f>
        <v>31</v>
      </c>
      <c r="F4">
        <f>SUMIFS(movements!$H:$H,movements!$E:$E,$A4,movements!$D:$D,"OPENING",movements!$C:$C,"&lt;"&amp;F$1+1)+SUMIFS(movements!$H:$H,movements!$E:$E,$A4,movements!$D:$D,"RECEIPT",movements!$C:$C,"&lt;"&amp;F$1+1)-SUMIFS(movements!$H:$H,movements!$E:$E,$A4,movements!$D:$D,"ISSUE",movements!$C:$C,"&lt;"&amp;F$1+1)</f>
        <v>21</v>
      </c>
      <c r="G4">
        <f>SUMIFS(movements!$H:$H,movements!$E:$E,$A4,movements!$D:$D,"OPENING",movements!$C:$C,"&lt;"&amp;G$1+1)+SUMIFS(movements!$H:$H,movements!$E:$E,$A4,movements!$D:$D,"RECEIPT",movements!$C:$C,"&lt;"&amp;G$1+1)-SUMIFS(movements!$H:$H,movements!$E:$E,$A4,movements!$D:$D,"ISSUE",movements!$C:$C,"&lt;"&amp;G$1+1)</f>
        <v>0</v>
      </c>
      <c r="H4">
        <f>SUMIFS(movements!$H:$H,movements!$E:$E,$A4,movements!$D:$D,"OPENING",movements!$C:$C,"&lt;"&amp;H$1+1)+SUMIFS(movements!$H:$H,movements!$E:$E,$A4,movements!$D:$D,"RECEIPT",movements!$C:$C,"&lt;"&amp;H$1+1)-SUMIFS(movements!$H:$H,movements!$E:$E,$A4,movements!$D:$D,"ISSUE",movements!$C:$C,"&lt;"&amp;H$1+1)</f>
        <v>0</v>
      </c>
      <c r="I4">
        <f>SUMIFS(movements!$H:$H,movements!$E:$E,$A4,movements!$D:$D,"OPENING",movements!$C:$C,"&lt;"&amp;I$1+1)+SUMIFS(movements!$H:$H,movements!$E:$E,$A4,movements!$D:$D,"RECEIPT",movements!$C:$C,"&lt;"&amp;I$1+1)-SUMIFS(movements!$H:$H,movements!$E:$E,$A4,movements!$D:$D,"ISSUE",movements!$C:$C,"&lt;"&amp;I$1+1)</f>
        <v>49</v>
      </c>
      <c r="J4">
        <f>SUMIFS(movements!$H:$H,movements!$E:$E,$A4,movements!$D:$D,"OPENING",movements!$C:$C,"&lt;"&amp;J$1+1)+SUMIFS(movements!$H:$H,movements!$E:$E,$A4,movements!$D:$D,"RECEIPT",movements!$C:$C,"&lt;"&amp;J$1+1)-SUMIFS(movements!$H:$H,movements!$E:$E,$A4,movements!$D:$D,"ISSUE",movements!$C:$C,"&lt;"&amp;J$1+1)</f>
        <v>38</v>
      </c>
      <c r="K4">
        <f>SUMIFS(movements!$H:$H,movements!$E:$E,$A4,movements!$D:$D,"OPENING",movements!$C:$C,"&lt;"&amp;K$1+1)+SUMIFS(movements!$H:$H,movements!$E:$E,$A4,movements!$D:$D,"RECEIPT",movements!$C:$C,"&lt;"&amp;K$1+1)-SUMIFS(movements!$H:$H,movements!$E:$E,$A4,movements!$D:$D,"ISSUE",movements!$C:$C,"&lt;"&amp;K$1+1)</f>
        <v>26</v>
      </c>
      <c r="L4">
        <f>SUMIFS(movements!$H:$H,movements!$E:$E,$A4,movements!$D:$D,"OPENING",movements!$C:$C,"&lt;"&amp;L$1+1)+SUMIFS(movements!$H:$H,movements!$E:$E,$A4,movements!$D:$D,"RECEIPT",movements!$C:$C,"&lt;"&amp;L$1+1)-SUMIFS(movements!$H:$H,movements!$E:$E,$A4,movements!$D:$D,"ISSUE",movements!$C:$C,"&lt;"&amp;L$1+1)</f>
        <v>19</v>
      </c>
      <c r="M4">
        <f>SUMIFS(movements!$H:$H,movements!$E:$E,$A4,movements!$D:$D,"OPENING",movements!$C:$C,"&lt;"&amp;M$1+1)+SUMIFS(movements!$H:$H,movements!$E:$E,$A4,movements!$D:$D,"RECEIPT",movements!$C:$C,"&lt;"&amp;M$1+1)-SUMIFS(movements!$H:$H,movements!$E:$E,$A4,movements!$D:$D,"ISSUE",movements!$C:$C,"&lt;"&amp;M$1+1)</f>
        <v>5</v>
      </c>
      <c r="N4">
        <f>SUMIFS(movements!$H:$H,movements!$E:$E,$A4,movements!$D:$D,"OPENING",movements!$C:$C,"&lt;"&amp;N$1+1)+SUMIFS(movements!$H:$H,movements!$E:$E,$A4,movements!$D:$D,"RECEIPT",movements!$C:$C,"&lt;"&amp;N$1+1)-SUMIFS(movements!$H:$H,movements!$E:$E,$A4,movements!$D:$D,"ISSUE",movements!$C:$C,"&lt;"&amp;N$1+1)</f>
        <v>0</v>
      </c>
      <c r="O4">
        <f>SUMIFS(movements!$H:$H,movements!$E:$E,$A4,movements!$D:$D,"OPENING",movements!$C:$C,"&lt;"&amp;O$1+1)+SUMIFS(movements!$H:$H,movements!$E:$E,$A4,movements!$D:$D,"RECEIPT",movements!$C:$C,"&lt;"&amp;O$1+1)-SUMIFS(movements!$H:$H,movements!$E:$E,$A4,movements!$D:$D,"ISSUE",movements!$C:$C,"&lt;"&amp;O$1+1)</f>
        <v>0</v>
      </c>
      <c r="P4">
        <f>SUMIFS(movements!$H:$H,movements!$E:$E,$A4,movements!$D:$D,"OPENING",movements!$C:$C,"&lt;"&amp;P$1+1)+SUMIFS(movements!$H:$H,movements!$E:$E,$A4,movements!$D:$D,"RECEIPT",movements!$C:$C,"&lt;"&amp;P$1+1)-SUMIFS(movements!$H:$H,movements!$E:$E,$A4,movements!$D:$D,"ISSUE",movements!$C:$C,"&lt;"&amp;P$1+1)</f>
        <v>79</v>
      </c>
      <c r="Q4">
        <f>SUMIFS(movements!$H:$H,movements!$E:$E,$A4,movements!$D:$D,"OPENING",movements!$C:$C,"&lt;"&amp;Q$1+1)+SUMIFS(movements!$H:$H,movements!$E:$E,$A4,movements!$D:$D,"RECEIPT",movements!$C:$C,"&lt;"&amp;Q$1+1)-SUMIFS(movements!$H:$H,movements!$E:$E,$A4,movements!$D:$D,"ISSUE",movements!$C:$C,"&lt;"&amp;Q$1+1)</f>
        <v>68</v>
      </c>
      <c r="R4">
        <f>SUMIFS(movements!$H:$H,movements!$E:$E,$A4,movements!$D:$D,"OPENING",movements!$C:$C,"&lt;"&amp;R$1+1)+SUMIFS(movements!$H:$H,movements!$E:$E,$A4,movements!$D:$D,"RECEIPT",movements!$C:$C,"&lt;"&amp;R$1+1)-SUMIFS(movements!$H:$H,movements!$E:$E,$A4,movements!$D:$D,"ISSUE",movements!$C:$C,"&lt;"&amp;R$1+1)</f>
        <v>63</v>
      </c>
      <c r="S4">
        <f>SUMIFS(movements!$H:$H,movements!$E:$E,$A4,movements!$D:$D,"OPENING",movements!$C:$C,"&lt;"&amp;S$1+1)+SUMIFS(movements!$H:$H,movements!$E:$E,$A4,movements!$D:$D,"RECEIPT",movements!$C:$C,"&lt;"&amp;S$1+1)-SUMIFS(movements!$H:$H,movements!$E:$E,$A4,movements!$D:$D,"ISSUE",movements!$C:$C,"&lt;"&amp;S$1+1)</f>
        <v>50</v>
      </c>
      <c r="T4">
        <f>SUMIFS(movements!$H:$H,movements!$E:$E,$A4,movements!$D:$D,"OPENING",movements!$C:$C,"&lt;"&amp;T$1+1)+SUMIFS(movements!$H:$H,movements!$E:$E,$A4,movements!$D:$D,"RECEIPT",movements!$C:$C,"&lt;"&amp;T$1+1)-SUMIFS(movements!$H:$H,movements!$E:$E,$A4,movements!$D:$D,"ISSUE",movements!$C:$C,"&lt;"&amp;T$1+1)</f>
        <v>28</v>
      </c>
      <c r="U4">
        <f>SUMIFS(movements!$H:$H,movements!$E:$E,$A4,movements!$D:$D,"OPENING",movements!$C:$C,"&lt;"&amp;U$1+1)+SUMIFS(movements!$H:$H,movements!$E:$E,$A4,movements!$D:$D,"RECEIPT",movements!$C:$C,"&lt;"&amp;U$1+1)-SUMIFS(movements!$H:$H,movements!$E:$E,$A4,movements!$D:$D,"ISSUE",movements!$C:$C,"&lt;"&amp;U$1+1)</f>
        <v>24</v>
      </c>
      <c r="V4">
        <f>SUMIFS(movements!$H:$H,movements!$E:$E,$A4,movements!$D:$D,"OPENING",movements!$C:$C,"&lt;"&amp;V$1+1)+SUMIFS(movements!$H:$H,movements!$E:$E,$A4,movements!$D:$D,"RECEIPT",movements!$C:$C,"&lt;"&amp;V$1+1)-SUMIFS(movements!$H:$H,movements!$E:$E,$A4,movements!$D:$D,"ISSUE",movements!$C:$C,"&lt;"&amp;V$1+1)</f>
        <v>10</v>
      </c>
      <c r="W4">
        <f>SUMIFS(movements!$H:$H,movements!$E:$E,$A4,movements!$D:$D,"OPENING",movements!$C:$C,"&lt;"&amp;W$1+1)+SUMIFS(movements!$H:$H,movements!$E:$E,$A4,movements!$D:$D,"RECEIPT",movements!$C:$C,"&lt;"&amp;W$1+1)-SUMIFS(movements!$H:$H,movements!$E:$E,$A4,movements!$D:$D,"ISSUE",movements!$C:$C,"&lt;"&amp;W$1+1)</f>
        <v>83</v>
      </c>
      <c r="X4">
        <f>SUMIFS(movements!$H:$H,movements!$E:$E,$A4,movements!$D:$D,"OPENING",movements!$C:$C,"&lt;"&amp;X$1+1)+SUMIFS(movements!$H:$H,movements!$E:$E,$A4,movements!$D:$D,"RECEIPT",movements!$C:$C,"&lt;"&amp;X$1+1)-SUMIFS(movements!$H:$H,movements!$E:$E,$A4,movements!$D:$D,"ISSUE",movements!$C:$C,"&lt;"&amp;X$1+1)</f>
        <v>65</v>
      </c>
      <c r="Y4">
        <f>SUMIFS(movements!$H:$H,movements!$E:$E,$A4,movements!$D:$D,"OPENING",movements!$C:$C,"&lt;"&amp;Y$1+1)+SUMIFS(movements!$H:$H,movements!$E:$E,$A4,movements!$D:$D,"RECEIPT",movements!$C:$C,"&lt;"&amp;Y$1+1)-SUMIFS(movements!$H:$H,movements!$E:$E,$A4,movements!$D:$D,"ISSUE",movements!$C:$C,"&lt;"&amp;Y$1+1)</f>
        <v>51</v>
      </c>
      <c r="Z4">
        <f>SUMIFS(movements!$H:$H,movements!$E:$E,$A4,movements!$D:$D,"OPENING",movements!$C:$C,"&lt;"&amp;Z$1+1)+SUMIFS(movements!$H:$H,movements!$E:$E,$A4,movements!$D:$D,"RECEIPT",movements!$C:$C,"&lt;"&amp;Z$1+1)-SUMIFS(movements!$H:$H,movements!$E:$E,$A4,movements!$D:$D,"ISSUE",movements!$C:$C,"&lt;"&amp;Z$1+1)</f>
        <v>44</v>
      </c>
      <c r="AA4">
        <f>SUMIFS(movements!$H:$H,movements!$E:$E,$A4,movements!$D:$D,"OPENING",movements!$C:$C,"&lt;"&amp;AA$1+1)+SUMIFS(movements!$H:$H,movements!$E:$E,$A4,movements!$D:$D,"RECEIPT",movements!$C:$C,"&lt;"&amp;AA$1+1)-SUMIFS(movements!$H:$H,movements!$E:$E,$A4,movements!$D:$D,"ISSUE",movements!$C:$C,"&lt;"&amp;AA$1+1)</f>
        <v>28</v>
      </c>
      <c r="AB4">
        <f>SUMIFS(movements!$H:$H,movements!$E:$E,$A4,movements!$D:$D,"OPENING",movements!$C:$C,"&lt;"&amp;AB$1+1)+SUMIFS(movements!$H:$H,movements!$E:$E,$A4,movements!$D:$D,"RECEIPT",movements!$C:$C,"&lt;"&amp;AB$1+1)-SUMIFS(movements!$H:$H,movements!$E:$E,$A4,movements!$D:$D,"ISSUE",movements!$C:$C,"&lt;"&amp;AB$1+1)</f>
        <v>13</v>
      </c>
      <c r="AC4">
        <f>SUMIFS(movements!$H:$H,movements!$E:$E,$A4,movements!$D:$D,"OPENING",movements!$C:$C,"&lt;"&amp;AC$1+1)+SUMIFS(movements!$H:$H,movements!$E:$E,$A4,movements!$D:$D,"RECEIPT",movements!$C:$C,"&lt;"&amp;AC$1+1)-SUMIFS(movements!$H:$H,movements!$E:$E,$A4,movements!$D:$D,"ISSUE",movements!$C:$C,"&lt;"&amp;AC$1+1)</f>
        <v>3</v>
      </c>
      <c r="AD4">
        <f>SUMIFS(movements!$H:$H,movements!$E:$E,$A4,movements!$D:$D,"OPENING",movements!$C:$C,"&lt;"&amp;AD$1+1)+SUMIFS(movements!$H:$H,movements!$E:$E,$A4,movements!$D:$D,"RECEIPT",movements!$C:$C,"&lt;"&amp;AD$1+1)-SUMIFS(movements!$H:$H,movements!$E:$E,$A4,movements!$D:$D,"ISSUE",movements!$C:$C,"&lt;"&amp;AD$1+1)</f>
        <v>55</v>
      </c>
      <c r="AE4">
        <f>SUMIFS(movements!$H:$H,movements!$E:$E,$A4,movements!$D:$D,"OPENING",movements!$C:$C,"&lt;"&amp;AE$1+1)+SUMIFS(movements!$H:$H,movements!$E:$E,$A4,movements!$D:$D,"RECEIPT",movements!$C:$C,"&lt;"&amp;AE$1+1)-SUMIFS(movements!$H:$H,movements!$E:$E,$A4,movements!$D:$D,"ISSUE",movements!$C:$C,"&lt;"&amp;AE$1+1)</f>
        <v>50</v>
      </c>
      <c r="AF4">
        <f>SUMIFS(movements!$H:$H,movements!$E:$E,$A4,movements!$D:$D,"OPENING",movements!$C:$C,"&lt;"&amp;AF$1+1)+SUMIFS(movements!$H:$H,movements!$E:$E,$A4,movements!$D:$D,"RECEIPT",movements!$C:$C,"&lt;"&amp;AF$1+1)-SUMIFS(movements!$H:$H,movements!$E:$E,$A4,movements!$D:$D,"ISSUE",movements!$C:$C,"&lt;"&amp;AF$1+1)</f>
        <v>46</v>
      </c>
      <c r="AG4">
        <f>SUMIFS(movements!$H:$H,movements!$E:$E,$A4,movements!$D:$D,"OPENING",movements!$C:$C,"&lt;"&amp;AG$1+1)+SUMIFS(movements!$H:$H,movements!$E:$E,$A4,movements!$D:$D,"RECEIPT",movements!$C:$C,"&lt;"&amp;AG$1+1)-SUMIFS(movements!$H:$H,movements!$E:$E,$A4,movements!$D:$D,"ISSUE",movements!$C:$C,"&lt;"&amp;AG$1+1)</f>
        <v>35</v>
      </c>
      <c r="AH4">
        <f>SUMIFS(movements!$H:$H,movements!$E:$E,$A4,movements!$D:$D,"OPENING",movements!$C:$C,"&lt;"&amp;AH$1+1)+SUMIFS(movements!$H:$H,movements!$E:$E,$A4,movements!$D:$D,"RECEIPT",movements!$C:$C,"&lt;"&amp;AH$1+1)-SUMIFS(movements!$H:$H,movements!$E:$E,$A4,movements!$D:$D,"ISSUE",movements!$C:$C,"&lt;"&amp;AH$1+1)</f>
        <v>24</v>
      </c>
      <c r="AI4">
        <f>SUMIFS(movements!$H:$H,movements!$E:$E,$A4,movements!$D:$D,"OPENING",movements!$C:$C,"&lt;"&amp;AI$1+1)+SUMIFS(movements!$H:$H,movements!$E:$E,$A4,movements!$D:$D,"RECEIPT",movements!$C:$C,"&lt;"&amp;AI$1+1)-SUMIFS(movements!$H:$H,movements!$E:$E,$A4,movements!$D:$D,"ISSUE",movements!$C:$C,"&lt;"&amp;AI$1+1)</f>
        <v>17</v>
      </c>
      <c r="AJ4">
        <f>SUMIFS(movements!$H:$H,movements!$E:$E,$A4,movements!$D:$D,"OPENING",movements!$C:$C,"&lt;"&amp;AJ$1+1)+SUMIFS(movements!$H:$H,movements!$E:$E,$A4,movements!$D:$D,"RECEIPT",movements!$C:$C,"&lt;"&amp;AJ$1+1)-SUMIFS(movements!$H:$H,movements!$E:$E,$A4,movements!$D:$D,"ISSUE",movements!$C:$C,"&lt;"&amp;AJ$1+1)</f>
        <v>5</v>
      </c>
      <c r="AK4">
        <f>SUMIFS(movements!$H:$H,movements!$E:$E,$A4,movements!$D:$D,"OPENING",movements!$C:$C,"&lt;"&amp;AK$1+1)+SUMIFS(movements!$H:$H,movements!$E:$E,$A4,movements!$D:$D,"RECEIPT",movements!$C:$C,"&lt;"&amp;AK$1+1)-SUMIFS(movements!$H:$H,movements!$E:$E,$A4,movements!$D:$D,"ISSUE",movements!$C:$C,"&lt;"&amp;AK$1+1)</f>
        <v>61</v>
      </c>
      <c r="AL4">
        <f>SUMIFS(movements!$H:$H,movements!$E:$E,$A4,movements!$D:$D,"OPENING",movements!$C:$C,"&lt;"&amp;AL$1+1)+SUMIFS(movements!$H:$H,movements!$E:$E,$A4,movements!$D:$D,"RECEIPT",movements!$C:$C,"&lt;"&amp;AL$1+1)-SUMIFS(movements!$H:$H,movements!$E:$E,$A4,movements!$D:$D,"ISSUE",movements!$C:$C,"&lt;"&amp;AL$1+1)</f>
        <v>45</v>
      </c>
      <c r="AM4">
        <f>SUMIFS(movements!$H:$H,movements!$E:$E,$A4,movements!$D:$D,"OPENING",movements!$C:$C,"&lt;"&amp;AM$1+1)+SUMIFS(movements!$H:$H,movements!$E:$E,$A4,movements!$D:$D,"RECEIPT",movements!$C:$C,"&lt;"&amp;AM$1+1)-SUMIFS(movements!$H:$H,movements!$E:$E,$A4,movements!$D:$D,"ISSUE",movements!$C:$C,"&lt;"&amp;AM$1+1)</f>
        <v>37</v>
      </c>
      <c r="AN4">
        <f>SUMIFS(movements!$H:$H,movements!$E:$E,$A4,movements!$D:$D,"OPENING",movements!$C:$C,"&lt;"&amp;AN$1+1)+SUMIFS(movements!$H:$H,movements!$E:$E,$A4,movements!$D:$D,"RECEIPT",movements!$C:$C,"&lt;"&amp;AN$1+1)-SUMIFS(movements!$H:$H,movements!$E:$E,$A4,movements!$D:$D,"ISSUE",movements!$C:$C,"&lt;"&amp;AN$1+1)</f>
        <v>16</v>
      </c>
      <c r="AO4">
        <f>SUMIFS(movements!$H:$H,movements!$E:$E,$A4,movements!$D:$D,"OPENING",movements!$C:$C,"&lt;"&amp;AO$1+1)+SUMIFS(movements!$H:$H,movements!$E:$E,$A4,movements!$D:$D,"RECEIPT",movements!$C:$C,"&lt;"&amp;AO$1+1)-SUMIFS(movements!$H:$H,movements!$E:$E,$A4,movements!$D:$D,"ISSUE",movements!$C:$C,"&lt;"&amp;AO$1+1)</f>
        <v>10</v>
      </c>
      <c r="AP4">
        <f>SUMIFS(movements!$H:$H,movements!$E:$E,$A4,movements!$D:$D,"OPENING",movements!$C:$C,"&lt;"&amp;AP$1+1)+SUMIFS(movements!$H:$H,movements!$E:$E,$A4,movements!$D:$D,"RECEIPT",movements!$C:$C,"&lt;"&amp;AP$1+1)-SUMIFS(movements!$H:$H,movements!$E:$E,$A4,movements!$D:$D,"ISSUE",movements!$C:$C,"&lt;"&amp;AP$1+1)</f>
        <v>0</v>
      </c>
      <c r="AQ4">
        <f>SUMIFS(movements!$H:$H,movements!$E:$E,$A4,movements!$D:$D,"OPENING",movements!$C:$C,"&lt;"&amp;AQ$1+1)+SUMIFS(movements!$H:$H,movements!$E:$E,$A4,movements!$D:$D,"RECEIPT",movements!$C:$C,"&lt;"&amp;AQ$1+1)-SUMIFS(movements!$H:$H,movements!$E:$E,$A4,movements!$D:$D,"ISSUE",movements!$C:$C,"&lt;"&amp;AQ$1+1)</f>
        <v>0</v>
      </c>
      <c r="AR4">
        <f>SUMIFS(movements!$H:$H,movements!$E:$E,$A4,movements!$D:$D,"OPENING",movements!$C:$C,"&lt;"&amp;AR$1+1)+SUMIFS(movements!$H:$H,movements!$E:$E,$A4,movements!$D:$D,"RECEIPT",movements!$C:$C,"&lt;"&amp;AR$1+1)-SUMIFS(movements!$H:$H,movements!$E:$E,$A4,movements!$D:$D,"ISSUE",movements!$C:$C,"&lt;"&amp;AR$1+1)</f>
        <v>89</v>
      </c>
      <c r="AS4">
        <f>SUMIFS(movements!$H:$H,movements!$E:$E,$A4,movements!$D:$D,"OPENING",movements!$C:$C,"&lt;"&amp;AS$1+1)+SUMIFS(movements!$H:$H,movements!$E:$E,$A4,movements!$D:$D,"RECEIPT",movements!$C:$C,"&lt;"&amp;AS$1+1)-SUMIFS(movements!$H:$H,movements!$E:$E,$A4,movements!$D:$D,"ISSUE",movements!$C:$C,"&lt;"&amp;AS$1+1)</f>
        <v>69</v>
      </c>
      <c r="AT4">
        <f>SUMIFS(movements!$H:$H,movements!$E:$E,$A4,movements!$D:$D,"OPENING",movements!$C:$C,"&lt;"&amp;AT$1+1)+SUMIFS(movements!$H:$H,movements!$E:$E,$A4,movements!$D:$D,"RECEIPT",movements!$C:$C,"&lt;"&amp;AT$1+1)-SUMIFS(movements!$H:$H,movements!$E:$E,$A4,movements!$D:$D,"ISSUE",movements!$C:$C,"&lt;"&amp;AT$1+1)</f>
        <v>59</v>
      </c>
      <c r="AU4">
        <f>SUMIFS(movements!$H:$H,movements!$E:$E,$A4,movements!$D:$D,"OPENING",movements!$C:$C,"&lt;"&amp;AU$1+1)+SUMIFS(movements!$H:$H,movements!$E:$E,$A4,movements!$D:$D,"RECEIPT",movements!$C:$C,"&lt;"&amp;AU$1+1)-SUMIFS(movements!$H:$H,movements!$E:$E,$A4,movements!$D:$D,"ISSUE",movements!$C:$C,"&lt;"&amp;AU$1+1)</f>
        <v>50</v>
      </c>
      <c r="AV4">
        <f>SUMIFS(movements!$H:$H,movements!$E:$E,$A4,movements!$D:$D,"OPENING",movements!$C:$C,"&lt;"&amp;AV$1+1)+SUMIFS(movements!$H:$H,movements!$E:$E,$A4,movements!$D:$D,"RECEIPT",movements!$C:$C,"&lt;"&amp;AV$1+1)-SUMIFS(movements!$H:$H,movements!$E:$E,$A4,movements!$D:$D,"ISSUE",movements!$C:$C,"&lt;"&amp;AV$1+1)</f>
        <v>28</v>
      </c>
      <c r="AW4">
        <f>SUMIFS(movements!$H:$H,movements!$E:$E,$A4,movements!$D:$D,"OPENING",movements!$C:$C,"&lt;"&amp;AW$1+1)+SUMIFS(movements!$H:$H,movements!$E:$E,$A4,movements!$D:$D,"RECEIPT",movements!$C:$C,"&lt;"&amp;AW$1+1)-SUMIFS(movements!$H:$H,movements!$E:$E,$A4,movements!$D:$D,"ISSUE",movements!$C:$C,"&lt;"&amp;AW$1+1)</f>
        <v>19</v>
      </c>
      <c r="AX4">
        <f>SUMIFS(movements!$H:$H,movements!$E:$E,$A4,movements!$D:$D,"OPENING",movements!$C:$C,"&lt;"&amp;AX$1+1)+SUMIFS(movements!$H:$H,movements!$E:$E,$A4,movements!$D:$D,"RECEIPT",movements!$C:$C,"&lt;"&amp;AX$1+1)-SUMIFS(movements!$H:$H,movements!$E:$E,$A4,movements!$D:$D,"ISSUE",movements!$C:$C,"&lt;"&amp;AX$1+1)</f>
        <v>8</v>
      </c>
      <c r="AY4">
        <f>SUMIFS(movements!$H:$H,movements!$E:$E,$A4,movements!$D:$D,"OPENING",movements!$C:$C,"&lt;"&amp;AY$1+1)+SUMIFS(movements!$H:$H,movements!$E:$E,$A4,movements!$D:$D,"RECEIPT",movements!$C:$C,"&lt;"&amp;AY$1+1)-SUMIFS(movements!$H:$H,movements!$E:$E,$A4,movements!$D:$D,"ISSUE",movements!$C:$C,"&lt;"&amp;AY$1+1)</f>
        <v>69</v>
      </c>
      <c r="AZ4">
        <f>SUMIFS(movements!$H:$H,movements!$E:$E,$A4,movements!$D:$D,"OPENING",movements!$C:$C,"&lt;"&amp;AZ$1+1)+SUMIFS(movements!$H:$H,movements!$E:$E,$A4,movements!$D:$D,"RECEIPT",movements!$C:$C,"&lt;"&amp;AZ$1+1)-SUMIFS(movements!$H:$H,movements!$E:$E,$A4,movements!$D:$D,"ISSUE",movements!$C:$C,"&lt;"&amp;AZ$1+1)</f>
        <v>53</v>
      </c>
      <c r="BA4">
        <f>SUMIFS(movements!$H:$H,movements!$E:$E,$A4,movements!$D:$D,"OPENING",movements!$C:$C,"&lt;"&amp;BA$1+1)+SUMIFS(movements!$H:$H,movements!$E:$E,$A4,movements!$D:$D,"RECEIPT",movements!$C:$C,"&lt;"&amp;BA$1+1)-SUMIFS(movements!$H:$H,movements!$E:$E,$A4,movements!$D:$D,"ISSUE",movements!$C:$C,"&lt;"&amp;BA$1+1)</f>
        <v>45</v>
      </c>
      <c r="BB4">
        <f>SUMIFS(movements!$H:$H,movements!$E:$E,$A4,movements!$D:$D,"OPENING",movements!$C:$C,"&lt;"&amp;BB$1+1)+SUMIFS(movements!$H:$H,movements!$E:$E,$A4,movements!$D:$D,"RECEIPT",movements!$C:$C,"&lt;"&amp;BB$1+1)-SUMIFS(movements!$H:$H,movements!$E:$E,$A4,movements!$D:$D,"ISSUE",movements!$C:$C,"&lt;"&amp;BB$1+1)</f>
        <v>28</v>
      </c>
      <c r="BC4">
        <f>SUMIFS(movements!$H:$H,movements!$E:$E,$A4,movements!$D:$D,"OPENING",movements!$C:$C,"&lt;"&amp;BC$1+1)+SUMIFS(movements!$H:$H,movements!$E:$E,$A4,movements!$D:$D,"RECEIPT",movements!$C:$C,"&lt;"&amp;BC$1+1)-SUMIFS(movements!$H:$H,movements!$E:$E,$A4,movements!$D:$D,"ISSUE",movements!$C:$C,"&lt;"&amp;BC$1+1)</f>
        <v>16</v>
      </c>
      <c r="BD4">
        <f>SUMIFS(movements!$H:$H,movements!$E:$E,$A4,movements!$D:$D,"OPENING",movements!$C:$C,"&lt;"&amp;BD$1+1)+SUMIFS(movements!$H:$H,movements!$E:$E,$A4,movements!$D:$D,"RECEIPT",movements!$C:$C,"&lt;"&amp;BD$1+1)-SUMIFS(movements!$H:$H,movements!$E:$E,$A4,movements!$D:$D,"ISSUE",movements!$C:$C,"&lt;"&amp;BD$1+1)</f>
        <v>13</v>
      </c>
      <c r="BE4">
        <f>SUMIFS(movements!$H:$H,movements!$E:$E,$A4,movements!$D:$D,"OPENING",movements!$C:$C,"&lt;"&amp;BE$1+1)+SUMIFS(movements!$H:$H,movements!$E:$E,$A4,movements!$D:$D,"RECEIPT",movements!$C:$C,"&lt;"&amp;BE$1+1)-SUMIFS(movements!$H:$H,movements!$E:$E,$A4,movements!$D:$D,"ISSUE",movements!$C:$C,"&lt;"&amp;BE$1+1)</f>
        <v>0</v>
      </c>
      <c r="BF4">
        <f>SUMIFS(movements!$H:$H,movements!$E:$E,$A4,movements!$D:$D,"OPENING",movements!$C:$C,"&lt;"&amp;BF$1+1)+SUMIFS(movements!$H:$H,movements!$E:$E,$A4,movements!$D:$D,"RECEIPT",movements!$C:$C,"&lt;"&amp;BF$1+1)-SUMIFS(movements!$H:$H,movements!$E:$E,$A4,movements!$D:$D,"ISSUE",movements!$C:$C,"&lt;"&amp;BF$1+1)</f>
        <v>50</v>
      </c>
      <c r="BG4">
        <f>SUMIFS(movements!$H:$H,movements!$E:$E,$A4,movements!$D:$D,"OPENING",movements!$C:$C,"&lt;"&amp;BG$1+1)+SUMIFS(movements!$H:$H,movements!$E:$E,$A4,movements!$D:$D,"RECEIPT",movements!$C:$C,"&lt;"&amp;BG$1+1)-SUMIFS(movements!$H:$H,movements!$E:$E,$A4,movements!$D:$D,"ISSUE",movements!$C:$C,"&lt;"&amp;BG$1+1)</f>
        <v>30</v>
      </c>
      <c r="BH4">
        <f>SUMIFS(movements!$H:$H,movements!$E:$E,$A4,movements!$D:$D,"OPENING",movements!$C:$C,"&lt;"&amp;BH$1+1)+SUMIFS(movements!$H:$H,movements!$E:$E,$A4,movements!$D:$D,"RECEIPT",movements!$C:$C,"&lt;"&amp;BH$1+1)-SUMIFS(movements!$H:$H,movements!$E:$E,$A4,movements!$D:$D,"ISSUE",movements!$C:$C,"&lt;"&amp;BH$1+1)</f>
        <v>21</v>
      </c>
      <c r="BI4">
        <f>SUMIFS(movements!$H:$H,movements!$E:$E,$A4,movements!$D:$D,"OPENING",movements!$C:$C,"&lt;"&amp;BI$1+1)+SUMIFS(movements!$H:$H,movements!$E:$E,$A4,movements!$D:$D,"RECEIPT",movements!$C:$C,"&lt;"&amp;BI$1+1)-SUMIFS(movements!$H:$H,movements!$E:$E,$A4,movements!$D:$D,"ISSUE",movements!$C:$C,"&lt;"&amp;BI$1+1)</f>
        <v>12</v>
      </c>
      <c r="BJ4">
        <f>SUMIFS(movements!$H:$H,movements!$E:$E,$A4,movements!$D:$D,"OPENING",movements!$C:$C,"&lt;"&amp;BJ$1+1)+SUMIFS(movements!$H:$H,movements!$E:$E,$A4,movements!$D:$D,"RECEIPT",movements!$C:$C,"&lt;"&amp;BJ$1+1)-SUMIFS(movements!$H:$H,movements!$E:$E,$A4,movements!$D:$D,"ISSUE",movements!$C:$C,"&lt;"&amp;BJ$1+1)</f>
        <v>7</v>
      </c>
      <c r="BK4">
        <f>SUMIFS(movements!$H:$H,movements!$E:$E,$A4,movements!$D:$D,"OPENING",movements!$C:$C,"&lt;"&amp;BK$1+1)+SUMIFS(movements!$H:$H,movements!$E:$E,$A4,movements!$D:$D,"RECEIPT",movements!$C:$C,"&lt;"&amp;BK$1+1)-SUMIFS(movements!$H:$H,movements!$E:$E,$A4,movements!$D:$D,"ISSUE",movements!$C:$C,"&lt;"&amp;BK$1+1)</f>
        <v>0</v>
      </c>
      <c r="BL4">
        <f>SUMIFS(movements!$H:$H,movements!$E:$E,$A4,movements!$D:$D,"OPENING",movements!$C:$C,"&lt;"&amp;BL$1+1)+SUMIFS(movements!$H:$H,movements!$E:$E,$A4,movements!$D:$D,"RECEIPT",movements!$C:$C,"&lt;"&amp;BL$1+1)-SUMIFS(movements!$H:$H,movements!$E:$E,$A4,movements!$D:$D,"ISSUE",movements!$C:$C,"&lt;"&amp;BL$1+1)</f>
        <v>0</v>
      </c>
      <c r="BM4">
        <f>SUMIFS(movements!$H:$H,movements!$E:$E,$A4,movements!$D:$D,"OPENING",movements!$C:$C,"&lt;"&amp;BM$1+1)+SUMIFS(movements!$H:$H,movements!$E:$E,$A4,movements!$D:$D,"RECEIPT",movements!$C:$C,"&lt;"&amp;BM$1+1)-SUMIFS(movements!$H:$H,movements!$E:$E,$A4,movements!$D:$D,"ISSUE",movements!$C:$C,"&lt;"&amp;BM$1+1)</f>
        <v>85</v>
      </c>
      <c r="BN4">
        <f>SUMIFS(movements!$H:$H,movements!$E:$E,$A4,movements!$D:$D,"OPENING",movements!$C:$C,"&lt;"&amp;BN$1+1)+SUMIFS(movements!$H:$H,movements!$E:$E,$A4,movements!$D:$D,"RECEIPT",movements!$C:$C,"&lt;"&amp;BN$1+1)-SUMIFS(movements!$H:$H,movements!$E:$E,$A4,movements!$D:$D,"ISSUE",movements!$C:$C,"&lt;"&amp;BN$1+1)</f>
        <v>69</v>
      </c>
      <c r="BO4">
        <f>SUMIFS(movements!$H:$H,movements!$E:$E,$A4,movements!$D:$D,"OPENING",movements!$C:$C,"&lt;"&amp;BO$1+1)+SUMIFS(movements!$H:$H,movements!$E:$E,$A4,movements!$D:$D,"RECEIPT",movements!$C:$C,"&lt;"&amp;BO$1+1)-SUMIFS(movements!$H:$H,movements!$E:$E,$A4,movements!$D:$D,"ISSUE",movements!$C:$C,"&lt;"&amp;BO$1+1)</f>
        <v>68</v>
      </c>
      <c r="BP4">
        <f>SUMIFS(movements!$H:$H,movements!$E:$E,$A4,movements!$D:$D,"OPENING",movements!$C:$C,"&lt;"&amp;BP$1+1)+SUMIFS(movements!$H:$H,movements!$E:$E,$A4,movements!$D:$D,"RECEIPT",movements!$C:$C,"&lt;"&amp;BP$1+1)-SUMIFS(movements!$H:$H,movements!$E:$E,$A4,movements!$D:$D,"ISSUE",movements!$C:$C,"&lt;"&amp;BP$1+1)</f>
        <v>59</v>
      </c>
      <c r="BQ4">
        <f>SUMIFS(movements!$H:$H,movements!$E:$E,$A4,movements!$D:$D,"OPENING",movements!$C:$C,"&lt;"&amp;BQ$1+1)+SUMIFS(movements!$H:$H,movements!$E:$E,$A4,movements!$D:$D,"RECEIPT",movements!$C:$C,"&lt;"&amp;BQ$1+1)-SUMIFS(movements!$H:$H,movements!$E:$E,$A4,movements!$D:$D,"ISSUE",movements!$C:$C,"&lt;"&amp;BQ$1+1)</f>
        <v>50</v>
      </c>
      <c r="BR4">
        <f>SUMIFS(movements!$H:$H,movements!$E:$E,$A4,movements!$D:$D,"OPENING",movements!$C:$C,"&lt;"&amp;BR$1+1)+SUMIFS(movements!$H:$H,movements!$E:$E,$A4,movements!$D:$D,"RECEIPT",movements!$C:$C,"&lt;"&amp;BR$1+1)-SUMIFS(movements!$H:$H,movements!$E:$E,$A4,movements!$D:$D,"ISSUE",movements!$C:$C,"&lt;"&amp;BR$1+1)</f>
        <v>31</v>
      </c>
      <c r="BS4">
        <f>SUMIFS(movements!$H:$H,movements!$E:$E,$A4,movements!$D:$D,"OPENING",movements!$C:$C,"&lt;"&amp;BS$1+1)+SUMIFS(movements!$H:$H,movements!$E:$E,$A4,movements!$D:$D,"RECEIPT",movements!$C:$C,"&lt;"&amp;BS$1+1)-SUMIFS(movements!$H:$H,movements!$E:$E,$A4,movements!$D:$D,"ISSUE",movements!$C:$C,"&lt;"&amp;BS$1+1)</f>
        <v>14</v>
      </c>
      <c r="BT4">
        <f>SUMIFS(movements!$H:$H,movements!$E:$E,$A4,movements!$D:$D,"OPENING",movements!$C:$C,"&lt;"&amp;BT$1+1)+SUMIFS(movements!$H:$H,movements!$E:$E,$A4,movements!$D:$D,"RECEIPT",movements!$C:$C,"&lt;"&amp;BT$1+1)-SUMIFS(movements!$H:$H,movements!$E:$E,$A4,movements!$D:$D,"ISSUE",movements!$C:$C,"&lt;"&amp;BT$1+1)</f>
        <v>89</v>
      </c>
      <c r="BU4">
        <f>SUMIFS(movements!$H:$H,movements!$E:$E,$A4,movements!$D:$D,"OPENING",movements!$C:$C,"&lt;"&amp;BU$1+1)+SUMIFS(movements!$H:$H,movements!$E:$E,$A4,movements!$D:$D,"RECEIPT",movements!$C:$C,"&lt;"&amp;BU$1+1)-SUMIFS(movements!$H:$H,movements!$E:$E,$A4,movements!$D:$D,"ISSUE",movements!$C:$C,"&lt;"&amp;BU$1+1)</f>
        <v>79</v>
      </c>
      <c r="BV4">
        <f>SUMIFS(movements!$H:$H,movements!$E:$E,$A4,movements!$D:$D,"OPENING",movements!$C:$C,"&lt;"&amp;BV$1+1)+SUMIFS(movements!$H:$H,movements!$E:$E,$A4,movements!$D:$D,"RECEIPT",movements!$C:$C,"&lt;"&amp;BV$1+1)-SUMIFS(movements!$H:$H,movements!$E:$E,$A4,movements!$D:$D,"ISSUE",movements!$C:$C,"&lt;"&amp;BV$1+1)</f>
        <v>75</v>
      </c>
      <c r="BW4">
        <f>SUMIFS(movements!$H:$H,movements!$E:$E,$A4,movements!$D:$D,"OPENING",movements!$C:$C,"&lt;"&amp;BW$1+1)+SUMIFS(movements!$H:$H,movements!$E:$E,$A4,movements!$D:$D,"RECEIPT",movements!$C:$C,"&lt;"&amp;BW$1+1)-SUMIFS(movements!$H:$H,movements!$E:$E,$A4,movements!$D:$D,"ISSUE",movements!$C:$C,"&lt;"&amp;BW$1+1)</f>
        <v>68</v>
      </c>
      <c r="BX4">
        <f>SUMIFS(movements!$H:$H,movements!$E:$E,$A4,movements!$D:$D,"OPENING",movements!$C:$C,"&lt;"&amp;BX$1+1)+SUMIFS(movements!$H:$H,movements!$E:$E,$A4,movements!$D:$D,"RECEIPT",movements!$C:$C,"&lt;"&amp;BX$1+1)-SUMIFS(movements!$H:$H,movements!$E:$E,$A4,movements!$D:$D,"ISSUE",movements!$C:$C,"&lt;"&amp;BX$1+1)</f>
        <v>54</v>
      </c>
      <c r="BY4">
        <f>SUMIFS(movements!$H:$H,movements!$E:$E,$A4,movements!$D:$D,"OPENING",movements!$C:$C,"&lt;"&amp;BY$1+1)+SUMIFS(movements!$H:$H,movements!$E:$E,$A4,movements!$D:$D,"RECEIPT",movements!$C:$C,"&lt;"&amp;BY$1+1)-SUMIFS(movements!$H:$H,movements!$E:$E,$A4,movements!$D:$D,"ISSUE",movements!$C:$C,"&lt;"&amp;BY$1+1)</f>
        <v>40</v>
      </c>
      <c r="BZ4">
        <f>SUMIFS(movements!$H:$H,movements!$E:$E,$A4,movements!$D:$D,"OPENING",movements!$C:$C,"&lt;"&amp;BZ$1+1)+SUMIFS(movements!$H:$H,movements!$E:$E,$A4,movements!$D:$D,"RECEIPT",movements!$C:$C,"&lt;"&amp;BZ$1+1)-SUMIFS(movements!$H:$H,movements!$E:$E,$A4,movements!$D:$D,"ISSUE",movements!$C:$C,"&lt;"&amp;BZ$1+1)</f>
        <v>33</v>
      </c>
      <c r="CA4">
        <f>SUMIFS(movements!$H:$H,movements!$E:$E,$A4,movements!$D:$D,"OPENING",movements!$C:$C,"&lt;"&amp;CA$1+1)+SUMIFS(movements!$H:$H,movements!$E:$E,$A4,movements!$D:$D,"RECEIPT",movements!$C:$C,"&lt;"&amp;CA$1+1)-SUMIFS(movements!$H:$H,movements!$E:$E,$A4,movements!$D:$D,"ISSUE",movements!$C:$C,"&lt;"&amp;CA$1+1)</f>
        <v>97</v>
      </c>
      <c r="CB4">
        <f>SUMIFS(movements!$H:$H,movements!$E:$E,$A4,movements!$D:$D,"OPENING",movements!$C:$C,"&lt;"&amp;CB$1+1)+SUMIFS(movements!$H:$H,movements!$E:$E,$A4,movements!$D:$D,"RECEIPT",movements!$C:$C,"&lt;"&amp;CB$1+1)-SUMIFS(movements!$H:$H,movements!$E:$E,$A4,movements!$D:$D,"ISSUE",movements!$C:$C,"&lt;"&amp;CB$1+1)</f>
        <v>91</v>
      </c>
      <c r="CC4">
        <f>SUMIFS(movements!$H:$H,movements!$E:$E,$A4,movements!$D:$D,"OPENING",movements!$C:$C,"&lt;"&amp;CC$1+1)+SUMIFS(movements!$H:$H,movements!$E:$E,$A4,movements!$D:$D,"RECEIPT",movements!$C:$C,"&lt;"&amp;CC$1+1)-SUMIFS(movements!$H:$H,movements!$E:$E,$A4,movements!$D:$D,"ISSUE",movements!$C:$C,"&lt;"&amp;CC$1+1)</f>
        <v>70</v>
      </c>
      <c r="CD4">
        <f>SUMIFS(movements!$H:$H,movements!$E:$E,$A4,movements!$D:$D,"OPENING",movements!$C:$C,"&lt;"&amp;CD$1+1)+SUMIFS(movements!$H:$H,movements!$E:$E,$A4,movements!$D:$D,"RECEIPT",movements!$C:$C,"&lt;"&amp;CD$1+1)-SUMIFS(movements!$H:$H,movements!$E:$E,$A4,movements!$D:$D,"ISSUE",movements!$C:$C,"&lt;"&amp;CD$1+1)</f>
        <v>51</v>
      </c>
      <c r="CE4">
        <f>SUMIFS(movements!$H:$H,movements!$E:$E,$A4,movements!$D:$D,"OPENING",movements!$C:$C,"&lt;"&amp;CE$1+1)+SUMIFS(movements!$H:$H,movements!$E:$E,$A4,movements!$D:$D,"RECEIPT",movements!$C:$C,"&lt;"&amp;CE$1+1)-SUMIFS(movements!$H:$H,movements!$E:$E,$A4,movements!$D:$D,"ISSUE",movements!$C:$C,"&lt;"&amp;CE$1+1)</f>
        <v>35</v>
      </c>
      <c r="CF4">
        <f>SUMIFS(movements!$H:$H,movements!$E:$E,$A4,movements!$D:$D,"OPENING",movements!$C:$C,"&lt;"&amp;CF$1+1)+SUMIFS(movements!$H:$H,movements!$E:$E,$A4,movements!$D:$D,"RECEIPT",movements!$C:$C,"&lt;"&amp;CF$1+1)-SUMIFS(movements!$H:$H,movements!$E:$E,$A4,movements!$D:$D,"ISSUE",movements!$C:$C,"&lt;"&amp;CF$1+1)</f>
        <v>26</v>
      </c>
      <c r="CG4">
        <f>SUMIFS(movements!$H:$H,movements!$E:$E,$A4,movements!$D:$D,"OPENING",movements!$C:$C,"&lt;"&amp;CG$1+1)+SUMIFS(movements!$H:$H,movements!$E:$E,$A4,movements!$D:$D,"RECEIPT",movements!$C:$C,"&lt;"&amp;CG$1+1)-SUMIFS(movements!$H:$H,movements!$E:$E,$A4,movements!$D:$D,"ISSUE",movements!$C:$C,"&lt;"&amp;CG$1+1)</f>
        <v>18</v>
      </c>
      <c r="CH4">
        <f>SUMIFS(movements!$H:$H,movements!$E:$E,$A4,movements!$D:$D,"OPENING",movements!$C:$C,"&lt;"&amp;CH$1+1)+SUMIFS(movements!$H:$H,movements!$E:$E,$A4,movements!$D:$D,"RECEIPT",movements!$C:$C,"&lt;"&amp;CH$1+1)-SUMIFS(movements!$H:$H,movements!$E:$E,$A4,movements!$D:$D,"ISSUE",movements!$C:$C,"&lt;"&amp;CH$1+1)</f>
        <v>78</v>
      </c>
      <c r="CI4">
        <f>SUMIFS(movements!$H:$H,movements!$E:$E,$A4,movements!$D:$D,"OPENING",movements!$C:$C,"&lt;"&amp;CI$1+1)+SUMIFS(movements!$H:$H,movements!$E:$E,$A4,movements!$D:$D,"RECEIPT",movements!$C:$C,"&lt;"&amp;CI$1+1)-SUMIFS(movements!$H:$H,movements!$E:$E,$A4,movements!$D:$D,"ISSUE",movements!$C:$C,"&lt;"&amp;CI$1+1)</f>
        <v>67</v>
      </c>
      <c r="CJ4">
        <f>SUMIFS(movements!$H:$H,movements!$E:$E,$A4,movements!$D:$D,"OPENING",movements!$C:$C,"&lt;"&amp;CJ$1+1)+SUMIFS(movements!$H:$H,movements!$E:$E,$A4,movements!$D:$D,"RECEIPT",movements!$C:$C,"&lt;"&amp;CJ$1+1)-SUMIFS(movements!$H:$H,movements!$E:$E,$A4,movements!$D:$D,"ISSUE",movements!$C:$C,"&lt;"&amp;CJ$1+1)</f>
        <v>54</v>
      </c>
      <c r="CK4">
        <f>SUMIFS(movements!$H:$H,movements!$E:$E,$A4,movements!$D:$D,"OPENING",movements!$C:$C,"&lt;"&amp;CK$1+1)+SUMIFS(movements!$H:$H,movements!$E:$E,$A4,movements!$D:$D,"RECEIPT",movements!$C:$C,"&lt;"&amp;CK$1+1)-SUMIFS(movements!$H:$H,movements!$E:$E,$A4,movements!$D:$D,"ISSUE",movements!$C:$C,"&lt;"&amp;CK$1+1)</f>
        <v>50</v>
      </c>
      <c r="CL4">
        <f>SUMIFS(movements!$H:$H,movements!$E:$E,$A4,movements!$D:$D,"OPENING",movements!$C:$C,"&lt;"&amp;CL$1+1)+SUMIFS(movements!$H:$H,movements!$E:$E,$A4,movements!$D:$D,"RECEIPT",movements!$C:$C,"&lt;"&amp;CL$1+1)-SUMIFS(movements!$H:$H,movements!$E:$E,$A4,movements!$D:$D,"ISSUE",movements!$C:$C,"&lt;"&amp;CL$1+1)</f>
        <v>39</v>
      </c>
      <c r="CM4">
        <f>SUMIFS(movements!$H:$H,movements!$E:$E,$A4,movements!$D:$D,"OPENING",movements!$C:$C,"&lt;"&amp;CM$1+1)+SUMIFS(movements!$H:$H,movements!$E:$E,$A4,movements!$D:$D,"RECEIPT",movements!$C:$C,"&lt;"&amp;CM$1+1)-SUMIFS(movements!$H:$H,movements!$E:$E,$A4,movements!$D:$D,"ISSUE",movements!$C:$C,"&lt;"&amp;CM$1+1)</f>
        <v>21</v>
      </c>
      <c r="CN4">
        <f t="shared" si="2"/>
        <v>39.255555555555553</v>
      </c>
      <c r="CO4">
        <f>SUMIFS(movements!$H:$H,movements!$E:$E,$A4,movements!$D:$D,"ISSUE",movements!$C:$C,"&gt;="&amp;$B$1,movements!$C:$C,"&lt;"&amp;($CM$1+1))</f>
        <v>984</v>
      </c>
      <c r="CP4">
        <f t="shared" si="3"/>
        <v>25.066515709029154</v>
      </c>
      <c r="CQ4">
        <f t="shared" si="4"/>
        <v>3.5904471544715446</v>
      </c>
    </row>
    <row r="5" spans="1:95" x14ac:dyDescent="0.25">
      <c r="A5" t="s">
        <v>22</v>
      </c>
      <c r="B5">
        <f>SUMIFS(movements!$H:$H,movements!$E:$E,$A5,movements!$D:$D,"OPENING",movements!$C:$C,"&lt;"&amp;B$1+1)+SUMIFS(movements!$H:$H,movements!$E:$E,$A5,movements!$D:$D,"RECEIPT",movements!$C:$C,"&lt;"&amp;B$1+1)-SUMIFS(movements!$H:$H,movements!$E:$E,$A5,movements!$D:$D,"ISSUE",movements!$C:$C,"&lt;"&amp;B$1+1)</f>
        <v>70</v>
      </c>
      <c r="C5">
        <f>SUMIFS(movements!$H:$H,movements!$E:$E,$A5,movements!$D:$D,"OPENING",movements!$C:$C,"&lt;"&amp;C$1+1)+SUMIFS(movements!$H:$H,movements!$E:$E,$A5,movements!$D:$D,"RECEIPT",movements!$C:$C,"&lt;"&amp;C$1+1)-SUMIFS(movements!$H:$H,movements!$E:$E,$A5,movements!$D:$D,"ISSUE",movements!$C:$C,"&lt;"&amp;C$1+1)</f>
        <v>61</v>
      </c>
      <c r="D5">
        <f>SUMIFS(movements!$H:$H,movements!$E:$E,$A5,movements!$D:$D,"OPENING",movements!$C:$C,"&lt;"&amp;D$1+1)+SUMIFS(movements!$H:$H,movements!$E:$E,$A5,movements!$D:$D,"RECEIPT",movements!$C:$C,"&lt;"&amp;D$1+1)-SUMIFS(movements!$H:$H,movements!$E:$E,$A5,movements!$D:$D,"ISSUE",movements!$C:$C,"&lt;"&amp;D$1+1)</f>
        <v>48</v>
      </c>
      <c r="E5">
        <f>SUMIFS(movements!$H:$H,movements!$E:$E,$A5,movements!$D:$D,"OPENING",movements!$C:$C,"&lt;"&amp;E$1+1)+SUMIFS(movements!$H:$H,movements!$E:$E,$A5,movements!$D:$D,"RECEIPT",movements!$C:$C,"&lt;"&amp;E$1+1)-SUMIFS(movements!$H:$H,movements!$E:$E,$A5,movements!$D:$D,"ISSUE",movements!$C:$C,"&lt;"&amp;E$1+1)</f>
        <v>43</v>
      </c>
      <c r="F5">
        <f>SUMIFS(movements!$H:$H,movements!$E:$E,$A5,movements!$D:$D,"OPENING",movements!$C:$C,"&lt;"&amp;F$1+1)+SUMIFS(movements!$H:$H,movements!$E:$E,$A5,movements!$D:$D,"RECEIPT",movements!$C:$C,"&lt;"&amp;F$1+1)-SUMIFS(movements!$H:$H,movements!$E:$E,$A5,movements!$D:$D,"ISSUE",movements!$C:$C,"&lt;"&amp;F$1+1)</f>
        <v>22</v>
      </c>
      <c r="G5">
        <f>SUMIFS(movements!$H:$H,movements!$E:$E,$A5,movements!$D:$D,"OPENING",movements!$C:$C,"&lt;"&amp;G$1+1)+SUMIFS(movements!$H:$H,movements!$E:$E,$A5,movements!$D:$D,"RECEIPT",movements!$C:$C,"&lt;"&amp;G$1+1)-SUMIFS(movements!$H:$H,movements!$E:$E,$A5,movements!$D:$D,"ISSUE",movements!$C:$C,"&lt;"&amp;G$1+1)</f>
        <v>15</v>
      </c>
      <c r="H5">
        <f>SUMIFS(movements!$H:$H,movements!$E:$E,$A5,movements!$D:$D,"OPENING",movements!$C:$C,"&lt;"&amp;H$1+1)+SUMIFS(movements!$H:$H,movements!$E:$E,$A5,movements!$D:$D,"RECEIPT",movements!$C:$C,"&lt;"&amp;H$1+1)-SUMIFS(movements!$H:$H,movements!$E:$E,$A5,movements!$D:$D,"ISSUE",movements!$C:$C,"&lt;"&amp;H$1+1)</f>
        <v>4</v>
      </c>
      <c r="I5">
        <f>SUMIFS(movements!$H:$H,movements!$E:$E,$A5,movements!$D:$D,"OPENING",movements!$C:$C,"&lt;"&amp;I$1+1)+SUMIFS(movements!$H:$H,movements!$E:$E,$A5,movements!$D:$D,"RECEIPT",movements!$C:$C,"&lt;"&amp;I$1+1)-SUMIFS(movements!$H:$H,movements!$E:$E,$A5,movements!$D:$D,"ISSUE",movements!$C:$C,"&lt;"&amp;I$1+1)</f>
        <v>57</v>
      </c>
      <c r="J5">
        <f>SUMIFS(movements!$H:$H,movements!$E:$E,$A5,movements!$D:$D,"OPENING",movements!$C:$C,"&lt;"&amp;J$1+1)+SUMIFS(movements!$H:$H,movements!$E:$E,$A5,movements!$D:$D,"RECEIPT",movements!$C:$C,"&lt;"&amp;J$1+1)-SUMIFS(movements!$H:$H,movements!$E:$E,$A5,movements!$D:$D,"ISSUE",movements!$C:$C,"&lt;"&amp;J$1+1)</f>
        <v>37</v>
      </c>
      <c r="K5">
        <f>SUMIFS(movements!$H:$H,movements!$E:$E,$A5,movements!$D:$D,"OPENING",movements!$C:$C,"&lt;"&amp;K$1+1)+SUMIFS(movements!$H:$H,movements!$E:$E,$A5,movements!$D:$D,"RECEIPT",movements!$C:$C,"&lt;"&amp;K$1+1)-SUMIFS(movements!$H:$H,movements!$E:$E,$A5,movements!$D:$D,"ISSUE",movements!$C:$C,"&lt;"&amp;K$1+1)</f>
        <v>18</v>
      </c>
      <c r="L5">
        <f>SUMIFS(movements!$H:$H,movements!$E:$E,$A5,movements!$D:$D,"OPENING",movements!$C:$C,"&lt;"&amp;L$1+1)+SUMIFS(movements!$H:$H,movements!$E:$E,$A5,movements!$D:$D,"RECEIPT",movements!$C:$C,"&lt;"&amp;L$1+1)-SUMIFS(movements!$H:$H,movements!$E:$E,$A5,movements!$D:$D,"ISSUE",movements!$C:$C,"&lt;"&amp;L$1+1)</f>
        <v>10</v>
      </c>
      <c r="M5">
        <f>SUMIFS(movements!$H:$H,movements!$E:$E,$A5,movements!$D:$D,"OPENING",movements!$C:$C,"&lt;"&amp;M$1+1)+SUMIFS(movements!$H:$H,movements!$E:$E,$A5,movements!$D:$D,"RECEIPT",movements!$C:$C,"&lt;"&amp;M$1+1)-SUMIFS(movements!$H:$H,movements!$E:$E,$A5,movements!$D:$D,"ISSUE",movements!$C:$C,"&lt;"&amp;M$1+1)</f>
        <v>0</v>
      </c>
      <c r="N5">
        <f>SUMIFS(movements!$H:$H,movements!$E:$E,$A5,movements!$D:$D,"OPENING",movements!$C:$C,"&lt;"&amp;N$1+1)+SUMIFS(movements!$H:$H,movements!$E:$E,$A5,movements!$D:$D,"RECEIPT",movements!$C:$C,"&lt;"&amp;N$1+1)-SUMIFS(movements!$H:$H,movements!$E:$E,$A5,movements!$D:$D,"ISSUE",movements!$C:$C,"&lt;"&amp;N$1+1)</f>
        <v>0</v>
      </c>
      <c r="O5">
        <f>SUMIFS(movements!$H:$H,movements!$E:$E,$A5,movements!$D:$D,"OPENING",movements!$C:$C,"&lt;"&amp;O$1+1)+SUMIFS(movements!$H:$H,movements!$E:$E,$A5,movements!$D:$D,"RECEIPT",movements!$C:$C,"&lt;"&amp;O$1+1)-SUMIFS(movements!$H:$H,movements!$E:$E,$A5,movements!$D:$D,"ISSUE",movements!$C:$C,"&lt;"&amp;O$1+1)</f>
        <v>0</v>
      </c>
      <c r="P5">
        <f>SUMIFS(movements!$H:$H,movements!$E:$E,$A5,movements!$D:$D,"OPENING",movements!$C:$C,"&lt;"&amp;P$1+1)+SUMIFS(movements!$H:$H,movements!$E:$E,$A5,movements!$D:$D,"RECEIPT",movements!$C:$C,"&lt;"&amp;P$1+1)-SUMIFS(movements!$H:$H,movements!$E:$E,$A5,movements!$D:$D,"ISSUE",movements!$C:$C,"&lt;"&amp;P$1+1)</f>
        <v>96</v>
      </c>
      <c r="Q5">
        <f>SUMIFS(movements!$H:$H,movements!$E:$E,$A5,movements!$D:$D,"OPENING",movements!$C:$C,"&lt;"&amp;Q$1+1)+SUMIFS(movements!$H:$H,movements!$E:$E,$A5,movements!$D:$D,"RECEIPT",movements!$C:$C,"&lt;"&amp;Q$1+1)-SUMIFS(movements!$H:$H,movements!$E:$E,$A5,movements!$D:$D,"ISSUE",movements!$C:$C,"&lt;"&amp;Q$1+1)</f>
        <v>88</v>
      </c>
      <c r="R5">
        <f>SUMIFS(movements!$H:$H,movements!$E:$E,$A5,movements!$D:$D,"OPENING",movements!$C:$C,"&lt;"&amp;R$1+1)+SUMIFS(movements!$H:$H,movements!$E:$E,$A5,movements!$D:$D,"RECEIPT",movements!$C:$C,"&lt;"&amp;R$1+1)-SUMIFS(movements!$H:$H,movements!$E:$E,$A5,movements!$D:$D,"ISSUE",movements!$C:$C,"&lt;"&amp;R$1+1)</f>
        <v>79</v>
      </c>
      <c r="S5">
        <f>SUMIFS(movements!$H:$H,movements!$E:$E,$A5,movements!$D:$D,"OPENING",movements!$C:$C,"&lt;"&amp;S$1+1)+SUMIFS(movements!$H:$H,movements!$E:$E,$A5,movements!$D:$D,"RECEIPT",movements!$C:$C,"&lt;"&amp;S$1+1)-SUMIFS(movements!$H:$H,movements!$E:$E,$A5,movements!$D:$D,"ISSUE",movements!$C:$C,"&lt;"&amp;S$1+1)</f>
        <v>62</v>
      </c>
      <c r="T5">
        <f>SUMIFS(movements!$H:$H,movements!$E:$E,$A5,movements!$D:$D,"OPENING",movements!$C:$C,"&lt;"&amp;T$1+1)+SUMIFS(movements!$H:$H,movements!$E:$E,$A5,movements!$D:$D,"RECEIPT",movements!$C:$C,"&lt;"&amp;T$1+1)-SUMIFS(movements!$H:$H,movements!$E:$E,$A5,movements!$D:$D,"ISSUE",movements!$C:$C,"&lt;"&amp;T$1+1)</f>
        <v>43</v>
      </c>
      <c r="U5">
        <f>SUMIFS(movements!$H:$H,movements!$E:$E,$A5,movements!$D:$D,"OPENING",movements!$C:$C,"&lt;"&amp;U$1+1)+SUMIFS(movements!$H:$H,movements!$E:$E,$A5,movements!$D:$D,"RECEIPT",movements!$C:$C,"&lt;"&amp;U$1+1)-SUMIFS(movements!$H:$H,movements!$E:$E,$A5,movements!$D:$D,"ISSUE",movements!$C:$C,"&lt;"&amp;U$1+1)</f>
        <v>26</v>
      </c>
      <c r="V5">
        <f>SUMIFS(movements!$H:$H,movements!$E:$E,$A5,movements!$D:$D,"OPENING",movements!$C:$C,"&lt;"&amp;V$1+1)+SUMIFS(movements!$H:$H,movements!$E:$E,$A5,movements!$D:$D,"RECEIPT",movements!$C:$C,"&lt;"&amp;V$1+1)-SUMIFS(movements!$H:$H,movements!$E:$E,$A5,movements!$D:$D,"ISSUE",movements!$C:$C,"&lt;"&amp;V$1+1)</f>
        <v>25</v>
      </c>
      <c r="W5">
        <f>SUMIFS(movements!$H:$H,movements!$E:$E,$A5,movements!$D:$D,"OPENING",movements!$C:$C,"&lt;"&amp;W$1+1)+SUMIFS(movements!$H:$H,movements!$E:$E,$A5,movements!$D:$D,"RECEIPT",movements!$C:$C,"&lt;"&amp;W$1+1)-SUMIFS(movements!$H:$H,movements!$E:$E,$A5,movements!$D:$D,"ISSUE",movements!$C:$C,"&lt;"&amp;W$1+1)</f>
        <v>91</v>
      </c>
      <c r="X5">
        <f>SUMIFS(movements!$H:$H,movements!$E:$E,$A5,movements!$D:$D,"OPENING",movements!$C:$C,"&lt;"&amp;X$1+1)+SUMIFS(movements!$H:$H,movements!$E:$E,$A5,movements!$D:$D,"RECEIPT",movements!$C:$C,"&lt;"&amp;X$1+1)-SUMIFS(movements!$H:$H,movements!$E:$E,$A5,movements!$D:$D,"ISSUE",movements!$C:$C,"&lt;"&amp;X$1+1)</f>
        <v>85</v>
      </c>
      <c r="Y5">
        <f>SUMIFS(movements!$H:$H,movements!$E:$E,$A5,movements!$D:$D,"OPENING",movements!$C:$C,"&lt;"&amp;Y$1+1)+SUMIFS(movements!$H:$H,movements!$E:$E,$A5,movements!$D:$D,"RECEIPT",movements!$C:$C,"&lt;"&amp;Y$1+1)-SUMIFS(movements!$H:$H,movements!$E:$E,$A5,movements!$D:$D,"ISSUE",movements!$C:$C,"&lt;"&amp;Y$1+1)</f>
        <v>74</v>
      </c>
      <c r="Z5">
        <f>SUMIFS(movements!$H:$H,movements!$E:$E,$A5,movements!$D:$D,"OPENING",movements!$C:$C,"&lt;"&amp;Z$1+1)+SUMIFS(movements!$H:$H,movements!$E:$E,$A5,movements!$D:$D,"RECEIPT",movements!$C:$C,"&lt;"&amp;Z$1+1)-SUMIFS(movements!$H:$H,movements!$E:$E,$A5,movements!$D:$D,"ISSUE",movements!$C:$C,"&lt;"&amp;Z$1+1)</f>
        <v>60</v>
      </c>
      <c r="AA5">
        <f>SUMIFS(movements!$H:$H,movements!$E:$E,$A5,movements!$D:$D,"OPENING",movements!$C:$C,"&lt;"&amp;AA$1+1)+SUMIFS(movements!$H:$H,movements!$E:$E,$A5,movements!$D:$D,"RECEIPT",movements!$C:$C,"&lt;"&amp;AA$1+1)-SUMIFS(movements!$H:$H,movements!$E:$E,$A5,movements!$D:$D,"ISSUE",movements!$C:$C,"&lt;"&amp;AA$1+1)</f>
        <v>53</v>
      </c>
      <c r="AB5">
        <f>SUMIFS(movements!$H:$H,movements!$E:$E,$A5,movements!$D:$D,"OPENING",movements!$C:$C,"&lt;"&amp;AB$1+1)+SUMIFS(movements!$H:$H,movements!$E:$E,$A5,movements!$D:$D,"RECEIPT",movements!$C:$C,"&lt;"&amp;AB$1+1)-SUMIFS(movements!$H:$H,movements!$E:$E,$A5,movements!$D:$D,"ISSUE",movements!$C:$C,"&lt;"&amp;AB$1+1)</f>
        <v>44</v>
      </c>
      <c r="AC5">
        <f>SUMIFS(movements!$H:$H,movements!$E:$E,$A5,movements!$D:$D,"OPENING",movements!$C:$C,"&lt;"&amp;AC$1+1)+SUMIFS(movements!$H:$H,movements!$E:$E,$A5,movements!$D:$D,"RECEIPT",movements!$C:$C,"&lt;"&amp;AC$1+1)-SUMIFS(movements!$H:$H,movements!$E:$E,$A5,movements!$D:$D,"ISSUE",movements!$C:$C,"&lt;"&amp;AC$1+1)</f>
        <v>43</v>
      </c>
      <c r="AD5">
        <f>SUMIFS(movements!$H:$H,movements!$E:$E,$A5,movements!$D:$D,"OPENING",movements!$C:$C,"&lt;"&amp;AD$1+1)+SUMIFS(movements!$H:$H,movements!$E:$E,$A5,movements!$D:$D,"RECEIPT",movements!$C:$C,"&lt;"&amp;AD$1+1)-SUMIFS(movements!$H:$H,movements!$E:$E,$A5,movements!$D:$D,"ISSUE",movements!$C:$C,"&lt;"&amp;AD$1+1)</f>
        <v>113</v>
      </c>
      <c r="AE5">
        <f>SUMIFS(movements!$H:$H,movements!$E:$E,$A5,movements!$D:$D,"OPENING",movements!$C:$C,"&lt;"&amp;AE$1+1)+SUMIFS(movements!$H:$H,movements!$E:$E,$A5,movements!$D:$D,"RECEIPT",movements!$C:$C,"&lt;"&amp;AE$1+1)-SUMIFS(movements!$H:$H,movements!$E:$E,$A5,movements!$D:$D,"ISSUE",movements!$C:$C,"&lt;"&amp;AE$1+1)</f>
        <v>106</v>
      </c>
      <c r="AF5">
        <f>SUMIFS(movements!$H:$H,movements!$E:$E,$A5,movements!$D:$D,"OPENING",movements!$C:$C,"&lt;"&amp;AF$1+1)+SUMIFS(movements!$H:$H,movements!$E:$E,$A5,movements!$D:$D,"RECEIPT",movements!$C:$C,"&lt;"&amp;AF$1+1)-SUMIFS(movements!$H:$H,movements!$E:$E,$A5,movements!$D:$D,"ISSUE",movements!$C:$C,"&lt;"&amp;AF$1+1)</f>
        <v>93</v>
      </c>
      <c r="AG5">
        <f>SUMIFS(movements!$H:$H,movements!$E:$E,$A5,movements!$D:$D,"OPENING",movements!$C:$C,"&lt;"&amp;AG$1+1)+SUMIFS(movements!$H:$H,movements!$E:$E,$A5,movements!$D:$D,"RECEIPT",movements!$C:$C,"&lt;"&amp;AG$1+1)-SUMIFS(movements!$H:$H,movements!$E:$E,$A5,movements!$D:$D,"ISSUE",movements!$C:$C,"&lt;"&amp;AG$1+1)</f>
        <v>87</v>
      </c>
      <c r="AH5">
        <f>SUMIFS(movements!$H:$H,movements!$E:$E,$A5,movements!$D:$D,"OPENING",movements!$C:$C,"&lt;"&amp;AH$1+1)+SUMIFS(movements!$H:$H,movements!$E:$E,$A5,movements!$D:$D,"RECEIPT",movements!$C:$C,"&lt;"&amp;AH$1+1)-SUMIFS(movements!$H:$H,movements!$E:$E,$A5,movements!$D:$D,"ISSUE",movements!$C:$C,"&lt;"&amp;AH$1+1)</f>
        <v>76</v>
      </c>
      <c r="AI5">
        <f>SUMIFS(movements!$H:$H,movements!$E:$E,$A5,movements!$D:$D,"OPENING",movements!$C:$C,"&lt;"&amp;AI$1+1)+SUMIFS(movements!$H:$H,movements!$E:$E,$A5,movements!$D:$D,"RECEIPT",movements!$C:$C,"&lt;"&amp;AI$1+1)-SUMIFS(movements!$H:$H,movements!$E:$E,$A5,movements!$D:$D,"ISSUE",movements!$C:$C,"&lt;"&amp;AI$1+1)</f>
        <v>63</v>
      </c>
      <c r="AJ5">
        <f>SUMIFS(movements!$H:$H,movements!$E:$E,$A5,movements!$D:$D,"OPENING",movements!$C:$C,"&lt;"&amp;AJ$1+1)+SUMIFS(movements!$H:$H,movements!$E:$E,$A5,movements!$D:$D,"RECEIPT",movements!$C:$C,"&lt;"&amp;AJ$1+1)-SUMIFS(movements!$H:$H,movements!$E:$E,$A5,movements!$D:$D,"ISSUE",movements!$C:$C,"&lt;"&amp;AJ$1+1)</f>
        <v>47</v>
      </c>
      <c r="AK5">
        <f>SUMIFS(movements!$H:$H,movements!$E:$E,$A5,movements!$D:$D,"OPENING",movements!$C:$C,"&lt;"&amp;AK$1+1)+SUMIFS(movements!$H:$H,movements!$E:$E,$A5,movements!$D:$D,"RECEIPT",movements!$C:$C,"&lt;"&amp;AK$1+1)-SUMIFS(movements!$H:$H,movements!$E:$E,$A5,movements!$D:$D,"ISSUE",movements!$C:$C,"&lt;"&amp;AK$1+1)</f>
        <v>122</v>
      </c>
      <c r="AL5">
        <f>SUMIFS(movements!$H:$H,movements!$E:$E,$A5,movements!$D:$D,"OPENING",movements!$C:$C,"&lt;"&amp;AL$1+1)+SUMIFS(movements!$H:$H,movements!$E:$E,$A5,movements!$D:$D,"RECEIPT",movements!$C:$C,"&lt;"&amp;AL$1+1)-SUMIFS(movements!$H:$H,movements!$E:$E,$A5,movements!$D:$D,"ISSUE",movements!$C:$C,"&lt;"&amp;AL$1+1)</f>
        <v>122</v>
      </c>
      <c r="AM5">
        <f>SUMIFS(movements!$H:$H,movements!$E:$E,$A5,movements!$D:$D,"OPENING",movements!$C:$C,"&lt;"&amp;AM$1+1)+SUMIFS(movements!$H:$H,movements!$E:$E,$A5,movements!$D:$D,"RECEIPT",movements!$C:$C,"&lt;"&amp;AM$1+1)-SUMIFS(movements!$H:$H,movements!$E:$E,$A5,movements!$D:$D,"ISSUE",movements!$C:$C,"&lt;"&amp;AM$1+1)</f>
        <v>117</v>
      </c>
      <c r="AN5">
        <f>SUMIFS(movements!$H:$H,movements!$E:$E,$A5,movements!$D:$D,"OPENING",movements!$C:$C,"&lt;"&amp;AN$1+1)+SUMIFS(movements!$H:$H,movements!$E:$E,$A5,movements!$D:$D,"RECEIPT",movements!$C:$C,"&lt;"&amp;AN$1+1)-SUMIFS(movements!$H:$H,movements!$E:$E,$A5,movements!$D:$D,"ISSUE",movements!$C:$C,"&lt;"&amp;AN$1+1)</f>
        <v>105</v>
      </c>
      <c r="AO5">
        <f>SUMIFS(movements!$H:$H,movements!$E:$E,$A5,movements!$D:$D,"OPENING",movements!$C:$C,"&lt;"&amp;AO$1+1)+SUMIFS(movements!$H:$H,movements!$E:$E,$A5,movements!$D:$D,"RECEIPT",movements!$C:$C,"&lt;"&amp;AO$1+1)-SUMIFS(movements!$H:$H,movements!$E:$E,$A5,movements!$D:$D,"ISSUE",movements!$C:$C,"&lt;"&amp;AO$1+1)</f>
        <v>98</v>
      </c>
      <c r="AP5">
        <f>SUMIFS(movements!$H:$H,movements!$E:$E,$A5,movements!$D:$D,"OPENING",movements!$C:$C,"&lt;"&amp;AP$1+1)+SUMIFS(movements!$H:$H,movements!$E:$E,$A5,movements!$D:$D,"RECEIPT",movements!$C:$C,"&lt;"&amp;AP$1+1)-SUMIFS(movements!$H:$H,movements!$E:$E,$A5,movements!$D:$D,"ISSUE",movements!$C:$C,"&lt;"&amp;AP$1+1)</f>
        <v>78</v>
      </c>
      <c r="AQ5">
        <f>SUMIFS(movements!$H:$H,movements!$E:$E,$A5,movements!$D:$D,"OPENING",movements!$C:$C,"&lt;"&amp;AQ$1+1)+SUMIFS(movements!$H:$H,movements!$E:$E,$A5,movements!$D:$D,"RECEIPT",movements!$C:$C,"&lt;"&amp;AQ$1+1)-SUMIFS(movements!$H:$H,movements!$E:$E,$A5,movements!$D:$D,"ISSUE",movements!$C:$C,"&lt;"&amp;AQ$1+1)</f>
        <v>70</v>
      </c>
      <c r="AR5">
        <f>SUMIFS(movements!$H:$H,movements!$E:$E,$A5,movements!$D:$D,"OPENING",movements!$C:$C,"&lt;"&amp;AR$1+1)+SUMIFS(movements!$H:$H,movements!$E:$E,$A5,movements!$D:$D,"RECEIPT",movements!$C:$C,"&lt;"&amp;AR$1+1)-SUMIFS(movements!$H:$H,movements!$E:$E,$A5,movements!$D:$D,"ISSUE",movements!$C:$C,"&lt;"&amp;AR$1+1)</f>
        <v>130</v>
      </c>
      <c r="AS5">
        <f>SUMIFS(movements!$H:$H,movements!$E:$E,$A5,movements!$D:$D,"OPENING",movements!$C:$C,"&lt;"&amp;AS$1+1)+SUMIFS(movements!$H:$H,movements!$E:$E,$A5,movements!$D:$D,"RECEIPT",movements!$C:$C,"&lt;"&amp;AS$1+1)-SUMIFS(movements!$H:$H,movements!$E:$E,$A5,movements!$D:$D,"ISSUE",movements!$C:$C,"&lt;"&amp;AS$1+1)</f>
        <v>111</v>
      </c>
      <c r="AT5">
        <f>SUMIFS(movements!$H:$H,movements!$E:$E,$A5,movements!$D:$D,"OPENING",movements!$C:$C,"&lt;"&amp;AT$1+1)+SUMIFS(movements!$H:$H,movements!$E:$E,$A5,movements!$D:$D,"RECEIPT",movements!$C:$C,"&lt;"&amp;AT$1+1)-SUMIFS(movements!$H:$H,movements!$E:$E,$A5,movements!$D:$D,"ISSUE",movements!$C:$C,"&lt;"&amp;AT$1+1)</f>
        <v>98</v>
      </c>
      <c r="AU5">
        <f>SUMIFS(movements!$H:$H,movements!$E:$E,$A5,movements!$D:$D,"OPENING",movements!$C:$C,"&lt;"&amp;AU$1+1)+SUMIFS(movements!$H:$H,movements!$E:$E,$A5,movements!$D:$D,"RECEIPT",movements!$C:$C,"&lt;"&amp;AU$1+1)-SUMIFS(movements!$H:$H,movements!$E:$E,$A5,movements!$D:$D,"ISSUE",movements!$C:$C,"&lt;"&amp;AU$1+1)</f>
        <v>81</v>
      </c>
      <c r="AV5">
        <f>SUMIFS(movements!$H:$H,movements!$E:$E,$A5,movements!$D:$D,"OPENING",movements!$C:$C,"&lt;"&amp;AV$1+1)+SUMIFS(movements!$H:$H,movements!$E:$E,$A5,movements!$D:$D,"RECEIPT",movements!$C:$C,"&lt;"&amp;AV$1+1)-SUMIFS(movements!$H:$H,movements!$E:$E,$A5,movements!$D:$D,"ISSUE",movements!$C:$C,"&lt;"&amp;AV$1+1)</f>
        <v>58</v>
      </c>
      <c r="AW5">
        <f>SUMIFS(movements!$H:$H,movements!$E:$E,$A5,movements!$D:$D,"OPENING",movements!$C:$C,"&lt;"&amp;AW$1+1)+SUMIFS(movements!$H:$H,movements!$E:$E,$A5,movements!$D:$D,"RECEIPT",movements!$C:$C,"&lt;"&amp;AW$1+1)-SUMIFS(movements!$H:$H,movements!$E:$E,$A5,movements!$D:$D,"ISSUE",movements!$C:$C,"&lt;"&amp;AW$1+1)</f>
        <v>39</v>
      </c>
      <c r="AX5">
        <f>SUMIFS(movements!$H:$H,movements!$E:$E,$A5,movements!$D:$D,"OPENING",movements!$C:$C,"&lt;"&amp;AX$1+1)+SUMIFS(movements!$H:$H,movements!$E:$E,$A5,movements!$D:$D,"RECEIPT",movements!$C:$C,"&lt;"&amp;AX$1+1)-SUMIFS(movements!$H:$H,movements!$E:$E,$A5,movements!$D:$D,"ISSUE",movements!$C:$C,"&lt;"&amp;AX$1+1)</f>
        <v>23</v>
      </c>
      <c r="AY5">
        <f>SUMIFS(movements!$H:$H,movements!$E:$E,$A5,movements!$D:$D,"OPENING",movements!$C:$C,"&lt;"&amp;AY$1+1)+SUMIFS(movements!$H:$H,movements!$E:$E,$A5,movements!$D:$D,"RECEIPT",movements!$C:$C,"&lt;"&amp;AY$1+1)-SUMIFS(movements!$H:$H,movements!$E:$E,$A5,movements!$D:$D,"ISSUE",movements!$C:$C,"&lt;"&amp;AY$1+1)</f>
        <v>96</v>
      </c>
      <c r="AZ5">
        <f>SUMIFS(movements!$H:$H,movements!$E:$E,$A5,movements!$D:$D,"OPENING",movements!$C:$C,"&lt;"&amp;AZ$1+1)+SUMIFS(movements!$H:$H,movements!$E:$E,$A5,movements!$D:$D,"RECEIPT",movements!$C:$C,"&lt;"&amp;AZ$1+1)-SUMIFS(movements!$H:$H,movements!$E:$E,$A5,movements!$D:$D,"ISSUE",movements!$C:$C,"&lt;"&amp;AZ$1+1)</f>
        <v>84</v>
      </c>
      <c r="BA5">
        <f>SUMIFS(movements!$H:$H,movements!$E:$E,$A5,movements!$D:$D,"OPENING",movements!$C:$C,"&lt;"&amp;BA$1+1)+SUMIFS(movements!$H:$H,movements!$E:$E,$A5,movements!$D:$D,"RECEIPT",movements!$C:$C,"&lt;"&amp;BA$1+1)-SUMIFS(movements!$H:$H,movements!$E:$E,$A5,movements!$D:$D,"ISSUE",movements!$C:$C,"&lt;"&amp;BA$1+1)</f>
        <v>72</v>
      </c>
      <c r="BB5">
        <f>SUMIFS(movements!$H:$H,movements!$E:$E,$A5,movements!$D:$D,"OPENING",movements!$C:$C,"&lt;"&amp;BB$1+1)+SUMIFS(movements!$H:$H,movements!$E:$E,$A5,movements!$D:$D,"RECEIPT",movements!$C:$C,"&lt;"&amp;BB$1+1)-SUMIFS(movements!$H:$H,movements!$E:$E,$A5,movements!$D:$D,"ISSUE",movements!$C:$C,"&lt;"&amp;BB$1+1)</f>
        <v>58</v>
      </c>
      <c r="BC5">
        <f>SUMIFS(movements!$H:$H,movements!$E:$E,$A5,movements!$D:$D,"OPENING",movements!$C:$C,"&lt;"&amp;BC$1+1)+SUMIFS(movements!$H:$H,movements!$E:$E,$A5,movements!$D:$D,"RECEIPT",movements!$C:$C,"&lt;"&amp;BC$1+1)-SUMIFS(movements!$H:$H,movements!$E:$E,$A5,movements!$D:$D,"ISSUE",movements!$C:$C,"&lt;"&amp;BC$1+1)</f>
        <v>46</v>
      </c>
      <c r="BD5">
        <f>SUMIFS(movements!$H:$H,movements!$E:$E,$A5,movements!$D:$D,"OPENING",movements!$C:$C,"&lt;"&amp;BD$1+1)+SUMIFS(movements!$H:$H,movements!$E:$E,$A5,movements!$D:$D,"RECEIPT",movements!$C:$C,"&lt;"&amp;BD$1+1)-SUMIFS(movements!$H:$H,movements!$E:$E,$A5,movements!$D:$D,"ISSUE",movements!$C:$C,"&lt;"&amp;BD$1+1)</f>
        <v>29</v>
      </c>
      <c r="BE5">
        <f>SUMIFS(movements!$H:$H,movements!$E:$E,$A5,movements!$D:$D,"OPENING",movements!$C:$C,"&lt;"&amp;BE$1+1)+SUMIFS(movements!$H:$H,movements!$E:$E,$A5,movements!$D:$D,"RECEIPT",movements!$C:$C,"&lt;"&amp;BE$1+1)-SUMIFS(movements!$H:$H,movements!$E:$E,$A5,movements!$D:$D,"ISSUE",movements!$C:$C,"&lt;"&amp;BE$1+1)</f>
        <v>13</v>
      </c>
      <c r="BF5">
        <f>SUMIFS(movements!$H:$H,movements!$E:$E,$A5,movements!$D:$D,"OPENING",movements!$C:$C,"&lt;"&amp;BF$1+1)+SUMIFS(movements!$H:$H,movements!$E:$E,$A5,movements!$D:$D,"RECEIPT",movements!$C:$C,"&lt;"&amp;BF$1+1)-SUMIFS(movements!$H:$H,movements!$E:$E,$A5,movements!$D:$D,"ISSUE",movements!$C:$C,"&lt;"&amp;BF$1+1)</f>
        <v>90</v>
      </c>
      <c r="BG5">
        <f>SUMIFS(movements!$H:$H,movements!$E:$E,$A5,movements!$D:$D,"OPENING",movements!$C:$C,"&lt;"&amp;BG$1+1)+SUMIFS(movements!$H:$H,movements!$E:$E,$A5,movements!$D:$D,"RECEIPT",movements!$C:$C,"&lt;"&amp;BG$1+1)-SUMIFS(movements!$H:$H,movements!$E:$E,$A5,movements!$D:$D,"ISSUE",movements!$C:$C,"&lt;"&amp;BG$1+1)</f>
        <v>83</v>
      </c>
      <c r="BH5">
        <f>SUMIFS(movements!$H:$H,movements!$E:$E,$A5,movements!$D:$D,"OPENING",movements!$C:$C,"&lt;"&amp;BH$1+1)+SUMIFS(movements!$H:$H,movements!$E:$E,$A5,movements!$D:$D,"RECEIPT",movements!$C:$C,"&lt;"&amp;BH$1+1)-SUMIFS(movements!$H:$H,movements!$E:$E,$A5,movements!$D:$D,"ISSUE",movements!$C:$C,"&lt;"&amp;BH$1+1)</f>
        <v>65</v>
      </c>
      <c r="BI5">
        <f>SUMIFS(movements!$H:$H,movements!$E:$E,$A5,movements!$D:$D,"OPENING",movements!$C:$C,"&lt;"&amp;BI$1+1)+SUMIFS(movements!$H:$H,movements!$E:$E,$A5,movements!$D:$D,"RECEIPT",movements!$C:$C,"&lt;"&amp;BI$1+1)-SUMIFS(movements!$H:$H,movements!$E:$E,$A5,movements!$D:$D,"ISSUE",movements!$C:$C,"&lt;"&amp;BI$1+1)</f>
        <v>60</v>
      </c>
      <c r="BJ5">
        <f>SUMIFS(movements!$H:$H,movements!$E:$E,$A5,movements!$D:$D,"OPENING",movements!$C:$C,"&lt;"&amp;BJ$1+1)+SUMIFS(movements!$H:$H,movements!$E:$E,$A5,movements!$D:$D,"RECEIPT",movements!$C:$C,"&lt;"&amp;BJ$1+1)-SUMIFS(movements!$H:$H,movements!$E:$E,$A5,movements!$D:$D,"ISSUE",movements!$C:$C,"&lt;"&amp;BJ$1+1)</f>
        <v>52</v>
      </c>
      <c r="BK5">
        <f>SUMIFS(movements!$H:$H,movements!$E:$E,$A5,movements!$D:$D,"OPENING",movements!$C:$C,"&lt;"&amp;BK$1+1)+SUMIFS(movements!$H:$H,movements!$E:$E,$A5,movements!$D:$D,"RECEIPT",movements!$C:$C,"&lt;"&amp;BK$1+1)-SUMIFS(movements!$H:$H,movements!$E:$E,$A5,movements!$D:$D,"ISSUE",movements!$C:$C,"&lt;"&amp;BK$1+1)</f>
        <v>46</v>
      </c>
      <c r="BL5">
        <f>SUMIFS(movements!$H:$H,movements!$E:$E,$A5,movements!$D:$D,"OPENING",movements!$C:$C,"&lt;"&amp;BL$1+1)+SUMIFS(movements!$H:$H,movements!$E:$E,$A5,movements!$D:$D,"RECEIPT",movements!$C:$C,"&lt;"&amp;BL$1+1)-SUMIFS(movements!$H:$H,movements!$E:$E,$A5,movements!$D:$D,"ISSUE",movements!$C:$C,"&lt;"&amp;BL$1+1)</f>
        <v>35</v>
      </c>
      <c r="BM5">
        <f>SUMIFS(movements!$H:$H,movements!$E:$E,$A5,movements!$D:$D,"OPENING",movements!$C:$C,"&lt;"&amp;BM$1+1)+SUMIFS(movements!$H:$H,movements!$E:$E,$A5,movements!$D:$D,"RECEIPT",movements!$C:$C,"&lt;"&amp;BM$1+1)-SUMIFS(movements!$H:$H,movements!$E:$E,$A5,movements!$D:$D,"ISSUE",movements!$C:$C,"&lt;"&amp;BM$1+1)</f>
        <v>81</v>
      </c>
      <c r="BN5">
        <f>SUMIFS(movements!$H:$H,movements!$E:$E,$A5,movements!$D:$D,"OPENING",movements!$C:$C,"&lt;"&amp;BN$1+1)+SUMIFS(movements!$H:$H,movements!$E:$E,$A5,movements!$D:$D,"RECEIPT",movements!$C:$C,"&lt;"&amp;BN$1+1)-SUMIFS(movements!$H:$H,movements!$E:$E,$A5,movements!$D:$D,"ISSUE",movements!$C:$C,"&lt;"&amp;BN$1+1)</f>
        <v>68</v>
      </c>
      <c r="BO5">
        <f>SUMIFS(movements!$H:$H,movements!$E:$E,$A5,movements!$D:$D,"OPENING",movements!$C:$C,"&lt;"&amp;BO$1+1)+SUMIFS(movements!$H:$H,movements!$E:$E,$A5,movements!$D:$D,"RECEIPT",movements!$C:$C,"&lt;"&amp;BO$1+1)-SUMIFS(movements!$H:$H,movements!$E:$E,$A5,movements!$D:$D,"ISSUE",movements!$C:$C,"&lt;"&amp;BO$1+1)</f>
        <v>59</v>
      </c>
      <c r="BP5">
        <f>SUMIFS(movements!$H:$H,movements!$E:$E,$A5,movements!$D:$D,"OPENING",movements!$C:$C,"&lt;"&amp;BP$1+1)+SUMIFS(movements!$H:$H,movements!$E:$E,$A5,movements!$D:$D,"RECEIPT",movements!$C:$C,"&lt;"&amp;BP$1+1)-SUMIFS(movements!$H:$H,movements!$E:$E,$A5,movements!$D:$D,"ISSUE",movements!$C:$C,"&lt;"&amp;BP$1+1)</f>
        <v>48</v>
      </c>
      <c r="BQ5">
        <f>SUMIFS(movements!$H:$H,movements!$E:$E,$A5,movements!$D:$D,"OPENING",movements!$C:$C,"&lt;"&amp;BQ$1+1)+SUMIFS(movements!$H:$H,movements!$E:$E,$A5,movements!$D:$D,"RECEIPT",movements!$C:$C,"&lt;"&amp;BQ$1+1)-SUMIFS(movements!$H:$H,movements!$E:$E,$A5,movements!$D:$D,"ISSUE",movements!$C:$C,"&lt;"&amp;BQ$1+1)</f>
        <v>32</v>
      </c>
      <c r="BR5">
        <f>SUMIFS(movements!$H:$H,movements!$E:$E,$A5,movements!$D:$D,"OPENING",movements!$C:$C,"&lt;"&amp;BR$1+1)+SUMIFS(movements!$H:$H,movements!$E:$E,$A5,movements!$D:$D,"RECEIPT",movements!$C:$C,"&lt;"&amp;BR$1+1)-SUMIFS(movements!$H:$H,movements!$E:$E,$A5,movements!$D:$D,"ISSUE",movements!$C:$C,"&lt;"&amp;BR$1+1)</f>
        <v>25</v>
      </c>
      <c r="BS5">
        <f>SUMIFS(movements!$H:$H,movements!$E:$E,$A5,movements!$D:$D,"OPENING",movements!$C:$C,"&lt;"&amp;BS$1+1)+SUMIFS(movements!$H:$H,movements!$E:$E,$A5,movements!$D:$D,"RECEIPT",movements!$C:$C,"&lt;"&amp;BS$1+1)-SUMIFS(movements!$H:$H,movements!$E:$E,$A5,movements!$D:$D,"ISSUE",movements!$C:$C,"&lt;"&amp;BS$1+1)</f>
        <v>9</v>
      </c>
      <c r="BT5">
        <f>SUMIFS(movements!$H:$H,movements!$E:$E,$A5,movements!$D:$D,"OPENING",movements!$C:$C,"&lt;"&amp;BT$1+1)+SUMIFS(movements!$H:$H,movements!$E:$E,$A5,movements!$D:$D,"RECEIPT",movements!$C:$C,"&lt;"&amp;BT$1+1)-SUMIFS(movements!$H:$H,movements!$E:$E,$A5,movements!$D:$D,"ISSUE",movements!$C:$C,"&lt;"&amp;BT$1+1)</f>
        <v>64</v>
      </c>
      <c r="BU5">
        <f>SUMIFS(movements!$H:$H,movements!$E:$E,$A5,movements!$D:$D,"OPENING",movements!$C:$C,"&lt;"&amp;BU$1+1)+SUMIFS(movements!$H:$H,movements!$E:$E,$A5,movements!$D:$D,"RECEIPT",movements!$C:$C,"&lt;"&amp;BU$1+1)-SUMIFS(movements!$H:$H,movements!$E:$E,$A5,movements!$D:$D,"ISSUE",movements!$C:$C,"&lt;"&amp;BU$1+1)</f>
        <v>53</v>
      </c>
      <c r="BV5">
        <f>SUMIFS(movements!$H:$H,movements!$E:$E,$A5,movements!$D:$D,"OPENING",movements!$C:$C,"&lt;"&amp;BV$1+1)+SUMIFS(movements!$H:$H,movements!$E:$E,$A5,movements!$D:$D,"RECEIPT",movements!$C:$C,"&lt;"&amp;BV$1+1)-SUMIFS(movements!$H:$H,movements!$E:$E,$A5,movements!$D:$D,"ISSUE",movements!$C:$C,"&lt;"&amp;BV$1+1)</f>
        <v>49</v>
      </c>
      <c r="BW5">
        <f>SUMIFS(movements!$H:$H,movements!$E:$E,$A5,movements!$D:$D,"OPENING",movements!$C:$C,"&lt;"&amp;BW$1+1)+SUMIFS(movements!$H:$H,movements!$E:$E,$A5,movements!$D:$D,"RECEIPT",movements!$C:$C,"&lt;"&amp;BW$1+1)-SUMIFS(movements!$H:$H,movements!$E:$E,$A5,movements!$D:$D,"ISSUE",movements!$C:$C,"&lt;"&amp;BW$1+1)</f>
        <v>34</v>
      </c>
      <c r="BX5">
        <f>SUMIFS(movements!$H:$H,movements!$E:$E,$A5,movements!$D:$D,"OPENING",movements!$C:$C,"&lt;"&amp;BX$1+1)+SUMIFS(movements!$H:$H,movements!$E:$E,$A5,movements!$D:$D,"RECEIPT",movements!$C:$C,"&lt;"&amp;BX$1+1)-SUMIFS(movements!$H:$H,movements!$E:$E,$A5,movements!$D:$D,"ISSUE",movements!$C:$C,"&lt;"&amp;BX$1+1)</f>
        <v>26</v>
      </c>
      <c r="BY5">
        <f>SUMIFS(movements!$H:$H,movements!$E:$E,$A5,movements!$D:$D,"OPENING",movements!$C:$C,"&lt;"&amp;BY$1+1)+SUMIFS(movements!$H:$H,movements!$E:$E,$A5,movements!$D:$D,"RECEIPT",movements!$C:$C,"&lt;"&amp;BY$1+1)-SUMIFS(movements!$H:$H,movements!$E:$E,$A5,movements!$D:$D,"ISSUE",movements!$C:$C,"&lt;"&amp;BY$1+1)</f>
        <v>6</v>
      </c>
      <c r="BZ5">
        <f>SUMIFS(movements!$H:$H,movements!$E:$E,$A5,movements!$D:$D,"OPENING",movements!$C:$C,"&lt;"&amp;BZ$1+1)+SUMIFS(movements!$H:$H,movements!$E:$E,$A5,movements!$D:$D,"RECEIPT",movements!$C:$C,"&lt;"&amp;BZ$1+1)-SUMIFS(movements!$H:$H,movements!$E:$E,$A5,movements!$D:$D,"ISSUE",movements!$C:$C,"&lt;"&amp;BZ$1+1)</f>
        <v>0</v>
      </c>
      <c r="CA5">
        <f>SUMIFS(movements!$H:$H,movements!$E:$E,$A5,movements!$D:$D,"OPENING",movements!$C:$C,"&lt;"&amp;CA$1+1)+SUMIFS(movements!$H:$H,movements!$E:$E,$A5,movements!$D:$D,"RECEIPT",movements!$C:$C,"&lt;"&amp;CA$1+1)-SUMIFS(movements!$H:$H,movements!$E:$E,$A5,movements!$D:$D,"ISSUE",movements!$C:$C,"&lt;"&amp;CA$1+1)</f>
        <v>61</v>
      </c>
      <c r="CB5">
        <f>SUMIFS(movements!$H:$H,movements!$E:$E,$A5,movements!$D:$D,"OPENING",movements!$C:$C,"&lt;"&amp;CB$1+1)+SUMIFS(movements!$H:$H,movements!$E:$E,$A5,movements!$D:$D,"RECEIPT",movements!$C:$C,"&lt;"&amp;CB$1+1)-SUMIFS(movements!$H:$H,movements!$E:$E,$A5,movements!$D:$D,"ISSUE",movements!$C:$C,"&lt;"&amp;CB$1+1)</f>
        <v>58</v>
      </c>
      <c r="CC5">
        <f>SUMIFS(movements!$H:$H,movements!$E:$E,$A5,movements!$D:$D,"OPENING",movements!$C:$C,"&lt;"&amp;CC$1+1)+SUMIFS(movements!$H:$H,movements!$E:$E,$A5,movements!$D:$D,"RECEIPT",movements!$C:$C,"&lt;"&amp;CC$1+1)-SUMIFS(movements!$H:$H,movements!$E:$E,$A5,movements!$D:$D,"ISSUE",movements!$C:$C,"&lt;"&amp;CC$1+1)</f>
        <v>43</v>
      </c>
      <c r="CD5">
        <f>SUMIFS(movements!$H:$H,movements!$E:$E,$A5,movements!$D:$D,"OPENING",movements!$C:$C,"&lt;"&amp;CD$1+1)+SUMIFS(movements!$H:$H,movements!$E:$E,$A5,movements!$D:$D,"RECEIPT",movements!$C:$C,"&lt;"&amp;CD$1+1)-SUMIFS(movements!$H:$H,movements!$E:$E,$A5,movements!$D:$D,"ISSUE",movements!$C:$C,"&lt;"&amp;CD$1+1)</f>
        <v>31</v>
      </c>
      <c r="CE5">
        <f>SUMIFS(movements!$H:$H,movements!$E:$E,$A5,movements!$D:$D,"OPENING",movements!$C:$C,"&lt;"&amp;CE$1+1)+SUMIFS(movements!$H:$H,movements!$E:$E,$A5,movements!$D:$D,"RECEIPT",movements!$C:$C,"&lt;"&amp;CE$1+1)-SUMIFS(movements!$H:$H,movements!$E:$E,$A5,movements!$D:$D,"ISSUE",movements!$C:$C,"&lt;"&amp;CE$1+1)</f>
        <v>17</v>
      </c>
      <c r="CF5">
        <f>SUMIFS(movements!$H:$H,movements!$E:$E,$A5,movements!$D:$D,"OPENING",movements!$C:$C,"&lt;"&amp;CF$1+1)+SUMIFS(movements!$H:$H,movements!$E:$E,$A5,movements!$D:$D,"RECEIPT",movements!$C:$C,"&lt;"&amp;CF$1+1)-SUMIFS(movements!$H:$H,movements!$E:$E,$A5,movements!$D:$D,"ISSUE",movements!$C:$C,"&lt;"&amp;CF$1+1)</f>
        <v>1</v>
      </c>
      <c r="CG5">
        <f>SUMIFS(movements!$H:$H,movements!$E:$E,$A5,movements!$D:$D,"OPENING",movements!$C:$C,"&lt;"&amp;CG$1+1)+SUMIFS(movements!$H:$H,movements!$E:$E,$A5,movements!$D:$D,"RECEIPT",movements!$C:$C,"&lt;"&amp;CG$1+1)-SUMIFS(movements!$H:$H,movements!$E:$E,$A5,movements!$D:$D,"ISSUE",movements!$C:$C,"&lt;"&amp;CG$1+1)</f>
        <v>0</v>
      </c>
      <c r="CH5">
        <f>SUMIFS(movements!$H:$H,movements!$E:$E,$A5,movements!$D:$D,"OPENING",movements!$C:$C,"&lt;"&amp;CH$1+1)+SUMIFS(movements!$H:$H,movements!$E:$E,$A5,movements!$D:$D,"RECEIPT",movements!$C:$C,"&lt;"&amp;CH$1+1)-SUMIFS(movements!$H:$H,movements!$E:$E,$A5,movements!$D:$D,"ISSUE",movements!$C:$C,"&lt;"&amp;CH$1+1)</f>
        <v>71</v>
      </c>
      <c r="CI5">
        <f>SUMIFS(movements!$H:$H,movements!$E:$E,$A5,movements!$D:$D,"OPENING",movements!$C:$C,"&lt;"&amp;CI$1+1)+SUMIFS(movements!$H:$H,movements!$E:$E,$A5,movements!$D:$D,"RECEIPT",movements!$C:$C,"&lt;"&amp;CI$1+1)-SUMIFS(movements!$H:$H,movements!$E:$E,$A5,movements!$D:$D,"ISSUE",movements!$C:$C,"&lt;"&amp;CI$1+1)</f>
        <v>58</v>
      </c>
      <c r="CJ5">
        <f>SUMIFS(movements!$H:$H,movements!$E:$E,$A5,movements!$D:$D,"OPENING",movements!$C:$C,"&lt;"&amp;CJ$1+1)+SUMIFS(movements!$H:$H,movements!$E:$E,$A5,movements!$D:$D,"RECEIPT",movements!$C:$C,"&lt;"&amp;CJ$1+1)-SUMIFS(movements!$H:$H,movements!$E:$E,$A5,movements!$D:$D,"ISSUE",movements!$C:$C,"&lt;"&amp;CJ$1+1)</f>
        <v>44</v>
      </c>
      <c r="CK5">
        <f>SUMIFS(movements!$H:$H,movements!$E:$E,$A5,movements!$D:$D,"OPENING",movements!$C:$C,"&lt;"&amp;CK$1+1)+SUMIFS(movements!$H:$H,movements!$E:$E,$A5,movements!$D:$D,"RECEIPT",movements!$C:$C,"&lt;"&amp;CK$1+1)-SUMIFS(movements!$H:$H,movements!$E:$E,$A5,movements!$D:$D,"ISSUE",movements!$C:$C,"&lt;"&amp;CK$1+1)</f>
        <v>28</v>
      </c>
      <c r="CL5">
        <f>SUMIFS(movements!$H:$H,movements!$E:$E,$A5,movements!$D:$D,"OPENING",movements!$C:$C,"&lt;"&amp;CL$1+1)+SUMIFS(movements!$H:$H,movements!$E:$E,$A5,movements!$D:$D,"RECEIPT",movements!$C:$C,"&lt;"&amp;CL$1+1)-SUMIFS(movements!$H:$H,movements!$E:$E,$A5,movements!$D:$D,"ISSUE",movements!$C:$C,"&lt;"&amp;CL$1+1)</f>
        <v>20</v>
      </c>
      <c r="CM5">
        <f>SUMIFS(movements!$H:$H,movements!$E:$E,$A5,movements!$D:$D,"OPENING",movements!$C:$C,"&lt;"&amp;CM$1+1)+SUMIFS(movements!$H:$H,movements!$E:$E,$A5,movements!$D:$D,"RECEIPT",movements!$C:$C,"&lt;"&amp;CM$1+1)-SUMIFS(movements!$H:$H,movements!$E:$E,$A5,movements!$D:$D,"ISSUE",movements!$C:$C,"&lt;"&amp;CM$1+1)</f>
        <v>17</v>
      </c>
      <c r="CN5">
        <f t="shared" si="2"/>
        <v>54.7</v>
      </c>
      <c r="CO5">
        <f>SUMIFS(movements!$H:$H,movements!$E:$E,$A5,movements!$D:$D,"ISSUE",movements!$C:$C,"&gt;="&amp;$B$1,movements!$C:$C,"&lt;"&amp;($CM$1+1))</f>
        <v>984</v>
      </c>
      <c r="CP5">
        <f t="shared" si="3"/>
        <v>17.989031078610601</v>
      </c>
      <c r="CQ5">
        <f t="shared" si="4"/>
        <v>5.0030487804878057</v>
      </c>
    </row>
    <row r="6" spans="1:95" x14ac:dyDescent="0.25">
      <c r="A6" t="s">
        <v>24</v>
      </c>
      <c r="B6">
        <f>SUMIFS(movements!$H:$H,movements!$E:$E,$A6,movements!$D:$D,"OPENING",movements!$C:$C,"&lt;"&amp;B$1+1)+SUMIFS(movements!$H:$H,movements!$E:$E,$A6,movements!$D:$D,"RECEIPT",movements!$C:$C,"&lt;"&amp;B$1+1)-SUMIFS(movements!$H:$H,movements!$E:$E,$A6,movements!$D:$D,"ISSUE",movements!$C:$C,"&lt;"&amp;B$1+1)</f>
        <v>73</v>
      </c>
      <c r="C6">
        <f>SUMIFS(movements!$H:$H,movements!$E:$E,$A6,movements!$D:$D,"OPENING",movements!$C:$C,"&lt;"&amp;C$1+1)+SUMIFS(movements!$H:$H,movements!$E:$E,$A6,movements!$D:$D,"RECEIPT",movements!$C:$C,"&lt;"&amp;C$1+1)-SUMIFS(movements!$H:$H,movements!$E:$E,$A6,movements!$D:$D,"ISSUE",movements!$C:$C,"&lt;"&amp;C$1+1)</f>
        <v>70</v>
      </c>
      <c r="D6">
        <f>SUMIFS(movements!$H:$H,movements!$E:$E,$A6,movements!$D:$D,"OPENING",movements!$C:$C,"&lt;"&amp;D$1+1)+SUMIFS(movements!$H:$H,movements!$E:$E,$A6,movements!$D:$D,"RECEIPT",movements!$C:$C,"&lt;"&amp;D$1+1)-SUMIFS(movements!$H:$H,movements!$E:$E,$A6,movements!$D:$D,"ISSUE",movements!$C:$C,"&lt;"&amp;D$1+1)</f>
        <v>61</v>
      </c>
      <c r="E6">
        <f>SUMIFS(movements!$H:$H,movements!$E:$E,$A6,movements!$D:$D,"OPENING",movements!$C:$C,"&lt;"&amp;E$1+1)+SUMIFS(movements!$H:$H,movements!$E:$E,$A6,movements!$D:$D,"RECEIPT",movements!$C:$C,"&lt;"&amp;E$1+1)-SUMIFS(movements!$H:$H,movements!$E:$E,$A6,movements!$D:$D,"ISSUE",movements!$C:$C,"&lt;"&amp;E$1+1)</f>
        <v>51</v>
      </c>
      <c r="F6">
        <f>SUMIFS(movements!$H:$H,movements!$E:$E,$A6,movements!$D:$D,"OPENING",movements!$C:$C,"&lt;"&amp;F$1+1)+SUMIFS(movements!$H:$H,movements!$E:$E,$A6,movements!$D:$D,"RECEIPT",movements!$C:$C,"&lt;"&amp;F$1+1)-SUMIFS(movements!$H:$H,movements!$E:$E,$A6,movements!$D:$D,"ISSUE",movements!$C:$C,"&lt;"&amp;F$1+1)</f>
        <v>28</v>
      </c>
      <c r="G6">
        <f>SUMIFS(movements!$H:$H,movements!$E:$E,$A6,movements!$D:$D,"OPENING",movements!$C:$C,"&lt;"&amp;G$1+1)+SUMIFS(movements!$H:$H,movements!$E:$E,$A6,movements!$D:$D,"RECEIPT",movements!$C:$C,"&lt;"&amp;G$1+1)-SUMIFS(movements!$H:$H,movements!$E:$E,$A6,movements!$D:$D,"ISSUE",movements!$C:$C,"&lt;"&amp;G$1+1)</f>
        <v>15</v>
      </c>
      <c r="H6">
        <f>SUMIFS(movements!$H:$H,movements!$E:$E,$A6,movements!$D:$D,"OPENING",movements!$C:$C,"&lt;"&amp;H$1+1)+SUMIFS(movements!$H:$H,movements!$E:$E,$A6,movements!$D:$D,"RECEIPT",movements!$C:$C,"&lt;"&amp;H$1+1)-SUMIFS(movements!$H:$H,movements!$E:$E,$A6,movements!$D:$D,"ISSUE",movements!$C:$C,"&lt;"&amp;H$1+1)</f>
        <v>10</v>
      </c>
      <c r="I6">
        <f>SUMIFS(movements!$H:$H,movements!$E:$E,$A6,movements!$D:$D,"OPENING",movements!$C:$C,"&lt;"&amp;I$1+1)+SUMIFS(movements!$H:$H,movements!$E:$E,$A6,movements!$D:$D,"RECEIPT",movements!$C:$C,"&lt;"&amp;I$1+1)-SUMIFS(movements!$H:$H,movements!$E:$E,$A6,movements!$D:$D,"ISSUE",movements!$C:$C,"&lt;"&amp;I$1+1)</f>
        <v>104</v>
      </c>
      <c r="J6">
        <f>SUMIFS(movements!$H:$H,movements!$E:$E,$A6,movements!$D:$D,"OPENING",movements!$C:$C,"&lt;"&amp;J$1+1)+SUMIFS(movements!$H:$H,movements!$E:$E,$A6,movements!$D:$D,"RECEIPT",movements!$C:$C,"&lt;"&amp;J$1+1)-SUMIFS(movements!$H:$H,movements!$E:$E,$A6,movements!$D:$D,"ISSUE",movements!$C:$C,"&lt;"&amp;J$1+1)</f>
        <v>99</v>
      </c>
      <c r="K6">
        <f>SUMIFS(movements!$H:$H,movements!$E:$E,$A6,movements!$D:$D,"OPENING",movements!$C:$C,"&lt;"&amp;K$1+1)+SUMIFS(movements!$H:$H,movements!$E:$E,$A6,movements!$D:$D,"RECEIPT",movements!$C:$C,"&lt;"&amp;K$1+1)-SUMIFS(movements!$H:$H,movements!$E:$E,$A6,movements!$D:$D,"ISSUE",movements!$C:$C,"&lt;"&amp;K$1+1)</f>
        <v>82</v>
      </c>
      <c r="L6">
        <f>SUMIFS(movements!$H:$H,movements!$E:$E,$A6,movements!$D:$D,"OPENING",movements!$C:$C,"&lt;"&amp;L$1+1)+SUMIFS(movements!$H:$H,movements!$E:$E,$A6,movements!$D:$D,"RECEIPT",movements!$C:$C,"&lt;"&amp;L$1+1)-SUMIFS(movements!$H:$H,movements!$E:$E,$A6,movements!$D:$D,"ISSUE",movements!$C:$C,"&lt;"&amp;L$1+1)</f>
        <v>69</v>
      </c>
      <c r="M6">
        <f>SUMIFS(movements!$H:$H,movements!$E:$E,$A6,movements!$D:$D,"OPENING",movements!$C:$C,"&lt;"&amp;M$1+1)+SUMIFS(movements!$H:$H,movements!$E:$E,$A6,movements!$D:$D,"RECEIPT",movements!$C:$C,"&lt;"&amp;M$1+1)-SUMIFS(movements!$H:$H,movements!$E:$E,$A6,movements!$D:$D,"ISSUE",movements!$C:$C,"&lt;"&amp;M$1+1)</f>
        <v>59</v>
      </c>
      <c r="N6">
        <f>SUMIFS(movements!$H:$H,movements!$E:$E,$A6,movements!$D:$D,"OPENING",movements!$C:$C,"&lt;"&amp;N$1+1)+SUMIFS(movements!$H:$H,movements!$E:$E,$A6,movements!$D:$D,"RECEIPT",movements!$C:$C,"&lt;"&amp;N$1+1)-SUMIFS(movements!$H:$H,movements!$E:$E,$A6,movements!$D:$D,"ISSUE",movements!$C:$C,"&lt;"&amp;N$1+1)</f>
        <v>42</v>
      </c>
      <c r="O6">
        <f>SUMIFS(movements!$H:$H,movements!$E:$E,$A6,movements!$D:$D,"OPENING",movements!$C:$C,"&lt;"&amp;O$1+1)+SUMIFS(movements!$H:$H,movements!$E:$E,$A6,movements!$D:$D,"RECEIPT",movements!$C:$C,"&lt;"&amp;O$1+1)-SUMIFS(movements!$H:$H,movements!$E:$E,$A6,movements!$D:$D,"ISSUE",movements!$C:$C,"&lt;"&amp;O$1+1)</f>
        <v>29</v>
      </c>
      <c r="P6">
        <f>SUMIFS(movements!$H:$H,movements!$E:$E,$A6,movements!$D:$D,"OPENING",movements!$C:$C,"&lt;"&amp;P$1+1)+SUMIFS(movements!$H:$H,movements!$E:$E,$A6,movements!$D:$D,"RECEIPT",movements!$C:$C,"&lt;"&amp;P$1+1)-SUMIFS(movements!$H:$H,movements!$E:$E,$A6,movements!$D:$D,"ISSUE",movements!$C:$C,"&lt;"&amp;P$1+1)</f>
        <v>85</v>
      </c>
      <c r="Q6">
        <f>SUMIFS(movements!$H:$H,movements!$E:$E,$A6,movements!$D:$D,"OPENING",movements!$C:$C,"&lt;"&amp;Q$1+1)+SUMIFS(movements!$H:$H,movements!$E:$E,$A6,movements!$D:$D,"RECEIPT",movements!$C:$C,"&lt;"&amp;Q$1+1)-SUMIFS(movements!$H:$H,movements!$E:$E,$A6,movements!$D:$D,"ISSUE",movements!$C:$C,"&lt;"&amp;Q$1+1)</f>
        <v>75</v>
      </c>
      <c r="R6">
        <f>SUMIFS(movements!$H:$H,movements!$E:$E,$A6,movements!$D:$D,"OPENING",movements!$C:$C,"&lt;"&amp;R$1+1)+SUMIFS(movements!$H:$H,movements!$E:$E,$A6,movements!$D:$D,"RECEIPT",movements!$C:$C,"&lt;"&amp;R$1+1)-SUMIFS(movements!$H:$H,movements!$E:$E,$A6,movements!$D:$D,"ISSUE",movements!$C:$C,"&lt;"&amp;R$1+1)</f>
        <v>69</v>
      </c>
      <c r="S6">
        <f>SUMIFS(movements!$H:$H,movements!$E:$E,$A6,movements!$D:$D,"OPENING",movements!$C:$C,"&lt;"&amp;S$1+1)+SUMIFS(movements!$H:$H,movements!$E:$E,$A6,movements!$D:$D,"RECEIPT",movements!$C:$C,"&lt;"&amp;S$1+1)-SUMIFS(movements!$H:$H,movements!$E:$E,$A6,movements!$D:$D,"ISSUE",movements!$C:$C,"&lt;"&amp;S$1+1)</f>
        <v>60</v>
      </c>
      <c r="T6">
        <f>SUMIFS(movements!$H:$H,movements!$E:$E,$A6,movements!$D:$D,"OPENING",movements!$C:$C,"&lt;"&amp;T$1+1)+SUMIFS(movements!$H:$H,movements!$E:$E,$A6,movements!$D:$D,"RECEIPT",movements!$C:$C,"&lt;"&amp;T$1+1)-SUMIFS(movements!$H:$H,movements!$E:$E,$A6,movements!$D:$D,"ISSUE",movements!$C:$C,"&lt;"&amp;T$1+1)</f>
        <v>54</v>
      </c>
      <c r="U6">
        <f>SUMIFS(movements!$H:$H,movements!$E:$E,$A6,movements!$D:$D,"OPENING",movements!$C:$C,"&lt;"&amp;U$1+1)+SUMIFS(movements!$H:$H,movements!$E:$E,$A6,movements!$D:$D,"RECEIPT",movements!$C:$C,"&lt;"&amp;U$1+1)-SUMIFS(movements!$H:$H,movements!$E:$E,$A6,movements!$D:$D,"ISSUE",movements!$C:$C,"&lt;"&amp;U$1+1)</f>
        <v>47</v>
      </c>
      <c r="V6">
        <f>SUMIFS(movements!$H:$H,movements!$E:$E,$A6,movements!$D:$D,"OPENING",movements!$C:$C,"&lt;"&amp;V$1+1)+SUMIFS(movements!$H:$H,movements!$E:$E,$A6,movements!$D:$D,"RECEIPT",movements!$C:$C,"&lt;"&amp;V$1+1)-SUMIFS(movements!$H:$H,movements!$E:$E,$A6,movements!$D:$D,"ISSUE",movements!$C:$C,"&lt;"&amp;V$1+1)</f>
        <v>44</v>
      </c>
      <c r="W6">
        <f>SUMIFS(movements!$H:$H,movements!$E:$E,$A6,movements!$D:$D,"OPENING",movements!$C:$C,"&lt;"&amp;W$1+1)+SUMIFS(movements!$H:$H,movements!$E:$E,$A6,movements!$D:$D,"RECEIPT",movements!$C:$C,"&lt;"&amp;W$1+1)-SUMIFS(movements!$H:$H,movements!$E:$E,$A6,movements!$D:$D,"ISSUE",movements!$C:$C,"&lt;"&amp;W$1+1)</f>
        <v>119</v>
      </c>
      <c r="X6">
        <f>SUMIFS(movements!$H:$H,movements!$E:$E,$A6,movements!$D:$D,"OPENING",movements!$C:$C,"&lt;"&amp;X$1+1)+SUMIFS(movements!$H:$H,movements!$E:$E,$A6,movements!$D:$D,"RECEIPT",movements!$C:$C,"&lt;"&amp;X$1+1)-SUMIFS(movements!$H:$H,movements!$E:$E,$A6,movements!$D:$D,"ISSUE",movements!$C:$C,"&lt;"&amp;X$1+1)</f>
        <v>116</v>
      </c>
      <c r="Y6">
        <f>SUMIFS(movements!$H:$H,movements!$E:$E,$A6,movements!$D:$D,"OPENING",movements!$C:$C,"&lt;"&amp;Y$1+1)+SUMIFS(movements!$H:$H,movements!$E:$E,$A6,movements!$D:$D,"RECEIPT",movements!$C:$C,"&lt;"&amp;Y$1+1)-SUMIFS(movements!$H:$H,movements!$E:$E,$A6,movements!$D:$D,"ISSUE",movements!$C:$C,"&lt;"&amp;Y$1+1)</f>
        <v>105</v>
      </c>
      <c r="Z6">
        <f>SUMIFS(movements!$H:$H,movements!$E:$E,$A6,movements!$D:$D,"OPENING",movements!$C:$C,"&lt;"&amp;Z$1+1)+SUMIFS(movements!$H:$H,movements!$E:$E,$A6,movements!$D:$D,"RECEIPT",movements!$C:$C,"&lt;"&amp;Z$1+1)-SUMIFS(movements!$H:$H,movements!$E:$E,$A6,movements!$D:$D,"ISSUE",movements!$C:$C,"&lt;"&amp;Z$1+1)</f>
        <v>103</v>
      </c>
      <c r="AA6">
        <f>SUMIFS(movements!$H:$H,movements!$E:$E,$A6,movements!$D:$D,"OPENING",movements!$C:$C,"&lt;"&amp;AA$1+1)+SUMIFS(movements!$H:$H,movements!$E:$E,$A6,movements!$D:$D,"RECEIPT",movements!$C:$C,"&lt;"&amp;AA$1+1)-SUMIFS(movements!$H:$H,movements!$E:$E,$A6,movements!$D:$D,"ISSUE",movements!$C:$C,"&lt;"&amp;AA$1+1)</f>
        <v>103</v>
      </c>
      <c r="AB6">
        <f>SUMIFS(movements!$H:$H,movements!$E:$E,$A6,movements!$D:$D,"OPENING",movements!$C:$C,"&lt;"&amp;AB$1+1)+SUMIFS(movements!$H:$H,movements!$E:$E,$A6,movements!$D:$D,"RECEIPT",movements!$C:$C,"&lt;"&amp;AB$1+1)-SUMIFS(movements!$H:$H,movements!$E:$E,$A6,movements!$D:$D,"ISSUE",movements!$C:$C,"&lt;"&amp;AB$1+1)</f>
        <v>90</v>
      </c>
      <c r="AC6">
        <f>SUMIFS(movements!$H:$H,movements!$E:$E,$A6,movements!$D:$D,"OPENING",movements!$C:$C,"&lt;"&amp;AC$1+1)+SUMIFS(movements!$H:$H,movements!$E:$E,$A6,movements!$D:$D,"RECEIPT",movements!$C:$C,"&lt;"&amp;AC$1+1)-SUMIFS(movements!$H:$H,movements!$E:$E,$A6,movements!$D:$D,"ISSUE",movements!$C:$C,"&lt;"&amp;AC$1+1)</f>
        <v>81</v>
      </c>
      <c r="AD6">
        <f>SUMIFS(movements!$H:$H,movements!$E:$E,$A6,movements!$D:$D,"OPENING",movements!$C:$C,"&lt;"&amp;AD$1+1)+SUMIFS(movements!$H:$H,movements!$E:$E,$A6,movements!$D:$D,"RECEIPT",movements!$C:$C,"&lt;"&amp;AD$1+1)-SUMIFS(movements!$H:$H,movements!$E:$E,$A6,movements!$D:$D,"ISSUE",movements!$C:$C,"&lt;"&amp;AD$1+1)</f>
        <v>146</v>
      </c>
      <c r="AE6">
        <f>SUMIFS(movements!$H:$H,movements!$E:$E,$A6,movements!$D:$D,"OPENING",movements!$C:$C,"&lt;"&amp;AE$1+1)+SUMIFS(movements!$H:$H,movements!$E:$E,$A6,movements!$D:$D,"RECEIPT",movements!$C:$C,"&lt;"&amp;AE$1+1)-SUMIFS(movements!$H:$H,movements!$E:$E,$A6,movements!$D:$D,"ISSUE",movements!$C:$C,"&lt;"&amp;AE$1+1)</f>
        <v>129</v>
      </c>
      <c r="AF6">
        <f>SUMIFS(movements!$H:$H,movements!$E:$E,$A6,movements!$D:$D,"OPENING",movements!$C:$C,"&lt;"&amp;AF$1+1)+SUMIFS(movements!$H:$H,movements!$E:$E,$A6,movements!$D:$D,"RECEIPT",movements!$C:$C,"&lt;"&amp;AF$1+1)-SUMIFS(movements!$H:$H,movements!$E:$E,$A6,movements!$D:$D,"ISSUE",movements!$C:$C,"&lt;"&amp;AF$1+1)</f>
        <v>124</v>
      </c>
      <c r="AG6">
        <f>SUMIFS(movements!$H:$H,movements!$E:$E,$A6,movements!$D:$D,"OPENING",movements!$C:$C,"&lt;"&amp;AG$1+1)+SUMIFS(movements!$H:$H,movements!$E:$E,$A6,movements!$D:$D,"RECEIPT",movements!$C:$C,"&lt;"&amp;AG$1+1)-SUMIFS(movements!$H:$H,movements!$E:$E,$A6,movements!$D:$D,"ISSUE",movements!$C:$C,"&lt;"&amp;AG$1+1)</f>
        <v>113</v>
      </c>
      <c r="AH6">
        <f>SUMIFS(movements!$H:$H,movements!$E:$E,$A6,movements!$D:$D,"OPENING",movements!$C:$C,"&lt;"&amp;AH$1+1)+SUMIFS(movements!$H:$H,movements!$E:$E,$A6,movements!$D:$D,"RECEIPT",movements!$C:$C,"&lt;"&amp;AH$1+1)-SUMIFS(movements!$H:$H,movements!$E:$E,$A6,movements!$D:$D,"ISSUE",movements!$C:$C,"&lt;"&amp;AH$1+1)</f>
        <v>83</v>
      </c>
      <c r="AI6">
        <f>SUMIFS(movements!$H:$H,movements!$E:$E,$A6,movements!$D:$D,"OPENING",movements!$C:$C,"&lt;"&amp;AI$1+1)+SUMIFS(movements!$H:$H,movements!$E:$E,$A6,movements!$D:$D,"RECEIPT",movements!$C:$C,"&lt;"&amp;AI$1+1)-SUMIFS(movements!$H:$H,movements!$E:$E,$A6,movements!$D:$D,"ISSUE",movements!$C:$C,"&lt;"&amp;AI$1+1)</f>
        <v>62</v>
      </c>
      <c r="AJ6">
        <f>SUMIFS(movements!$H:$H,movements!$E:$E,$A6,movements!$D:$D,"OPENING",movements!$C:$C,"&lt;"&amp;AJ$1+1)+SUMIFS(movements!$H:$H,movements!$E:$E,$A6,movements!$D:$D,"RECEIPT",movements!$C:$C,"&lt;"&amp;AJ$1+1)-SUMIFS(movements!$H:$H,movements!$E:$E,$A6,movements!$D:$D,"ISSUE",movements!$C:$C,"&lt;"&amp;AJ$1+1)</f>
        <v>57</v>
      </c>
      <c r="AK6">
        <f>SUMIFS(movements!$H:$H,movements!$E:$E,$A6,movements!$D:$D,"OPENING",movements!$C:$C,"&lt;"&amp;AK$1+1)+SUMIFS(movements!$H:$H,movements!$E:$E,$A6,movements!$D:$D,"RECEIPT",movements!$C:$C,"&lt;"&amp;AK$1+1)-SUMIFS(movements!$H:$H,movements!$E:$E,$A6,movements!$D:$D,"ISSUE",movements!$C:$C,"&lt;"&amp;AK$1+1)</f>
        <v>147</v>
      </c>
      <c r="AL6">
        <f>SUMIFS(movements!$H:$H,movements!$E:$E,$A6,movements!$D:$D,"OPENING",movements!$C:$C,"&lt;"&amp;AL$1+1)+SUMIFS(movements!$H:$H,movements!$E:$E,$A6,movements!$D:$D,"RECEIPT",movements!$C:$C,"&lt;"&amp;AL$1+1)-SUMIFS(movements!$H:$H,movements!$E:$E,$A6,movements!$D:$D,"ISSUE",movements!$C:$C,"&lt;"&amp;AL$1+1)</f>
        <v>132</v>
      </c>
      <c r="AM6">
        <f>SUMIFS(movements!$H:$H,movements!$E:$E,$A6,movements!$D:$D,"OPENING",movements!$C:$C,"&lt;"&amp;AM$1+1)+SUMIFS(movements!$H:$H,movements!$E:$E,$A6,movements!$D:$D,"RECEIPT",movements!$C:$C,"&lt;"&amp;AM$1+1)-SUMIFS(movements!$H:$H,movements!$E:$E,$A6,movements!$D:$D,"ISSUE",movements!$C:$C,"&lt;"&amp;AM$1+1)</f>
        <v>131</v>
      </c>
      <c r="AN6">
        <f>SUMIFS(movements!$H:$H,movements!$E:$E,$A6,movements!$D:$D,"OPENING",movements!$C:$C,"&lt;"&amp;AN$1+1)+SUMIFS(movements!$H:$H,movements!$E:$E,$A6,movements!$D:$D,"RECEIPT",movements!$C:$C,"&lt;"&amp;AN$1+1)-SUMIFS(movements!$H:$H,movements!$E:$E,$A6,movements!$D:$D,"ISSUE",movements!$C:$C,"&lt;"&amp;AN$1+1)</f>
        <v>122</v>
      </c>
      <c r="AO6">
        <f>SUMIFS(movements!$H:$H,movements!$E:$E,$A6,movements!$D:$D,"OPENING",movements!$C:$C,"&lt;"&amp;AO$1+1)+SUMIFS(movements!$H:$H,movements!$E:$E,$A6,movements!$D:$D,"RECEIPT",movements!$C:$C,"&lt;"&amp;AO$1+1)-SUMIFS(movements!$H:$H,movements!$E:$E,$A6,movements!$D:$D,"ISSUE",movements!$C:$C,"&lt;"&amp;AO$1+1)</f>
        <v>107</v>
      </c>
      <c r="AP6">
        <f>SUMIFS(movements!$H:$H,movements!$E:$E,$A6,movements!$D:$D,"OPENING",movements!$C:$C,"&lt;"&amp;AP$1+1)+SUMIFS(movements!$H:$H,movements!$E:$E,$A6,movements!$D:$D,"RECEIPT",movements!$C:$C,"&lt;"&amp;AP$1+1)-SUMIFS(movements!$H:$H,movements!$E:$E,$A6,movements!$D:$D,"ISSUE",movements!$C:$C,"&lt;"&amp;AP$1+1)</f>
        <v>85</v>
      </c>
      <c r="AQ6">
        <f>SUMIFS(movements!$H:$H,movements!$E:$E,$A6,movements!$D:$D,"OPENING",movements!$C:$C,"&lt;"&amp;AQ$1+1)+SUMIFS(movements!$H:$H,movements!$E:$E,$A6,movements!$D:$D,"RECEIPT",movements!$C:$C,"&lt;"&amp;AQ$1+1)-SUMIFS(movements!$H:$H,movements!$E:$E,$A6,movements!$D:$D,"ISSUE",movements!$C:$C,"&lt;"&amp;AQ$1+1)</f>
        <v>84</v>
      </c>
      <c r="AR6">
        <f>SUMIFS(movements!$H:$H,movements!$E:$E,$A6,movements!$D:$D,"OPENING",movements!$C:$C,"&lt;"&amp;AR$1+1)+SUMIFS(movements!$H:$H,movements!$E:$E,$A6,movements!$D:$D,"RECEIPT",movements!$C:$C,"&lt;"&amp;AR$1+1)-SUMIFS(movements!$H:$H,movements!$E:$E,$A6,movements!$D:$D,"ISSUE",movements!$C:$C,"&lt;"&amp;AR$1+1)</f>
        <v>141</v>
      </c>
      <c r="AS6">
        <f>SUMIFS(movements!$H:$H,movements!$E:$E,$A6,movements!$D:$D,"OPENING",movements!$C:$C,"&lt;"&amp;AS$1+1)+SUMIFS(movements!$H:$H,movements!$E:$E,$A6,movements!$D:$D,"RECEIPT",movements!$C:$C,"&lt;"&amp;AS$1+1)-SUMIFS(movements!$H:$H,movements!$E:$E,$A6,movements!$D:$D,"ISSUE",movements!$C:$C,"&lt;"&amp;AS$1+1)</f>
        <v>127</v>
      </c>
      <c r="AT6">
        <f>SUMIFS(movements!$H:$H,movements!$E:$E,$A6,movements!$D:$D,"OPENING",movements!$C:$C,"&lt;"&amp;AT$1+1)+SUMIFS(movements!$H:$H,movements!$E:$E,$A6,movements!$D:$D,"RECEIPT",movements!$C:$C,"&lt;"&amp;AT$1+1)-SUMIFS(movements!$H:$H,movements!$E:$E,$A6,movements!$D:$D,"ISSUE",movements!$C:$C,"&lt;"&amp;AT$1+1)</f>
        <v>112</v>
      </c>
      <c r="AU6">
        <f>SUMIFS(movements!$H:$H,movements!$E:$E,$A6,movements!$D:$D,"OPENING",movements!$C:$C,"&lt;"&amp;AU$1+1)+SUMIFS(movements!$H:$H,movements!$E:$E,$A6,movements!$D:$D,"RECEIPT",movements!$C:$C,"&lt;"&amp;AU$1+1)-SUMIFS(movements!$H:$H,movements!$E:$E,$A6,movements!$D:$D,"ISSUE",movements!$C:$C,"&lt;"&amp;AU$1+1)</f>
        <v>103</v>
      </c>
      <c r="AV6">
        <f>SUMIFS(movements!$H:$H,movements!$E:$E,$A6,movements!$D:$D,"OPENING",movements!$C:$C,"&lt;"&amp;AV$1+1)+SUMIFS(movements!$H:$H,movements!$E:$E,$A6,movements!$D:$D,"RECEIPT",movements!$C:$C,"&lt;"&amp;AV$1+1)-SUMIFS(movements!$H:$H,movements!$E:$E,$A6,movements!$D:$D,"ISSUE",movements!$C:$C,"&lt;"&amp;AV$1+1)</f>
        <v>84</v>
      </c>
      <c r="AW6">
        <f>SUMIFS(movements!$H:$H,movements!$E:$E,$A6,movements!$D:$D,"OPENING",movements!$C:$C,"&lt;"&amp;AW$1+1)+SUMIFS(movements!$H:$H,movements!$E:$E,$A6,movements!$D:$D,"RECEIPT",movements!$C:$C,"&lt;"&amp;AW$1+1)-SUMIFS(movements!$H:$H,movements!$E:$E,$A6,movements!$D:$D,"ISSUE",movements!$C:$C,"&lt;"&amp;AW$1+1)</f>
        <v>81</v>
      </c>
      <c r="AX6">
        <f>SUMIFS(movements!$H:$H,movements!$E:$E,$A6,movements!$D:$D,"OPENING",movements!$C:$C,"&lt;"&amp;AX$1+1)+SUMIFS(movements!$H:$H,movements!$E:$E,$A6,movements!$D:$D,"RECEIPT",movements!$C:$C,"&lt;"&amp;AX$1+1)-SUMIFS(movements!$H:$H,movements!$E:$E,$A6,movements!$D:$D,"ISSUE",movements!$C:$C,"&lt;"&amp;AX$1+1)</f>
        <v>71</v>
      </c>
      <c r="AY6">
        <f>SUMIFS(movements!$H:$H,movements!$E:$E,$A6,movements!$D:$D,"OPENING",movements!$C:$C,"&lt;"&amp;AY$1+1)+SUMIFS(movements!$H:$H,movements!$E:$E,$A6,movements!$D:$D,"RECEIPT",movements!$C:$C,"&lt;"&amp;AY$1+1)-SUMIFS(movements!$H:$H,movements!$E:$E,$A6,movements!$D:$D,"ISSUE",movements!$C:$C,"&lt;"&amp;AY$1+1)</f>
        <v>146</v>
      </c>
      <c r="AZ6">
        <f>SUMIFS(movements!$H:$H,movements!$E:$E,$A6,movements!$D:$D,"OPENING",movements!$C:$C,"&lt;"&amp;AZ$1+1)+SUMIFS(movements!$H:$H,movements!$E:$E,$A6,movements!$D:$D,"RECEIPT",movements!$C:$C,"&lt;"&amp;AZ$1+1)-SUMIFS(movements!$H:$H,movements!$E:$E,$A6,movements!$D:$D,"ISSUE",movements!$C:$C,"&lt;"&amp;AZ$1+1)</f>
        <v>142</v>
      </c>
      <c r="BA6">
        <f>SUMIFS(movements!$H:$H,movements!$E:$E,$A6,movements!$D:$D,"OPENING",movements!$C:$C,"&lt;"&amp;BA$1+1)+SUMIFS(movements!$H:$H,movements!$E:$E,$A6,movements!$D:$D,"RECEIPT",movements!$C:$C,"&lt;"&amp;BA$1+1)-SUMIFS(movements!$H:$H,movements!$E:$E,$A6,movements!$D:$D,"ISSUE",movements!$C:$C,"&lt;"&amp;BA$1+1)</f>
        <v>134</v>
      </c>
      <c r="BB6">
        <f>SUMIFS(movements!$H:$H,movements!$E:$E,$A6,movements!$D:$D,"OPENING",movements!$C:$C,"&lt;"&amp;BB$1+1)+SUMIFS(movements!$H:$H,movements!$E:$E,$A6,movements!$D:$D,"RECEIPT",movements!$C:$C,"&lt;"&amp;BB$1+1)-SUMIFS(movements!$H:$H,movements!$E:$E,$A6,movements!$D:$D,"ISSUE",movements!$C:$C,"&lt;"&amp;BB$1+1)</f>
        <v>123</v>
      </c>
      <c r="BC6">
        <f>SUMIFS(movements!$H:$H,movements!$E:$E,$A6,movements!$D:$D,"OPENING",movements!$C:$C,"&lt;"&amp;BC$1+1)+SUMIFS(movements!$H:$H,movements!$E:$E,$A6,movements!$D:$D,"RECEIPT",movements!$C:$C,"&lt;"&amp;BC$1+1)-SUMIFS(movements!$H:$H,movements!$E:$E,$A6,movements!$D:$D,"ISSUE",movements!$C:$C,"&lt;"&amp;BC$1+1)</f>
        <v>109</v>
      </c>
      <c r="BD6">
        <f>SUMIFS(movements!$H:$H,movements!$E:$E,$A6,movements!$D:$D,"OPENING",movements!$C:$C,"&lt;"&amp;BD$1+1)+SUMIFS(movements!$H:$H,movements!$E:$E,$A6,movements!$D:$D,"RECEIPT",movements!$C:$C,"&lt;"&amp;BD$1+1)-SUMIFS(movements!$H:$H,movements!$E:$E,$A6,movements!$D:$D,"ISSUE",movements!$C:$C,"&lt;"&amp;BD$1+1)</f>
        <v>95</v>
      </c>
      <c r="BE6">
        <f>SUMIFS(movements!$H:$H,movements!$E:$E,$A6,movements!$D:$D,"OPENING",movements!$C:$C,"&lt;"&amp;BE$1+1)+SUMIFS(movements!$H:$H,movements!$E:$E,$A6,movements!$D:$D,"RECEIPT",movements!$C:$C,"&lt;"&amp;BE$1+1)-SUMIFS(movements!$H:$H,movements!$E:$E,$A6,movements!$D:$D,"ISSUE",movements!$C:$C,"&lt;"&amp;BE$1+1)</f>
        <v>78</v>
      </c>
      <c r="BF6">
        <f>SUMIFS(movements!$H:$H,movements!$E:$E,$A6,movements!$D:$D,"OPENING",movements!$C:$C,"&lt;"&amp;BF$1+1)+SUMIFS(movements!$H:$H,movements!$E:$E,$A6,movements!$D:$D,"RECEIPT",movements!$C:$C,"&lt;"&amp;BF$1+1)-SUMIFS(movements!$H:$H,movements!$E:$E,$A6,movements!$D:$D,"ISSUE",movements!$C:$C,"&lt;"&amp;BF$1+1)</f>
        <v>150</v>
      </c>
      <c r="BG6">
        <f>SUMIFS(movements!$H:$H,movements!$E:$E,$A6,movements!$D:$D,"OPENING",movements!$C:$C,"&lt;"&amp;BG$1+1)+SUMIFS(movements!$H:$H,movements!$E:$E,$A6,movements!$D:$D,"RECEIPT",movements!$C:$C,"&lt;"&amp;BG$1+1)-SUMIFS(movements!$H:$H,movements!$E:$E,$A6,movements!$D:$D,"ISSUE",movements!$C:$C,"&lt;"&amp;BG$1+1)</f>
        <v>141</v>
      </c>
      <c r="BH6">
        <f>SUMIFS(movements!$H:$H,movements!$E:$E,$A6,movements!$D:$D,"OPENING",movements!$C:$C,"&lt;"&amp;BH$1+1)+SUMIFS(movements!$H:$H,movements!$E:$E,$A6,movements!$D:$D,"RECEIPT",movements!$C:$C,"&lt;"&amp;BH$1+1)-SUMIFS(movements!$H:$H,movements!$E:$E,$A6,movements!$D:$D,"ISSUE",movements!$C:$C,"&lt;"&amp;BH$1+1)</f>
        <v>125</v>
      </c>
      <c r="BI6">
        <f>SUMIFS(movements!$H:$H,movements!$E:$E,$A6,movements!$D:$D,"OPENING",movements!$C:$C,"&lt;"&amp;BI$1+1)+SUMIFS(movements!$H:$H,movements!$E:$E,$A6,movements!$D:$D,"RECEIPT",movements!$C:$C,"&lt;"&amp;BI$1+1)-SUMIFS(movements!$H:$H,movements!$E:$E,$A6,movements!$D:$D,"ISSUE",movements!$C:$C,"&lt;"&amp;BI$1+1)</f>
        <v>114</v>
      </c>
      <c r="BJ6">
        <f>SUMIFS(movements!$H:$H,movements!$E:$E,$A6,movements!$D:$D,"OPENING",movements!$C:$C,"&lt;"&amp;BJ$1+1)+SUMIFS(movements!$H:$H,movements!$E:$E,$A6,movements!$D:$D,"RECEIPT",movements!$C:$C,"&lt;"&amp;BJ$1+1)-SUMIFS(movements!$H:$H,movements!$E:$E,$A6,movements!$D:$D,"ISSUE",movements!$C:$C,"&lt;"&amp;BJ$1+1)</f>
        <v>95</v>
      </c>
      <c r="BK6">
        <f>SUMIFS(movements!$H:$H,movements!$E:$E,$A6,movements!$D:$D,"OPENING",movements!$C:$C,"&lt;"&amp;BK$1+1)+SUMIFS(movements!$H:$H,movements!$E:$E,$A6,movements!$D:$D,"RECEIPT",movements!$C:$C,"&lt;"&amp;BK$1+1)-SUMIFS(movements!$H:$H,movements!$E:$E,$A6,movements!$D:$D,"ISSUE",movements!$C:$C,"&lt;"&amp;BK$1+1)</f>
        <v>82</v>
      </c>
      <c r="BL6">
        <f>SUMIFS(movements!$H:$H,movements!$E:$E,$A6,movements!$D:$D,"OPENING",movements!$C:$C,"&lt;"&amp;BL$1+1)+SUMIFS(movements!$H:$H,movements!$E:$E,$A6,movements!$D:$D,"RECEIPT",movements!$C:$C,"&lt;"&amp;BL$1+1)-SUMIFS(movements!$H:$H,movements!$E:$E,$A6,movements!$D:$D,"ISSUE",movements!$C:$C,"&lt;"&amp;BL$1+1)</f>
        <v>78</v>
      </c>
      <c r="BM6">
        <f>SUMIFS(movements!$H:$H,movements!$E:$E,$A6,movements!$D:$D,"OPENING",movements!$C:$C,"&lt;"&amp;BM$1+1)+SUMIFS(movements!$H:$H,movements!$E:$E,$A6,movements!$D:$D,"RECEIPT",movements!$C:$C,"&lt;"&amp;BM$1+1)-SUMIFS(movements!$H:$H,movements!$E:$E,$A6,movements!$D:$D,"ISSUE",movements!$C:$C,"&lt;"&amp;BM$1+1)</f>
        <v>151</v>
      </c>
      <c r="BN6">
        <f>SUMIFS(movements!$H:$H,movements!$E:$E,$A6,movements!$D:$D,"OPENING",movements!$C:$C,"&lt;"&amp;BN$1+1)+SUMIFS(movements!$H:$H,movements!$E:$E,$A6,movements!$D:$D,"RECEIPT",movements!$C:$C,"&lt;"&amp;BN$1+1)-SUMIFS(movements!$H:$H,movements!$E:$E,$A6,movements!$D:$D,"ISSUE",movements!$C:$C,"&lt;"&amp;BN$1+1)</f>
        <v>135</v>
      </c>
      <c r="BO6">
        <f>SUMIFS(movements!$H:$H,movements!$E:$E,$A6,movements!$D:$D,"OPENING",movements!$C:$C,"&lt;"&amp;BO$1+1)+SUMIFS(movements!$H:$H,movements!$E:$E,$A6,movements!$D:$D,"RECEIPT",movements!$C:$C,"&lt;"&amp;BO$1+1)-SUMIFS(movements!$H:$H,movements!$E:$E,$A6,movements!$D:$D,"ISSUE",movements!$C:$C,"&lt;"&amp;BO$1+1)</f>
        <v>130</v>
      </c>
      <c r="BP6">
        <f>SUMIFS(movements!$H:$H,movements!$E:$E,$A6,movements!$D:$D,"OPENING",movements!$C:$C,"&lt;"&amp;BP$1+1)+SUMIFS(movements!$H:$H,movements!$E:$E,$A6,movements!$D:$D,"RECEIPT",movements!$C:$C,"&lt;"&amp;BP$1+1)-SUMIFS(movements!$H:$H,movements!$E:$E,$A6,movements!$D:$D,"ISSUE",movements!$C:$C,"&lt;"&amp;BP$1+1)</f>
        <v>121</v>
      </c>
      <c r="BQ6">
        <f>SUMIFS(movements!$H:$H,movements!$E:$E,$A6,movements!$D:$D,"OPENING",movements!$C:$C,"&lt;"&amp;BQ$1+1)+SUMIFS(movements!$H:$H,movements!$E:$E,$A6,movements!$D:$D,"RECEIPT",movements!$C:$C,"&lt;"&amp;BQ$1+1)-SUMIFS(movements!$H:$H,movements!$E:$E,$A6,movements!$D:$D,"ISSUE",movements!$C:$C,"&lt;"&amp;BQ$1+1)</f>
        <v>109</v>
      </c>
      <c r="BR6">
        <f>SUMIFS(movements!$H:$H,movements!$E:$E,$A6,movements!$D:$D,"OPENING",movements!$C:$C,"&lt;"&amp;BR$1+1)+SUMIFS(movements!$H:$H,movements!$E:$E,$A6,movements!$D:$D,"RECEIPT",movements!$C:$C,"&lt;"&amp;BR$1+1)-SUMIFS(movements!$H:$H,movements!$E:$E,$A6,movements!$D:$D,"ISSUE",movements!$C:$C,"&lt;"&amp;BR$1+1)</f>
        <v>99</v>
      </c>
      <c r="BS6">
        <f>SUMIFS(movements!$H:$H,movements!$E:$E,$A6,movements!$D:$D,"OPENING",movements!$C:$C,"&lt;"&amp;BS$1+1)+SUMIFS(movements!$H:$H,movements!$E:$E,$A6,movements!$D:$D,"RECEIPT",movements!$C:$C,"&lt;"&amp;BS$1+1)-SUMIFS(movements!$H:$H,movements!$E:$E,$A6,movements!$D:$D,"ISSUE",movements!$C:$C,"&lt;"&amp;BS$1+1)</f>
        <v>88</v>
      </c>
      <c r="BT6">
        <f>SUMIFS(movements!$H:$H,movements!$E:$E,$A6,movements!$D:$D,"OPENING",movements!$C:$C,"&lt;"&amp;BT$1+1)+SUMIFS(movements!$H:$H,movements!$E:$E,$A6,movements!$D:$D,"RECEIPT",movements!$C:$C,"&lt;"&amp;BT$1+1)-SUMIFS(movements!$H:$H,movements!$E:$E,$A6,movements!$D:$D,"ISSUE",movements!$C:$C,"&lt;"&amp;BT$1+1)</f>
        <v>152</v>
      </c>
      <c r="BU6">
        <f>SUMIFS(movements!$H:$H,movements!$E:$E,$A6,movements!$D:$D,"OPENING",movements!$C:$C,"&lt;"&amp;BU$1+1)+SUMIFS(movements!$H:$H,movements!$E:$E,$A6,movements!$D:$D,"RECEIPT",movements!$C:$C,"&lt;"&amp;BU$1+1)-SUMIFS(movements!$H:$H,movements!$E:$E,$A6,movements!$D:$D,"ISSUE",movements!$C:$C,"&lt;"&amp;BU$1+1)</f>
        <v>150</v>
      </c>
      <c r="BV6">
        <f>SUMIFS(movements!$H:$H,movements!$E:$E,$A6,movements!$D:$D,"OPENING",movements!$C:$C,"&lt;"&amp;BV$1+1)+SUMIFS(movements!$H:$H,movements!$E:$E,$A6,movements!$D:$D,"RECEIPT",movements!$C:$C,"&lt;"&amp;BV$1+1)-SUMIFS(movements!$H:$H,movements!$E:$E,$A6,movements!$D:$D,"ISSUE",movements!$C:$C,"&lt;"&amp;BV$1+1)</f>
        <v>137</v>
      </c>
      <c r="BW6">
        <f>SUMIFS(movements!$H:$H,movements!$E:$E,$A6,movements!$D:$D,"OPENING",movements!$C:$C,"&lt;"&amp;BW$1+1)+SUMIFS(movements!$H:$H,movements!$E:$E,$A6,movements!$D:$D,"RECEIPT",movements!$C:$C,"&lt;"&amp;BW$1+1)-SUMIFS(movements!$H:$H,movements!$E:$E,$A6,movements!$D:$D,"ISSUE",movements!$C:$C,"&lt;"&amp;BW$1+1)</f>
        <v>121</v>
      </c>
      <c r="BX6">
        <f>SUMIFS(movements!$H:$H,movements!$E:$E,$A6,movements!$D:$D,"OPENING",movements!$C:$C,"&lt;"&amp;BX$1+1)+SUMIFS(movements!$H:$H,movements!$E:$E,$A6,movements!$D:$D,"RECEIPT",movements!$C:$C,"&lt;"&amp;BX$1+1)-SUMIFS(movements!$H:$H,movements!$E:$E,$A6,movements!$D:$D,"ISSUE",movements!$C:$C,"&lt;"&amp;BX$1+1)</f>
        <v>107</v>
      </c>
      <c r="BY6">
        <f>SUMIFS(movements!$H:$H,movements!$E:$E,$A6,movements!$D:$D,"OPENING",movements!$C:$C,"&lt;"&amp;BY$1+1)+SUMIFS(movements!$H:$H,movements!$E:$E,$A6,movements!$D:$D,"RECEIPT",movements!$C:$C,"&lt;"&amp;BY$1+1)-SUMIFS(movements!$H:$H,movements!$E:$E,$A6,movements!$D:$D,"ISSUE",movements!$C:$C,"&lt;"&amp;BY$1+1)</f>
        <v>100</v>
      </c>
      <c r="BZ6">
        <f>SUMIFS(movements!$H:$H,movements!$E:$E,$A6,movements!$D:$D,"OPENING",movements!$C:$C,"&lt;"&amp;BZ$1+1)+SUMIFS(movements!$H:$H,movements!$E:$E,$A6,movements!$D:$D,"RECEIPT",movements!$C:$C,"&lt;"&amp;BZ$1+1)-SUMIFS(movements!$H:$H,movements!$E:$E,$A6,movements!$D:$D,"ISSUE",movements!$C:$C,"&lt;"&amp;BZ$1+1)</f>
        <v>94</v>
      </c>
      <c r="CA6">
        <f>SUMIFS(movements!$H:$H,movements!$E:$E,$A6,movements!$D:$D,"OPENING",movements!$C:$C,"&lt;"&amp;CA$1+1)+SUMIFS(movements!$H:$H,movements!$E:$E,$A6,movements!$D:$D,"RECEIPT",movements!$C:$C,"&lt;"&amp;CA$1+1)-SUMIFS(movements!$H:$H,movements!$E:$E,$A6,movements!$D:$D,"ISSUE",movements!$C:$C,"&lt;"&amp;CA$1+1)</f>
        <v>160</v>
      </c>
      <c r="CB6">
        <f>SUMIFS(movements!$H:$H,movements!$E:$E,$A6,movements!$D:$D,"OPENING",movements!$C:$C,"&lt;"&amp;CB$1+1)+SUMIFS(movements!$H:$H,movements!$E:$E,$A6,movements!$D:$D,"RECEIPT",movements!$C:$C,"&lt;"&amp;CB$1+1)-SUMIFS(movements!$H:$H,movements!$E:$E,$A6,movements!$D:$D,"ISSUE",movements!$C:$C,"&lt;"&amp;CB$1+1)</f>
        <v>152</v>
      </c>
      <c r="CC6">
        <f>SUMIFS(movements!$H:$H,movements!$E:$E,$A6,movements!$D:$D,"OPENING",movements!$C:$C,"&lt;"&amp;CC$1+1)+SUMIFS(movements!$H:$H,movements!$E:$E,$A6,movements!$D:$D,"RECEIPT",movements!$C:$C,"&lt;"&amp;CC$1+1)-SUMIFS(movements!$H:$H,movements!$E:$E,$A6,movements!$D:$D,"ISSUE",movements!$C:$C,"&lt;"&amp;CC$1+1)</f>
        <v>147</v>
      </c>
      <c r="CD6">
        <f>SUMIFS(movements!$H:$H,movements!$E:$E,$A6,movements!$D:$D,"OPENING",movements!$C:$C,"&lt;"&amp;CD$1+1)+SUMIFS(movements!$H:$H,movements!$E:$E,$A6,movements!$D:$D,"RECEIPT",movements!$C:$C,"&lt;"&amp;CD$1+1)-SUMIFS(movements!$H:$H,movements!$E:$E,$A6,movements!$D:$D,"ISSUE",movements!$C:$C,"&lt;"&amp;CD$1+1)</f>
        <v>136</v>
      </c>
      <c r="CE6">
        <f>SUMIFS(movements!$H:$H,movements!$E:$E,$A6,movements!$D:$D,"OPENING",movements!$C:$C,"&lt;"&amp;CE$1+1)+SUMIFS(movements!$H:$H,movements!$E:$E,$A6,movements!$D:$D,"RECEIPT",movements!$C:$C,"&lt;"&amp;CE$1+1)-SUMIFS(movements!$H:$H,movements!$E:$E,$A6,movements!$D:$D,"ISSUE",movements!$C:$C,"&lt;"&amp;CE$1+1)</f>
        <v>127</v>
      </c>
      <c r="CF6">
        <f>SUMIFS(movements!$H:$H,movements!$E:$E,$A6,movements!$D:$D,"OPENING",movements!$C:$C,"&lt;"&amp;CF$1+1)+SUMIFS(movements!$H:$H,movements!$E:$E,$A6,movements!$D:$D,"RECEIPT",movements!$C:$C,"&lt;"&amp;CF$1+1)-SUMIFS(movements!$H:$H,movements!$E:$E,$A6,movements!$D:$D,"ISSUE",movements!$C:$C,"&lt;"&amp;CF$1+1)</f>
        <v>108</v>
      </c>
      <c r="CG6">
        <f>SUMIFS(movements!$H:$H,movements!$E:$E,$A6,movements!$D:$D,"OPENING",movements!$C:$C,"&lt;"&amp;CG$1+1)+SUMIFS(movements!$H:$H,movements!$E:$E,$A6,movements!$D:$D,"RECEIPT",movements!$C:$C,"&lt;"&amp;CG$1+1)-SUMIFS(movements!$H:$H,movements!$E:$E,$A6,movements!$D:$D,"ISSUE",movements!$C:$C,"&lt;"&amp;CG$1+1)</f>
        <v>101</v>
      </c>
      <c r="CH6">
        <f>SUMIFS(movements!$H:$H,movements!$E:$E,$A6,movements!$D:$D,"OPENING",movements!$C:$C,"&lt;"&amp;CH$1+1)+SUMIFS(movements!$H:$H,movements!$E:$E,$A6,movements!$D:$D,"RECEIPT",movements!$C:$C,"&lt;"&amp;CH$1+1)-SUMIFS(movements!$H:$H,movements!$E:$E,$A6,movements!$D:$D,"ISSUE",movements!$C:$C,"&lt;"&amp;CH$1+1)</f>
        <v>160</v>
      </c>
      <c r="CI6">
        <f>SUMIFS(movements!$H:$H,movements!$E:$E,$A6,movements!$D:$D,"OPENING",movements!$C:$C,"&lt;"&amp;CI$1+1)+SUMIFS(movements!$H:$H,movements!$E:$E,$A6,movements!$D:$D,"RECEIPT",movements!$C:$C,"&lt;"&amp;CI$1+1)-SUMIFS(movements!$H:$H,movements!$E:$E,$A6,movements!$D:$D,"ISSUE",movements!$C:$C,"&lt;"&amp;CI$1+1)</f>
        <v>152</v>
      </c>
      <c r="CJ6">
        <f>SUMIFS(movements!$H:$H,movements!$E:$E,$A6,movements!$D:$D,"OPENING",movements!$C:$C,"&lt;"&amp;CJ$1+1)+SUMIFS(movements!$H:$H,movements!$E:$E,$A6,movements!$D:$D,"RECEIPT",movements!$C:$C,"&lt;"&amp;CJ$1+1)-SUMIFS(movements!$H:$H,movements!$E:$E,$A6,movements!$D:$D,"ISSUE",movements!$C:$C,"&lt;"&amp;CJ$1+1)</f>
        <v>143</v>
      </c>
      <c r="CK6">
        <f>SUMIFS(movements!$H:$H,movements!$E:$E,$A6,movements!$D:$D,"OPENING",movements!$C:$C,"&lt;"&amp;CK$1+1)+SUMIFS(movements!$H:$H,movements!$E:$E,$A6,movements!$D:$D,"RECEIPT",movements!$C:$C,"&lt;"&amp;CK$1+1)-SUMIFS(movements!$H:$H,movements!$E:$E,$A6,movements!$D:$D,"ISSUE",movements!$C:$C,"&lt;"&amp;CK$1+1)</f>
        <v>135</v>
      </c>
      <c r="CL6">
        <f>SUMIFS(movements!$H:$H,movements!$E:$E,$A6,movements!$D:$D,"OPENING",movements!$C:$C,"&lt;"&amp;CL$1+1)+SUMIFS(movements!$H:$H,movements!$E:$E,$A6,movements!$D:$D,"RECEIPT",movements!$C:$C,"&lt;"&amp;CL$1+1)-SUMIFS(movements!$H:$H,movements!$E:$E,$A6,movements!$D:$D,"ISSUE",movements!$C:$C,"&lt;"&amp;CL$1+1)</f>
        <v>126</v>
      </c>
      <c r="CM6">
        <f>SUMIFS(movements!$H:$H,movements!$E:$E,$A6,movements!$D:$D,"OPENING",movements!$C:$C,"&lt;"&amp;CM$1+1)+SUMIFS(movements!$H:$H,movements!$E:$E,$A6,movements!$D:$D,"RECEIPT",movements!$C:$C,"&lt;"&amp;CM$1+1)-SUMIFS(movements!$H:$H,movements!$E:$E,$A6,movements!$D:$D,"ISSUE",movements!$C:$C,"&lt;"&amp;CM$1+1)</f>
        <v>122</v>
      </c>
      <c r="CN6">
        <f t="shared" si="2"/>
        <v>102.87777777777778</v>
      </c>
      <c r="CO6">
        <f>SUMIFS(movements!$H:$H,movements!$E:$E,$A6,movements!$D:$D,"ISSUE",movements!$C:$C,"&gt;="&amp;$B$1,movements!$C:$C,"&lt;"&amp;($CM$1+1))</f>
        <v>903</v>
      </c>
      <c r="CP6">
        <f t="shared" si="3"/>
        <v>8.7774057673614863</v>
      </c>
      <c r="CQ6">
        <f t="shared" si="4"/>
        <v>10.25359911406423</v>
      </c>
    </row>
    <row r="7" spans="1:95" x14ac:dyDescent="0.25">
      <c r="A7" t="s">
        <v>26</v>
      </c>
      <c r="B7">
        <f>SUMIFS(movements!$H:$H,movements!$E:$E,$A7,movements!$D:$D,"OPENING",movements!$C:$C,"&lt;"&amp;B$1+1)+SUMIFS(movements!$H:$H,movements!$E:$E,$A7,movements!$D:$D,"RECEIPT",movements!$C:$C,"&lt;"&amp;B$1+1)-SUMIFS(movements!$H:$H,movements!$E:$E,$A7,movements!$D:$D,"ISSUE",movements!$C:$C,"&lt;"&amp;B$1+1)</f>
        <v>73</v>
      </c>
      <c r="C7">
        <f>SUMIFS(movements!$H:$H,movements!$E:$E,$A7,movements!$D:$D,"OPENING",movements!$C:$C,"&lt;"&amp;C$1+1)+SUMIFS(movements!$H:$H,movements!$E:$E,$A7,movements!$D:$D,"RECEIPT",movements!$C:$C,"&lt;"&amp;C$1+1)-SUMIFS(movements!$H:$H,movements!$E:$E,$A7,movements!$D:$D,"ISSUE",movements!$C:$C,"&lt;"&amp;C$1+1)</f>
        <v>65</v>
      </c>
      <c r="D7">
        <f>SUMIFS(movements!$H:$H,movements!$E:$E,$A7,movements!$D:$D,"OPENING",movements!$C:$C,"&lt;"&amp;D$1+1)+SUMIFS(movements!$H:$H,movements!$E:$E,$A7,movements!$D:$D,"RECEIPT",movements!$C:$C,"&lt;"&amp;D$1+1)-SUMIFS(movements!$H:$H,movements!$E:$E,$A7,movements!$D:$D,"ISSUE",movements!$C:$C,"&lt;"&amp;D$1+1)</f>
        <v>62</v>
      </c>
      <c r="E7">
        <f>SUMIFS(movements!$H:$H,movements!$E:$E,$A7,movements!$D:$D,"OPENING",movements!$C:$C,"&lt;"&amp;E$1+1)+SUMIFS(movements!$H:$H,movements!$E:$E,$A7,movements!$D:$D,"RECEIPT",movements!$C:$C,"&lt;"&amp;E$1+1)-SUMIFS(movements!$H:$H,movements!$E:$E,$A7,movements!$D:$D,"ISSUE",movements!$C:$C,"&lt;"&amp;E$1+1)</f>
        <v>51</v>
      </c>
      <c r="F7">
        <f>SUMIFS(movements!$H:$H,movements!$E:$E,$A7,movements!$D:$D,"OPENING",movements!$C:$C,"&lt;"&amp;F$1+1)+SUMIFS(movements!$H:$H,movements!$E:$E,$A7,movements!$D:$D,"RECEIPT",movements!$C:$C,"&lt;"&amp;F$1+1)-SUMIFS(movements!$H:$H,movements!$E:$E,$A7,movements!$D:$D,"ISSUE",movements!$C:$C,"&lt;"&amp;F$1+1)</f>
        <v>38</v>
      </c>
      <c r="G7">
        <f>SUMIFS(movements!$H:$H,movements!$E:$E,$A7,movements!$D:$D,"OPENING",movements!$C:$C,"&lt;"&amp;G$1+1)+SUMIFS(movements!$H:$H,movements!$E:$E,$A7,movements!$D:$D,"RECEIPT",movements!$C:$C,"&lt;"&amp;G$1+1)-SUMIFS(movements!$H:$H,movements!$E:$E,$A7,movements!$D:$D,"ISSUE",movements!$C:$C,"&lt;"&amp;G$1+1)</f>
        <v>28</v>
      </c>
      <c r="H7">
        <f>SUMIFS(movements!$H:$H,movements!$E:$E,$A7,movements!$D:$D,"OPENING",movements!$C:$C,"&lt;"&amp;H$1+1)+SUMIFS(movements!$H:$H,movements!$E:$E,$A7,movements!$D:$D,"RECEIPT",movements!$C:$C,"&lt;"&amp;H$1+1)-SUMIFS(movements!$H:$H,movements!$E:$E,$A7,movements!$D:$D,"ISSUE",movements!$C:$C,"&lt;"&amp;H$1+1)</f>
        <v>18</v>
      </c>
      <c r="I7">
        <f>SUMIFS(movements!$H:$H,movements!$E:$E,$A7,movements!$D:$D,"OPENING",movements!$C:$C,"&lt;"&amp;I$1+1)+SUMIFS(movements!$H:$H,movements!$E:$E,$A7,movements!$D:$D,"RECEIPT",movements!$C:$C,"&lt;"&amp;I$1+1)-SUMIFS(movements!$H:$H,movements!$E:$E,$A7,movements!$D:$D,"ISSUE",movements!$C:$C,"&lt;"&amp;I$1+1)</f>
        <v>78</v>
      </c>
      <c r="J7">
        <f>SUMIFS(movements!$H:$H,movements!$E:$E,$A7,movements!$D:$D,"OPENING",movements!$C:$C,"&lt;"&amp;J$1+1)+SUMIFS(movements!$H:$H,movements!$E:$E,$A7,movements!$D:$D,"RECEIPT",movements!$C:$C,"&lt;"&amp;J$1+1)-SUMIFS(movements!$H:$H,movements!$E:$E,$A7,movements!$D:$D,"ISSUE",movements!$C:$C,"&lt;"&amp;J$1+1)</f>
        <v>70</v>
      </c>
      <c r="K7">
        <f>SUMIFS(movements!$H:$H,movements!$E:$E,$A7,movements!$D:$D,"OPENING",movements!$C:$C,"&lt;"&amp;K$1+1)+SUMIFS(movements!$H:$H,movements!$E:$E,$A7,movements!$D:$D,"RECEIPT",movements!$C:$C,"&lt;"&amp;K$1+1)-SUMIFS(movements!$H:$H,movements!$E:$E,$A7,movements!$D:$D,"ISSUE",movements!$C:$C,"&lt;"&amp;K$1+1)</f>
        <v>56</v>
      </c>
      <c r="L7">
        <f>SUMIFS(movements!$H:$H,movements!$E:$E,$A7,movements!$D:$D,"OPENING",movements!$C:$C,"&lt;"&amp;L$1+1)+SUMIFS(movements!$H:$H,movements!$E:$E,$A7,movements!$D:$D,"RECEIPT",movements!$C:$C,"&lt;"&amp;L$1+1)-SUMIFS(movements!$H:$H,movements!$E:$E,$A7,movements!$D:$D,"ISSUE",movements!$C:$C,"&lt;"&amp;L$1+1)</f>
        <v>52</v>
      </c>
      <c r="M7">
        <f>SUMIFS(movements!$H:$H,movements!$E:$E,$A7,movements!$D:$D,"OPENING",movements!$C:$C,"&lt;"&amp;M$1+1)+SUMIFS(movements!$H:$H,movements!$E:$E,$A7,movements!$D:$D,"RECEIPT",movements!$C:$C,"&lt;"&amp;M$1+1)-SUMIFS(movements!$H:$H,movements!$E:$E,$A7,movements!$D:$D,"ISSUE",movements!$C:$C,"&lt;"&amp;M$1+1)</f>
        <v>42</v>
      </c>
      <c r="N7">
        <f>SUMIFS(movements!$H:$H,movements!$E:$E,$A7,movements!$D:$D,"OPENING",movements!$C:$C,"&lt;"&amp;N$1+1)+SUMIFS(movements!$H:$H,movements!$E:$E,$A7,movements!$D:$D,"RECEIPT",movements!$C:$C,"&lt;"&amp;N$1+1)-SUMIFS(movements!$H:$H,movements!$E:$E,$A7,movements!$D:$D,"ISSUE",movements!$C:$C,"&lt;"&amp;N$1+1)</f>
        <v>36</v>
      </c>
      <c r="O7">
        <f>SUMIFS(movements!$H:$H,movements!$E:$E,$A7,movements!$D:$D,"OPENING",movements!$C:$C,"&lt;"&amp;O$1+1)+SUMIFS(movements!$H:$H,movements!$E:$E,$A7,movements!$D:$D,"RECEIPT",movements!$C:$C,"&lt;"&amp;O$1+1)-SUMIFS(movements!$H:$H,movements!$E:$E,$A7,movements!$D:$D,"ISSUE",movements!$C:$C,"&lt;"&amp;O$1+1)</f>
        <v>21</v>
      </c>
      <c r="P7">
        <f>SUMIFS(movements!$H:$H,movements!$E:$E,$A7,movements!$D:$D,"OPENING",movements!$C:$C,"&lt;"&amp;P$1+1)+SUMIFS(movements!$H:$H,movements!$E:$E,$A7,movements!$D:$D,"RECEIPT",movements!$C:$C,"&lt;"&amp;P$1+1)-SUMIFS(movements!$H:$H,movements!$E:$E,$A7,movements!$D:$D,"ISSUE",movements!$C:$C,"&lt;"&amp;P$1+1)</f>
        <v>88</v>
      </c>
      <c r="Q7">
        <f>SUMIFS(movements!$H:$H,movements!$E:$E,$A7,movements!$D:$D,"OPENING",movements!$C:$C,"&lt;"&amp;Q$1+1)+SUMIFS(movements!$H:$H,movements!$E:$E,$A7,movements!$D:$D,"RECEIPT",movements!$C:$C,"&lt;"&amp;Q$1+1)-SUMIFS(movements!$H:$H,movements!$E:$E,$A7,movements!$D:$D,"ISSUE",movements!$C:$C,"&lt;"&amp;Q$1+1)</f>
        <v>72</v>
      </c>
      <c r="R7">
        <f>SUMIFS(movements!$H:$H,movements!$E:$E,$A7,movements!$D:$D,"OPENING",movements!$C:$C,"&lt;"&amp;R$1+1)+SUMIFS(movements!$H:$H,movements!$E:$E,$A7,movements!$D:$D,"RECEIPT",movements!$C:$C,"&lt;"&amp;R$1+1)-SUMIFS(movements!$H:$H,movements!$E:$E,$A7,movements!$D:$D,"ISSUE",movements!$C:$C,"&lt;"&amp;R$1+1)</f>
        <v>70</v>
      </c>
      <c r="S7">
        <f>SUMIFS(movements!$H:$H,movements!$E:$E,$A7,movements!$D:$D,"OPENING",movements!$C:$C,"&lt;"&amp;S$1+1)+SUMIFS(movements!$H:$H,movements!$E:$E,$A7,movements!$D:$D,"RECEIPT",movements!$C:$C,"&lt;"&amp;S$1+1)-SUMIFS(movements!$H:$H,movements!$E:$E,$A7,movements!$D:$D,"ISSUE",movements!$C:$C,"&lt;"&amp;S$1+1)</f>
        <v>65</v>
      </c>
      <c r="T7">
        <f>SUMIFS(movements!$H:$H,movements!$E:$E,$A7,movements!$D:$D,"OPENING",movements!$C:$C,"&lt;"&amp;T$1+1)+SUMIFS(movements!$H:$H,movements!$E:$E,$A7,movements!$D:$D,"RECEIPT",movements!$C:$C,"&lt;"&amp;T$1+1)-SUMIFS(movements!$H:$H,movements!$E:$E,$A7,movements!$D:$D,"ISSUE",movements!$C:$C,"&lt;"&amp;T$1+1)</f>
        <v>48</v>
      </c>
      <c r="U7">
        <f>SUMIFS(movements!$H:$H,movements!$E:$E,$A7,movements!$D:$D,"OPENING",movements!$C:$C,"&lt;"&amp;U$1+1)+SUMIFS(movements!$H:$H,movements!$E:$E,$A7,movements!$D:$D,"RECEIPT",movements!$C:$C,"&lt;"&amp;U$1+1)-SUMIFS(movements!$H:$H,movements!$E:$E,$A7,movements!$D:$D,"ISSUE",movements!$C:$C,"&lt;"&amp;U$1+1)</f>
        <v>30</v>
      </c>
      <c r="V7">
        <f>SUMIFS(movements!$H:$H,movements!$E:$E,$A7,movements!$D:$D,"OPENING",movements!$C:$C,"&lt;"&amp;V$1+1)+SUMIFS(movements!$H:$H,movements!$E:$E,$A7,movements!$D:$D,"RECEIPT",movements!$C:$C,"&lt;"&amp;V$1+1)-SUMIFS(movements!$H:$H,movements!$E:$E,$A7,movements!$D:$D,"ISSUE",movements!$C:$C,"&lt;"&amp;V$1+1)</f>
        <v>22</v>
      </c>
      <c r="W7">
        <f>SUMIFS(movements!$H:$H,movements!$E:$E,$A7,movements!$D:$D,"OPENING",movements!$C:$C,"&lt;"&amp;W$1+1)+SUMIFS(movements!$H:$H,movements!$E:$E,$A7,movements!$D:$D,"RECEIPT",movements!$C:$C,"&lt;"&amp;W$1+1)-SUMIFS(movements!$H:$H,movements!$E:$E,$A7,movements!$D:$D,"ISSUE",movements!$C:$C,"&lt;"&amp;W$1+1)</f>
        <v>97</v>
      </c>
      <c r="X7">
        <f>SUMIFS(movements!$H:$H,movements!$E:$E,$A7,movements!$D:$D,"OPENING",movements!$C:$C,"&lt;"&amp;X$1+1)+SUMIFS(movements!$H:$H,movements!$E:$E,$A7,movements!$D:$D,"RECEIPT",movements!$C:$C,"&lt;"&amp;X$1+1)-SUMIFS(movements!$H:$H,movements!$E:$E,$A7,movements!$D:$D,"ISSUE",movements!$C:$C,"&lt;"&amp;X$1+1)</f>
        <v>79</v>
      </c>
      <c r="Y7">
        <f>SUMIFS(movements!$H:$H,movements!$E:$E,$A7,movements!$D:$D,"OPENING",movements!$C:$C,"&lt;"&amp;Y$1+1)+SUMIFS(movements!$H:$H,movements!$E:$E,$A7,movements!$D:$D,"RECEIPT",movements!$C:$C,"&lt;"&amp;Y$1+1)-SUMIFS(movements!$H:$H,movements!$E:$E,$A7,movements!$D:$D,"ISSUE",movements!$C:$C,"&lt;"&amp;Y$1+1)</f>
        <v>63</v>
      </c>
      <c r="Z7">
        <f>SUMIFS(movements!$H:$H,movements!$E:$E,$A7,movements!$D:$D,"OPENING",movements!$C:$C,"&lt;"&amp;Z$1+1)+SUMIFS(movements!$H:$H,movements!$E:$E,$A7,movements!$D:$D,"RECEIPT",movements!$C:$C,"&lt;"&amp;Z$1+1)-SUMIFS(movements!$H:$H,movements!$E:$E,$A7,movements!$D:$D,"ISSUE",movements!$C:$C,"&lt;"&amp;Z$1+1)</f>
        <v>52</v>
      </c>
      <c r="AA7">
        <f>SUMIFS(movements!$H:$H,movements!$E:$E,$A7,movements!$D:$D,"OPENING",movements!$C:$C,"&lt;"&amp;AA$1+1)+SUMIFS(movements!$H:$H,movements!$E:$E,$A7,movements!$D:$D,"RECEIPT",movements!$C:$C,"&lt;"&amp;AA$1+1)-SUMIFS(movements!$H:$H,movements!$E:$E,$A7,movements!$D:$D,"ISSUE",movements!$C:$C,"&lt;"&amp;AA$1+1)</f>
        <v>43</v>
      </c>
      <c r="AB7">
        <f>SUMIFS(movements!$H:$H,movements!$E:$E,$A7,movements!$D:$D,"OPENING",movements!$C:$C,"&lt;"&amp;AB$1+1)+SUMIFS(movements!$H:$H,movements!$E:$E,$A7,movements!$D:$D,"RECEIPT",movements!$C:$C,"&lt;"&amp;AB$1+1)-SUMIFS(movements!$H:$H,movements!$E:$E,$A7,movements!$D:$D,"ISSUE",movements!$C:$C,"&lt;"&amp;AB$1+1)</f>
        <v>20</v>
      </c>
      <c r="AC7">
        <f>SUMIFS(movements!$H:$H,movements!$E:$E,$A7,movements!$D:$D,"OPENING",movements!$C:$C,"&lt;"&amp;AC$1+1)+SUMIFS(movements!$H:$H,movements!$E:$E,$A7,movements!$D:$D,"RECEIPT",movements!$C:$C,"&lt;"&amp;AC$1+1)-SUMIFS(movements!$H:$H,movements!$E:$E,$A7,movements!$D:$D,"ISSUE",movements!$C:$C,"&lt;"&amp;AC$1+1)</f>
        <v>12</v>
      </c>
      <c r="AD7">
        <f>SUMIFS(movements!$H:$H,movements!$E:$E,$A7,movements!$D:$D,"OPENING",movements!$C:$C,"&lt;"&amp;AD$1+1)+SUMIFS(movements!$H:$H,movements!$E:$E,$A7,movements!$D:$D,"RECEIPT",movements!$C:$C,"&lt;"&amp;AD$1+1)-SUMIFS(movements!$H:$H,movements!$E:$E,$A7,movements!$D:$D,"ISSUE",movements!$C:$C,"&lt;"&amp;AD$1+1)</f>
        <v>77</v>
      </c>
      <c r="AE7">
        <f>SUMIFS(movements!$H:$H,movements!$E:$E,$A7,movements!$D:$D,"OPENING",movements!$C:$C,"&lt;"&amp;AE$1+1)+SUMIFS(movements!$H:$H,movements!$E:$E,$A7,movements!$D:$D,"RECEIPT",movements!$C:$C,"&lt;"&amp;AE$1+1)-SUMIFS(movements!$H:$H,movements!$E:$E,$A7,movements!$D:$D,"ISSUE",movements!$C:$C,"&lt;"&amp;AE$1+1)</f>
        <v>77</v>
      </c>
      <c r="AF7">
        <f>SUMIFS(movements!$H:$H,movements!$E:$E,$A7,movements!$D:$D,"OPENING",movements!$C:$C,"&lt;"&amp;AF$1+1)+SUMIFS(movements!$H:$H,movements!$E:$E,$A7,movements!$D:$D,"RECEIPT",movements!$C:$C,"&lt;"&amp;AF$1+1)-SUMIFS(movements!$H:$H,movements!$E:$E,$A7,movements!$D:$D,"ISSUE",movements!$C:$C,"&lt;"&amp;AF$1+1)</f>
        <v>77</v>
      </c>
      <c r="AG7">
        <f>SUMIFS(movements!$H:$H,movements!$E:$E,$A7,movements!$D:$D,"OPENING",movements!$C:$C,"&lt;"&amp;AG$1+1)+SUMIFS(movements!$H:$H,movements!$E:$E,$A7,movements!$D:$D,"RECEIPT",movements!$C:$C,"&lt;"&amp;AG$1+1)-SUMIFS(movements!$H:$H,movements!$E:$E,$A7,movements!$D:$D,"ISSUE",movements!$C:$C,"&lt;"&amp;AG$1+1)</f>
        <v>77</v>
      </c>
      <c r="AH7">
        <f>SUMIFS(movements!$H:$H,movements!$E:$E,$A7,movements!$D:$D,"OPENING",movements!$C:$C,"&lt;"&amp;AH$1+1)+SUMIFS(movements!$H:$H,movements!$E:$E,$A7,movements!$D:$D,"RECEIPT",movements!$C:$C,"&lt;"&amp;AH$1+1)-SUMIFS(movements!$H:$H,movements!$E:$E,$A7,movements!$D:$D,"ISSUE",movements!$C:$C,"&lt;"&amp;AH$1+1)</f>
        <v>77</v>
      </c>
      <c r="AI7">
        <f>SUMIFS(movements!$H:$H,movements!$E:$E,$A7,movements!$D:$D,"OPENING",movements!$C:$C,"&lt;"&amp;AI$1+1)+SUMIFS(movements!$H:$H,movements!$E:$E,$A7,movements!$D:$D,"RECEIPT",movements!$C:$C,"&lt;"&amp;AI$1+1)-SUMIFS(movements!$H:$H,movements!$E:$E,$A7,movements!$D:$D,"ISSUE",movements!$C:$C,"&lt;"&amp;AI$1+1)</f>
        <v>77</v>
      </c>
      <c r="AJ7">
        <f>SUMIFS(movements!$H:$H,movements!$E:$E,$A7,movements!$D:$D,"OPENING",movements!$C:$C,"&lt;"&amp;AJ$1+1)+SUMIFS(movements!$H:$H,movements!$E:$E,$A7,movements!$D:$D,"RECEIPT",movements!$C:$C,"&lt;"&amp;AJ$1+1)-SUMIFS(movements!$H:$H,movements!$E:$E,$A7,movements!$D:$D,"ISSUE",movements!$C:$C,"&lt;"&amp;AJ$1+1)</f>
        <v>77</v>
      </c>
      <c r="AK7">
        <f>SUMIFS(movements!$H:$H,movements!$E:$E,$A7,movements!$D:$D,"OPENING",movements!$C:$C,"&lt;"&amp;AK$1+1)+SUMIFS(movements!$H:$H,movements!$E:$E,$A7,movements!$D:$D,"RECEIPT",movements!$C:$C,"&lt;"&amp;AK$1+1)-SUMIFS(movements!$H:$H,movements!$E:$E,$A7,movements!$D:$D,"ISSUE",movements!$C:$C,"&lt;"&amp;AK$1+1)</f>
        <v>146</v>
      </c>
      <c r="AL7">
        <f>SUMIFS(movements!$H:$H,movements!$E:$E,$A7,movements!$D:$D,"OPENING",movements!$C:$C,"&lt;"&amp;AL$1+1)+SUMIFS(movements!$H:$H,movements!$E:$E,$A7,movements!$D:$D,"RECEIPT",movements!$C:$C,"&lt;"&amp;AL$1+1)-SUMIFS(movements!$H:$H,movements!$E:$E,$A7,movements!$D:$D,"ISSUE",movements!$C:$C,"&lt;"&amp;AL$1+1)</f>
        <v>126</v>
      </c>
      <c r="AM7">
        <f>SUMIFS(movements!$H:$H,movements!$E:$E,$A7,movements!$D:$D,"OPENING",movements!$C:$C,"&lt;"&amp;AM$1+1)+SUMIFS(movements!$H:$H,movements!$E:$E,$A7,movements!$D:$D,"RECEIPT",movements!$C:$C,"&lt;"&amp;AM$1+1)-SUMIFS(movements!$H:$H,movements!$E:$E,$A7,movements!$D:$D,"ISSUE",movements!$C:$C,"&lt;"&amp;AM$1+1)</f>
        <v>110</v>
      </c>
      <c r="AN7">
        <f>SUMIFS(movements!$H:$H,movements!$E:$E,$A7,movements!$D:$D,"OPENING",movements!$C:$C,"&lt;"&amp;AN$1+1)+SUMIFS(movements!$H:$H,movements!$E:$E,$A7,movements!$D:$D,"RECEIPT",movements!$C:$C,"&lt;"&amp;AN$1+1)-SUMIFS(movements!$H:$H,movements!$E:$E,$A7,movements!$D:$D,"ISSUE",movements!$C:$C,"&lt;"&amp;AN$1+1)</f>
        <v>105</v>
      </c>
      <c r="AO7">
        <f>SUMIFS(movements!$H:$H,movements!$E:$E,$A7,movements!$D:$D,"OPENING",movements!$C:$C,"&lt;"&amp;AO$1+1)+SUMIFS(movements!$H:$H,movements!$E:$E,$A7,movements!$D:$D,"RECEIPT",movements!$C:$C,"&lt;"&amp;AO$1+1)-SUMIFS(movements!$H:$H,movements!$E:$E,$A7,movements!$D:$D,"ISSUE",movements!$C:$C,"&lt;"&amp;AO$1+1)</f>
        <v>83</v>
      </c>
      <c r="AP7">
        <f>SUMIFS(movements!$H:$H,movements!$E:$E,$A7,movements!$D:$D,"OPENING",movements!$C:$C,"&lt;"&amp;AP$1+1)+SUMIFS(movements!$H:$H,movements!$E:$E,$A7,movements!$D:$D,"RECEIPT",movements!$C:$C,"&lt;"&amp;AP$1+1)-SUMIFS(movements!$H:$H,movements!$E:$E,$A7,movements!$D:$D,"ISSUE",movements!$C:$C,"&lt;"&amp;AP$1+1)</f>
        <v>77</v>
      </c>
      <c r="AQ7">
        <f>SUMIFS(movements!$H:$H,movements!$E:$E,$A7,movements!$D:$D,"OPENING",movements!$C:$C,"&lt;"&amp;AQ$1+1)+SUMIFS(movements!$H:$H,movements!$E:$E,$A7,movements!$D:$D,"RECEIPT",movements!$C:$C,"&lt;"&amp;AQ$1+1)-SUMIFS(movements!$H:$H,movements!$E:$E,$A7,movements!$D:$D,"ISSUE",movements!$C:$C,"&lt;"&amp;AQ$1+1)</f>
        <v>77</v>
      </c>
      <c r="AR7">
        <f>SUMIFS(movements!$H:$H,movements!$E:$E,$A7,movements!$D:$D,"OPENING",movements!$C:$C,"&lt;"&amp;AR$1+1)+SUMIFS(movements!$H:$H,movements!$E:$E,$A7,movements!$D:$D,"RECEIPT",movements!$C:$C,"&lt;"&amp;AR$1+1)-SUMIFS(movements!$H:$H,movements!$E:$E,$A7,movements!$D:$D,"ISSUE",movements!$C:$C,"&lt;"&amp;AR$1+1)</f>
        <v>157</v>
      </c>
      <c r="AS7">
        <f>SUMIFS(movements!$H:$H,movements!$E:$E,$A7,movements!$D:$D,"OPENING",movements!$C:$C,"&lt;"&amp;AS$1+1)+SUMIFS(movements!$H:$H,movements!$E:$E,$A7,movements!$D:$D,"RECEIPT",movements!$C:$C,"&lt;"&amp;AS$1+1)-SUMIFS(movements!$H:$H,movements!$E:$E,$A7,movements!$D:$D,"ISSUE",movements!$C:$C,"&lt;"&amp;AS$1+1)</f>
        <v>136</v>
      </c>
      <c r="AT7">
        <f>SUMIFS(movements!$H:$H,movements!$E:$E,$A7,movements!$D:$D,"OPENING",movements!$C:$C,"&lt;"&amp;AT$1+1)+SUMIFS(movements!$H:$H,movements!$E:$E,$A7,movements!$D:$D,"RECEIPT",movements!$C:$C,"&lt;"&amp;AT$1+1)-SUMIFS(movements!$H:$H,movements!$E:$E,$A7,movements!$D:$D,"ISSUE",movements!$C:$C,"&lt;"&amp;AT$1+1)</f>
        <v>118</v>
      </c>
      <c r="AU7">
        <f>SUMIFS(movements!$H:$H,movements!$E:$E,$A7,movements!$D:$D,"OPENING",movements!$C:$C,"&lt;"&amp;AU$1+1)+SUMIFS(movements!$H:$H,movements!$E:$E,$A7,movements!$D:$D,"RECEIPT",movements!$C:$C,"&lt;"&amp;AU$1+1)-SUMIFS(movements!$H:$H,movements!$E:$E,$A7,movements!$D:$D,"ISSUE",movements!$C:$C,"&lt;"&amp;AU$1+1)</f>
        <v>113</v>
      </c>
      <c r="AV7">
        <f>SUMIFS(movements!$H:$H,movements!$E:$E,$A7,movements!$D:$D,"OPENING",movements!$C:$C,"&lt;"&amp;AV$1+1)+SUMIFS(movements!$H:$H,movements!$E:$E,$A7,movements!$D:$D,"RECEIPT",movements!$C:$C,"&lt;"&amp;AV$1+1)-SUMIFS(movements!$H:$H,movements!$E:$E,$A7,movements!$D:$D,"ISSUE",movements!$C:$C,"&lt;"&amp;AV$1+1)</f>
        <v>103</v>
      </c>
      <c r="AW7">
        <f>SUMIFS(movements!$H:$H,movements!$E:$E,$A7,movements!$D:$D,"OPENING",movements!$C:$C,"&lt;"&amp;AW$1+1)+SUMIFS(movements!$H:$H,movements!$E:$E,$A7,movements!$D:$D,"RECEIPT",movements!$C:$C,"&lt;"&amp;AW$1+1)-SUMIFS(movements!$H:$H,movements!$E:$E,$A7,movements!$D:$D,"ISSUE",movements!$C:$C,"&lt;"&amp;AW$1+1)</f>
        <v>91</v>
      </c>
      <c r="AX7">
        <f>SUMIFS(movements!$H:$H,movements!$E:$E,$A7,movements!$D:$D,"OPENING",movements!$C:$C,"&lt;"&amp;AX$1+1)+SUMIFS(movements!$H:$H,movements!$E:$E,$A7,movements!$D:$D,"RECEIPT",movements!$C:$C,"&lt;"&amp;AX$1+1)-SUMIFS(movements!$H:$H,movements!$E:$E,$A7,movements!$D:$D,"ISSUE",movements!$C:$C,"&lt;"&amp;AX$1+1)</f>
        <v>84</v>
      </c>
      <c r="AY7">
        <f>SUMIFS(movements!$H:$H,movements!$E:$E,$A7,movements!$D:$D,"OPENING",movements!$C:$C,"&lt;"&amp;AY$1+1)+SUMIFS(movements!$H:$H,movements!$E:$E,$A7,movements!$D:$D,"RECEIPT",movements!$C:$C,"&lt;"&amp;AY$1+1)-SUMIFS(movements!$H:$H,movements!$E:$E,$A7,movements!$D:$D,"ISSUE",movements!$C:$C,"&lt;"&amp;AY$1+1)</f>
        <v>164</v>
      </c>
      <c r="AZ7">
        <f>SUMIFS(movements!$H:$H,movements!$E:$E,$A7,movements!$D:$D,"OPENING",movements!$C:$C,"&lt;"&amp;AZ$1+1)+SUMIFS(movements!$H:$H,movements!$E:$E,$A7,movements!$D:$D,"RECEIPT",movements!$C:$C,"&lt;"&amp;AZ$1+1)-SUMIFS(movements!$H:$H,movements!$E:$E,$A7,movements!$D:$D,"ISSUE",movements!$C:$C,"&lt;"&amp;AZ$1+1)</f>
        <v>157</v>
      </c>
      <c r="BA7">
        <f>SUMIFS(movements!$H:$H,movements!$E:$E,$A7,movements!$D:$D,"OPENING",movements!$C:$C,"&lt;"&amp;BA$1+1)+SUMIFS(movements!$H:$H,movements!$E:$E,$A7,movements!$D:$D,"RECEIPT",movements!$C:$C,"&lt;"&amp;BA$1+1)-SUMIFS(movements!$H:$H,movements!$E:$E,$A7,movements!$D:$D,"ISSUE",movements!$C:$C,"&lt;"&amp;BA$1+1)</f>
        <v>148</v>
      </c>
      <c r="BB7">
        <f>SUMIFS(movements!$H:$H,movements!$E:$E,$A7,movements!$D:$D,"OPENING",movements!$C:$C,"&lt;"&amp;BB$1+1)+SUMIFS(movements!$H:$H,movements!$E:$E,$A7,movements!$D:$D,"RECEIPT",movements!$C:$C,"&lt;"&amp;BB$1+1)-SUMIFS(movements!$H:$H,movements!$E:$E,$A7,movements!$D:$D,"ISSUE",movements!$C:$C,"&lt;"&amp;BB$1+1)</f>
        <v>137</v>
      </c>
      <c r="BC7">
        <f>SUMIFS(movements!$H:$H,movements!$E:$E,$A7,movements!$D:$D,"OPENING",movements!$C:$C,"&lt;"&amp;BC$1+1)+SUMIFS(movements!$H:$H,movements!$E:$E,$A7,movements!$D:$D,"RECEIPT",movements!$C:$C,"&lt;"&amp;BC$1+1)-SUMIFS(movements!$H:$H,movements!$E:$E,$A7,movements!$D:$D,"ISSUE",movements!$C:$C,"&lt;"&amp;BC$1+1)</f>
        <v>128</v>
      </c>
      <c r="BD7">
        <f>SUMIFS(movements!$H:$H,movements!$E:$E,$A7,movements!$D:$D,"OPENING",movements!$C:$C,"&lt;"&amp;BD$1+1)+SUMIFS(movements!$H:$H,movements!$E:$E,$A7,movements!$D:$D,"RECEIPT",movements!$C:$C,"&lt;"&amp;BD$1+1)-SUMIFS(movements!$H:$H,movements!$E:$E,$A7,movements!$D:$D,"ISSUE",movements!$C:$C,"&lt;"&amp;BD$1+1)</f>
        <v>113</v>
      </c>
      <c r="BE7">
        <f>SUMIFS(movements!$H:$H,movements!$E:$E,$A7,movements!$D:$D,"OPENING",movements!$C:$C,"&lt;"&amp;BE$1+1)+SUMIFS(movements!$H:$H,movements!$E:$E,$A7,movements!$D:$D,"RECEIPT",movements!$C:$C,"&lt;"&amp;BE$1+1)-SUMIFS(movements!$H:$H,movements!$E:$E,$A7,movements!$D:$D,"ISSUE",movements!$C:$C,"&lt;"&amp;BE$1+1)</f>
        <v>103</v>
      </c>
      <c r="BF7">
        <f>SUMIFS(movements!$H:$H,movements!$E:$E,$A7,movements!$D:$D,"OPENING",movements!$C:$C,"&lt;"&amp;BF$1+1)+SUMIFS(movements!$H:$H,movements!$E:$E,$A7,movements!$D:$D,"RECEIPT",movements!$C:$C,"&lt;"&amp;BF$1+1)-SUMIFS(movements!$H:$H,movements!$E:$E,$A7,movements!$D:$D,"ISSUE",movements!$C:$C,"&lt;"&amp;BF$1+1)</f>
        <v>156</v>
      </c>
      <c r="BG7">
        <f>SUMIFS(movements!$H:$H,movements!$E:$E,$A7,movements!$D:$D,"OPENING",movements!$C:$C,"&lt;"&amp;BG$1+1)+SUMIFS(movements!$H:$H,movements!$E:$E,$A7,movements!$D:$D,"RECEIPT",movements!$C:$C,"&lt;"&amp;BG$1+1)-SUMIFS(movements!$H:$H,movements!$E:$E,$A7,movements!$D:$D,"ISSUE",movements!$C:$C,"&lt;"&amp;BG$1+1)</f>
        <v>144</v>
      </c>
      <c r="BH7">
        <f>SUMIFS(movements!$H:$H,movements!$E:$E,$A7,movements!$D:$D,"OPENING",movements!$C:$C,"&lt;"&amp;BH$1+1)+SUMIFS(movements!$H:$H,movements!$E:$E,$A7,movements!$D:$D,"RECEIPT",movements!$C:$C,"&lt;"&amp;BH$1+1)-SUMIFS(movements!$H:$H,movements!$E:$E,$A7,movements!$D:$D,"ISSUE",movements!$C:$C,"&lt;"&amp;BH$1+1)</f>
        <v>139</v>
      </c>
      <c r="BI7">
        <f>SUMIFS(movements!$H:$H,movements!$E:$E,$A7,movements!$D:$D,"OPENING",movements!$C:$C,"&lt;"&amp;BI$1+1)+SUMIFS(movements!$H:$H,movements!$E:$E,$A7,movements!$D:$D,"RECEIPT",movements!$C:$C,"&lt;"&amp;BI$1+1)-SUMIFS(movements!$H:$H,movements!$E:$E,$A7,movements!$D:$D,"ISSUE",movements!$C:$C,"&lt;"&amp;BI$1+1)</f>
        <v>132</v>
      </c>
      <c r="BJ7">
        <f>SUMIFS(movements!$H:$H,movements!$E:$E,$A7,movements!$D:$D,"OPENING",movements!$C:$C,"&lt;"&amp;BJ$1+1)+SUMIFS(movements!$H:$H,movements!$E:$E,$A7,movements!$D:$D,"RECEIPT",movements!$C:$C,"&lt;"&amp;BJ$1+1)-SUMIFS(movements!$H:$H,movements!$E:$E,$A7,movements!$D:$D,"ISSUE",movements!$C:$C,"&lt;"&amp;BJ$1+1)</f>
        <v>118</v>
      </c>
      <c r="BK7">
        <f>SUMIFS(movements!$H:$H,movements!$E:$E,$A7,movements!$D:$D,"OPENING",movements!$C:$C,"&lt;"&amp;BK$1+1)+SUMIFS(movements!$H:$H,movements!$E:$E,$A7,movements!$D:$D,"RECEIPT",movements!$C:$C,"&lt;"&amp;BK$1+1)-SUMIFS(movements!$H:$H,movements!$E:$E,$A7,movements!$D:$D,"ISSUE",movements!$C:$C,"&lt;"&amp;BK$1+1)</f>
        <v>109</v>
      </c>
      <c r="BL7">
        <f>SUMIFS(movements!$H:$H,movements!$E:$E,$A7,movements!$D:$D,"OPENING",movements!$C:$C,"&lt;"&amp;BL$1+1)+SUMIFS(movements!$H:$H,movements!$E:$E,$A7,movements!$D:$D,"RECEIPT",movements!$C:$C,"&lt;"&amp;BL$1+1)-SUMIFS(movements!$H:$H,movements!$E:$E,$A7,movements!$D:$D,"ISSUE",movements!$C:$C,"&lt;"&amp;BL$1+1)</f>
        <v>93</v>
      </c>
      <c r="BM7">
        <f>SUMIFS(movements!$H:$H,movements!$E:$E,$A7,movements!$D:$D,"OPENING",movements!$C:$C,"&lt;"&amp;BM$1+1)+SUMIFS(movements!$H:$H,movements!$E:$E,$A7,movements!$D:$D,"RECEIPT",movements!$C:$C,"&lt;"&amp;BM$1+1)-SUMIFS(movements!$H:$H,movements!$E:$E,$A7,movements!$D:$D,"ISSUE",movements!$C:$C,"&lt;"&amp;BM$1+1)</f>
        <v>177</v>
      </c>
      <c r="BN7">
        <f>SUMIFS(movements!$H:$H,movements!$E:$E,$A7,movements!$D:$D,"OPENING",movements!$C:$C,"&lt;"&amp;BN$1+1)+SUMIFS(movements!$H:$H,movements!$E:$E,$A7,movements!$D:$D,"RECEIPT",movements!$C:$C,"&lt;"&amp;BN$1+1)-SUMIFS(movements!$H:$H,movements!$E:$E,$A7,movements!$D:$D,"ISSUE",movements!$C:$C,"&lt;"&amp;BN$1+1)</f>
        <v>170</v>
      </c>
      <c r="BO7">
        <f>SUMIFS(movements!$H:$H,movements!$E:$E,$A7,movements!$D:$D,"OPENING",movements!$C:$C,"&lt;"&amp;BO$1+1)+SUMIFS(movements!$H:$H,movements!$E:$E,$A7,movements!$D:$D,"RECEIPT",movements!$C:$C,"&lt;"&amp;BO$1+1)-SUMIFS(movements!$H:$H,movements!$E:$E,$A7,movements!$D:$D,"ISSUE",movements!$C:$C,"&lt;"&amp;BO$1+1)</f>
        <v>160</v>
      </c>
      <c r="BP7">
        <f>SUMIFS(movements!$H:$H,movements!$E:$E,$A7,movements!$D:$D,"OPENING",movements!$C:$C,"&lt;"&amp;BP$1+1)+SUMIFS(movements!$H:$H,movements!$E:$E,$A7,movements!$D:$D,"RECEIPT",movements!$C:$C,"&lt;"&amp;BP$1+1)-SUMIFS(movements!$H:$H,movements!$E:$E,$A7,movements!$D:$D,"ISSUE",movements!$C:$C,"&lt;"&amp;BP$1+1)</f>
        <v>156</v>
      </c>
      <c r="BQ7">
        <f>SUMIFS(movements!$H:$H,movements!$E:$E,$A7,movements!$D:$D,"OPENING",movements!$C:$C,"&lt;"&amp;BQ$1+1)+SUMIFS(movements!$H:$H,movements!$E:$E,$A7,movements!$D:$D,"RECEIPT",movements!$C:$C,"&lt;"&amp;BQ$1+1)-SUMIFS(movements!$H:$H,movements!$E:$E,$A7,movements!$D:$D,"ISSUE",movements!$C:$C,"&lt;"&amp;BQ$1+1)</f>
        <v>140</v>
      </c>
      <c r="BR7">
        <f>SUMIFS(movements!$H:$H,movements!$E:$E,$A7,movements!$D:$D,"OPENING",movements!$C:$C,"&lt;"&amp;BR$1+1)+SUMIFS(movements!$H:$H,movements!$E:$E,$A7,movements!$D:$D,"RECEIPT",movements!$C:$C,"&lt;"&amp;BR$1+1)-SUMIFS(movements!$H:$H,movements!$E:$E,$A7,movements!$D:$D,"ISSUE",movements!$C:$C,"&lt;"&amp;BR$1+1)</f>
        <v>122</v>
      </c>
      <c r="BS7">
        <f>SUMIFS(movements!$H:$H,movements!$E:$E,$A7,movements!$D:$D,"OPENING",movements!$C:$C,"&lt;"&amp;BS$1+1)+SUMIFS(movements!$H:$H,movements!$E:$E,$A7,movements!$D:$D,"RECEIPT",movements!$C:$C,"&lt;"&amp;BS$1+1)-SUMIFS(movements!$H:$H,movements!$E:$E,$A7,movements!$D:$D,"ISSUE",movements!$C:$C,"&lt;"&amp;BS$1+1)</f>
        <v>119</v>
      </c>
      <c r="BT7">
        <f>SUMIFS(movements!$H:$H,movements!$E:$E,$A7,movements!$D:$D,"OPENING",movements!$C:$C,"&lt;"&amp;BT$1+1)+SUMIFS(movements!$H:$H,movements!$E:$E,$A7,movements!$D:$D,"RECEIPT",movements!$C:$C,"&lt;"&amp;BT$1+1)-SUMIFS(movements!$H:$H,movements!$E:$E,$A7,movements!$D:$D,"ISSUE",movements!$C:$C,"&lt;"&amp;BT$1+1)</f>
        <v>178</v>
      </c>
      <c r="BU7">
        <f>SUMIFS(movements!$H:$H,movements!$E:$E,$A7,movements!$D:$D,"OPENING",movements!$C:$C,"&lt;"&amp;BU$1+1)+SUMIFS(movements!$H:$H,movements!$E:$E,$A7,movements!$D:$D,"RECEIPT",movements!$C:$C,"&lt;"&amp;BU$1+1)-SUMIFS(movements!$H:$H,movements!$E:$E,$A7,movements!$D:$D,"ISSUE",movements!$C:$C,"&lt;"&amp;BU$1+1)</f>
        <v>174</v>
      </c>
      <c r="BV7">
        <f>SUMIFS(movements!$H:$H,movements!$E:$E,$A7,movements!$D:$D,"OPENING",movements!$C:$C,"&lt;"&amp;BV$1+1)+SUMIFS(movements!$H:$H,movements!$E:$E,$A7,movements!$D:$D,"RECEIPT",movements!$C:$C,"&lt;"&amp;BV$1+1)-SUMIFS(movements!$H:$H,movements!$E:$E,$A7,movements!$D:$D,"ISSUE",movements!$C:$C,"&lt;"&amp;BV$1+1)</f>
        <v>165</v>
      </c>
      <c r="BW7">
        <f>SUMIFS(movements!$H:$H,movements!$E:$E,$A7,movements!$D:$D,"OPENING",movements!$C:$C,"&lt;"&amp;BW$1+1)+SUMIFS(movements!$H:$H,movements!$E:$E,$A7,movements!$D:$D,"RECEIPT",movements!$C:$C,"&lt;"&amp;BW$1+1)-SUMIFS(movements!$H:$H,movements!$E:$E,$A7,movements!$D:$D,"ISSUE",movements!$C:$C,"&lt;"&amp;BW$1+1)</f>
        <v>153</v>
      </c>
      <c r="BX7">
        <f>SUMIFS(movements!$H:$H,movements!$E:$E,$A7,movements!$D:$D,"OPENING",movements!$C:$C,"&lt;"&amp;BX$1+1)+SUMIFS(movements!$H:$H,movements!$E:$E,$A7,movements!$D:$D,"RECEIPT",movements!$C:$C,"&lt;"&amp;BX$1+1)-SUMIFS(movements!$H:$H,movements!$E:$E,$A7,movements!$D:$D,"ISSUE",movements!$C:$C,"&lt;"&amp;BX$1+1)</f>
        <v>145</v>
      </c>
      <c r="BY7">
        <f>SUMIFS(movements!$H:$H,movements!$E:$E,$A7,movements!$D:$D,"OPENING",movements!$C:$C,"&lt;"&amp;BY$1+1)+SUMIFS(movements!$H:$H,movements!$E:$E,$A7,movements!$D:$D,"RECEIPT",movements!$C:$C,"&lt;"&amp;BY$1+1)-SUMIFS(movements!$H:$H,movements!$E:$E,$A7,movements!$D:$D,"ISSUE",movements!$C:$C,"&lt;"&amp;BY$1+1)</f>
        <v>126</v>
      </c>
      <c r="BZ7">
        <f>SUMIFS(movements!$H:$H,movements!$E:$E,$A7,movements!$D:$D,"OPENING",movements!$C:$C,"&lt;"&amp;BZ$1+1)+SUMIFS(movements!$H:$H,movements!$E:$E,$A7,movements!$D:$D,"RECEIPT",movements!$C:$C,"&lt;"&amp;BZ$1+1)-SUMIFS(movements!$H:$H,movements!$E:$E,$A7,movements!$D:$D,"ISSUE",movements!$C:$C,"&lt;"&amp;BZ$1+1)</f>
        <v>121</v>
      </c>
      <c r="CA7">
        <f>SUMIFS(movements!$H:$H,movements!$E:$E,$A7,movements!$D:$D,"OPENING",movements!$C:$C,"&lt;"&amp;CA$1+1)+SUMIFS(movements!$H:$H,movements!$E:$E,$A7,movements!$D:$D,"RECEIPT",movements!$C:$C,"&lt;"&amp;CA$1+1)-SUMIFS(movements!$H:$H,movements!$E:$E,$A7,movements!$D:$D,"ISSUE",movements!$C:$C,"&lt;"&amp;CA$1+1)</f>
        <v>208</v>
      </c>
      <c r="CB7">
        <f>SUMIFS(movements!$H:$H,movements!$E:$E,$A7,movements!$D:$D,"OPENING",movements!$C:$C,"&lt;"&amp;CB$1+1)+SUMIFS(movements!$H:$H,movements!$E:$E,$A7,movements!$D:$D,"RECEIPT",movements!$C:$C,"&lt;"&amp;CB$1+1)-SUMIFS(movements!$H:$H,movements!$E:$E,$A7,movements!$D:$D,"ISSUE",movements!$C:$C,"&lt;"&amp;CB$1+1)</f>
        <v>190</v>
      </c>
      <c r="CC7">
        <f>SUMIFS(movements!$H:$H,movements!$E:$E,$A7,movements!$D:$D,"OPENING",movements!$C:$C,"&lt;"&amp;CC$1+1)+SUMIFS(movements!$H:$H,movements!$E:$E,$A7,movements!$D:$D,"RECEIPT",movements!$C:$C,"&lt;"&amp;CC$1+1)-SUMIFS(movements!$H:$H,movements!$E:$E,$A7,movements!$D:$D,"ISSUE",movements!$C:$C,"&lt;"&amp;CC$1+1)</f>
        <v>181</v>
      </c>
      <c r="CD7">
        <f>SUMIFS(movements!$H:$H,movements!$E:$E,$A7,movements!$D:$D,"OPENING",movements!$C:$C,"&lt;"&amp;CD$1+1)+SUMIFS(movements!$H:$H,movements!$E:$E,$A7,movements!$D:$D,"RECEIPT",movements!$C:$C,"&lt;"&amp;CD$1+1)-SUMIFS(movements!$H:$H,movements!$E:$E,$A7,movements!$D:$D,"ISSUE",movements!$C:$C,"&lt;"&amp;CD$1+1)</f>
        <v>168</v>
      </c>
      <c r="CE7">
        <f>SUMIFS(movements!$H:$H,movements!$E:$E,$A7,movements!$D:$D,"OPENING",movements!$C:$C,"&lt;"&amp;CE$1+1)+SUMIFS(movements!$H:$H,movements!$E:$E,$A7,movements!$D:$D,"RECEIPT",movements!$C:$C,"&lt;"&amp;CE$1+1)-SUMIFS(movements!$H:$H,movements!$E:$E,$A7,movements!$D:$D,"ISSUE",movements!$C:$C,"&lt;"&amp;CE$1+1)</f>
        <v>162</v>
      </c>
      <c r="CF7">
        <f>SUMIFS(movements!$H:$H,movements!$E:$E,$A7,movements!$D:$D,"OPENING",movements!$C:$C,"&lt;"&amp;CF$1+1)+SUMIFS(movements!$H:$H,movements!$E:$E,$A7,movements!$D:$D,"RECEIPT",movements!$C:$C,"&lt;"&amp;CF$1+1)-SUMIFS(movements!$H:$H,movements!$E:$E,$A7,movements!$D:$D,"ISSUE",movements!$C:$C,"&lt;"&amp;CF$1+1)</f>
        <v>151</v>
      </c>
      <c r="CG7">
        <f>SUMIFS(movements!$H:$H,movements!$E:$E,$A7,movements!$D:$D,"OPENING",movements!$C:$C,"&lt;"&amp;CG$1+1)+SUMIFS(movements!$H:$H,movements!$E:$E,$A7,movements!$D:$D,"RECEIPT",movements!$C:$C,"&lt;"&amp;CG$1+1)-SUMIFS(movements!$H:$H,movements!$E:$E,$A7,movements!$D:$D,"ISSUE",movements!$C:$C,"&lt;"&amp;CG$1+1)</f>
        <v>141</v>
      </c>
      <c r="CH7">
        <f>SUMIFS(movements!$H:$H,movements!$E:$E,$A7,movements!$D:$D,"OPENING",movements!$C:$C,"&lt;"&amp;CH$1+1)+SUMIFS(movements!$H:$H,movements!$E:$E,$A7,movements!$D:$D,"RECEIPT",movements!$C:$C,"&lt;"&amp;CH$1+1)-SUMIFS(movements!$H:$H,movements!$E:$E,$A7,movements!$D:$D,"ISSUE",movements!$C:$C,"&lt;"&amp;CH$1+1)</f>
        <v>223</v>
      </c>
      <c r="CI7">
        <f>SUMIFS(movements!$H:$H,movements!$E:$E,$A7,movements!$D:$D,"OPENING",movements!$C:$C,"&lt;"&amp;CI$1+1)+SUMIFS(movements!$H:$H,movements!$E:$E,$A7,movements!$D:$D,"RECEIPT",movements!$C:$C,"&lt;"&amp;CI$1+1)-SUMIFS(movements!$H:$H,movements!$E:$E,$A7,movements!$D:$D,"ISSUE",movements!$C:$C,"&lt;"&amp;CI$1+1)</f>
        <v>204</v>
      </c>
      <c r="CJ7">
        <f>SUMIFS(movements!$H:$H,movements!$E:$E,$A7,movements!$D:$D,"OPENING",movements!$C:$C,"&lt;"&amp;CJ$1+1)+SUMIFS(movements!$H:$H,movements!$E:$E,$A7,movements!$D:$D,"RECEIPT",movements!$C:$C,"&lt;"&amp;CJ$1+1)-SUMIFS(movements!$H:$H,movements!$E:$E,$A7,movements!$D:$D,"ISSUE",movements!$C:$C,"&lt;"&amp;CJ$1+1)</f>
        <v>189</v>
      </c>
      <c r="CK7">
        <f>SUMIFS(movements!$H:$H,movements!$E:$E,$A7,movements!$D:$D,"OPENING",movements!$C:$C,"&lt;"&amp;CK$1+1)+SUMIFS(movements!$H:$H,movements!$E:$E,$A7,movements!$D:$D,"RECEIPT",movements!$C:$C,"&lt;"&amp;CK$1+1)-SUMIFS(movements!$H:$H,movements!$E:$E,$A7,movements!$D:$D,"ISSUE",movements!$C:$C,"&lt;"&amp;CK$1+1)</f>
        <v>183</v>
      </c>
      <c r="CL7">
        <f>SUMIFS(movements!$H:$H,movements!$E:$E,$A7,movements!$D:$D,"OPENING",movements!$C:$C,"&lt;"&amp;CL$1+1)+SUMIFS(movements!$H:$H,movements!$E:$E,$A7,movements!$D:$D,"RECEIPT",movements!$C:$C,"&lt;"&amp;CL$1+1)-SUMIFS(movements!$H:$H,movements!$E:$E,$A7,movements!$D:$D,"ISSUE",movements!$C:$C,"&lt;"&amp;CL$1+1)</f>
        <v>166</v>
      </c>
      <c r="CM7">
        <f>SUMIFS(movements!$H:$H,movements!$E:$E,$A7,movements!$D:$D,"OPENING",movements!$C:$C,"&lt;"&amp;CM$1+1)+SUMIFS(movements!$H:$H,movements!$E:$E,$A7,movements!$D:$D,"RECEIPT",movements!$C:$C,"&lt;"&amp;CM$1+1)-SUMIFS(movements!$H:$H,movements!$E:$E,$A7,movements!$D:$D,"ISSUE",movements!$C:$C,"&lt;"&amp;CM$1+1)</f>
        <v>158</v>
      </c>
      <c r="CN7">
        <f t="shared" si="2"/>
        <v>108.74444444444444</v>
      </c>
      <c r="CO7">
        <f>SUMIFS(movements!$H:$H,movements!$E:$E,$A7,movements!$D:$D,"ISSUE",movements!$C:$C,"&gt;="&amp;$B$1,movements!$C:$C,"&lt;"&amp;($CM$1+1))</f>
        <v>908</v>
      </c>
      <c r="CP7">
        <f t="shared" si="3"/>
        <v>8.3498518442832328</v>
      </c>
      <c r="CQ7">
        <f t="shared" si="4"/>
        <v>10.778634361233481</v>
      </c>
    </row>
    <row r="8" spans="1:95" x14ac:dyDescent="0.25">
      <c r="A8" t="s">
        <v>28</v>
      </c>
      <c r="B8">
        <f>SUMIFS(movements!$H:$H,movements!$E:$E,$A8,movements!$D:$D,"OPENING",movements!$C:$C,"&lt;"&amp;B$1+1)+SUMIFS(movements!$H:$H,movements!$E:$E,$A8,movements!$D:$D,"RECEIPT",movements!$C:$C,"&lt;"&amp;B$1+1)-SUMIFS(movements!$H:$H,movements!$E:$E,$A8,movements!$D:$D,"ISSUE",movements!$C:$C,"&lt;"&amp;B$1+1)</f>
        <v>78</v>
      </c>
      <c r="C8">
        <f>SUMIFS(movements!$H:$H,movements!$E:$E,$A8,movements!$D:$D,"OPENING",movements!$C:$C,"&lt;"&amp;C$1+1)+SUMIFS(movements!$H:$H,movements!$E:$E,$A8,movements!$D:$D,"RECEIPT",movements!$C:$C,"&lt;"&amp;C$1+1)-SUMIFS(movements!$H:$H,movements!$E:$E,$A8,movements!$D:$D,"ISSUE",movements!$C:$C,"&lt;"&amp;C$1+1)</f>
        <v>78</v>
      </c>
      <c r="D8">
        <f>SUMIFS(movements!$H:$H,movements!$E:$E,$A8,movements!$D:$D,"OPENING",movements!$C:$C,"&lt;"&amp;D$1+1)+SUMIFS(movements!$H:$H,movements!$E:$E,$A8,movements!$D:$D,"RECEIPT",movements!$C:$C,"&lt;"&amp;D$1+1)-SUMIFS(movements!$H:$H,movements!$E:$E,$A8,movements!$D:$D,"ISSUE",movements!$C:$C,"&lt;"&amp;D$1+1)</f>
        <v>71</v>
      </c>
      <c r="E8">
        <f>SUMIFS(movements!$H:$H,movements!$E:$E,$A8,movements!$D:$D,"OPENING",movements!$C:$C,"&lt;"&amp;E$1+1)+SUMIFS(movements!$H:$H,movements!$E:$E,$A8,movements!$D:$D,"RECEIPT",movements!$C:$C,"&lt;"&amp;E$1+1)-SUMIFS(movements!$H:$H,movements!$E:$E,$A8,movements!$D:$D,"ISSUE",movements!$C:$C,"&lt;"&amp;E$1+1)</f>
        <v>71</v>
      </c>
      <c r="F8">
        <f>SUMIFS(movements!$H:$H,movements!$E:$E,$A8,movements!$D:$D,"OPENING",movements!$C:$C,"&lt;"&amp;F$1+1)+SUMIFS(movements!$H:$H,movements!$E:$E,$A8,movements!$D:$D,"RECEIPT",movements!$C:$C,"&lt;"&amp;F$1+1)-SUMIFS(movements!$H:$H,movements!$E:$E,$A8,movements!$D:$D,"ISSUE",movements!$C:$C,"&lt;"&amp;F$1+1)</f>
        <v>69</v>
      </c>
      <c r="G8">
        <f>SUMIFS(movements!$H:$H,movements!$E:$E,$A8,movements!$D:$D,"OPENING",movements!$C:$C,"&lt;"&amp;G$1+1)+SUMIFS(movements!$H:$H,movements!$E:$E,$A8,movements!$D:$D,"RECEIPT",movements!$C:$C,"&lt;"&amp;G$1+1)-SUMIFS(movements!$H:$H,movements!$E:$E,$A8,movements!$D:$D,"ISSUE",movements!$C:$C,"&lt;"&amp;G$1+1)</f>
        <v>65</v>
      </c>
      <c r="H8">
        <f>SUMIFS(movements!$H:$H,movements!$E:$E,$A8,movements!$D:$D,"OPENING",movements!$C:$C,"&lt;"&amp;H$1+1)+SUMIFS(movements!$H:$H,movements!$E:$E,$A8,movements!$D:$D,"RECEIPT",movements!$C:$C,"&lt;"&amp;H$1+1)-SUMIFS(movements!$H:$H,movements!$E:$E,$A8,movements!$D:$D,"ISSUE",movements!$C:$C,"&lt;"&amp;H$1+1)</f>
        <v>56</v>
      </c>
      <c r="I8">
        <f>SUMIFS(movements!$H:$H,movements!$E:$E,$A8,movements!$D:$D,"OPENING",movements!$C:$C,"&lt;"&amp;I$1+1)+SUMIFS(movements!$H:$H,movements!$E:$E,$A8,movements!$D:$D,"RECEIPT",movements!$C:$C,"&lt;"&amp;I$1+1)-SUMIFS(movements!$H:$H,movements!$E:$E,$A8,movements!$D:$D,"ISSUE",movements!$C:$C,"&lt;"&amp;I$1+1)</f>
        <v>151</v>
      </c>
      <c r="J8">
        <f>SUMIFS(movements!$H:$H,movements!$E:$E,$A8,movements!$D:$D,"OPENING",movements!$C:$C,"&lt;"&amp;J$1+1)+SUMIFS(movements!$H:$H,movements!$E:$E,$A8,movements!$D:$D,"RECEIPT",movements!$C:$C,"&lt;"&amp;J$1+1)-SUMIFS(movements!$H:$H,movements!$E:$E,$A8,movements!$D:$D,"ISSUE",movements!$C:$C,"&lt;"&amp;J$1+1)</f>
        <v>151</v>
      </c>
      <c r="K8">
        <f>SUMIFS(movements!$H:$H,movements!$E:$E,$A8,movements!$D:$D,"OPENING",movements!$C:$C,"&lt;"&amp;K$1+1)+SUMIFS(movements!$H:$H,movements!$E:$E,$A8,movements!$D:$D,"RECEIPT",movements!$C:$C,"&lt;"&amp;K$1+1)-SUMIFS(movements!$H:$H,movements!$E:$E,$A8,movements!$D:$D,"ISSUE",movements!$C:$C,"&lt;"&amp;K$1+1)</f>
        <v>151</v>
      </c>
      <c r="L8">
        <f>SUMIFS(movements!$H:$H,movements!$E:$E,$A8,movements!$D:$D,"OPENING",movements!$C:$C,"&lt;"&amp;L$1+1)+SUMIFS(movements!$H:$H,movements!$E:$E,$A8,movements!$D:$D,"RECEIPT",movements!$C:$C,"&lt;"&amp;L$1+1)-SUMIFS(movements!$H:$H,movements!$E:$E,$A8,movements!$D:$D,"ISSUE",movements!$C:$C,"&lt;"&amp;L$1+1)</f>
        <v>150</v>
      </c>
      <c r="M8">
        <f>SUMIFS(movements!$H:$H,movements!$E:$E,$A8,movements!$D:$D,"OPENING",movements!$C:$C,"&lt;"&amp;M$1+1)+SUMIFS(movements!$H:$H,movements!$E:$E,$A8,movements!$D:$D,"RECEIPT",movements!$C:$C,"&lt;"&amp;M$1+1)-SUMIFS(movements!$H:$H,movements!$E:$E,$A8,movements!$D:$D,"ISSUE",movements!$C:$C,"&lt;"&amp;M$1+1)</f>
        <v>147</v>
      </c>
      <c r="N8">
        <f>SUMIFS(movements!$H:$H,movements!$E:$E,$A8,movements!$D:$D,"OPENING",movements!$C:$C,"&lt;"&amp;N$1+1)+SUMIFS(movements!$H:$H,movements!$E:$E,$A8,movements!$D:$D,"RECEIPT",movements!$C:$C,"&lt;"&amp;N$1+1)-SUMIFS(movements!$H:$H,movements!$E:$E,$A8,movements!$D:$D,"ISSUE",movements!$C:$C,"&lt;"&amp;N$1+1)</f>
        <v>139</v>
      </c>
      <c r="O8">
        <f>SUMIFS(movements!$H:$H,movements!$E:$E,$A8,movements!$D:$D,"OPENING",movements!$C:$C,"&lt;"&amp;O$1+1)+SUMIFS(movements!$H:$H,movements!$E:$E,$A8,movements!$D:$D,"RECEIPT",movements!$C:$C,"&lt;"&amp;O$1+1)-SUMIFS(movements!$H:$H,movements!$E:$E,$A8,movements!$D:$D,"ISSUE",movements!$C:$C,"&lt;"&amp;O$1+1)</f>
        <v>135</v>
      </c>
      <c r="P8">
        <f>SUMIFS(movements!$H:$H,movements!$E:$E,$A8,movements!$D:$D,"OPENING",movements!$C:$C,"&lt;"&amp;P$1+1)+SUMIFS(movements!$H:$H,movements!$E:$E,$A8,movements!$D:$D,"RECEIPT",movements!$C:$C,"&lt;"&amp;P$1+1)-SUMIFS(movements!$H:$H,movements!$E:$E,$A8,movements!$D:$D,"ISSUE",movements!$C:$C,"&lt;"&amp;P$1+1)</f>
        <v>134</v>
      </c>
      <c r="Q8">
        <f>SUMIFS(movements!$H:$H,movements!$E:$E,$A8,movements!$D:$D,"OPENING",movements!$C:$C,"&lt;"&amp;Q$1+1)+SUMIFS(movements!$H:$H,movements!$E:$E,$A8,movements!$D:$D,"RECEIPT",movements!$C:$C,"&lt;"&amp;Q$1+1)-SUMIFS(movements!$H:$H,movements!$E:$E,$A8,movements!$D:$D,"ISSUE",movements!$C:$C,"&lt;"&amp;Q$1+1)</f>
        <v>128</v>
      </c>
      <c r="R8">
        <f>SUMIFS(movements!$H:$H,movements!$E:$E,$A8,movements!$D:$D,"OPENING",movements!$C:$C,"&lt;"&amp;R$1+1)+SUMIFS(movements!$H:$H,movements!$E:$E,$A8,movements!$D:$D,"RECEIPT",movements!$C:$C,"&lt;"&amp;R$1+1)-SUMIFS(movements!$H:$H,movements!$E:$E,$A8,movements!$D:$D,"ISSUE",movements!$C:$C,"&lt;"&amp;R$1+1)</f>
        <v>128</v>
      </c>
      <c r="S8">
        <f>SUMIFS(movements!$H:$H,movements!$E:$E,$A8,movements!$D:$D,"OPENING",movements!$C:$C,"&lt;"&amp;S$1+1)+SUMIFS(movements!$H:$H,movements!$E:$E,$A8,movements!$D:$D,"RECEIPT",movements!$C:$C,"&lt;"&amp;S$1+1)-SUMIFS(movements!$H:$H,movements!$E:$E,$A8,movements!$D:$D,"ISSUE",movements!$C:$C,"&lt;"&amp;S$1+1)</f>
        <v>128</v>
      </c>
      <c r="T8">
        <f>SUMIFS(movements!$H:$H,movements!$E:$E,$A8,movements!$D:$D,"OPENING",movements!$C:$C,"&lt;"&amp;T$1+1)+SUMIFS(movements!$H:$H,movements!$E:$E,$A8,movements!$D:$D,"RECEIPT",movements!$C:$C,"&lt;"&amp;T$1+1)-SUMIFS(movements!$H:$H,movements!$E:$E,$A8,movements!$D:$D,"ISSUE",movements!$C:$C,"&lt;"&amp;T$1+1)</f>
        <v>128</v>
      </c>
      <c r="U8">
        <f>SUMIFS(movements!$H:$H,movements!$E:$E,$A8,movements!$D:$D,"OPENING",movements!$C:$C,"&lt;"&amp;U$1+1)+SUMIFS(movements!$H:$H,movements!$E:$E,$A8,movements!$D:$D,"RECEIPT",movements!$C:$C,"&lt;"&amp;U$1+1)-SUMIFS(movements!$H:$H,movements!$E:$E,$A8,movements!$D:$D,"ISSUE",movements!$C:$C,"&lt;"&amp;U$1+1)</f>
        <v>115</v>
      </c>
      <c r="V8">
        <f>SUMIFS(movements!$H:$H,movements!$E:$E,$A8,movements!$D:$D,"OPENING",movements!$C:$C,"&lt;"&amp;V$1+1)+SUMIFS(movements!$H:$H,movements!$E:$E,$A8,movements!$D:$D,"RECEIPT",movements!$C:$C,"&lt;"&amp;V$1+1)-SUMIFS(movements!$H:$H,movements!$E:$E,$A8,movements!$D:$D,"ISSUE",movements!$C:$C,"&lt;"&amp;V$1+1)</f>
        <v>111</v>
      </c>
      <c r="W8">
        <f>SUMIFS(movements!$H:$H,movements!$E:$E,$A8,movements!$D:$D,"OPENING",movements!$C:$C,"&lt;"&amp;W$1+1)+SUMIFS(movements!$H:$H,movements!$E:$E,$A8,movements!$D:$D,"RECEIPT",movements!$C:$C,"&lt;"&amp;W$1+1)-SUMIFS(movements!$H:$H,movements!$E:$E,$A8,movements!$D:$D,"ISSUE",movements!$C:$C,"&lt;"&amp;W$1+1)</f>
        <v>104</v>
      </c>
      <c r="X8">
        <f>SUMIFS(movements!$H:$H,movements!$E:$E,$A8,movements!$D:$D,"OPENING",movements!$C:$C,"&lt;"&amp;X$1+1)+SUMIFS(movements!$H:$H,movements!$E:$E,$A8,movements!$D:$D,"RECEIPT",movements!$C:$C,"&lt;"&amp;X$1+1)-SUMIFS(movements!$H:$H,movements!$E:$E,$A8,movements!$D:$D,"ISSUE",movements!$C:$C,"&lt;"&amp;X$1+1)</f>
        <v>97</v>
      </c>
      <c r="Y8">
        <f>SUMIFS(movements!$H:$H,movements!$E:$E,$A8,movements!$D:$D,"OPENING",movements!$C:$C,"&lt;"&amp;Y$1+1)+SUMIFS(movements!$H:$H,movements!$E:$E,$A8,movements!$D:$D,"RECEIPT",movements!$C:$C,"&lt;"&amp;Y$1+1)-SUMIFS(movements!$H:$H,movements!$E:$E,$A8,movements!$D:$D,"ISSUE",movements!$C:$C,"&lt;"&amp;Y$1+1)</f>
        <v>88</v>
      </c>
      <c r="Z8">
        <f>SUMIFS(movements!$H:$H,movements!$E:$E,$A8,movements!$D:$D,"OPENING",movements!$C:$C,"&lt;"&amp;Z$1+1)+SUMIFS(movements!$H:$H,movements!$E:$E,$A8,movements!$D:$D,"RECEIPT",movements!$C:$C,"&lt;"&amp;Z$1+1)-SUMIFS(movements!$H:$H,movements!$E:$E,$A8,movements!$D:$D,"ISSUE",movements!$C:$C,"&lt;"&amp;Z$1+1)</f>
        <v>80</v>
      </c>
      <c r="AA8">
        <f>SUMIFS(movements!$H:$H,movements!$E:$E,$A8,movements!$D:$D,"OPENING",movements!$C:$C,"&lt;"&amp;AA$1+1)+SUMIFS(movements!$H:$H,movements!$E:$E,$A8,movements!$D:$D,"RECEIPT",movements!$C:$C,"&lt;"&amp;AA$1+1)-SUMIFS(movements!$H:$H,movements!$E:$E,$A8,movements!$D:$D,"ISSUE",movements!$C:$C,"&lt;"&amp;AA$1+1)</f>
        <v>80</v>
      </c>
      <c r="AB8">
        <f>SUMIFS(movements!$H:$H,movements!$E:$E,$A8,movements!$D:$D,"OPENING",movements!$C:$C,"&lt;"&amp;AB$1+1)+SUMIFS(movements!$H:$H,movements!$E:$E,$A8,movements!$D:$D,"RECEIPT",movements!$C:$C,"&lt;"&amp;AB$1+1)-SUMIFS(movements!$H:$H,movements!$E:$E,$A8,movements!$D:$D,"ISSUE",movements!$C:$C,"&lt;"&amp;AB$1+1)</f>
        <v>67</v>
      </c>
      <c r="AC8">
        <f>SUMIFS(movements!$H:$H,movements!$E:$E,$A8,movements!$D:$D,"OPENING",movements!$C:$C,"&lt;"&amp;AC$1+1)+SUMIFS(movements!$H:$H,movements!$E:$E,$A8,movements!$D:$D,"RECEIPT",movements!$C:$C,"&lt;"&amp;AC$1+1)-SUMIFS(movements!$H:$H,movements!$E:$E,$A8,movements!$D:$D,"ISSUE",movements!$C:$C,"&lt;"&amp;AC$1+1)</f>
        <v>57</v>
      </c>
      <c r="AD8">
        <f>SUMIFS(movements!$H:$H,movements!$E:$E,$A8,movements!$D:$D,"OPENING",movements!$C:$C,"&lt;"&amp;AD$1+1)+SUMIFS(movements!$H:$H,movements!$E:$E,$A8,movements!$D:$D,"RECEIPT",movements!$C:$C,"&lt;"&amp;AD$1+1)-SUMIFS(movements!$H:$H,movements!$E:$E,$A8,movements!$D:$D,"ISSUE",movements!$C:$C,"&lt;"&amp;AD$1+1)</f>
        <v>109</v>
      </c>
      <c r="AE8">
        <f>SUMIFS(movements!$H:$H,movements!$E:$E,$A8,movements!$D:$D,"OPENING",movements!$C:$C,"&lt;"&amp;AE$1+1)+SUMIFS(movements!$H:$H,movements!$E:$E,$A8,movements!$D:$D,"RECEIPT",movements!$C:$C,"&lt;"&amp;AE$1+1)-SUMIFS(movements!$H:$H,movements!$E:$E,$A8,movements!$D:$D,"ISSUE",movements!$C:$C,"&lt;"&amp;AE$1+1)</f>
        <v>89</v>
      </c>
      <c r="AF8">
        <f>SUMIFS(movements!$H:$H,movements!$E:$E,$A8,movements!$D:$D,"OPENING",movements!$C:$C,"&lt;"&amp;AF$1+1)+SUMIFS(movements!$H:$H,movements!$E:$E,$A8,movements!$D:$D,"RECEIPT",movements!$C:$C,"&lt;"&amp;AF$1+1)-SUMIFS(movements!$H:$H,movements!$E:$E,$A8,movements!$D:$D,"ISSUE",movements!$C:$C,"&lt;"&amp;AF$1+1)</f>
        <v>82</v>
      </c>
      <c r="AG8">
        <f>SUMIFS(movements!$H:$H,movements!$E:$E,$A8,movements!$D:$D,"OPENING",movements!$C:$C,"&lt;"&amp;AG$1+1)+SUMIFS(movements!$H:$H,movements!$E:$E,$A8,movements!$D:$D,"RECEIPT",movements!$C:$C,"&lt;"&amp;AG$1+1)-SUMIFS(movements!$H:$H,movements!$E:$E,$A8,movements!$D:$D,"ISSUE",movements!$C:$C,"&lt;"&amp;AG$1+1)</f>
        <v>82</v>
      </c>
      <c r="AH8">
        <f>SUMIFS(movements!$H:$H,movements!$E:$E,$A8,movements!$D:$D,"OPENING",movements!$C:$C,"&lt;"&amp;AH$1+1)+SUMIFS(movements!$H:$H,movements!$E:$E,$A8,movements!$D:$D,"RECEIPT",movements!$C:$C,"&lt;"&amp;AH$1+1)-SUMIFS(movements!$H:$H,movements!$E:$E,$A8,movements!$D:$D,"ISSUE",movements!$C:$C,"&lt;"&amp;AH$1+1)</f>
        <v>82</v>
      </c>
      <c r="AI8">
        <f>SUMIFS(movements!$H:$H,movements!$E:$E,$A8,movements!$D:$D,"OPENING",movements!$C:$C,"&lt;"&amp;AI$1+1)+SUMIFS(movements!$H:$H,movements!$E:$E,$A8,movements!$D:$D,"RECEIPT",movements!$C:$C,"&lt;"&amp;AI$1+1)-SUMIFS(movements!$H:$H,movements!$E:$E,$A8,movements!$D:$D,"ISSUE",movements!$C:$C,"&lt;"&amp;AI$1+1)</f>
        <v>76</v>
      </c>
      <c r="AJ8">
        <f>SUMIFS(movements!$H:$H,movements!$E:$E,$A8,movements!$D:$D,"OPENING",movements!$C:$C,"&lt;"&amp;AJ$1+1)+SUMIFS(movements!$H:$H,movements!$E:$E,$A8,movements!$D:$D,"RECEIPT",movements!$C:$C,"&lt;"&amp;AJ$1+1)-SUMIFS(movements!$H:$H,movements!$E:$E,$A8,movements!$D:$D,"ISSUE",movements!$C:$C,"&lt;"&amp;AJ$1+1)</f>
        <v>71</v>
      </c>
      <c r="AK8">
        <f>SUMIFS(movements!$H:$H,movements!$E:$E,$A8,movements!$D:$D,"OPENING",movements!$C:$C,"&lt;"&amp;AK$1+1)+SUMIFS(movements!$H:$H,movements!$E:$E,$A8,movements!$D:$D,"RECEIPT",movements!$C:$C,"&lt;"&amp;AK$1+1)-SUMIFS(movements!$H:$H,movements!$E:$E,$A8,movements!$D:$D,"ISSUE",movements!$C:$C,"&lt;"&amp;AK$1+1)</f>
        <v>129</v>
      </c>
      <c r="AL8">
        <f>SUMIFS(movements!$H:$H,movements!$E:$E,$A8,movements!$D:$D,"OPENING",movements!$C:$C,"&lt;"&amp;AL$1+1)+SUMIFS(movements!$H:$H,movements!$E:$E,$A8,movements!$D:$D,"RECEIPT",movements!$C:$C,"&lt;"&amp;AL$1+1)-SUMIFS(movements!$H:$H,movements!$E:$E,$A8,movements!$D:$D,"ISSUE",movements!$C:$C,"&lt;"&amp;AL$1+1)</f>
        <v>126</v>
      </c>
      <c r="AM8">
        <f>SUMIFS(movements!$H:$H,movements!$E:$E,$A8,movements!$D:$D,"OPENING",movements!$C:$C,"&lt;"&amp;AM$1+1)+SUMIFS(movements!$H:$H,movements!$E:$E,$A8,movements!$D:$D,"RECEIPT",movements!$C:$C,"&lt;"&amp;AM$1+1)-SUMIFS(movements!$H:$H,movements!$E:$E,$A8,movements!$D:$D,"ISSUE",movements!$C:$C,"&lt;"&amp;AM$1+1)</f>
        <v>119</v>
      </c>
      <c r="AN8">
        <f>SUMIFS(movements!$H:$H,movements!$E:$E,$A8,movements!$D:$D,"OPENING",movements!$C:$C,"&lt;"&amp;AN$1+1)+SUMIFS(movements!$H:$H,movements!$E:$E,$A8,movements!$D:$D,"RECEIPT",movements!$C:$C,"&lt;"&amp;AN$1+1)-SUMIFS(movements!$H:$H,movements!$E:$E,$A8,movements!$D:$D,"ISSUE",movements!$C:$C,"&lt;"&amp;AN$1+1)</f>
        <v>117</v>
      </c>
      <c r="AO8">
        <f>SUMIFS(movements!$H:$H,movements!$E:$E,$A8,movements!$D:$D,"OPENING",movements!$C:$C,"&lt;"&amp;AO$1+1)+SUMIFS(movements!$H:$H,movements!$E:$E,$A8,movements!$D:$D,"RECEIPT",movements!$C:$C,"&lt;"&amp;AO$1+1)-SUMIFS(movements!$H:$H,movements!$E:$E,$A8,movements!$D:$D,"ISSUE",movements!$C:$C,"&lt;"&amp;AO$1+1)</f>
        <v>117</v>
      </c>
      <c r="AP8">
        <f>SUMIFS(movements!$H:$H,movements!$E:$E,$A8,movements!$D:$D,"OPENING",movements!$C:$C,"&lt;"&amp;AP$1+1)+SUMIFS(movements!$H:$H,movements!$E:$E,$A8,movements!$D:$D,"RECEIPT",movements!$C:$C,"&lt;"&amp;AP$1+1)-SUMIFS(movements!$H:$H,movements!$E:$E,$A8,movements!$D:$D,"ISSUE",movements!$C:$C,"&lt;"&amp;AP$1+1)</f>
        <v>115</v>
      </c>
      <c r="AQ8">
        <f>SUMIFS(movements!$H:$H,movements!$E:$E,$A8,movements!$D:$D,"OPENING",movements!$C:$C,"&lt;"&amp;AQ$1+1)+SUMIFS(movements!$H:$H,movements!$E:$E,$A8,movements!$D:$D,"RECEIPT",movements!$C:$C,"&lt;"&amp;AQ$1+1)-SUMIFS(movements!$H:$H,movements!$E:$E,$A8,movements!$D:$D,"ISSUE",movements!$C:$C,"&lt;"&amp;AQ$1+1)</f>
        <v>108</v>
      </c>
      <c r="AR8">
        <f>SUMIFS(movements!$H:$H,movements!$E:$E,$A8,movements!$D:$D,"OPENING",movements!$C:$C,"&lt;"&amp;AR$1+1)+SUMIFS(movements!$H:$H,movements!$E:$E,$A8,movements!$D:$D,"RECEIPT",movements!$C:$C,"&lt;"&amp;AR$1+1)-SUMIFS(movements!$H:$H,movements!$E:$E,$A8,movements!$D:$D,"ISSUE",movements!$C:$C,"&lt;"&amp;AR$1+1)</f>
        <v>199</v>
      </c>
      <c r="AS8">
        <f>SUMIFS(movements!$H:$H,movements!$E:$E,$A8,movements!$D:$D,"OPENING",movements!$C:$C,"&lt;"&amp;AS$1+1)+SUMIFS(movements!$H:$H,movements!$E:$E,$A8,movements!$D:$D,"RECEIPT",movements!$C:$C,"&lt;"&amp;AS$1+1)-SUMIFS(movements!$H:$H,movements!$E:$E,$A8,movements!$D:$D,"ISSUE",movements!$C:$C,"&lt;"&amp;AS$1+1)</f>
        <v>199</v>
      </c>
      <c r="AT8">
        <f>SUMIFS(movements!$H:$H,movements!$E:$E,$A8,movements!$D:$D,"OPENING",movements!$C:$C,"&lt;"&amp;AT$1+1)+SUMIFS(movements!$H:$H,movements!$E:$E,$A8,movements!$D:$D,"RECEIPT",movements!$C:$C,"&lt;"&amp;AT$1+1)-SUMIFS(movements!$H:$H,movements!$E:$E,$A8,movements!$D:$D,"ISSUE",movements!$C:$C,"&lt;"&amp;AT$1+1)</f>
        <v>194</v>
      </c>
      <c r="AU8">
        <f>SUMIFS(movements!$H:$H,movements!$E:$E,$A8,movements!$D:$D,"OPENING",movements!$C:$C,"&lt;"&amp;AU$1+1)+SUMIFS(movements!$H:$H,movements!$E:$E,$A8,movements!$D:$D,"RECEIPT",movements!$C:$C,"&lt;"&amp;AU$1+1)-SUMIFS(movements!$H:$H,movements!$E:$E,$A8,movements!$D:$D,"ISSUE",movements!$C:$C,"&lt;"&amp;AU$1+1)</f>
        <v>192</v>
      </c>
      <c r="AV8">
        <f>SUMIFS(movements!$H:$H,movements!$E:$E,$A8,movements!$D:$D,"OPENING",movements!$C:$C,"&lt;"&amp;AV$1+1)+SUMIFS(movements!$H:$H,movements!$E:$E,$A8,movements!$D:$D,"RECEIPT",movements!$C:$C,"&lt;"&amp;AV$1+1)-SUMIFS(movements!$H:$H,movements!$E:$E,$A8,movements!$D:$D,"ISSUE",movements!$C:$C,"&lt;"&amp;AV$1+1)</f>
        <v>190</v>
      </c>
      <c r="AW8">
        <f>SUMIFS(movements!$H:$H,movements!$E:$E,$A8,movements!$D:$D,"OPENING",movements!$C:$C,"&lt;"&amp;AW$1+1)+SUMIFS(movements!$H:$H,movements!$E:$E,$A8,movements!$D:$D,"RECEIPT",movements!$C:$C,"&lt;"&amp;AW$1+1)-SUMIFS(movements!$H:$H,movements!$E:$E,$A8,movements!$D:$D,"ISSUE",movements!$C:$C,"&lt;"&amp;AW$1+1)</f>
        <v>179</v>
      </c>
      <c r="AX8">
        <f>SUMIFS(movements!$H:$H,movements!$E:$E,$A8,movements!$D:$D,"OPENING",movements!$C:$C,"&lt;"&amp;AX$1+1)+SUMIFS(movements!$H:$H,movements!$E:$E,$A8,movements!$D:$D,"RECEIPT",movements!$C:$C,"&lt;"&amp;AX$1+1)-SUMIFS(movements!$H:$H,movements!$E:$E,$A8,movements!$D:$D,"ISSUE",movements!$C:$C,"&lt;"&amp;AX$1+1)</f>
        <v>177</v>
      </c>
      <c r="AY8">
        <f>SUMIFS(movements!$H:$H,movements!$E:$E,$A8,movements!$D:$D,"OPENING",movements!$C:$C,"&lt;"&amp;AY$1+1)+SUMIFS(movements!$H:$H,movements!$E:$E,$A8,movements!$D:$D,"RECEIPT",movements!$C:$C,"&lt;"&amp;AY$1+1)-SUMIFS(movements!$H:$H,movements!$E:$E,$A8,movements!$D:$D,"ISSUE",movements!$C:$C,"&lt;"&amp;AY$1+1)</f>
        <v>176</v>
      </c>
      <c r="AZ8">
        <f>SUMIFS(movements!$H:$H,movements!$E:$E,$A8,movements!$D:$D,"OPENING",movements!$C:$C,"&lt;"&amp;AZ$1+1)+SUMIFS(movements!$H:$H,movements!$E:$E,$A8,movements!$D:$D,"RECEIPT",movements!$C:$C,"&lt;"&amp;AZ$1+1)-SUMIFS(movements!$H:$H,movements!$E:$E,$A8,movements!$D:$D,"ISSUE",movements!$C:$C,"&lt;"&amp;AZ$1+1)</f>
        <v>173</v>
      </c>
      <c r="BA8">
        <f>SUMIFS(movements!$H:$H,movements!$E:$E,$A8,movements!$D:$D,"OPENING",movements!$C:$C,"&lt;"&amp;BA$1+1)+SUMIFS(movements!$H:$H,movements!$E:$E,$A8,movements!$D:$D,"RECEIPT",movements!$C:$C,"&lt;"&amp;BA$1+1)-SUMIFS(movements!$H:$H,movements!$E:$E,$A8,movements!$D:$D,"ISSUE",movements!$C:$C,"&lt;"&amp;BA$1+1)</f>
        <v>170</v>
      </c>
      <c r="BB8">
        <f>SUMIFS(movements!$H:$H,movements!$E:$E,$A8,movements!$D:$D,"OPENING",movements!$C:$C,"&lt;"&amp;BB$1+1)+SUMIFS(movements!$H:$H,movements!$E:$E,$A8,movements!$D:$D,"RECEIPT",movements!$C:$C,"&lt;"&amp;BB$1+1)-SUMIFS(movements!$H:$H,movements!$E:$E,$A8,movements!$D:$D,"ISSUE",movements!$C:$C,"&lt;"&amp;BB$1+1)</f>
        <v>162</v>
      </c>
      <c r="BC8">
        <f>SUMIFS(movements!$H:$H,movements!$E:$E,$A8,movements!$D:$D,"OPENING",movements!$C:$C,"&lt;"&amp;BC$1+1)+SUMIFS(movements!$H:$H,movements!$E:$E,$A8,movements!$D:$D,"RECEIPT",movements!$C:$C,"&lt;"&amp;BC$1+1)-SUMIFS(movements!$H:$H,movements!$E:$E,$A8,movements!$D:$D,"ISSUE",movements!$C:$C,"&lt;"&amp;BC$1+1)</f>
        <v>152</v>
      </c>
      <c r="BD8">
        <f>SUMIFS(movements!$H:$H,movements!$E:$E,$A8,movements!$D:$D,"OPENING",movements!$C:$C,"&lt;"&amp;BD$1+1)+SUMIFS(movements!$H:$H,movements!$E:$E,$A8,movements!$D:$D,"RECEIPT",movements!$C:$C,"&lt;"&amp;BD$1+1)-SUMIFS(movements!$H:$H,movements!$E:$E,$A8,movements!$D:$D,"ISSUE",movements!$C:$C,"&lt;"&amp;BD$1+1)</f>
        <v>152</v>
      </c>
      <c r="BE8">
        <f>SUMIFS(movements!$H:$H,movements!$E:$E,$A8,movements!$D:$D,"OPENING",movements!$C:$C,"&lt;"&amp;BE$1+1)+SUMIFS(movements!$H:$H,movements!$E:$E,$A8,movements!$D:$D,"RECEIPT",movements!$C:$C,"&lt;"&amp;BE$1+1)-SUMIFS(movements!$H:$H,movements!$E:$E,$A8,movements!$D:$D,"ISSUE",movements!$C:$C,"&lt;"&amp;BE$1+1)</f>
        <v>152</v>
      </c>
      <c r="BF8">
        <f>SUMIFS(movements!$H:$H,movements!$E:$E,$A8,movements!$D:$D,"OPENING",movements!$C:$C,"&lt;"&amp;BF$1+1)+SUMIFS(movements!$H:$H,movements!$E:$E,$A8,movements!$D:$D,"RECEIPT",movements!$C:$C,"&lt;"&amp;BF$1+1)-SUMIFS(movements!$H:$H,movements!$E:$E,$A8,movements!$D:$D,"ISSUE",movements!$C:$C,"&lt;"&amp;BF$1+1)</f>
        <v>145</v>
      </c>
      <c r="BG8">
        <f>SUMIFS(movements!$H:$H,movements!$E:$E,$A8,movements!$D:$D,"OPENING",movements!$C:$C,"&lt;"&amp;BG$1+1)+SUMIFS(movements!$H:$H,movements!$E:$E,$A8,movements!$D:$D,"RECEIPT",movements!$C:$C,"&lt;"&amp;BG$1+1)-SUMIFS(movements!$H:$H,movements!$E:$E,$A8,movements!$D:$D,"ISSUE",movements!$C:$C,"&lt;"&amp;BG$1+1)</f>
        <v>143</v>
      </c>
      <c r="BH8">
        <f>SUMIFS(movements!$H:$H,movements!$E:$E,$A8,movements!$D:$D,"OPENING",movements!$C:$C,"&lt;"&amp;BH$1+1)+SUMIFS(movements!$H:$H,movements!$E:$E,$A8,movements!$D:$D,"RECEIPT",movements!$C:$C,"&lt;"&amp;BH$1+1)-SUMIFS(movements!$H:$H,movements!$E:$E,$A8,movements!$D:$D,"ISSUE",movements!$C:$C,"&lt;"&amp;BH$1+1)</f>
        <v>142</v>
      </c>
      <c r="BI8">
        <f>SUMIFS(movements!$H:$H,movements!$E:$E,$A8,movements!$D:$D,"OPENING",movements!$C:$C,"&lt;"&amp;BI$1+1)+SUMIFS(movements!$H:$H,movements!$E:$E,$A8,movements!$D:$D,"RECEIPT",movements!$C:$C,"&lt;"&amp;BI$1+1)-SUMIFS(movements!$H:$H,movements!$E:$E,$A8,movements!$D:$D,"ISSUE",movements!$C:$C,"&lt;"&amp;BI$1+1)</f>
        <v>133</v>
      </c>
      <c r="BJ8">
        <f>SUMIFS(movements!$H:$H,movements!$E:$E,$A8,movements!$D:$D,"OPENING",movements!$C:$C,"&lt;"&amp;BJ$1+1)+SUMIFS(movements!$H:$H,movements!$E:$E,$A8,movements!$D:$D,"RECEIPT",movements!$C:$C,"&lt;"&amp;BJ$1+1)-SUMIFS(movements!$H:$H,movements!$E:$E,$A8,movements!$D:$D,"ISSUE",movements!$C:$C,"&lt;"&amp;BJ$1+1)</f>
        <v>130</v>
      </c>
      <c r="BK8">
        <f>SUMIFS(movements!$H:$H,movements!$E:$E,$A8,movements!$D:$D,"OPENING",movements!$C:$C,"&lt;"&amp;BK$1+1)+SUMIFS(movements!$H:$H,movements!$E:$E,$A8,movements!$D:$D,"RECEIPT",movements!$C:$C,"&lt;"&amp;BK$1+1)-SUMIFS(movements!$H:$H,movements!$E:$E,$A8,movements!$D:$D,"ISSUE",movements!$C:$C,"&lt;"&amp;BK$1+1)</f>
        <v>126</v>
      </c>
      <c r="BL8">
        <f>SUMIFS(movements!$H:$H,movements!$E:$E,$A8,movements!$D:$D,"OPENING",movements!$C:$C,"&lt;"&amp;BL$1+1)+SUMIFS(movements!$H:$H,movements!$E:$E,$A8,movements!$D:$D,"RECEIPT",movements!$C:$C,"&lt;"&amp;BL$1+1)-SUMIFS(movements!$H:$H,movements!$E:$E,$A8,movements!$D:$D,"ISSUE",movements!$C:$C,"&lt;"&amp;BL$1+1)</f>
        <v>126</v>
      </c>
      <c r="BM8">
        <f>SUMIFS(movements!$H:$H,movements!$E:$E,$A8,movements!$D:$D,"OPENING",movements!$C:$C,"&lt;"&amp;BM$1+1)+SUMIFS(movements!$H:$H,movements!$E:$E,$A8,movements!$D:$D,"RECEIPT",movements!$C:$C,"&lt;"&amp;BM$1+1)-SUMIFS(movements!$H:$H,movements!$E:$E,$A8,movements!$D:$D,"ISSUE",movements!$C:$C,"&lt;"&amp;BM$1+1)</f>
        <v>126</v>
      </c>
      <c r="BN8">
        <f>SUMIFS(movements!$H:$H,movements!$E:$E,$A8,movements!$D:$D,"OPENING",movements!$C:$C,"&lt;"&amp;BN$1+1)+SUMIFS(movements!$H:$H,movements!$E:$E,$A8,movements!$D:$D,"RECEIPT",movements!$C:$C,"&lt;"&amp;BN$1+1)-SUMIFS(movements!$H:$H,movements!$E:$E,$A8,movements!$D:$D,"ISSUE",movements!$C:$C,"&lt;"&amp;BN$1+1)</f>
        <v>124</v>
      </c>
      <c r="BO8">
        <f>SUMIFS(movements!$H:$H,movements!$E:$E,$A8,movements!$D:$D,"OPENING",movements!$C:$C,"&lt;"&amp;BO$1+1)+SUMIFS(movements!$H:$H,movements!$E:$E,$A8,movements!$D:$D,"RECEIPT",movements!$C:$C,"&lt;"&amp;BO$1+1)-SUMIFS(movements!$H:$H,movements!$E:$E,$A8,movements!$D:$D,"ISSUE",movements!$C:$C,"&lt;"&amp;BO$1+1)</f>
        <v>121</v>
      </c>
      <c r="BP8">
        <f>SUMIFS(movements!$H:$H,movements!$E:$E,$A8,movements!$D:$D,"OPENING",movements!$C:$C,"&lt;"&amp;BP$1+1)+SUMIFS(movements!$H:$H,movements!$E:$E,$A8,movements!$D:$D,"RECEIPT",movements!$C:$C,"&lt;"&amp;BP$1+1)-SUMIFS(movements!$H:$H,movements!$E:$E,$A8,movements!$D:$D,"ISSUE",movements!$C:$C,"&lt;"&amp;BP$1+1)</f>
        <v>117</v>
      </c>
      <c r="BQ8">
        <f>SUMIFS(movements!$H:$H,movements!$E:$E,$A8,movements!$D:$D,"OPENING",movements!$C:$C,"&lt;"&amp;BQ$1+1)+SUMIFS(movements!$H:$H,movements!$E:$E,$A8,movements!$D:$D,"RECEIPT",movements!$C:$C,"&lt;"&amp;BQ$1+1)-SUMIFS(movements!$H:$H,movements!$E:$E,$A8,movements!$D:$D,"ISSUE",movements!$C:$C,"&lt;"&amp;BQ$1+1)</f>
        <v>100</v>
      </c>
      <c r="BR8">
        <f>SUMIFS(movements!$H:$H,movements!$E:$E,$A8,movements!$D:$D,"OPENING",movements!$C:$C,"&lt;"&amp;BR$1+1)+SUMIFS(movements!$H:$H,movements!$E:$E,$A8,movements!$D:$D,"RECEIPT",movements!$C:$C,"&lt;"&amp;BR$1+1)-SUMIFS(movements!$H:$H,movements!$E:$E,$A8,movements!$D:$D,"ISSUE",movements!$C:$C,"&lt;"&amp;BR$1+1)</f>
        <v>93</v>
      </c>
      <c r="BS8">
        <f>SUMIFS(movements!$H:$H,movements!$E:$E,$A8,movements!$D:$D,"OPENING",movements!$C:$C,"&lt;"&amp;BS$1+1)+SUMIFS(movements!$H:$H,movements!$E:$E,$A8,movements!$D:$D,"RECEIPT",movements!$C:$C,"&lt;"&amp;BS$1+1)-SUMIFS(movements!$H:$H,movements!$E:$E,$A8,movements!$D:$D,"ISSUE",movements!$C:$C,"&lt;"&amp;BS$1+1)</f>
        <v>84</v>
      </c>
      <c r="BT8">
        <f>SUMIFS(movements!$H:$H,movements!$E:$E,$A8,movements!$D:$D,"OPENING",movements!$C:$C,"&lt;"&amp;BT$1+1)+SUMIFS(movements!$H:$H,movements!$E:$E,$A8,movements!$D:$D,"RECEIPT",movements!$C:$C,"&lt;"&amp;BT$1+1)-SUMIFS(movements!$H:$H,movements!$E:$E,$A8,movements!$D:$D,"ISSUE",movements!$C:$C,"&lt;"&amp;BT$1+1)</f>
        <v>151</v>
      </c>
      <c r="BU8">
        <f>SUMIFS(movements!$H:$H,movements!$E:$E,$A8,movements!$D:$D,"OPENING",movements!$C:$C,"&lt;"&amp;BU$1+1)+SUMIFS(movements!$H:$H,movements!$E:$E,$A8,movements!$D:$D,"RECEIPT",movements!$C:$C,"&lt;"&amp;BU$1+1)-SUMIFS(movements!$H:$H,movements!$E:$E,$A8,movements!$D:$D,"ISSUE",movements!$C:$C,"&lt;"&amp;BU$1+1)</f>
        <v>151</v>
      </c>
      <c r="BV8">
        <f>SUMIFS(movements!$H:$H,movements!$E:$E,$A8,movements!$D:$D,"OPENING",movements!$C:$C,"&lt;"&amp;BV$1+1)+SUMIFS(movements!$H:$H,movements!$E:$E,$A8,movements!$D:$D,"RECEIPT",movements!$C:$C,"&lt;"&amp;BV$1+1)-SUMIFS(movements!$H:$H,movements!$E:$E,$A8,movements!$D:$D,"ISSUE",movements!$C:$C,"&lt;"&amp;BV$1+1)</f>
        <v>151</v>
      </c>
      <c r="BW8">
        <f>SUMIFS(movements!$H:$H,movements!$E:$E,$A8,movements!$D:$D,"OPENING",movements!$C:$C,"&lt;"&amp;BW$1+1)+SUMIFS(movements!$H:$H,movements!$E:$E,$A8,movements!$D:$D,"RECEIPT",movements!$C:$C,"&lt;"&amp;BW$1+1)-SUMIFS(movements!$H:$H,movements!$E:$E,$A8,movements!$D:$D,"ISSUE",movements!$C:$C,"&lt;"&amp;BW$1+1)</f>
        <v>145</v>
      </c>
      <c r="BX8">
        <f>SUMIFS(movements!$H:$H,movements!$E:$E,$A8,movements!$D:$D,"OPENING",movements!$C:$C,"&lt;"&amp;BX$1+1)+SUMIFS(movements!$H:$H,movements!$E:$E,$A8,movements!$D:$D,"RECEIPT",movements!$C:$C,"&lt;"&amp;BX$1+1)-SUMIFS(movements!$H:$H,movements!$E:$E,$A8,movements!$D:$D,"ISSUE",movements!$C:$C,"&lt;"&amp;BX$1+1)</f>
        <v>133</v>
      </c>
      <c r="BY8">
        <f>SUMIFS(movements!$H:$H,movements!$E:$E,$A8,movements!$D:$D,"OPENING",movements!$C:$C,"&lt;"&amp;BY$1+1)+SUMIFS(movements!$H:$H,movements!$E:$E,$A8,movements!$D:$D,"RECEIPT",movements!$C:$C,"&lt;"&amp;BY$1+1)-SUMIFS(movements!$H:$H,movements!$E:$E,$A8,movements!$D:$D,"ISSUE",movements!$C:$C,"&lt;"&amp;BY$1+1)</f>
        <v>133</v>
      </c>
      <c r="BZ8">
        <f>SUMIFS(movements!$H:$H,movements!$E:$E,$A8,movements!$D:$D,"OPENING",movements!$C:$C,"&lt;"&amp;BZ$1+1)+SUMIFS(movements!$H:$H,movements!$E:$E,$A8,movements!$D:$D,"RECEIPT",movements!$C:$C,"&lt;"&amp;BZ$1+1)-SUMIFS(movements!$H:$H,movements!$E:$E,$A8,movements!$D:$D,"ISSUE",movements!$C:$C,"&lt;"&amp;BZ$1+1)</f>
        <v>129</v>
      </c>
      <c r="CA8">
        <f>SUMIFS(movements!$H:$H,movements!$E:$E,$A8,movements!$D:$D,"OPENING",movements!$C:$C,"&lt;"&amp;CA$1+1)+SUMIFS(movements!$H:$H,movements!$E:$E,$A8,movements!$D:$D,"RECEIPT",movements!$C:$C,"&lt;"&amp;CA$1+1)-SUMIFS(movements!$H:$H,movements!$E:$E,$A8,movements!$D:$D,"ISSUE",movements!$C:$C,"&lt;"&amp;CA$1+1)</f>
        <v>129</v>
      </c>
      <c r="CB8">
        <f>SUMIFS(movements!$H:$H,movements!$E:$E,$A8,movements!$D:$D,"OPENING",movements!$C:$C,"&lt;"&amp;CB$1+1)+SUMIFS(movements!$H:$H,movements!$E:$E,$A8,movements!$D:$D,"RECEIPT",movements!$C:$C,"&lt;"&amp;CB$1+1)-SUMIFS(movements!$H:$H,movements!$E:$E,$A8,movements!$D:$D,"ISSUE",movements!$C:$C,"&lt;"&amp;CB$1+1)</f>
        <v>125</v>
      </c>
      <c r="CC8">
        <f>SUMIFS(movements!$H:$H,movements!$E:$E,$A8,movements!$D:$D,"OPENING",movements!$C:$C,"&lt;"&amp;CC$1+1)+SUMIFS(movements!$H:$H,movements!$E:$E,$A8,movements!$D:$D,"RECEIPT",movements!$C:$C,"&lt;"&amp;CC$1+1)-SUMIFS(movements!$H:$H,movements!$E:$E,$A8,movements!$D:$D,"ISSUE",movements!$C:$C,"&lt;"&amp;CC$1+1)</f>
        <v>116</v>
      </c>
      <c r="CD8">
        <f>SUMIFS(movements!$H:$H,movements!$E:$E,$A8,movements!$D:$D,"OPENING",movements!$C:$C,"&lt;"&amp;CD$1+1)+SUMIFS(movements!$H:$H,movements!$E:$E,$A8,movements!$D:$D,"RECEIPT",movements!$C:$C,"&lt;"&amp;CD$1+1)-SUMIFS(movements!$H:$H,movements!$E:$E,$A8,movements!$D:$D,"ISSUE",movements!$C:$C,"&lt;"&amp;CD$1+1)</f>
        <v>109</v>
      </c>
      <c r="CE8">
        <f>SUMIFS(movements!$H:$H,movements!$E:$E,$A8,movements!$D:$D,"OPENING",movements!$C:$C,"&lt;"&amp;CE$1+1)+SUMIFS(movements!$H:$H,movements!$E:$E,$A8,movements!$D:$D,"RECEIPT",movements!$C:$C,"&lt;"&amp;CE$1+1)-SUMIFS(movements!$H:$H,movements!$E:$E,$A8,movements!$D:$D,"ISSUE",movements!$C:$C,"&lt;"&amp;CE$1+1)</f>
        <v>97</v>
      </c>
      <c r="CF8">
        <f>SUMIFS(movements!$H:$H,movements!$E:$E,$A8,movements!$D:$D,"OPENING",movements!$C:$C,"&lt;"&amp;CF$1+1)+SUMIFS(movements!$H:$H,movements!$E:$E,$A8,movements!$D:$D,"RECEIPT",movements!$C:$C,"&lt;"&amp;CF$1+1)-SUMIFS(movements!$H:$H,movements!$E:$E,$A8,movements!$D:$D,"ISSUE",movements!$C:$C,"&lt;"&amp;CF$1+1)</f>
        <v>97</v>
      </c>
      <c r="CG8">
        <f>SUMIFS(movements!$H:$H,movements!$E:$E,$A8,movements!$D:$D,"OPENING",movements!$C:$C,"&lt;"&amp;CG$1+1)+SUMIFS(movements!$H:$H,movements!$E:$E,$A8,movements!$D:$D,"RECEIPT",movements!$C:$C,"&lt;"&amp;CG$1+1)-SUMIFS(movements!$H:$H,movements!$E:$E,$A8,movements!$D:$D,"ISSUE",movements!$C:$C,"&lt;"&amp;CG$1+1)</f>
        <v>94</v>
      </c>
      <c r="CH8">
        <f>SUMIFS(movements!$H:$H,movements!$E:$E,$A8,movements!$D:$D,"OPENING",movements!$C:$C,"&lt;"&amp;CH$1+1)+SUMIFS(movements!$H:$H,movements!$E:$E,$A8,movements!$D:$D,"RECEIPT",movements!$C:$C,"&lt;"&amp;CH$1+1)-SUMIFS(movements!$H:$H,movements!$E:$E,$A8,movements!$D:$D,"ISSUE",movements!$C:$C,"&lt;"&amp;CH$1+1)</f>
        <v>161</v>
      </c>
      <c r="CI8">
        <f>SUMIFS(movements!$H:$H,movements!$E:$E,$A8,movements!$D:$D,"OPENING",movements!$C:$C,"&lt;"&amp;CI$1+1)+SUMIFS(movements!$H:$H,movements!$E:$E,$A8,movements!$D:$D,"RECEIPT",movements!$C:$C,"&lt;"&amp;CI$1+1)-SUMIFS(movements!$H:$H,movements!$E:$E,$A8,movements!$D:$D,"ISSUE",movements!$C:$C,"&lt;"&amp;CI$1+1)</f>
        <v>156</v>
      </c>
      <c r="CJ8">
        <f>SUMIFS(movements!$H:$H,movements!$E:$E,$A8,movements!$D:$D,"OPENING",movements!$C:$C,"&lt;"&amp;CJ$1+1)+SUMIFS(movements!$H:$H,movements!$E:$E,$A8,movements!$D:$D,"RECEIPT",movements!$C:$C,"&lt;"&amp;CJ$1+1)-SUMIFS(movements!$H:$H,movements!$E:$E,$A8,movements!$D:$D,"ISSUE",movements!$C:$C,"&lt;"&amp;CJ$1+1)</f>
        <v>156</v>
      </c>
      <c r="CK8">
        <f>SUMIFS(movements!$H:$H,movements!$E:$E,$A8,movements!$D:$D,"OPENING",movements!$C:$C,"&lt;"&amp;CK$1+1)+SUMIFS(movements!$H:$H,movements!$E:$E,$A8,movements!$D:$D,"RECEIPT",movements!$C:$C,"&lt;"&amp;CK$1+1)-SUMIFS(movements!$H:$H,movements!$E:$E,$A8,movements!$D:$D,"ISSUE",movements!$C:$C,"&lt;"&amp;CK$1+1)</f>
        <v>152</v>
      </c>
      <c r="CL8">
        <f>SUMIFS(movements!$H:$H,movements!$E:$E,$A8,movements!$D:$D,"OPENING",movements!$C:$C,"&lt;"&amp;CL$1+1)+SUMIFS(movements!$H:$H,movements!$E:$E,$A8,movements!$D:$D,"RECEIPT",movements!$C:$C,"&lt;"&amp;CL$1+1)-SUMIFS(movements!$H:$H,movements!$E:$E,$A8,movements!$D:$D,"ISSUE",movements!$C:$C,"&lt;"&amp;CL$1+1)</f>
        <v>147</v>
      </c>
      <c r="CM8">
        <f>SUMIFS(movements!$H:$H,movements!$E:$E,$A8,movements!$D:$D,"OPENING",movements!$C:$C,"&lt;"&amp;CM$1+1)+SUMIFS(movements!$H:$H,movements!$E:$E,$A8,movements!$D:$D,"RECEIPT",movements!$C:$C,"&lt;"&amp;CM$1+1)-SUMIFS(movements!$H:$H,movements!$E:$E,$A8,movements!$D:$D,"ISSUE",movements!$C:$C,"&lt;"&amp;CM$1+1)</f>
        <v>138</v>
      </c>
      <c r="CN8">
        <f t="shared" si="2"/>
        <v>124.73333333333333</v>
      </c>
      <c r="CO8">
        <f>SUMIFS(movements!$H:$H,movements!$E:$E,$A8,movements!$D:$D,"ISSUE",movements!$C:$C,"&gt;="&amp;$B$1,movements!$C:$C,"&lt;"&amp;($CM$1+1))</f>
        <v>402</v>
      </c>
      <c r="CP8">
        <f t="shared" si="3"/>
        <v>3.2228754676643505</v>
      </c>
      <c r="CQ8">
        <f t="shared" si="4"/>
        <v>27.92537313432836</v>
      </c>
    </row>
    <row r="9" spans="1:95" x14ac:dyDescent="0.25">
      <c r="A9" t="s">
        <v>30</v>
      </c>
      <c r="B9">
        <f>SUMIFS(movements!$H:$H,movements!$E:$E,$A9,movements!$D:$D,"OPENING",movements!$C:$C,"&lt;"&amp;B$1+1)+SUMIFS(movements!$H:$H,movements!$E:$E,$A9,movements!$D:$D,"RECEIPT",movements!$C:$C,"&lt;"&amp;B$1+1)-SUMIFS(movements!$H:$H,movements!$E:$E,$A9,movements!$D:$D,"ISSUE",movements!$C:$C,"&lt;"&amp;B$1+1)</f>
        <v>80</v>
      </c>
      <c r="C9">
        <f>SUMIFS(movements!$H:$H,movements!$E:$E,$A9,movements!$D:$D,"OPENING",movements!$C:$C,"&lt;"&amp;C$1+1)+SUMIFS(movements!$H:$H,movements!$E:$E,$A9,movements!$D:$D,"RECEIPT",movements!$C:$C,"&lt;"&amp;C$1+1)-SUMIFS(movements!$H:$H,movements!$E:$E,$A9,movements!$D:$D,"ISSUE",movements!$C:$C,"&lt;"&amp;C$1+1)</f>
        <v>79</v>
      </c>
      <c r="D9">
        <f>SUMIFS(movements!$H:$H,movements!$E:$E,$A9,movements!$D:$D,"OPENING",movements!$C:$C,"&lt;"&amp;D$1+1)+SUMIFS(movements!$H:$H,movements!$E:$E,$A9,movements!$D:$D,"RECEIPT",movements!$C:$C,"&lt;"&amp;D$1+1)-SUMIFS(movements!$H:$H,movements!$E:$E,$A9,movements!$D:$D,"ISSUE",movements!$C:$C,"&lt;"&amp;D$1+1)</f>
        <v>76</v>
      </c>
      <c r="E9">
        <f>SUMIFS(movements!$H:$H,movements!$E:$E,$A9,movements!$D:$D,"OPENING",movements!$C:$C,"&lt;"&amp;E$1+1)+SUMIFS(movements!$H:$H,movements!$E:$E,$A9,movements!$D:$D,"RECEIPT",movements!$C:$C,"&lt;"&amp;E$1+1)-SUMIFS(movements!$H:$H,movements!$E:$E,$A9,movements!$D:$D,"ISSUE",movements!$C:$C,"&lt;"&amp;E$1+1)</f>
        <v>69</v>
      </c>
      <c r="F9">
        <f>SUMIFS(movements!$H:$H,movements!$E:$E,$A9,movements!$D:$D,"OPENING",movements!$C:$C,"&lt;"&amp;F$1+1)+SUMIFS(movements!$H:$H,movements!$E:$E,$A9,movements!$D:$D,"RECEIPT",movements!$C:$C,"&lt;"&amp;F$1+1)-SUMIFS(movements!$H:$H,movements!$E:$E,$A9,movements!$D:$D,"ISSUE",movements!$C:$C,"&lt;"&amp;F$1+1)</f>
        <v>60</v>
      </c>
      <c r="G9">
        <f>SUMIFS(movements!$H:$H,movements!$E:$E,$A9,movements!$D:$D,"OPENING",movements!$C:$C,"&lt;"&amp;G$1+1)+SUMIFS(movements!$H:$H,movements!$E:$E,$A9,movements!$D:$D,"RECEIPT",movements!$C:$C,"&lt;"&amp;G$1+1)-SUMIFS(movements!$H:$H,movements!$E:$E,$A9,movements!$D:$D,"ISSUE",movements!$C:$C,"&lt;"&amp;G$1+1)</f>
        <v>55</v>
      </c>
      <c r="H9">
        <f>SUMIFS(movements!$H:$H,movements!$E:$E,$A9,movements!$D:$D,"OPENING",movements!$C:$C,"&lt;"&amp;H$1+1)+SUMIFS(movements!$H:$H,movements!$E:$E,$A9,movements!$D:$D,"RECEIPT",movements!$C:$C,"&lt;"&amp;H$1+1)-SUMIFS(movements!$H:$H,movements!$E:$E,$A9,movements!$D:$D,"ISSUE",movements!$C:$C,"&lt;"&amp;H$1+1)</f>
        <v>49</v>
      </c>
      <c r="I9">
        <f>SUMIFS(movements!$H:$H,movements!$E:$E,$A9,movements!$D:$D,"OPENING",movements!$C:$C,"&lt;"&amp;I$1+1)+SUMIFS(movements!$H:$H,movements!$E:$E,$A9,movements!$D:$D,"RECEIPT",movements!$C:$C,"&lt;"&amp;I$1+1)-SUMIFS(movements!$H:$H,movements!$E:$E,$A9,movements!$D:$D,"ISSUE",movements!$C:$C,"&lt;"&amp;I$1+1)</f>
        <v>136</v>
      </c>
      <c r="J9">
        <f>SUMIFS(movements!$H:$H,movements!$E:$E,$A9,movements!$D:$D,"OPENING",movements!$C:$C,"&lt;"&amp;J$1+1)+SUMIFS(movements!$H:$H,movements!$E:$E,$A9,movements!$D:$D,"RECEIPT",movements!$C:$C,"&lt;"&amp;J$1+1)-SUMIFS(movements!$H:$H,movements!$E:$E,$A9,movements!$D:$D,"ISSUE",movements!$C:$C,"&lt;"&amp;J$1+1)</f>
        <v>129</v>
      </c>
      <c r="K9">
        <f>SUMIFS(movements!$H:$H,movements!$E:$E,$A9,movements!$D:$D,"OPENING",movements!$C:$C,"&lt;"&amp;K$1+1)+SUMIFS(movements!$H:$H,movements!$E:$E,$A9,movements!$D:$D,"RECEIPT",movements!$C:$C,"&lt;"&amp;K$1+1)-SUMIFS(movements!$H:$H,movements!$E:$E,$A9,movements!$D:$D,"ISSUE",movements!$C:$C,"&lt;"&amp;K$1+1)</f>
        <v>127</v>
      </c>
      <c r="L9">
        <f>SUMIFS(movements!$H:$H,movements!$E:$E,$A9,movements!$D:$D,"OPENING",movements!$C:$C,"&lt;"&amp;L$1+1)+SUMIFS(movements!$H:$H,movements!$E:$E,$A9,movements!$D:$D,"RECEIPT",movements!$C:$C,"&lt;"&amp;L$1+1)-SUMIFS(movements!$H:$H,movements!$E:$E,$A9,movements!$D:$D,"ISSUE",movements!$C:$C,"&lt;"&amp;L$1+1)</f>
        <v>127</v>
      </c>
      <c r="M9">
        <f>SUMIFS(movements!$H:$H,movements!$E:$E,$A9,movements!$D:$D,"OPENING",movements!$C:$C,"&lt;"&amp;M$1+1)+SUMIFS(movements!$H:$H,movements!$E:$E,$A9,movements!$D:$D,"RECEIPT",movements!$C:$C,"&lt;"&amp;M$1+1)-SUMIFS(movements!$H:$H,movements!$E:$E,$A9,movements!$D:$D,"ISSUE",movements!$C:$C,"&lt;"&amp;M$1+1)</f>
        <v>123</v>
      </c>
      <c r="N9">
        <f>SUMIFS(movements!$H:$H,movements!$E:$E,$A9,movements!$D:$D,"OPENING",movements!$C:$C,"&lt;"&amp;N$1+1)+SUMIFS(movements!$H:$H,movements!$E:$E,$A9,movements!$D:$D,"RECEIPT",movements!$C:$C,"&lt;"&amp;N$1+1)-SUMIFS(movements!$H:$H,movements!$E:$E,$A9,movements!$D:$D,"ISSUE",movements!$C:$C,"&lt;"&amp;N$1+1)</f>
        <v>118</v>
      </c>
      <c r="O9">
        <f>SUMIFS(movements!$H:$H,movements!$E:$E,$A9,movements!$D:$D,"OPENING",movements!$C:$C,"&lt;"&amp;O$1+1)+SUMIFS(movements!$H:$H,movements!$E:$E,$A9,movements!$D:$D,"RECEIPT",movements!$C:$C,"&lt;"&amp;O$1+1)-SUMIFS(movements!$H:$H,movements!$E:$E,$A9,movements!$D:$D,"ISSUE",movements!$C:$C,"&lt;"&amp;O$1+1)</f>
        <v>114</v>
      </c>
      <c r="P9">
        <f>SUMIFS(movements!$H:$H,movements!$E:$E,$A9,movements!$D:$D,"OPENING",movements!$C:$C,"&lt;"&amp;P$1+1)+SUMIFS(movements!$H:$H,movements!$E:$E,$A9,movements!$D:$D,"RECEIPT",movements!$C:$C,"&lt;"&amp;P$1+1)-SUMIFS(movements!$H:$H,movements!$E:$E,$A9,movements!$D:$D,"ISSUE",movements!$C:$C,"&lt;"&amp;P$1+1)</f>
        <v>110</v>
      </c>
      <c r="Q9">
        <f>SUMIFS(movements!$H:$H,movements!$E:$E,$A9,movements!$D:$D,"OPENING",movements!$C:$C,"&lt;"&amp;Q$1+1)+SUMIFS(movements!$H:$H,movements!$E:$E,$A9,movements!$D:$D,"RECEIPT",movements!$C:$C,"&lt;"&amp;Q$1+1)-SUMIFS(movements!$H:$H,movements!$E:$E,$A9,movements!$D:$D,"ISSUE",movements!$C:$C,"&lt;"&amp;Q$1+1)</f>
        <v>109</v>
      </c>
      <c r="R9">
        <f>SUMIFS(movements!$H:$H,movements!$E:$E,$A9,movements!$D:$D,"OPENING",movements!$C:$C,"&lt;"&amp;R$1+1)+SUMIFS(movements!$H:$H,movements!$E:$E,$A9,movements!$D:$D,"RECEIPT",movements!$C:$C,"&lt;"&amp;R$1+1)-SUMIFS(movements!$H:$H,movements!$E:$E,$A9,movements!$D:$D,"ISSUE",movements!$C:$C,"&lt;"&amp;R$1+1)</f>
        <v>105</v>
      </c>
      <c r="S9">
        <f>SUMIFS(movements!$H:$H,movements!$E:$E,$A9,movements!$D:$D,"OPENING",movements!$C:$C,"&lt;"&amp;S$1+1)+SUMIFS(movements!$H:$H,movements!$E:$E,$A9,movements!$D:$D,"RECEIPT",movements!$C:$C,"&lt;"&amp;S$1+1)-SUMIFS(movements!$H:$H,movements!$E:$E,$A9,movements!$D:$D,"ISSUE",movements!$C:$C,"&lt;"&amp;S$1+1)</f>
        <v>97</v>
      </c>
      <c r="T9">
        <f>SUMIFS(movements!$H:$H,movements!$E:$E,$A9,movements!$D:$D,"OPENING",movements!$C:$C,"&lt;"&amp;T$1+1)+SUMIFS(movements!$H:$H,movements!$E:$E,$A9,movements!$D:$D,"RECEIPT",movements!$C:$C,"&lt;"&amp;T$1+1)-SUMIFS(movements!$H:$H,movements!$E:$E,$A9,movements!$D:$D,"ISSUE",movements!$C:$C,"&lt;"&amp;T$1+1)</f>
        <v>92</v>
      </c>
      <c r="U9">
        <f>SUMIFS(movements!$H:$H,movements!$E:$E,$A9,movements!$D:$D,"OPENING",movements!$C:$C,"&lt;"&amp;U$1+1)+SUMIFS(movements!$H:$H,movements!$E:$E,$A9,movements!$D:$D,"RECEIPT",movements!$C:$C,"&lt;"&amp;U$1+1)-SUMIFS(movements!$H:$H,movements!$E:$E,$A9,movements!$D:$D,"ISSUE",movements!$C:$C,"&lt;"&amp;U$1+1)</f>
        <v>90</v>
      </c>
      <c r="V9">
        <f>SUMIFS(movements!$H:$H,movements!$E:$E,$A9,movements!$D:$D,"OPENING",movements!$C:$C,"&lt;"&amp;V$1+1)+SUMIFS(movements!$H:$H,movements!$E:$E,$A9,movements!$D:$D,"RECEIPT",movements!$C:$C,"&lt;"&amp;V$1+1)-SUMIFS(movements!$H:$H,movements!$E:$E,$A9,movements!$D:$D,"ISSUE",movements!$C:$C,"&lt;"&amp;V$1+1)</f>
        <v>84</v>
      </c>
      <c r="W9">
        <f>SUMIFS(movements!$H:$H,movements!$E:$E,$A9,movements!$D:$D,"OPENING",movements!$C:$C,"&lt;"&amp;W$1+1)+SUMIFS(movements!$H:$H,movements!$E:$E,$A9,movements!$D:$D,"RECEIPT",movements!$C:$C,"&lt;"&amp;W$1+1)-SUMIFS(movements!$H:$H,movements!$E:$E,$A9,movements!$D:$D,"ISSUE",movements!$C:$C,"&lt;"&amp;W$1+1)</f>
        <v>174</v>
      </c>
      <c r="X9">
        <f>SUMIFS(movements!$H:$H,movements!$E:$E,$A9,movements!$D:$D,"OPENING",movements!$C:$C,"&lt;"&amp;X$1+1)+SUMIFS(movements!$H:$H,movements!$E:$E,$A9,movements!$D:$D,"RECEIPT",movements!$C:$C,"&lt;"&amp;X$1+1)-SUMIFS(movements!$H:$H,movements!$E:$E,$A9,movements!$D:$D,"ISSUE",movements!$C:$C,"&lt;"&amp;X$1+1)</f>
        <v>167</v>
      </c>
      <c r="Y9">
        <f>SUMIFS(movements!$H:$H,movements!$E:$E,$A9,movements!$D:$D,"OPENING",movements!$C:$C,"&lt;"&amp;Y$1+1)+SUMIFS(movements!$H:$H,movements!$E:$E,$A9,movements!$D:$D,"RECEIPT",movements!$C:$C,"&lt;"&amp;Y$1+1)-SUMIFS(movements!$H:$H,movements!$E:$E,$A9,movements!$D:$D,"ISSUE",movements!$C:$C,"&lt;"&amp;Y$1+1)</f>
        <v>164</v>
      </c>
      <c r="Z9">
        <f>SUMIFS(movements!$H:$H,movements!$E:$E,$A9,movements!$D:$D,"OPENING",movements!$C:$C,"&lt;"&amp;Z$1+1)+SUMIFS(movements!$H:$H,movements!$E:$E,$A9,movements!$D:$D,"RECEIPT",movements!$C:$C,"&lt;"&amp;Z$1+1)-SUMIFS(movements!$H:$H,movements!$E:$E,$A9,movements!$D:$D,"ISSUE",movements!$C:$C,"&lt;"&amp;Z$1+1)</f>
        <v>163</v>
      </c>
      <c r="AA9">
        <f>SUMIFS(movements!$H:$H,movements!$E:$E,$A9,movements!$D:$D,"OPENING",movements!$C:$C,"&lt;"&amp;AA$1+1)+SUMIFS(movements!$H:$H,movements!$E:$E,$A9,movements!$D:$D,"RECEIPT",movements!$C:$C,"&lt;"&amp;AA$1+1)-SUMIFS(movements!$H:$H,movements!$E:$E,$A9,movements!$D:$D,"ISSUE",movements!$C:$C,"&lt;"&amp;AA$1+1)</f>
        <v>163</v>
      </c>
      <c r="AB9">
        <f>SUMIFS(movements!$H:$H,movements!$E:$E,$A9,movements!$D:$D,"OPENING",movements!$C:$C,"&lt;"&amp;AB$1+1)+SUMIFS(movements!$H:$H,movements!$E:$E,$A9,movements!$D:$D,"RECEIPT",movements!$C:$C,"&lt;"&amp;AB$1+1)-SUMIFS(movements!$H:$H,movements!$E:$E,$A9,movements!$D:$D,"ISSUE",movements!$C:$C,"&lt;"&amp;AB$1+1)</f>
        <v>156</v>
      </c>
      <c r="AC9">
        <f>SUMIFS(movements!$H:$H,movements!$E:$E,$A9,movements!$D:$D,"OPENING",movements!$C:$C,"&lt;"&amp;AC$1+1)+SUMIFS(movements!$H:$H,movements!$E:$E,$A9,movements!$D:$D,"RECEIPT",movements!$C:$C,"&lt;"&amp;AC$1+1)-SUMIFS(movements!$H:$H,movements!$E:$E,$A9,movements!$D:$D,"ISSUE",movements!$C:$C,"&lt;"&amp;AC$1+1)</f>
        <v>149</v>
      </c>
      <c r="AD9">
        <f>SUMIFS(movements!$H:$H,movements!$E:$E,$A9,movements!$D:$D,"OPENING",movements!$C:$C,"&lt;"&amp;AD$1+1)+SUMIFS(movements!$H:$H,movements!$E:$E,$A9,movements!$D:$D,"RECEIPT",movements!$C:$C,"&lt;"&amp;AD$1+1)-SUMIFS(movements!$H:$H,movements!$E:$E,$A9,movements!$D:$D,"ISSUE",movements!$C:$C,"&lt;"&amp;AD$1+1)</f>
        <v>146</v>
      </c>
      <c r="AE9">
        <f>SUMIFS(movements!$H:$H,movements!$E:$E,$A9,movements!$D:$D,"OPENING",movements!$C:$C,"&lt;"&amp;AE$1+1)+SUMIFS(movements!$H:$H,movements!$E:$E,$A9,movements!$D:$D,"RECEIPT",movements!$C:$C,"&lt;"&amp;AE$1+1)-SUMIFS(movements!$H:$H,movements!$E:$E,$A9,movements!$D:$D,"ISSUE",movements!$C:$C,"&lt;"&amp;AE$1+1)</f>
        <v>142</v>
      </c>
      <c r="AF9">
        <f>SUMIFS(movements!$H:$H,movements!$E:$E,$A9,movements!$D:$D,"OPENING",movements!$C:$C,"&lt;"&amp;AF$1+1)+SUMIFS(movements!$H:$H,movements!$E:$E,$A9,movements!$D:$D,"RECEIPT",movements!$C:$C,"&lt;"&amp;AF$1+1)-SUMIFS(movements!$H:$H,movements!$E:$E,$A9,movements!$D:$D,"ISSUE",movements!$C:$C,"&lt;"&amp;AF$1+1)</f>
        <v>133</v>
      </c>
      <c r="AG9">
        <f>SUMIFS(movements!$H:$H,movements!$E:$E,$A9,movements!$D:$D,"OPENING",movements!$C:$C,"&lt;"&amp;AG$1+1)+SUMIFS(movements!$H:$H,movements!$E:$E,$A9,movements!$D:$D,"RECEIPT",movements!$C:$C,"&lt;"&amp;AG$1+1)-SUMIFS(movements!$H:$H,movements!$E:$E,$A9,movements!$D:$D,"ISSUE",movements!$C:$C,"&lt;"&amp;AG$1+1)</f>
        <v>133</v>
      </c>
      <c r="AH9">
        <f>SUMIFS(movements!$H:$H,movements!$E:$E,$A9,movements!$D:$D,"OPENING",movements!$C:$C,"&lt;"&amp;AH$1+1)+SUMIFS(movements!$H:$H,movements!$E:$E,$A9,movements!$D:$D,"RECEIPT",movements!$C:$C,"&lt;"&amp;AH$1+1)-SUMIFS(movements!$H:$H,movements!$E:$E,$A9,movements!$D:$D,"ISSUE",movements!$C:$C,"&lt;"&amp;AH$1+1)</f>
        <v>124</v>
      </c>
      <c r="AI9">
        <f>SUMIFS(movements!$H:$H,movements!$E:$E,$A9,movements!$D:$D,"OPENING",movements!$C:$C,"&lt;"&amp;AI$1+1)+SUMIFS(movements!$H:$H,movements!$E:$E,$A9,movements!$D:$D,"RECEIPT",movements!$C:$C,"&lt;"&amp;AI$1+1)-SUMIFS(movements!$H:$H,movements!$E:$E,$A9,movements!$D:$D,"ISSUE",movements!$C:$C,"&lt;"&amp;AI$1+1)</f>
        <v>124</v>
      </c>
      <c r="AJ9">
        <f>SUMIFS(movements!$H:$H,movements!$E:$E,$A9,movements!$D:$D,"OPENING",movements!$C:$C,"&lt;"&amp;AJ$1+1)+SUMIFS(movements!$H:$H,movements!$E:$E,$A9,movements!$D:$D,"RECEIPT",movements!$C:$C,"&lt;"&amp;AJ$1+1)-SUMIFS(movements!$H:$H,movements!$E:$E,$A9,movements!$D:$D,"ISSUE",movements!$C:$C,"&lt;"&amp;AJ$1+1)</f>
        <v>119</v>
      </c>
      <c r="AK9">
        <f>SUMIFS(movements!$H:$H,movements!$E:$E,$A9,movements!$D:$D,"OPENING",movements!$C:$C,"&lt;"&amp;AK$1+1)+SUMIFS(movements!$H:$H,movements!$E:$E,$A9,movements!$D:$D,"RECEIPT",movements!$C:$C,"&lt;"&amp;AK$1+1)-SUMIFS(movements!$H:$H,movements!$E:$E,$A9,movements!$D:$D,"ISSUE",movements!$C:$C,"&lt;"&amp;AK$1+1)</f>
        <v>115</v>
      </c>
      <c r="AL9">
        <f>SUMIFS(movements!$H:$H,movements!$E:$E,$A9,movements!$D:$D,"OPENING",movements!$C:$C,"&lt;"&amp;AL$1+1)+SUMIFS(movements!$H:$H,movements!$E:$E,$A9,movements!$D:$D,"RECEIPT",movements!$C:$C,"&lt;"&amp;AL$1+1)-SUMIFS(movements!$H:$H,movements!$E:$E,$A9,movements!$D:$D,"ISSUE",movements!$C:$C,"&lt;"&amp;AL$1+1)</f>
        <v>115</v>
      </c>
      <c r="AM9">
        <f>SUMIFS(movements!$H:$H,movements!$E:$E,$A9,movements!$D:$D,"OPENING",movements!$C:$C,"&lt;"&amp;AM$1+1)+SUMIFS(movements!$H:$H,movements!$E:$E,$A9,movements!$D:$D,"RECEIPT",movements!$C:$C,"&lt;"&amp;AM$1+1)-SUMIFS(movements!$H:$H,movements!$E:$E,$A9,movements!$D:$D,"ISSUE",movements!$C:$C,"&lt;"&amp;AM$1+1)</f>
        <v>109</v>
      </c>
      <c r="AN9">
        <f>SUMIFS(movements!$H:$H,movements!$E:$E,$A9,movements!$D:$D,"OPENING",movements!$C:$C,"&lt;"&amp;AN$1+1)+SUMIFS(movements!$H:$H,movements!$E:$E,$A9,movements!$D:$D,"RECEIPT",movements!$C:$C,"&lt;"&amp;AN$1+1)-SUMIFS(movements!$H:$H,movements!$E:$E,$A9,movements!$D:$D,"ISSUE",movements!$C:$C,"&lt;"&amp;AN$1+1)</f>
        <v>107</v>
      </c>
      <c r="AO9">
        <f>SUMIFS(movements!$H:$H,movements!$E:$E,$A9,movements!$D:$D,"OPENING",movements!$C:$C,"&lt;"&amp;AO$1+1)+SUMIFS(movements!$H:$H,movements!$E:$E,$A9,movements!$D:$D,"RECEIPT",movements!$C:$C,"&lt;"&amp;AO$1+1)-SUMIFS(movements!$H:$H,movements!$E:$E,$A9,movements!$D:$D,"ISSUE",movements!$C:$C,"&lt;"&amp;AO$1+1)</f>
        <v>107</v>
      </c>
      <c r="AP9">
        <f>SUMIFS(movements!$H:$H,movements!$E:$E,$A9,movements!$D:$D,"OPENING",movements!$C:$C,"&lt;"&amp;AP$1+1)+SUMIFS(movements!$H:$H,movements!$E:$E,$A9,movements!$D:$D,"RECEIPT",movements!$C:$C,"&lt;"&amp;AP$1+1)-SUMIFS(movements!$H:$H,movements!$E:$E,$A9,movements!$D:$D,"ISSUE",movements!$C:$C,"&lt;"&amp;AP$1+1)</f>
        <v>101</v>
      </c>
      <c r="AQ9">
        <f>SUMIFS(movements!$H:$H,movements!$E:$E,$A9,movements!$D:$D,"OPENING",movements!$C:$C,"&lt;"&amp;AQ$1+1)+SUMIFS(movements!$H:$H,movements!$E:$E,$A9,movements!$D:$D,"RECEIPT",movements!$C:$C,"&lt;"&amp;AQ$1+1)-SUMIFS(movements!$H:$H,movements!$E:$E,$A9,movements!$D:$D,"ISSUE",movements!$C:$C,"&lt;"&amp;AQ$1+1)</f>
        <v>101</v>
      </c>
      <c r="AR9">
        <f>SUMIFS(movements!$H:$H,movements!$E:$E,$A9,movements!$D:$D,"OPENING",movements!$C:$C,"&lt;"&amp;AR$1+1)+SUMIFS(movements!$H:$H,movements!$E:$E,$A9,movements!$D:$D,"RECEIPT",movements!$C:$C,"&lt;"&amp;AR$1+1)-SUMIFS(movements!$H:$H,movements!$E:$E,$A9,movements!$D:$D,"ISSUE",movements!$C:$C,"&lt;"&amp;AR$1+1)</f>
        <v>184</v>
      </c>
      <c r="AS9">
        <f>SUMIFS(movements!$H:$H,movements!$E:$E,$A9,movements!$D:$D,"OPENING",movements!$C:$C,"&lt;"&amp;AS$1+1)+SUMIFS(movements!$H:$H,movements!$E:$E,$A9,movements!$D:$D,"RECEIPT",movements!$C:$C,"&lt;"&amp;AS$1+1)-SUMIFS(movements!$H:$H,movements!$E:$E,$A9,movements!$D:$D,"ISSUE",movements!$C:$C,"&lt;"&amp;AS$1+1)</f>
        <v>184</v>
      </c>
      <c r="AT9">
        <f>SUMIFS(movements!$H:$H,movements!$E:$E,$A9,movements!$D:$D,"OPENING",movements!$C:$C,"&lt;"&amp;AT$1+1)+SUMIFS(movements!$H:$H,movements!$E:$E,$A9,movements!$D:$D,"RECEIPT",movements!$C:$C,"&lt;"&amp;AT$1+1)-SUMIFS(movements!$H:$H,movements!$E:$E,$A9,movements!$D:$D,"ISSUE",movements!$C:$C,"&lt;"&amp;AT$1+1)</f>
        <v>181</v>
      </c>
      <c r="AU9">
        <f>SUMIFS(movements!$H:$H,movements!$E:$E,$A9,movements!$D:$D,"OPENING",movements!$C:$C,"&lt;"&amp;AU$1+1)+SUMIFS(movements!$H:$H,movements!$E:$E,$A9,movements!$D:$D,"RECEIPT",movements!$C:$C,"&lt;"&amp;AU$1+1)-SUMIFS(movements!$H:$H,movements!$E:$E,$A9,movements!$D:$D,"ISSUE",movements!$C:$C,"&lt;"&amp;AU$1+1)</f>
        <v>173</v>
      </c>
      <c r="AV9">
        <f>SUMIFS(movements!$H:$H,movements!$E:$E,$A9,movements!$D:$D,"OPENING",movements!$C:$C,"&lt;"&amp;AV$1+1)+SUMIFS(movements!$H:$H,movements!$E:$E,$A9,movements!$D:$D,"RECEIPT",movements!$C:$C,"&lt;"&amp;AV$1+1)-SUMIFS(movements!$H:$H,movements!$E:$E,$A9,movements!$D:$D,"ISSUE",movements!$C:$C,"&lt;"&amp;AV$1+1)</f>
        <v>163</v>
      </c>
      <c r="AW9">
        <f>SUMIFS(movements!$H:$H,movements!$E:$E,$A9,movements!$D:$D,"OPENING",movements!$C:$C,"&lt;"&amp;AW$1+1)+SUMIFS(movements!$H:$H,movements!$E:$E,$A9,movements!$D:$D,"RECEIPT",movements!$C:$C,"&lt;"&amp;AW$1+1)-SUMIFS(movements!$H:$H,movements!$E:$E,$A9,movements!$D:$D,"ISSUE",movements!$C:$C,"&lt;"&amp;AW$1+1)</f>
        <v>149</v>
      </c>
      <c r="AX9">
        <f>SUMIFS(movements!$H:$H,movements!$E:$E,$A9,movements!$D:$D,"OPENING",movements!$C:$C,"&lt;"&amp;AX$1+1)+SUMIFS(movements!$H:$H,movements!$E:$E,$A9,movements!$D:$D,"RECEIPT",movements!$C:$C,"&lt;"&amp;AX$1+1)-SUMIFS(movements!$H:$H,movements!$E:$E,$A9,movements!$D:$D,"ISSUE",movements!$C:$C,"&lt;"&amp;AX$1+1)</f>
        <v>145</v>
      </c>
      <c r="AY9">
        <f>SUMIFS(movements!$H:$H,movements!$E:$E,$A9,movements!$D:$D,"OPENING",movements!$C:$C,"&lt;"&amp;AY$1+1)+SUMIFS(movements!$H:$H,movements!$E:$E,$A9,movements!$D:$D,"RECEIPT",movements!$C:$C,"&lt;"&amp;AY$1+1)-SUMIFS(movements!$H:$H,movements!$E:$E,$A9,movements!$D:$D,"ISSUE",movements!$C:$C,"&lt;"&amp;AY$1+1)</f>
        <v>145</v>
      </c>
      <c r="AZ9">
        <f>SUMIFS(movements!$H:$H,movements!$E:$E,$A9,movements!$D:$D,"OPENING",movements!$C:$C,"&lt;"&amp;AZ$1+1)+SUMIFS(movements!$H:$H,movements!$E:$E,$A9,movements!$D:$D,"RECEIPT",movements!$C:$C,"&lt;"&amp;AZ$1+1)-SUMIFS(movements!$H:$H,movements!$E:$E,$A9,movements!$D:$D,"ISSUE",movements!$C:$C,"&lt;"&amp;AZ$1+1)</f>
        <v>145</v>
      </c>
      <c r="BA9">
        <f>SUMIFS(movements!$H:$H,movements!$E:$E,$A9,movements!$D:$D,"OPENING",movements!$C:$C,"&lt;"&amp;BA$1+1)+SUMIFS(movements!$H:$H,movements!$E:$E,$A9,movements!$D:$D,"RECEIPT",movements!$C:$C,"&lt;"&amp;BA$1+1)-SUMIFS(movements!$H:$H,movements!$E:$E,$A9,movements!$D:$D,"ISSUE",movements!$C:$C,"&lt;"&amp;BA$1+1)</f>
        <v>145</v>
      </c>
      <c r="BB9">
        <f>SUMIFS(movements!$H:$H,movements!$E:$E,$A9,movements!$D:$D,"OPENING",movements!$C:$C,"&lt;"&amp;BB$1+1)+SUMIFS(movements!$H:$H,movements!$E:$E,$A9,movements!$D:$D,"RECEIPT",movements!$C:$C,"&lt;"&amp;BB$1+1)-SUMIFS(movements!$H:$H,movements!$E:$E,$A9,movements!$D:$D,"ISSUE",movements!$C:$C,"&lt;"&amp;BB$1+1)</f>
        <v>139</v>
      </c>
      <c r="BC9">
        <f>SUMIFS(movements!$H:$H,movements!$E:$E,$A9,movements!$D:$D,"OPENING",movements!$C:$C,"&lt;"&amp;BC$1+1)+SUMIFS(movements!$H:$H,movements!$E:$E,$A9,movements!$D:$D,"RECEIPT",movements!$C:$C,"&lt;"&amp;BC$1+1)-SUMIFS(movements!$H:$H,movements!$E:$E,$A9,movements!$D:$D,"ISSUE",movements!$C:$C,"&lt;"&amp;BC$1+1)</f>
        <v>128</v>
      </c>
      <c r="BD9">
        <f>SUMIFS(movements!$H:$H,movements!$E:$E,$A9,movements!$D:$D,"OPENING",movements!$C:$C,"&lt;"&amp;BD$1+1)+SUMIFS(movements!$H:$H,movements!$E:$E,$A9,movements!$D:$D,"RECEIPT",movements!$C:$C,"&lt;"&amp;BD$1+1)-SUMIFS(movements!$H:$H,movements!$E:$E,$A9,movements!$D:$D,"ISSUE",movements!$C:$C,"&lt;"&amp;BD$1+1)</f>
        <v>127</v>
      </c>
      <c r="BE9">
        <f>SUMIFS(movements!$H:$H,movements!$E:$E,$A9,movements!$D:$D,"OPENING",movements!$C:$C,"&lt;"&amp;BE$1+1)+SUMIFS(movements!$H:$H,movements!$E:$E,$A9,movements!$D:$D,"RECEIPT",movements!$C:$C,"&lt;"&amp;BE$1+1)-SUMIFS(movements!$H:$H,movements!$E:$E,$A9,movements!$D:$D,"ISSUE",movements!$C:$C,"&lt;"&amp;BE$1+1)</f>
        <v>122</v>
      </c>
      <c r="BF9">
        <f>SUMIFS(movements!$H:$H,movements!$E:$E,$A9,movements!$D:$D,"OPENING",movements!$C:$C,"&lt;"&amp;BF$1+1)+SUMIFS(movements!$H:$H,movements!$E:$E,$A9,movements!$D:$D,"RECEIPT",movements!$C:$C,"&lt;"&amp;BF$1+1)-SUMIFS(movements!$H:$H,movements!$E:$E,$A9,movements!$D:$D,"ISSUE",movements!$C:$C,"&lt;"&amp;BF$1+1)</f>
        <v>122</v>
      </c>
      <c r="BG9">
        <f>SUMIFS(movements!$H:$H,movements!$E:$E,$A9,movements!$D:$D,"OPENING",movements!$C:$C,"&lt;"&amp;BG$1+1)+SUMIFS(movements!$H:$H,movements!$E:$E,$A9,movements!$D:$D,"RECEIPT",movements!$C:$C,"&lt;"&amp;BG$1+1)-SUMIFS(movements!$H:$H,movements!$E:$E,$A9,movements!$D:$D,"ISSUE",movements!$C:$C,"&lt;"&amp;BG$1+1)</f>
        <v>111</v>
      </c>
      <c r="BH9">
        <f>SUMIFS(movements!$H:$H,movements!$E:$E,$A9,movements!$D:$D,"OPENING",movements!$C:$C,"&lt;"&amp;BH$1+1)+SUMIFS(movements!$H:$H,movements!$E:$E,$A9,movements!$D:$D,"RECEIPT",movements!$C:$C,"&lt;"&amp;BH$1+1)-SUMIFS(movements!$H:$H,movements!$E:$E,$A9,movements!$D:$D,"ISSUE",movements!$C:$C,"&lt;"&amp;BH$1+1)</f>
        <v>109</v>
      </c>
      <c r="BI9">
        <f>SUMIFS(movements!$H:$H,movements!$E:$E,$A9,movements!$D:$D,"OPENING",movements!$C:$C,"&lt;"&amp;BI$1+1)+SUMIFS(movements!$H:$H,movements!$E:$E,$A9,movements!$D:$D,"RECEIPT",movements!$C:$C,"&lt;"&amp;BI$1+1)-SUMIFS(movements!$H:$H,movements!$E:$E,$A9,movements!$D:$D,"ISSUE",movements!$C:$C,"&lt;"&amp;BI$1+1)</f>
        <v>101</v>
      </c>
      <c r="BJ9">
        <f>SUMIFS(movements!$H:$H,movements!$E:$E,$A9,movements!$D:$D,"OPENING",movements!$C:$C,"&lt;"&amp;BJ$1+1)+SUMIFS(movements!$H:$H,movements!$E:$E,$A9,movements!$D:$D,"RECEIPT",movements!$C:$C,"&lt;"&amp;BJ$1+1)-SUMIFS(movements!$H:$H,movements!$E:$E,$A9,movements!$D:$D,"ISSUE",movements!$C:$C,"&lt;"&amp;BJ$1+1)</f>
        <v>98</v>
      </c>
      <c r="BK9">
        <f>SUMIFS(movements!$H:$H,movements!$E:$E,$A9,movements!$D:$D,"OPENING",movements!$C:$C,"&lt;"&amp;BK$1+1)+SUMIFS(movements!$H:$H,movements!$E:$E,$A9,movements!$D:$D,"RECEIPT",movements!$C:$C,"&lt;"&amp;BK$1+1)-SUMIFS(movements!$H:$H,movements!$E:$E,$A9,movements!$D:$D,"ISSUE",movements!$C:$C,"&lt;"&amp;BK$1+1)</f>
        <v>98</v>
      </c>
      <c r="BL9">
        <f>SUMIFS(movements!$H:$H,movements!$E:$E,$A9,movements!$D:$D,"OPENING",movements!$C:$C,"&lt;"&amp;BL$1+1)+SUMIFS(movements!$H:$H,movements!$E:$E,$A9,movements!$D:$D,"RECEIPT",movements!$C:$C,"&lt;"&amp;BL$1+1)-SUMIFS(movements!$H:$H,movements!$E:$E,$A9,movements!$D:$D,"ISSUE",movements!$C:$C,"&lt;"&amp;BL$1+1)</f>
        <v>98</v>
      </c>
      <c r="BM9">
        <f>SUMIFS(movements!$H:$H,movements!$E:$E,$A9,movements!$D:$D,"OPENING",movements!$C:$C,"&lt;"&amp;BM$1+1)+SUMIFS(movements!$H:$H,movements!$E:$E,$A9,movements!$D:$D,"RECEIPT",movements!$C:$C,"&lt;"&amp;BM$1+1)-SUMIFS(movements!$H:$H,movements!$E:$E,$A9,movements!$D:$D,"ISSUE",movements!$C:$C,"&lt;"&amp;BM$1+1)</f>
        <v>171</v>
      </c>
      <c r="BN9">
        <f>SUMIFS(movements!$H:$H,movements!$E:$E,$A9,movements!$D:$D,"OPENING",movements!$C:$C,"&lt;"&amp;BN$1+1)+SUMIFS(movements!$H:$H,movements!$E:$E,$A9,movements!$D:$D,"RECEIPT",movements!$C:$C,"&lt;"&amp;BN$1+1)-SUMIFS(movements!$H:$H,movements!$E:$E,$A9,movements!$D:$D,"ISSUE",movements!$C:$C,"&lt;"&amp;BN$1+1)</f>
        <v>169</v>
      </c>
      <c r="BO9">
        <f>SUMIFS(movements!$H:$H,movements!$E:$E,$A9,movements!$D:$D,"OPENING",movements!$C:$C,"&lt;"&amp;BO$1+1)+SUMIFS(movements!$H:$H,movements!$E:$E,$A9,movements!$D:$D,"RECEIPT",movements!$C:$C,"&lt;"&amp;BO$1+1)-SUMIFS(movements!$H:$H,movements!$E:$E,$A9,movements!$D:$D,"ISSUE",movements!$C:$C,"&lt;"&amp;BO$1+1)</f>
        <v>169</v>
      </c>
      <c r="BP9">
        <f>SUMIFS(movements!$H:$H,movements!$E:$E,$A9,movements!$D:$D,"OPENING",movements!$C:$C,"&lt;"&amp;BP$1+1)+SUMIFS(movements!$H:$H,movements!$E:$E,$A9,movements!$D:$D,"RECEIPT",movements!$C:$C,"&lt;"&amp;BP$1+1)-SUMIFS(movements!$H:$H,movements!$E:$E,$A9,movements!$D:$D,"ISSUE",movements!$C:$C,"&lt;"&amp;BP$1+1)</f>
        <v>169</v>
      </c>
      <c r="BQ9">
        <f>SUMIFS(movements!$H:$H,movements!$E:$E,$A9,movements!$D:$D,"OPENING",movements!$C:$C,"&lt;"&amp;BQ$1+1)+SUMIFS(movements!$H:$H,movements!$E:$E,$A9,movements!$D:$D,"RECEIPT",movements!$C:$C,"&lt;"&amp;BQ$1+1)-SUMIFS(movements!$H:$H,movements!$E:$E,$A9,movements!$D:$D,"ISSUE",movements!$C:$C,"&lt;"&amp;BQ$1+1)</f>
        <v>169</v>
      </c>
      <c r="BR9">
        <f>SUMIFS(movements!$H:$H,movements!$E:$E,$A9,movements!$D:$D,"OPENING",movements!$C:$C,"&lt;"&amp;BR$1+1)+SUMIFS(movements!$H:$H,movements!$E:$E,$A9,movements!$D:$D,"RECEIPT",movements!$C:$C,"&lt;"&amp;BR$1+1)-SUMIFS(movements!$H:$H,movements!$E:$E,$A9,movements!$D:$D,"ISSUE",movements!$C:$C,"&lt;"&amp;BR$1+1)</f>
        <v>161</v>
      </c>
      <c r="BS9">
        <f>SUMIFS(movements!$H:$H,movements!$E:$E,$A9,movements!$D:$D,"OPENING",movements!$C:$C,"&lt;"&amp;BS$1+1)+SUMIFS(movements!$H:$H,movements!$E:$E,$A9,movements!$D:$D,"RECEIPT",movements!$C:$C,"&lt;"&amp;BS$1+1)-SUMIFS(movements!$H:$H,movements!$E:$E,$A9,movements!$D:$D,"ISSUE",movements!$C:$C,"&lt;"&amp;BS$1+1)</f>
        <v>161</v>
      </c>
      <c r="BT9">
        <f>SUMIFS(movements!$H:$H,movements!$E:$E,$A9,movements!$D:$D,"OPENING",movements!$C:$C,"&lt;"&amp;BT$1+1)+SUMIFS(movements!$H:$H,movements!$E:$E,$A9,movements!$D:$D,"RECEIPT",movements!$C:$C,"&lt;"&amp;BT$1+1)-SUMIFS(movements!$H:$H,movements!$E:$E,$A9,movements!$D:$D,"ISSUE",movements!$C:$C,"&lt;"&amp;BT$1+1)</f>
        <v>158</v>
      </c>
      <c r="BU9">
        <f>SUMIFS(movements!$H:$H,movements!$E:$E,$A9,movements!$D:$D,"OPENING",movements!$C:$C,"&lt;"&amp;BU$1+1)+SUMIFS(movements!$H:$H,movements!$E:$E,$A9,movements!$D:$D,"RECEIPT",movements!$C:$C,"&lt;"&amp;BU$1+1)-SUMIFS(movements!$H:$H,movements!$E:$E,$A9,movements!$D:$D,"ISSUE",movements!$C:$C,"&lt;"&amp;BU$1+1)</f>
        <v>153</v>
      </c>
      <c r="BV9">
        <f>SUMIFS(movements!$H:$H,movements!$E:$E,$A9,movements!$D:$D,"OPENING",movements!$C:$C,"&lt;"&amp;BV$1+1)+SUMIFS(movements!$H:$H,movements!$E:$E,$A9,movements!$D:$D,"RECEIPT",movements!$C:$C,"&lt;"&amp;BV$1+1)-SUMIFS(movements!$H:$H,movements!$E:$E,$A9,movements!$D:$D,"ISSUE",movements!$C:$C,"&lt;"&amp;BV$1+1)</f>
        <v>148</v>
      </c>
      <c r="BW9">
        <f>SUMIFS(movements!$H:$H,movements!$E:$E,$A9,movements!$D:$D,"OPENING",movements!$C:$C,"&lt;"&amp;BW$1+1)+SUMIFS(movements!$H:$H,movements!$E:$E,$A9,movements!$D:$D,"RECEIPT",movements!$C:$C,"&lt;"&amp;BW$1+1)-SUMIFS(movements!$H:$H,movements!$E:$E,$A9,movements!$D:$D,"ISSUE",movements!$C:$C,"&lt;"&amp;BW$1+1)</f>
        <v>142</v>
      </c>
      <c r="BX9">
        <f>SUMIFS(movements!$H:$H,movements!$E:$E,$A9,movements!$D:$D,"OPENING",movements!$C:$C,"&lt;"&amp;BX$1+1)+SUMIFS(movements!$H:$H,movements!$E:$E,$A9,movements!$D:$D,"RECEIPT",movements!$C:$C,"&lt;"&amp;BX$1+1)-SUMIFS(movements!$H:$H,movements!$E:$E,$A9,movements!$D:$D,"ISSUE",movements!$C:$C,"&lt;"&amp;BX$1+1)</f>
        <v>138</v>
      </c>
      <c r="BY9">
        <f>SUMIFS(movements!$H:$H,movements!$E:$E,$A9,movements!$D:$D,"OPENING",movements!$C:$C,"&lt;"&amp;BY$1+1)+SUMIFS(movements!$H:$H,movements!$E:$E,$A9,movements!$D:$D,"RECEIPT",movements!$C:$C,"&lt;"&amp;BY$1+1)-SUMIFS(movements!$H:$H,movements!$E:$E,$A9,movements!$D:$D,"ISSUE",movements!$C:$C,"&lt;"&amp;BY$1+1)</f>
        <v>129</v>
      </c>
      <c r="BZ9">
        <f>SUMIFS(movements!$H:$H,movements!$E:$E,$A9,movements!$D:$D,"OPENING",movements!$C:$C,"&lt;"&amp;BZ$1+1)+SUMIFS(movements!$H:$H,movements!$E:$E,$A9,movements!$D:$D,"RECEIPT",movements!$C:$C,"&lt;"&amp;BZ$1+1)-SUMIFS(movements!$H:$H,movements!$E:$E,$A9,movements!$D:$D,"ISSUE",movements!$C:$C,"&lt;"&amp;BZ$1+1)</f>
        <v>124</v>
      </c>
      <c r="CA9">
        <f>SUMIFS(movements!$H:$H,movements!$E:$E,$A9,movements!$D:$D,"OPENING",movements!$C:$C,"&lt;"&amp;CA$1+1)+SUMIFS(movements!$H:$H,movements!$E:$E,$A9,movements!$D:$D,"RECEIPT",movements!$C:$C,"&lt;"&amp;CA$1+1)-SUMIFS(movements!$H:$H,movements!$E:$E,$A9,movements!$D:$D,"ISSUE",movements!$C:$C,"&lt;"&amp;CA$1+1)</f>
        <v>124</v>
      </c>
      <c r="CB9">
        <f>SUMIFS(movements!$H:$H,movements!$E:$E,$A9,movements!$D:$D,"OPENING",movements!$C:$C,"&lt;"&amp;CB$1+1)+SUMIFS(movements!$H:$H,movements!$E:$E,$A9,movements!$D:$D,"RECEIPT",movements!$C:$C,"&lt;"&amp;CB$1+1)-SUMIFS(movements!$H:$H,movements!$E:$E,$A9,movements!$D:$D,"ISSUE",movements!$C:$C,"&lt;"&amp;CB$1+1)</f>
        <v>116</v>
      </c>
      <c r="CC9">
        <f>SUMIFS(movements!$H:$H,movements!$E:$E,$A9,movements!$D:$D,"OPENING",movements!$C:$C,"&lt;"&amp;CC$1+1)+SUMIFS(movements!$H:$H,movements!$E:$E,$A9,movements!$D:$D,"RECEIPT",movements!$C:$C,"&lt;"&amp;CC$1+1)-SUMIFS(movements!$H:$H,movements!$E:$E,$A9,movements!$D:$D,"ISSUE",movements!$C:$C,"&lt;"&amp;CC$1+1)</f>
        <v>110</v>
      </c>
      <c r="CD9">
        <f>SUMIFS(movements!$H:$H,movements!$E:$E,$A9,movements!$D:$D,"OPENING",movements!$C:$C,"&lt;"&amp;CD$1+1)+SUMIFS(movements!$H:$H,movements!$E:$E,$A9,movements!$D:$D,"RECEIPT",movements!$C:$C,"&lt;"&amp;CD$1+1)-SUMIFS(movements!$H:$H,movements!$E:$E,$A9,movements!$D:$D,"ISSUE",movements!$C:$C,"&lt;"&amp;CD$1+1)</f>
        <v>102</v>
      </c>
      <c r="CE9">
        <f>SUMIFS(movements!$H:$H,movements!$E:$E,$A9,movements!$D:$D,"OPENING",movements!$C:$C,"&lt;"&amp;CE$1+1)+SUMIFS(movements!$H:$H,movements!$E:$E,$A9,movements!$D:$D,"RECEIPT",movements!$C:$C,"&lt;"&amp;CE$1+1)-SUMIFS(movements!$H:$H,movements!$E:$E,$A9,movements!$D:$D,"ISSUE",movements!$C:$C,"&lt;"&amp;CE$1+1)</f>
        <v>95</v>
      </c>
      <c r="CF9">
        <f>SUMIFS(movements!$H:$H,movements!$E:$E,$A9,movements!$D:$D,"OPENING",movements!$C:$C,"&lt;"&amp;CF$1+1)+SUMIFS(movements!$H:$H,movements!$E:$E,$A9,movements!$D:$D,"RECEIPT",movements!$C:$C,"&lt;"&amp;CF$1+1)-SUMIFS(movements!$H:$H,movements!$E:$E,$A9,movements!$D:$D,"ISSUE",movements!$C:$C,"&lt;"&amp;CF$1+1)</f>
        <v>73</v>
      </c>
      <c r="CG9">
        <f>SUMIFS(movements!$H:$H,movements!$E:$E,$A9,movements!$D:$D,"OPENING",movements!$C:$C,"&lt;"&amp;CG$1+1)+SUMIFS(movements!$H:$H,movements!$E:$E,$A9,movements!$D:$D,"RECEIPT",movements!$C:$C,"&lt;"&amp;CG$1+1)-SUMIFS(movements!$H:$H,movements!$E:$E,$A9,movements!$D:$D,"ISSUE",movements!$C:$C,"&lt;"&amp;CG$1+1)</f>
        <v>65</v>
      </c>
      <c r="CH9">
        <f>SUMIFS(movements!$H:$H,movements!$E:$E,$A9,movements!$D:$D,"OPENING",movements!$C:$C,"&lt;"&amp;CH$1+1)+SUMIFS(movements!$H:$H,movements!$E:$E,$A9,movements!$D:$D,"RECEIPT",movements!$C:$C,"&lt;"&amp;CH$1+1)-SUMIFS(movements!$H:$H,movements!$E:$E,$A9,movements!$D:$D,"ISSUE",movements!$C:$C,"&lt;"&amp;CH$1+1)</f>
        <v>131</v>
      </c>
      <c r="CI9">
        <f>SUMIFS(movements!$H:$H,movements!$E:$E,$A9,movements!$D:$D,"OPENING",movements!$C:$C,"&lt;"&amp;CI$1+1)+SUMIFS(movements!$H:$H,movements!$E:$E,$A9,movements!$D:$D,"RECEIPT",movements!$C:$C,"&lt;"&amp;CI$1+1)-SUMIFS(movements!$H:$H,movements!$E:$E,$A9,movements!$D:$D,"ISSUE",movements!$C:$C,"&lt;"&amp;CI$1+1)</f>
        <v>131</v>
      </c>
      <c r="CJ9">
        <f>SUMIFS(movements!$H:$H,movements!$E:$E,$A9,movements!$D:$D,"OPENING",movements!$C:$C,"&lt;"&amp;CJ$1+1)+SUMIFS(movements!$H:$H,movements!$E:$E,$A9,movements!$D:$D,"RECEIPT",movements!$C:$C,"&lt;"&amp;CJ$1+1)-SUMIFS(movements!$H:$H,movements!$E:$E,$A9,movements!$D:$D,"ISSUE",movements!$C:$C,"&lt;"&amp;CJ$1+1)</f>
        <v>119</v>
      </c>
      <c r="CK9">
        <f>SUMIFS(movements!$H:$H,movements!$E:$E,$A9,movements!$D:$D,"OPENING",movements!$C:$C,"&lt;"&amp;CK$1+1)+SUMIFS(movements!$H:$H,movements!$E:$E,$A9,movements!$D:$D,"RECEIPT",movements!$C:$C,"&lt;"&amp;CK$1+1)-SUMIFS(movements!$H:$H,movements!$E:$E,$A9,movements!$D:$D,"ISSUE",movements!$C:$C,"&lt;"&amp;CK$1+1)</f>
        <v>117</v>
      </c>
      <c r="CL9">
        <f>SUMIFS(movements!$H:$H,movements!$E:$E,$A9,movements!$D:$D,"OPENING",movements!$C:$C,"&lt;"&amp;CL$1+1)+SUMIFS(movements!$H:$H,movements!$E:$E,$A9,movements!$D:$D,"RECEIPT",movements!$C:$C,"&lt;"&amp;CL$1+1)-SUMIFS(movements!$H:$H,movements!$E:$E,$A9,movements!$D:$D,"ISSUE",movements!$C:$C,"&lt;"&amp;CL$1+1)</f>
        <v>110</v>
      </c>
      <c r="CM9">
        <f>SUMIFS(movements!$H:$H,movements!$E:$E,$A9,movements!$D:$D,"OPENING",movements!$C:$C,"&lt;"&amp;CM$1+1)+SUMIFS(movements!$H:$H,movements!$E:$E,$A9,movements!$D:$D,"RECEIPT",movements!$C:$C,"&lt;"&amp;CM$1+1)-SUMIFS(movements!$H:$H,movements!$E:$E,$A9,movements!$D:$D,"ISSUE",movements!$C:$C,"&lt;"&amp;CM$1+1)</f>
        <v>94</v>
      </c>
      <c r="CN9">
        <f t="shared" si="2"/>
        <v>125.06666666666666</v>
      </c>
      <c r="CO9">
        <f>SUMIFS(movements!$H:$H,movements!$E:$E,$A9,movements!$D:$D,"ISSUE",movements!$C:$C,"&gt;="&amp;$B$1,movements!$C:$C,"&lt;"&amp;($CM$1+1))</f>
        <v>403</v>
      </c>
      <c r="CP9">
        <f t="shared" si="3"/>
        <v>3.2222814498933903</v>
      </c>
      <c r="CQ9">
        <f t="shared" si="4"/>
        <v>27.930521091811414</v>
      </c>
    </row>
    <row r="10" spans="1:95" x14ac:dyDescent="0.25">
      <c r="A10" t="s">
        <v>32</v>
      </c>
      <c r="B10">
        <f>SUMIFS(movements!$H:$H,movements!$E:$E,$A10,movements!$D:$D,"OPENING",movements!$C:$C,"&lt;"&amp;B$1+1)+SUMIFS(movements!$H:$H,movements!$E:$E,$A10,movements!$D:$D,"RECEIPT",movements!$C:$C,"&lt;"&amp;B$1+1)-SUMIFS(movements!$H:$H,movements!$E:$E,$A10,movements!$D:$D,"ISSUE",movements!$C:$C,"&lt;"&amp;B$1+1)</f>
        <v>80</v>
      </c>
      <c r="C10">
        <f>SUMIFS(movements!$H:$H,movements!$E:$E,$A10,movements!$D:$D,"OPENING",movements!$C:$C,"&lt;"&amp;C$1+1)+SUMIFS(movements!$H:$H,movements!$E:$E,$A10,movements!$D:$D,"RECEIPT",movements!$C:$C,"&lt;"&amp;C$1+1)-SUMIFS(movements!$H:$H,movements!$E:$E,$A10,movements!$D:$D,"ISSUE",movements!$C:$C,"&lt;"&amp;C$1+1)</f>
        <v>77</v>
      </c>
      <c r="D10">
        <f>SUMIFS(movements!$H:$H,movements!$E:$E,$A10,movements!$D:$D,"OPENING",movements!$C:$C,"&lt;"&amp;D$1+1)+SUMIFS(movements!$H:$H,movements!$E:$E,$A10,movements!$D:$D,"RECEIPT",movements!$C:$C,"&lt;"&amp;D$1+1)-SUMIFS(movements!$H:$H,movements!$E:$E,$A10,movements!$D:$D,"ISSUE",movements!$C:$C,"&lt;"&amp;D$1+1)</f>
        <v>70</v>
      </c>
      <c r="E10">
        <f>SUMIFS(movements!$H:$H,movements!$E:$E,$A10,movements!$D:$D,"OPENING",movements!$C:$C,"&lt;"&amp;E$1+1)+SUMIFS(movements!$H:$H,movements!$E:$E,$A10,movements!$D:$D,"RECEIPT",movements!$C:$C,"&lt;"&amp;E$1+1)-SUMIFS(movements!$H:$H,movements!$E:$E,$A10,movements!$D:$D,"ISSUE",movements!$C:$C,"&lt;"&amp;E$1+1)</f>
        <v>70</v>
      </c>
      <c r="F10">
        <f>SUMIFS(movements!$H:$H,movements!$E:$E,$A10,movements!$D:$D,"OPENING",movements!$C:$C,"&lt;"&amp;F$1+1)+SUMIFS(movements!$H:$H,movements!$E:$E,$A10,movements!$D:$D,"RECEIPT",movements!$C:$C,"&lt;"&amp;F$1+1)-SUMIFS(movements!$H:$H,movements!$E:$E,$A10,movements!$D:$D,"ISSUE",movements!$C:$C,"&lt;"&amp;F$1+1)</f>
        <v>68</v>
      </c>
      <c r="G10">
        <f>SUMIFS(movements!$H:$H,movements!$E:$E,$A10,movements!$D:$D,"OPENING",movements!$C:$C,"&lt;"&amp;G$1+1)+SUMIFS(movements!$H:$H,movements!$E:$E,$A10,movements!$D:$D,"RECEIPT",movements!$C:$C,"&lt;"&amp;G$1+1)-SUMIFS(movements!$H:$H,movements!$E:$E,$A10,movements!$D:$D,"ISSUE",movements!$C:$C,"&lt;"&amp;G$1+1)</f>
        <v>58</v>
      </c>
      <c r="H10">
        <f>SUMIFS(movements!$H:$H,movements!$E:$E,$A10,movements!$D:$D,"OPENING",movements!$C:$C,"&lt;"&amp;H$1+1)+SUMIFS(movements!$H:$H,movements!$E:$E,$A10,movements!$D:$D,"RECEIPT",movements!$C:$C,"&lt;"&amp;H$1+1)-SUMIFS(movements!$H:$H,movements!$E:$E,$A10,movements!$D:$D,"ISSUE",movements!$C:$C,"&lt;"&amp;H$1+1)</f>
        <v>48</v>
      </c>
      <c r="I10">
        <f>SUMIFS(movements!$H:$H,movements!$E:$E,$A10,movements!$D:$D,"OPENING",movements!$C:$C,"&lt;"&amp;I$1+1)+SUMIFS(movements!$H:$H,movements!$E:$E,$A10,movements!$D:$D,"RECEIPT",movements!$C:$C,"&lt;"&amp;I$1+1)-SUMIFS(movements!$H:$H,movements!$E:$E,$A10,movements!$D:$D,"ISSUE",movements!$C:$C,"&lt;"&amp;I$1+1)</f>
        <v>115</v>
      </c>
      <c r="J10">
        <f>SUMIFS(movements!$H:$H,movements!$E:$E,$A10,movements!$D:$D,"OPENING",movements!$C:$C,"&lt;"&amp;J$1+1)+SUMIFS(movements!$H:$H,movements!$E:$E,$A10,movements!$D:$D,"RECEIPT",movements!$C:$C,"&lt;"&amp;J$1+1)-SUMIFS(movements!$H:$H,movements!$E:$E,$A10,movements!$D:$D,"ISSUE",movements!$C:$C,"&lt;"&amp;J$1+1)</f>
        <v>113</v>
      </c>
      <c r="K10">
        <f>SUMIFS(movements!$H:$H,movements!$E:$E,$A10,movements!$D:$D,"OPENING",movements!$C:$C,"&lt;"&amp;K$1+1)+SUMIFS(movements!$H:$H,movements!$E:$E,$A10,movements!$D:$D,"RECEIPT",movements!$C:$C,"&lt;"&amp;K$1+1)-SUMIFS(movements!$H:$H,movements!$E:$E,$A10,movements!$D:$D,"ISSUE",movements!$C:$C,"&lt;"&amp;K$1+1)</f>
        <v>112</v>
      </c>
      <c r="L10">
        <f>SUMIFS(movements!$H:$H,movements!$E:$E,$A10,movements!$D:$D,"OPENING",movements!$C:$C,"&lt;"&amp;L$1+1)+SUMIFS(movements!$H:$H,movements!$E:$E,$A10,movements!$D:$D,"RECEIPT",movements!$C:$C,"&lt;"&amp;L$1+1)-SUMIFS(movements!$H:$H,movements!$E:$E,$A10,movements!$D:$D,"ISSUE",movements!$C:$C,"&lt;"&amp;L$1+1)</f>
        <v>100</v>
      </c>
      <c r="M10">
        <f>SUMIFS(movements!$H:$H,movements!$E:$E,$A10,movements!$D:$D,"OPENING",movements!$C:$C,"&lt;"&amp;M$1+1)+SUMIFS(movements!$H:$H,movements!$E:$E,$A10,movements!$D:$D,"RECEIPT",movements!$C:$C,"&lt;"&amp;M$1+1)-SUMIFS(movements!$H:$H,movements!$E:$E,$A10,movements!$D:$D,"ISSUE",movements!$C:$C,"&lt;"&amp;M$1+1)</f>
        <v>96</v>
      </c>
      <c r="N10">
        <f>SUMIFS(movements!$H:$H,movements!$E:$E,$A10,movements!$D:$D,"OPENING",movements!$C:$C,"&lt;"&amp;N$1+1)+SUMIFS(movements!$H:$H,movements!$E:$E,$A10,movements!$D:$D,"RECEIPT",movements!$C:$C,"&lt;"&amp;N$1+1)-SUMIFS(movements!$H:$H,movements!$E:$E,$A10,movements!$D:$D,"ISSUE",movements!$C:$C,"&lt;"&amp;N$1+1)</f>
        <v>90</v>
      </c>
      <c r="O10">
        <f>SUMIFS(movements!$H:$H,movements!$E:$E,$A10,movements!$D:$D,"OPENING",movements!$C:$C,"&lt;"&amp;O$1+1)+SUMIFS(movements!$H:$H,movements!$E:$E,$A10,movements!$D:$D,"RECEIPT",movements!$C:$C,"&lt;"&amp;O$1+1)-SUMIFS(movements!$H:$H,movements!$E:$E,$A10,movements!$D:$D,"ISSUE",movements!$C:$C,"&lt;"&amp;O$1+1)</f>
        <v>86</v>
      </c>
      <c r="P10">
        <f>SUMIFS(movements!$H:$H,movements!$E:$E,$A10,movements!$D:$D,"OPENING",movements!$C:$C,"&lt;"&amp;P$1+1)+SUMIFS(movements!$H:$H,movements!$E:$E,$A10,movements!$D:$D,"RECEIPT",movements!$C:$C,"&lt;"&amp;P$1+1)-SUMIFS(movements!$H:$H,movements!$E:$E,$A10,movements!$D:$D,"ISSUE",movements!$C:$C,"&lt;"&amp;P$1+1)</f>
        <v>146</v>
      </c>
      <c r="Q10">
        <f>SUMIFS(movements!$H:$H,movements!$E:$E,$A10,movements!$D:$D,"OPENING",movements!$C:$C,"&lt;"&amp;Q$1+1)+SUMIFS(movements!$H:$H,movements!$E:$E,$A10,movements!$D:$D,"RECEIPT",movements!$C:$C,"&lt;"&amp;Q$1+1)-SUMIFS(movements!$H:$H,movements!$E:$E,$A10,movements!$D:$D,"ISSUE",movements!$C:$C,"&lt;"&amp;Q$1+1)</f>
        <v>143</v>
      </c>
      <c r="R10">
        <f>SUMIFS(movements!$H:$H,movements!$E:$E,$A10,movements!$D:$D,"OPENING",movements!$C:$C,"&lt;"&amp;R$1+1)+SUMIFS(movements!$H:$H,movements!$E:$E,$A10,movements!$D:$D,"RECEIPT",movements!$C:$C,"&lt;"&amp;R$1+1)-SUMIFS(movements!$H:$H,movements!$E:$E,$A10,movements!$D:$D,"ISSUE",movements!$C:$C,"&lt;"&amp;R$1+1)</f>
        <v>141</v>
      </c>
      <c r="S10">
        <f>SUMIFS(movements!$H:$H,movements!$E:$E,$A10,movements!$D:$D,"OPENING",movements!$C:$C,"&lt;"&amp;S$1+1)+SUMIFS(movements!$H:$H,movements!$E:$E,$A10,movements!$D:$D,"RECEIPT",movements!$C:$C,"&lt;"&amp;S$1+1)-SUMIFS(movements!$H:$H,movements!$E:$E,$A10,movements!$D:$D,"ISSUE",movements!$C:$C,"&lt;"&amp;S$1+1)</f>
        <v>141</v>
      </c>
      <c r="T10">
        <f>SUMIFS(movements!$H:$H,movements!$E:$E,$A10,movements!$D:$D,"OPENING",movements!$C:$C,"&lt;"&amp;T$1+1)+SUMIFS(movements!$H:$H,movements!$E:$E,$A10,movements!$D:$D,"RECEIPT",movements!$C:$C,"&lt;"&amp;T$1+1)-SUMIFS(movements!$H:$H,movements!$E:$E,$A10,movements!$D:$D,"ISSUE",movements!$C:$C,"&lt;"&amp;T$1+1)</f>
        <v>141</v>
      </c>
      <c r="U10">
        <f>SUMIFS(movements!$H:$H,movements!$E:$E,$A10,movements!$D:$D,"OPENING",movements!$C:$C,"&lt;"&amp;U$1+1)+SUMIFS(movements!$H:$H,movements!$E:$E,$A10,movements!$D:$D,"RECEIPT",movements!$C:$C,"&lt;"&amp;U$1+1)-SUMIFS(movements!$H:$H,movements!$E:$E,$A10,movements!$D:$D,"ISSUE",movements!$C:$C,"&lt;"&amp;U$1+1)</f>
        <v>132</v>
      </c>
      <c r="V10">
        <f>SUMIFS(movements!$H:$H,movements!$E:$E,$A10,movements!$D:$D,"OPENING",movements!$C:$C,"&lt;"&amp;V$1+1)+SUMIFS(movements!$H:$H,movements!$E:$E,$A10,movements!$D:$D,"RECEIPT",movements!$C:$C,"&lt;"&amp;V$1+1)-SUMIFS(movements!$H:$H,movements!$E:$E,$A10,movements!$D:$D,"ISSUE",movements!$C:$C,"&lt;"&amp;V$1+1)</f>
        <v>128</v>
      </c>
      <c r="W10">
        <f>SUMIFS(movements!$H:$H,movements!$E:$E,$A10,movements!$D:$D,"OPENING",movements!$C:$C,"&lt;"&amp;W$1+1)+SUMIFS(movements!$H:$H,movements!$E:$E,$A10,movements!$D:$D,"RECEIPT",movements!$C:$C,"&lt;"&amp;W$1+1)-SUMIFS(movements!$H:$H,movements!$E:$E,$A10,movements!$D:$D,"ISSUE",movements!$C:$C,"&lt;"&amp;W$1+1)</f>
        <v>120</v>
      </c>
      <c r="X10">
        <f>SUMIFS(movements!$H:$H,movements!$E:$E,$A10,movements!$D:$D,"OPENING",movements!$C:$C,"&lt;"&amp;X$1+1)+SUMIFS(movements!$H:$H,movements!$E:$E,$A10,movements!$D:$D,"RECEIPT",movements!$C:$C,"&lt;"&amp;X$1+1)-SUMIFS(movements!$H:$H,movements!$E:$E,$A10,movements!$D:$D,"ISSUE",movements!$C:$C,"&lt;"&amp;X$1+1)</f>
        <v>114</v>
      </c>
      <c r="Y10">
        <f>SUMIFS(movements!$H:$H,movements!$E:$E,$A10,movements!$D:$D,"OPENING",movements!$C:$C,"&lt;"&amp;Y$1+1)+SUMIFS(movements!$H:$H,movements!$E:$E,$A10,movements!$D:$D,"RECEIPT",movements!$C:$C,"&lt;"&amp;Y$1+1)-SUMIFS(movements!$H:$H,movements!$E:$E,$A10,movements!$D:$D,"ISSUE",movements!$C:$C,"&lt;"&amp;Y$1+1)</f>
        <v>110</v>
      </c>
      <c r="Z10">
        <f>SUMIFS(movements!$H:$H,movements!$E:$E,$A10,movements!$D:$D,"OPENING",movements!$C:$C,"&lt;"&amp;Z$1+1)+SUMIFS(movements!$H:$H,movements!$E:$E,$A10,movements!$D:$D,"RECEIPT",movements!$C:$C,"&lt;"&amp;Z$1+1)-SUMIFS(movements!$H:$H,movements!$E:$E,$A10,movements!$D:$D,"ISSUE",movements!$C:$C,"&lt;"&amp;Z$1+1)</f>
        <v>110</v>
      </c>
      <c r="AA10">
        <f>SUMIFS(movements!$H:$H,movements!$E:$E,$A10,movements!$D:$D,"OPENING",movements!$C:$C,"&lt;"&amp;AA$1+1)+SUMIFS(movements!$H:$H,movements!$E:$E,$A10,movements!$D:$D,"RECEIPT",movements!$C:$C,"&lt;"&amp;AA$1+1)-SUMIFS(movements!$H:$H,movements!$E:$E,$A10,movements!$D:$D,"ISSUE",movements!$C:$C,"&lt;"&amp;AA$1+1)</f>
        <v>103</v>
      </c>
      <c r="AB10">
        <f>SUMIFS(movements!$H:$H,movements!$E:$E,$A10,movements!$D:$D,"OPENING",movements!$C:$C,"&lt;"&amp;AB$1+1)+SUMIFS(movements!$H:$H,movements!$E:$E,$A10,movements!$D:$D,"RECEIPT",movements!$C:$C,"&lt;"&amp;AB$1+1)-SUMIFS(movements!$H:$H,movements!$E:$E,$A10,movements!$D:$D,"ISSUE",movements!$C:$C,"&lt;"&amp;AB$1+1)</f>
        <v>91</v>
      </c>
      <c r="AC10">
        <f>SUMIFS(movements!$H:$H,movements!$E:$E,$A10,movements!$D:$D,"OPENING",movements!$C:$C,"&lt;"&amp;AC$1+1)+SUMIFS(movements!$H:$H,movements!$E:$E,$A10,movements!$D:$D,"RECEIPT",movements!$C:$C,"&lt;"&amp;AC$1+1)-SUMIFS(movements!$H:$H,movements!$E:$E,$A10,movements!$D:$D,"ISSUE",movements!$C:$C,"&lt;"&amp;AC$1+1)</f>
        <v>79</v>
      </c>
      <c r="AD10">
        <f>SUMIFS(movements!$H:$H,movements!$E:$E,$A10,movements!$D:$D,"OPENING",movements!$C:$C,"&lt;"&amp;AD$1+1)+SUMIFS(movements!$H:$H,movements!$E:$E,$A10,movements!$D:$D,"RECEIPT",movements!$C:$C,"&lt;"&amp;AD$1+1)-SUMIFS(movements!$H:$H,movements!$E:$E,$A10,movements!$D:$D,"ISSUE",movements!$C:$C,"&lt;"&amp;AD$1+1)</f>
        <v>143</v>
      </c>
      <c r="AE10">
        <f>SUMIFS(movements!$H:$H,movements!$E:$E,$A10,movements!$D:$D,"OPENING",movements!$C:$C,"&lt;"&amp;AE$1+1)+SUMIFS(movements!$H:$H,movements!$E:$E,$A10,movements!$D:$D,"RECEIPT",movements!$C:$C,"&lt;"&amp;AE$1+1)-SUMIFS(movements!$H:$H,movements!$E:$E,$A10,movements!$D:$D,"ISSUE",movements!$C:$C,"&lt;"&amp;AE$1+1)</f>
        <v>137</v>
      </c>
      <c r="AF10">
        <f>SUMIFS(movements!$H:$H,movements!$E:$E,$A10,movements!$D:$D,"OPENING",movements!$C:$C,"&lt;"&amp;AF$1+1)+SUMIFS(movements!$H:$H,movements!$E:$E,$A10,movements!$D:$D,"RECEIPT",movements!$C:$C,"&lt;"&amp;AF$1+1)-SUMIFS(movements!$H:$H,movements!$E:$E,$A10,movements!$D:$D,"ISSUE",movements!$C:$C,"&lt;"&amp;AF$1+1)</f>
        <v>136</v>
      </c>
      <c r="AG10">
        <f>SUMIFS(movements!$H:$H,movements!$E:$E,$A10,movements!$D:$D,"OPENING",movements!$C:$C,"&lt;"&amp;AG$1+1)+SUMIFS(movements!$H:$H,movements!$E:$E,$A10,movements!$D:$D,"RECEIPT",movements!$C:$C,"&lt;"&amp;AG$1+1)-SUMIFS(movements!$H:$H,movements!$E:$E,$A10,movements!$D:$D,"ISSUE",movements!$C:$C,"&lt;"&amp;AG$1+1)</f>
        <v>126</v>
      </c>
      <c r="AH10">
        <f>SUMIFS(movements!$H:$H,movements!$E:$E,$A10,movements!$D:$D,"OPENING",movements!$C:$C,"&lt;"&amp;AH$1+1)+SUMIFS(movements!$H:$H,movements!$E:$E,$A10,movements!$D:$D,"RECEIPT",movements!$C:$C,"&lt;"&amp;AH$1+1)-SUMIFS(movements!$H:$H,movements!$E:$E,$A10,movements!$D:$D,"ISSUE",movements!$C:$C,"&lt;"&amp;AH$1+1)</f>
        <v>126</v>
      </c>
      <c r="AI10">
        <f>SUMIFS(movements!$H:$H,movements!$E:$E,$A10,movements!$D:$D,"OPENING",movements!$C:$C,"&lt;"&amp;AI$1+1)+SUMIFS(movements!$H:$H,movements!$E:$E,$A10,movements!$D:$D,"RECEIPT",movements!$C:$C,"&lt;"&amp;AI$1+1)-SUMIFS(movements!$H:$H,movements!$E:$E,$A10,movements!$D:$D,"ISSUE",movements!$C:$C,"&lt;"&amp;AI$1+1)</f>
        <v>120</v>
      </c>
      <c r="AJ10">
        <f>SUMIFS(movements!$H:$H,movements!$E:$E,$A10,movements!$D:$D,"OPENING",movements!$C:$C,"&lt;"&amp;AJ$1+1)+SUMIFS(movements!$H:$H,movements!$E:$E,$A10,movements!$D:$D,"RECEIPT",movements!$C:$C,"&lt;"&amp;AJ$1+1)-SUMIFS(movements!$H:$H,movements!$E:$E,$A10,movements!$D:$D,"ISSUE",movements!$C:$C,"&lt;"&amp;AJ$1+1)</f>
        <v>116</v>
      </c>
      <c r="AK10">
        <f>SUMIFS(movements!$H:$H,movements!$E:$E,$A10,movements!$D:$D,"OPENING",movements!$C:$C,"&lt;"&amp;AK$1+1)+SUMIFS(movements!$H:$H,movements!$E:$E,$A10,movements!$D:$D,"RECEIPT",movements!$C:$C,"&lt;"&amp;AK$1+1)-SUMIFS(movements!$H:$H,movements!$E:$E,$A10,movements!$D:$D,"ISSUE",movements!$C:$C,"&lt;"&amp;AK$1+1)</f>
        <v>116</v>
      </c>
      <c r="AL10">
        <f>SUMIFS(movements!$H:$H,movements!$E:$E,$A10,movements!$D:$D,"OPENING",movements!$C:$C,"&lt;"&amp;AL$1+1)+SUMIFS(movements!$H:$H,movements!$E:$E,$A10,movements!$D:$D,"RECEIPT",movements!$C:$C,"&lt;"&amp;AL$1+1)-SUMIFS(movements!$H:$H,movements!$E:$E,$A10,movements!$D:$D,"ISSUE",movements!$C:$C,"&lt;"&amp;AL$1+1)</f>
        <v>115</v>
      </c>
      <c r="AM10">
        <f>SUMIFS(movements!$H:$H,movements!$E:$E,$A10,movements!$D:$D,"OPENING",movements!$C:$C,"&lt;"&amp;AM$1+1)+SUMIFS(movements!$H:$H,movements!$E:$E,$A10,movements!$D:$D,"RECEIPT",movements!$C:$C,"&lt;"&amp;AM$1+1)-SUMIFS(movements!$H:$H,movements!$E:$E,$A10,movements!$D:$D,"ISSUE",movements!$C:$C,"&lt;"&amp;AM$1+1)</f>
        <v>100</v>
      </c>
      <c r="AN10">
        <f>SUMIFS(movements!$H:$H,movements!$E:$E,$A10,movements!$D:$D,"OPENING",movements!$C:$C,"&lt;"&amp;AN$1+1)+SUMIFS(movements!$H:$H,movements!$E:$E,$A10,movements!$D:$D,"RECEIPT",movements!$C:$C,"&lt;"&amp;AN$1+1)-SUMIFS(movements!$H:$H,movements!$E:$E,$A10,movements!$D:$D,"ISSUE",movements!$C:$C,"&lt;"&amp;AN$1+1)</f>
        <v>97</v>
      </c>
      <c r="AO10">
        <f>SUMIFS(movements!$H:$H,movements!$E:$E,$A10,movements!$D:$D,"OPENING",movements!$C:$C,"&lt;"&amp;AO$1+1)+SUMIFS(movements!$H:$H,movements!$E:$E,$A10,movements!$D:$D,"RECEIPT",movements!$C:$C,"&lt;"&amp;AO$1+1)-SUMIFS(movements!$H:$H,movements!$E:$E,$A10,movements!$D:$D,"ISSUE",movements!$C:$C,"&lt;"&amp;AO$1+1)</f>
        <v>84</v>
      </c>
      <c r="AP10">
        <f>SUMIFS(movements!$H:$H,movements!$E:$E,$A10,movements!$D:$D,"OPENING",movements!$C:$C,"&lt;"&amp;AP$1+1)+SUMIFS(movements!$H:$H,movements!$E:$E,$A10,movements!$D:$D,"RECEIPT",movements!$C:$C,"&lt;"&amp;AP$1+1)-SUMIFS(movements!$H:$H,movements!$E:$E,$A10,movements!$D:$D,"ISSUE",movements!$C:$C,"&lt;"&amp;AP$1+1)</f>
        <v>84</v>
      </c>
      <c r="AQ10">
        <f>SUMIFS(movements!$H:$H,movements!$E:$E,$A10,movements!$D:$D,"OPENING",movements!$C:$C,"&lt;"&amp;AQ$1+1)+SUMIFS(movements!$H:$H,movements!$E:$E,$A10,movements!$D:$D,"RECEIPT",movements!$C:$C,"&lt;"&amp;AQ$1+1)-SUMIFS(movements!$H:$H,movements!$E:$E,$A10,movements!$D:$D,"ISSUE",movements!$C:$C,"&lt;"&amp;AQ$1+1)</f>
        <v>74</v>
      </c>
      <c r="AR10">
        <f>SUMIFS(movements!$H:$H,movements!$E:$E,$A10,movements!$D:$D,"OPENING",movements!$C:$C,"&lt;"&amp;AR$1+1)+SUMIFS(movements!$H:$H,movements!$E:$E,$A10,movements!$D:$D,"RECEIPT",movements!$C:$C,"&lt;"&amp;AR$1+1)-SUMIFS(movements!$H:$H,movements!$E:$E,$A10,movements!$D:$D,"ISSUE",movements!$C:$C,"&lt;"&amp;AR$1+1)</f>
        <v>156</v>
      </c>
      <c r="AS10">
        <f>SUMIFS(movements!$H:$H,movements!$E:$E,$A10,movements!$D:$D,"OPENING",movements!$C:$C,"&lt;"&amp;AS$1+1)+SUMIFS(movements!$H:$H,movements!$E:$E,$A10,movements!$D:$D,"RECEIPT",movements!$C:$C,"&lt;"&amp;AS$1+1)-SUMIFS(movements!$H:$H,movements!$E:$E,$A10,movements!$D:$D,"ISSUE",movements!$C:$C,"&lt;"&amp;AS$1+1)</f>
        <v>150</v>
      </c>
      <c r="AT10">
        <f>SUMIFS(movements!$H:$H,movements!$E:$E,$A10,movements!$D:$D,"OPENING",movements!$C:$C,"&lt;"&amp;AT$1+1)+SUMIFS(movements!$H:$H,movements!$E:$E,$A10,movements!$D:$D,"RECEIPT",movements!$C:$C,"&lt;"&amp;AT$1+1)-SUMIFS(movements!$H:$H,movements!$E:$E,$A10,movements!$D:$D,"ISSUE",movements!$C:$C,"&lt;"&amp;AT$1+1)</f>
        <v>143</v>
      </c>
      <c r="AU10">
        <f>SUMIFS(movements!$H:$H,movements!$E:$E,$A10,movements!$D:$D,"OPENING",movements!$C:$C,"&lt;"&amp;AU$1+1)+SUMIFS(movements!$H:$H,movements!$E:$E,$A10,movements!$D:$D,"RECEIPT",movements!$C:$C,"&lt;"&amp;AU$1+1)-SUMIFS(movements!$H:$H,movements!$E:$E,$A10,movements!$D:$D,"ISSUE",movements!$C:$C,"&lt;"&amp;AU$1+1)</f>
        <v>135</v>
      </c>
      <c r="AV10">
        <f>SUMIFS(movements!$H:$H,movements!$E:$E,$A10,movements!$D:$D,"OPENING",movements!$C:$C,"&lt;"&amp;AV$1+1)+SUMIFS(movements!$H:$H,movements!$E:$E,$A10,movements!$D:$D,"RECEIPT",movements!$C:$C,"&lt;"&amp;AV$1+1)-SUMIFS(movements!$H:$H,movements!$E:$E,$A10,movements!$D:$D,"ISSUE",movements!$C:$C,"&lt;"&amp;AV$1+1)</f>
        <v>131</v>
      </c>
      <c r="AW10">
        <f>SUMIFS(movements!$H:$H,movements!$E:$E,$A10,movements!$D:$D,"OPENING",movements!$C:$C,"&lt;"&amp;AW$1+1)+SUMIFS(movements!$H:$H,movements!$E:$E,$A10,movements!$D:$D,"RECEIPT",movements!$C:$C,"&lt;"&amp;AW$1+1)-SUMIFS(movements!$H:$H,movements!$E:$E,$A10,movements!$D:$D,"ISSUE",movements!$C:$C,"&lt;"&amp;AW$1+1)</f>
        <v>128</v>
      </c>
      <c r="AX10">
        <f>SUMIFS(movements!$H:$H,movements!$E:$E,$A10,movements!$D:$D,"OPENING",movements!$C:$C,"&lt;"&amp;AX$1+1)+SUMIFS(movements!$H:$H,movements!$E:$E,$A10,movements!$D:$D,"RECEIPT",movements!$C:$C,"&lt;"&amp;AX$1+1)-SUMIFS(movements!$H:$H,movements!$E:$E,$A10,movements!$D:$D,"ISSUE",movements!$C:$C,"&lt;"&amp;AX$1+1)</f>
        <v>126</v>
      </c>
      <c r="AY10">
        <f>SUMIFS(movements!$H:$H,movements!$E:$E,$A10,movements!$D:$D,"OPENING",movements!$C:$C,"&lt;"&amp;AY$1+1)+SUMIFS(movements!$H:$H,movements!$E:$E,$A10,movements!$D:$D,"RECEIPT",movements!$C:$C,"&lt;"&amp;AY$1+1)-SUMIFS(movements!$H:$H,movements!$E:$E,$A10,movements!$D:$D,"ISSUE",movements!$C:$C,"&lt;"&amp;AY$1+1)</f>
        <v>120</v>
      </c>
      <c r="AZ10">
        <f>SUMIFS(movements!$H:$H,movements!$E:$E,$A10,movements!$D:$D,"OPENING",movements!$C:$C,"&lt;"&amp;AZ$1+1)+SUMIFS(movements!$H:$H,movements!$E:$E,$A10,movements!$D:$D,"RECEIPT",movements!$C:$C,"&lt;"&amp;AZ$1+1)-SUMIFS(movements!$H:$H,movements!$E:$E,$A10,movements!$D:$D,"ISSUE",movements!$C:$C,"&lt;"&amp;AZ$1+1)</f>
        <v>115</v>
      </c>
      <c r="BA10">
        <f>SUMIFS(movements!$H:$H,movements!$E:$E,$A10,movements!$D:$D,"OPENING",movements!$C:$C,"&lt;"&amp;BA$1+1)+SUMIFS(movements!$H:$H,movements!$E:$E,$A10,movements!$D:$D,"RECEIPT",movements!$C:$C,"&lt;"&amp;BA$1+1)-SUMIFS(movements!$H:$H,movements!$E:$E,$A10,movements!$D:$D,"ISSUE",movements!$C:$C,"&lt;"&amp;BA$1+1)</f>
        <v>105</v>
      </c>
      <c r="BB10">
        <f>SUMIFS(movements!$H:$H,movements!$E:$E,$A10,movements!$D:$D,"OPENING",movements!$C:$C,"&lt;"&amp;BB$1+1)+SUMIFS(movements!$H:$H,movements!$E:$E,$A10,movements!$D:$D,"RECEIPT",movements!$C:$C,"&lt;"&amp;BB$1+1)-SUMIFS(movements!$H:$H,movements!$E:$E,$A10,movements!$D:$D,"ISSUE",movements!$C:$C,"&lt;"&amp;BB$1+1)</f>
        <v>96</v>
      </c>
      <c r="BC10">
        <f>SUMIFS(movements!$H:$H,movements!$E:$E,$A10,movements!$D:$D,"OPENING",movements!$C:$C,"&lt;"&amp;BC$1+1)+SUMIFS(movements!$H:$H,movements!$E:$E,$A10,movements!$D:$D,"RECEIPT",movements!$C:$C,"&lt;"&amp;BC$1+1)-SUMIFS(movements!$H:$H,movements!$E:$E,$A10,movements!$D:$D,"ISSUE",movements!$C:$C,"&lt;"&amp;BC$1+1)</f>
        <v>96</v>
      </c>
      <c r="BD10">
        <f>SUMIFS(movements!$H:$H,movements!$E:$E,$A10,movements!$D:$D,"OPENING",movements!$C:$C,"&lt;"&amp;BD$1+1)+SUMIFS(movements!$H:$H,movements!$E:$E,$A10,movements!$D:$D,"RECEIPT",movements!$C:$C,"&lt;"&amp;BD$1+1)-SUMIFS(movements!$H:$H,movements!$E:$E,$A10,movements!$D:$D,"ISSUE",movements!$C:$C,"&lt;"&amp;BD$1+1)</f>
        <v>88</v>
      </c>
      <c r="BE10">
        <f>SUMIFS(movements!$H:$H,movements!$E:$E,$A10,movements!$D:$D,"OPENING",movements!$C:$C,"&lt;"&amp;BE$1+1)+SUMIFS(movements!$H:$H,movements!$E:$E,$A10,movements!$D:$D,"RECEIPT",movements!$C:$C,"&lt;"&amp;BE$1+1)-SUMIFS(movements!$H:$H,movements!$E:$E,$A10,movements!$D:$D,"ISSUE",movements!$C:$C,"&lt;"&amp;BE$1+1)</f>
        <v>72</v>
      </c>
      <c r="BF10">
        <f>SUMIFS(movements!$H:$H,movements!$E:$E,$A10,movements!$D:$D,"OPENING",movements!$C:$C,"&lt;"&amp;BF$1+1)+SUMIFS(movements!$H:$H,movements!$E:$E,$A10,movements!$D:$D,"RECEIPT",movements!$C:$C,"&lt;"&amp;BF$1+1)-SUMIFS(movements!$H:$H,movements!$E:$E,$A10,movements!$D:$D,"ISSUE",movements!$C:$C,"&lt;"&amp;BF$1+1)</f>
        <v>150</v>
      </c>
      <c r="BG10">
        <f>SUMIFS(movements!$H:$H,movements!$E:$E,$A10,movements!$D:$D,"OPENING",movements!$C:$C,"&lt;"&amp;BG$1+1)+SUMIFS(movements!$H:$H,movements!$E:$E,$A10,movements!$D:$D,"RECEIPT",movements!$C:$C,"&lt;"&amp;BG$1+1)-SUMIFS(movements!$H:$H,movements!$E:$E,$A10,movements!$D:$D,"ISSUE",movements!$C:$C,"&lt;"&amp;BG$1+1)</f>
        <v>141</v>
      </c>
      <c r="BH10">
        <f>SUMIFS(movements!$H:$H,movements!$E:$E,$A10,movements!$D:$D,"OPENING",movements!$C:$C,"&lt;"&amp;BH$1+1)+SUMIFS(movements!$H:$H,movements!$E:$E,$A10,movements!$D:$D,"RECEIPT",movements!$C:$C,"&lt;"&amp;BH$1+1)-SUMIFS(movements!$H:$H,movements!$E:$E,$A10,movements!$D:$D,"ISSUE",movements!$C:$C,"&lt;"&amp;BH$1+1)</f>
        <v>139</v>
      </c>
      <c r="BI10">
        <f>SUMIFS(movements!$H:$H,movements!$E:$E,$A10,movements!$D:$D,"OPENING",movements!$C:$C,"&lt;"&amp;BI$1+1)+SUMIFS(movements!$H:$H,movements!$E:$E,$A10,movements!$D:$D,"RECEIPT",movements!$C:$C,"&lt;"&amp;BI$1+1)-SUMIFS(movements!$H:$H,movements!$E:$E,$A10,movements!$D:$D,"ISSUE",movements!$C:$C,"&lt;"&amp;BI$1+1)</f>
        <v>136</v>
      </c>
      <c r="BJ10">
        <f>SUMIFS(movements!$H:$H,movements!$E:$E,$A10,movements!$D:$D,"OPENING",movements!$C:$C,"&lt;"&amp;BJ$1+1)+SUMIFS(movements!$H:$H,movements!$E:$E,$A10,movements!$D:$D,"RECEIPT",movements!$C:$C,"&lt;"&amp;BJ$1+1)-SUMIFS(movements!$H:$H,movements!$E:$E,$A10,movements!$D:$D,"ISSUE",movements!$C:$C,"&lt;"&amp;BJ$1+1)</f>
        <v>136</v>
      </c>
      <c r="BK10">
        <f>SUMIFS(movements!$H:$H,movements!$E:$E,$A10,movements!$D:$D,"OPENING",movements!$C:$C,"&lt;"&amp;BK$1+1)+SUMIFS(movements!$H:$H,movements!$E:$E,$A10,movements!$D:$D,"RECEIPT",movements!$C:$C,"&lt;"&amp;BK$1+1)-SUMIFS(movements!$H:$H,movements!$E:$E,$A10,movements!$D:$D,"ISSUE",movements!$C:$C,"&lt;"&amp;BK$1+1)</f>
        <v>131</v>
      </c>
      <c r="BL10">
        <f>SUMIFS(movements!$H:$H,movements!$E:$E,$A10,movements!$D:$D,"OPENING",movements!$C:$C,"&lt;"&amp;BL$1+1)+SUMIFS(movements!$H:$H,movements!$E:$E,$A10,movements!$D:$D,"RECEIPT",movements!$C:$C,"&lt;"&amp;BL$1+1)-SUMIFS(movements!$H:$H,movements!$E:$E,$A10,movements!$D:$D,"ISSUE",movements!$C:$C,"&lt;"&amp;BL$1+1)</f>
        <v>127</v>
      </c>
      <c r="BM10">
        <f>SUMIFS(movements!$H:$H,movements!$E:$E,$A10,movements!$D:$D,"OPENING",movements!$C:$C,"&lt;"&amp;BM$1+1)+SUMIFS(movements!$H:$H,movements!$E:$E,$A10,movements!$D:$D,"RECEIPT",movements!$C:$C,"&lt;"&amp;BM$1+1)-SUMIFS(movements!$H:$H,movements!$E:$E,$A10,movements!$D:$D,"ISSUE",movements!$C:$C,"&lt;"&amp;BM$1+1)</f>
        <v>118</v>
      </c>
      <c r="BN10">
        <f>SUMIFS(movements!$H:$H,movements!$E:$E,$A10,movements!$D:$D,"OPENING",movements!$C:$C,"&lt;"&amp;BN$1+1)+SUMIFS(movements!$H:$H,movements!$E:$E,$A10,movements!$D:$D,"RECEIPT",movements!$C:$C,"&lt;"&amp;BN$1+1)-SUMIFS(movements!$H:$H,movements!$E:$E,$A10,movements!$D:$D,"ISSUE",movements!$C:$C,"&lt;"&amp;BN$1+1)</f>
        <v>118</v>
      </c>
      <c r="BO10">
        <f>SUMIFS(movements!$H:$H,movements!$E:$E,$A10,movements!$D:$D,"OPENING",movements!$C:$C,"&lt;"&amp;BO$1+1)+SUMIFS(movements!$H:$H,movements!$E:$E,$A10,movements!$D:$D,"RECEIPT",movements!$C:$C,"&lt;"&amp;BO$1+1)-SUMIFS(movements!$H:$H,movements!$E:$E,$A10,movements!$D:$D,"ISSUE",movements!$C:$C,"&lt;"&amp;BO$1+1)</f>
        <v>107</v>
      </c>
      <c r="BP10">
        <f>SUMIFS(movements!$H:$H,movements!$E:$E,$A10,movements!$D:$D,"OPENING",movements!$C:$C,"&lt;"&amp;BP$1+1)+SUMIFS(movements!$H:$H,movements!$E:$E,$A10,movements!$D:$D,"RECEIPT",movements!$C:$C,"&lt;"&amp;BP$1+1)-SUMIFS(movements!$H:$H,movements!$E:$E,$A10,movements!$D:$D,"ISSUE",movements!$C:$C,"&lt;"&amp;BP$1+1)</f>
        <v>105</v>
      </c>
      <c r="BQ10">
        <f>SUMIFS(movements!$H:$H,movements!$E:$E,$A10,movements!$D:$D,"OPENING",movements!$C:$C,"&lt;"&amp;BQ$1+1)+SUMIFS(movements!$H:$H,movements!$E:$E,$A10,movements!$D:$D,"RECEIPT",movements!$C:$C,"&lt;"&amp;BQ$1+1)-SUMIFS(movements!$H:$H,movements!$E:$E,$A10,movements!$D:$D,"ISSUE",movements!$C:$C,"&lt;"&amp;BQ$1+1)</f>
        <v>94</v>
      </c>
      <c r="BR10">
        <f>SUMIFS(movements!$H:$H,movements!$E:$E,$A10,movements!$D:$D,"OPENING",movements!$C:$C,"&lt;"&amp;BR$1+1)+SUMIFS(movements!$H:$H,movements!$E:$E,$A10,movements!$D:$D,"RECEIPT",movements!$C:$C,"&lt;"&amp;BR$1+1)-SUMIFS(movements!$H:$H,movements!$E:$E,$A10,movements!$D:$D,"ISSUE",movements!$C:$C,"&lt;"&amp;BR$1+1)</f>
        <v>92</v>
      </c>
      <c r="BS10">
        <f>SUMIFS(movements!$H:$H,movements!$E:$E,$A10,movements!$D:$D,"OPENING",movements!$C:$C,"&lt;"&amp;BS$1+1)+SUMIFS(movements!$H:$H,movements!$E:$E,$A10,movements!$D:$D,"RECEIPT",movements!$C:$C,"&lt;"&amp;BS$1+1)-SUMIFS(movements!$H:$H,movements!$E:$E,$A10,movements!$D:$D,"ISSUE",movements!$C:$C,"&lt;"&amp;BS$1+1)</f>
        <v>83</v>
      </c>
      <c r="BT10">
        <f>SUMIFS(movements!$H:$H,movements!$E:$E,$A10,movements!$D:$D,"OPENING",movements!$C:$C,"&lt;"&amp;BT$1+1)+SUMIFS(movements!$H:$H,movements!$E:$E,$A10,movements!$D:$D,"RECEIPT",movements!$C:$C,"&lt;"&amp;BT$1+1)-SUMIFS(movements!$H:$H,movements!$E:$E,$A10,movements!$D:$D,"ISSUE",movements!$C:$C,"&lt;"&amp;BT$1+1)</f>
        <v>171</v>
      </c>
      <c r="BU10">
        <f>SUMIFS(movements!$H:$H,movements!$E:$E,$A10,movements!$D:$D,"OPENING",movements!$C:$C,"&lt;"&amp;BU$1+1)+SUMIFS(movements!$H:$H,movements!$E:$E,$A10,movements!$D:$D,"RECEIPT",movements!$C:$C,"&lt;"&amp;BU$1+1)-SUMIFS(movements!$H:$H,movements!$E:$E,$A10,movements!$D:$D,"ISSUE",movements!$C:$C,"&lt;"&amp;BU$1+1)</f>
        <v>163</v>
      </c>
      <c r="BV10">
        <f>SUMIFS(movements!$H:$H,movements!$E:$E,$A10,movements!$D:$D,"OPENING",movements!$C:$C,"&lt;"&amp;BV$1+1)+SUMIFS(movements!$H:$H,movements!$E:$E,$A10,movements!$D:$D,"RECEIPT",movements!$C:$C,"&lt;"&amp;BV$1+1)-SUMIFS(movements!$H:$H,movements!$E:$E,$A10,movements!$D:$D,"ISSUE",movements!$C:$C,"&lt;"&amp;BV$1+1)</f>
        <v>160</v>
      </c>
      <c r="BW10">
        <f>SUMIFS(movements!$H:$H,movements!$E:$E,$A10,movements!$D:$D,"OPENING",movements!$C:$C,"&lt;"&amp;BW$1+1)+SUMIFS(movements!$H:$H,movements!$E:$E,$A10,movements!$D:$D,"RECEIPT",movements!$C:$C,"&lt;"&amp;BW$1+1)-SUMIFS(movements!$H:$H,movements!$E:$E,$A10,movements!$D:$D,"ISSUE",movements!$C:$C,"&lt;"&amp;BW$1+1)</f>
        <v>155</v>
      </c>
      <c r="BX10">
        <f>SUMIFS(movements!$H:$H,movements!$E:$E,$A10,movements!$D:$D,"OPENING",movements!$C:$C,"&lt;"&amp;BX$1+1)+SUMIFS(movements!$H:$H,movements!$E:$E,$A10,movements!$D:$D,"RECEIPT",movements!$C:$C,"&lt;"&amp;BX$1+1)-SUMIFS(movements!$H:$H,movements!$E:$E,$A10,movements!$D:$D,"ISSUE",movements!$C:$C,"&lt;"&amp;BX$1+1)</f>
        <v>150</v>
      </c>
      <c r="BY10">
        <f>SUMIFS(movements!$H:$H,movements!$E:$E,$A10,movements!$D:$D,"OPENING",movements!$C:$C,"&lt;"&amp;BY$1+1)+SUMIFS(movements!$H:$H,movements!$E:$E,$A10,movements!$D:$D,"RECEIPT",movements!$C:$C,"&lt;"&amp;BY$1+1)-SUMIFS(movements!$H:$H,movements!$E:$E,$A10,movements!$D:$D,"ISSUE",movements!$C:$C,"&lt;"&amp;BY$1+1)</f>
        <v>148</v>
      </c>
      <c r="BZ10">
        <f>SUMIFS(movements!$H:$H,movements!$E:$E,$A10,movements!$D:$D,"OPENING",movements!$C:$C,"&lt;"&amp;BZ$1+1)+SUMIFS(movements!$H:$H,movements!$E:$E,$A10,movements!$D:$D,"RECEIPT",movements!$C:$C,"&lt;"&amp;BZ$1+1)-SUMIFS(movements!$H:$H,movements!$E:$E,$A10,movements!$D:$D,"ISSUE",movements!$C:$C,"&lt;"&amp;BZ$1+1)</f>
        <v>141</v>
      </c>
      <c r="CA10">
        <f>SUMIFS(movements!$H:$H,movements!$E:$E,$A10,movements!$D:$D,"OPENING",movements!$C:$C,"&lt;"&amp;CA$1+1)+SUMIFS(movements!$H:$H,movements!$E:$E,$A10,movements!$D:$D,"RECEIPT",movements!$C:$C,"&lt;"&amp;CA$1+1)-SUMIFS(movements!$H:$H,movements!$E:$E,$A10,movements!$D:$D,"ISSUE",movements!$C:$C,"&lt;"&amp;CA$1+1)</f>
        <v>140</v>
      </c>
      <c r="CB10">
        <f>SUMIFS(movements!$H:$H,movements!$E:$E,$A10,movements!$D:$D,"OPENING",movements!$C:$C,"&lt;"&amp;CB$1+1)+SUMIFS(movements!$H:$H,movements!$E:$E,$A10,movements!$D:$D,"RECEIPT",movements!$C:$C,"&lt;"&amp;CB$1+1)-SUMIFS(movements!$H:$H,movements!$E:$E,$A10,movements!$D:$D,"ISSUE",movements!$C:$C,"&lt;"&amp;CB$1+1)</f>
        <v>135</v>
      </c>
      <c r="CC10">
        <f>SUMIFS(movements!$H:$H,movements!$E:$E,$A10,movements!$D:$D,"OPENING",movements!$C:$C,"&lt;"&amp;CC$1+1)+SUMIFS(movements!$H:$H,movements!$E:$E,$A10,movements!$D:$D,"RECEIPT",movements!$C:$C,"&lt;"&amp;CC$1+1)-SUMIFS(movements!$H:$H,movements!$E:$E,$A10,movements!$D:$D,"ISSUE",movements!$C:$C,"&lt;"&amp;CC$1+1)</f>
        <v>124</v>
      </c>
      <c r="CD10">
        <f>SUMIFS(movements!$H:$H,movements!$E:$E,$A10,movements!$D:$D,"OPENING",movements!$C:$C,"&lt;"&amp;CD$1+1)+SUMIFS(movements!$H:$H,movements!$E:$E,$A10,movements!$D:$D,"RECEIPT",movements!$C:$C,"&lt;"&amp;CD$1+1)-SUMIFS(movements!$H:$H,movements!$E:$E,$A10,movements!$D:$D,"ISSUE",movements!$C:$C,"&lt;"&amp;CD$1+1)</f>
        <v>114</v>
      </c>
      <c r="CE10">
        <f>SUMIFS(movements!$H:$H,movements!$E:$E,$A10,movements!$D:$D,"OPENING",movements!$C:$C,"&lt;"&amp;CE$1+1)+SUMIFS(movements!$H:$H,movements!$E:$E,$A10,movements!$D:$D,"RECEIPT",movements!$C:$C,"&lt;"&amp;CE$1+1)-SUMIFS(movements!$H:$H,movements!$E:$E,$A10,movements!$D:$D,"ISSUE",movements!$C:$C,"&lt;"&amp;CE$1+1)</f>
        <v>105</v>
      </c>
      <c r="CF10">
        <f>SUMIFS(movements!$H:$H,movements!$E:$E,$A10,movements!$D:$D,"OPENING",movements!$C:$C,"&lt;"&amp;CF$1+1)+SUMIFS(movements!$H:$H,movements!$E:$E,$A10,movements!$D:$D,"RECEIPT",movements!$C:$C,"&lt;"&amp;CF$1+1)-SUMIFS(movements!$H:$H,movements!$E:$E,$A10,movements!$D:$D,"ISSUE",movements!$C:$C,"&lt;"&amp;CF$1+1)</f>
        <v>100</v>
      </c>
      <c r="CG10">
        <f>SUMIFS(movements!$H:$H,movements!$E:$E,$A10,movements!$D:$D,"OPENING",movements!$C:$C,"&lt;"&amp;CG$1+1)+SUMIFS(movements!$H:$H,movements!$E:$E,$A10,movements!$D:$D,"RECEIPT",movements!$C:$C,"&lt;"&amp;CG$1+1)-SUMIFS(movements!$H:$H,movements!$E:$E,$A10,movements!$D:$D,"ISSUE",movements!$C:$C,"&lt;"&amp;CG$1+1)</f>
        <v>97</v>
      </c>
      <c r="CH10">
        <f>SUMIFS(movements!$H:$H,movements!$E:$E,$A10,movements!$D:$D,"OPENING",movements!$C:$C,"&lt;"&amp;CH$1+1)+SUMIFS(movements!$H:$H,movements!$E:$E,$A10,movements!$D:$D,"RECEIPT",movements!$C:$C,"&lt;"&amp;CH$1+1)-SUMIFS(movements!$H:$H,movements!$E:$E,$A10,movements!$D:$D,"ISSUE",movements!$C:$C,"&lt;"&amp;CH$1+1)</f>
        <v>160</v>
      </c>
      <c r="CI10">
        <f>SUMIFS(movements!$H:$H,movements!$E:$E,$A10,movements!$D:$D,"OPENING",movements!$C:$C,"&lt;"&amp;CI$1+1)+SUMIFS(movements!$H:$H,movements!$E:$E,$A10,movements!$D:$D,"RECEIPT",movements!$C:$C,"&lt;"&amp;CI$1+1)-SUMIFS(movements!$H:$H,movements!$E:$E,$A10,movements!$D:$D,"ISSUE",movements!$C:$C,"&lt;"&amp;CI$1+1)</f>
        <v>157</v>
      </c>
      <c r="CJ10">
        <f>SUMIFS(movements!$H:$H,movements!$E:$E,$A10,movements!$D:$D,"OPENING",movements!$C:$C,"&lt;"&amp;CJ$1+1)+SUMIFS(movements!$H:$H,movements!$E:$E,$A10,movements!$D:$D,"RECEIPT",movements!$C:$C,"&lt;"&amp;CJ$1+1)-SUMIFS(movements!$H:$H,movements!$E:$E,$A10,movements!$D:$D,"ISSUE",movements!$C:$C,"&lt;"&amp;CJ$1+1)</f>
        <v>147</v>
      </c>
      <c r="CK10">
        <f>SUMIFS(movements!$H:$H,movements!$E:$E,$A10,movements!$D:$D,"OPENING",movements!$C:$C,"&lt;"&amp;CK$1+1)+SUMIFS(movements!$H:$H,movements!$E:$E,$A10,movements!$D:$D,"RECEIPT",movements!$C:$C,"&lt;"&amp;CK$1+1)-SUMIFS(movements!$H:$H,movements!$E:$E,$A10,movements!$D:$D,"ISSUE",movements!$C:$C,"&lt;"&amp;CK$1+1)</f>
        <v>147</v>
      </c>
      <c r="CL10">
        <f>SUMIFS(movements!$H:$H,movements!$E:$E,$A10,movements!$D:$D,"OPENING",movements!$C:$C,"&lt;"&amp;CL$1+1)+SUMIFS(movements!$H:$H,movements!$E:$E,$A10,movements!$D:$D,"RECEIPT",movements!$C:$C,"&lt;"&amp;CL$1+1)-SUMIFS(movements!$H:$H,movements!$E:$E,$A10,movements!$D:$D,"ISSUE",movements!$C:$C,"&lt;"&amp;CL$1+1)</f>
        <v>147</v>
      </c>
      <c r="CM10">
        <f>SUMIFS(movements!$H:$H,movements!$E:$E,$A10,movements!$D:$D,"OPENING",movements!$C:$C,"&lt;"&amp;CM$1+1)+SUMIFS(movements!$H:$H,movements!$E:$E,$A10,movements!$D:$D,"RECEIPT",movements!$C:$C,"&lt;"&amp;CM$1+1)-SUMIFS(movements!$H:$H,movements!$E:$E,$A10,movements!$D:$D,"ISSUE",movements!$C:$C,"&lt;"&amp;CM$1+1)</f>
        <v>140</v>
      </c>
      <c r="CN10">
        <f t="shared" si="2"/>
        <v>117.72222222222223</v>
      </c>
      <c r="CO10">
        <f>SUMIFS(movements!$H:$H,movements!$E:$E,$A10,movements!$D:$D,"ISSUE",movements!$C:$C,"&gt;="&amp;$B$1,movements!$C:$C,"&lt;"&amp;($CM$1+1))</f>
        <v>477</v>
      </c>
      <c r="CP10">
        <f t="shared" si="3"/>
        <v>4.0519112789051439</v>
      </c>
      <c r="CQ10">
        <f t="shared" si="4"/>
        <v>22.211740041928721</v>
      </c>
    </row>
    <row r="11" spans="1:95" x14ac:dyDescent="0.25">
      <c r="A11" t="s">
        <v>34</v>
      </c>
      <c r="B11">
        <f>SUMIFS(movements!$H:$H,movements!$E:$E,$A11,movements!$D:$D,"OPENING",movements!$C:$C,"&lt;"&amp;B$1+1)+SUMIFS(movements!$H:$H,movements!$E:$E,$A11,movements!$D:$D,"RECEIPT",movements!$C:$C,"&lt;"&amp;B$1+1)-SUMIFS(movements!$H:$H,movements!$E:$E,$A11,movements!$D:$D,"ISSUE",movements!$C:$C,"&lt;"&amp;B$1+1)</f>
        <v>80</v>
      </c>
      <c r="C11">
        <f>SUMIFS(movements!$H:$H,movements!$E:$E,$A11,movements!$D:$D,"OPENING",movements!$C:$C,"&lt;"&amp;C$1+1)+SUMIFS(movements!$H:$H,movements!$E:$E,$A11,movements!$D:$D,"RECEIPT",movements!$C:$C,"&lt;"&amp;C$1+1)-SUMIFS(movements!$H:$H,movements!$E:$E,$A11,movements!$D:$D,"ISSUE",movements!$C:$C,"&lt;"&amp;C$1+1)</f>
        <v>80</v>
      </c>
      <c r="D11">
        <f>SUMIFS(movements!$H:$H,movements!$E:$E,$A11,movements!$D:$D,"OPENING",movements!$C:$C,"&lt;"&amp;D$1+1)+SUMIFS(movements!$H:$H,movements!$E:$E,$A11,movements!$D:$D,"RECEIPT",movements!$C:$C,"&lt;"&amp;D$1+1)-SUMIFS(movements!$H:$H,movements!$E:$E,$A11,movements!$D:$D,"ISSUE",movements!$C:$C,"&lt;"&amp;D$1+1)</f>
        <v>80</v>
      </c>
      <c r="E11">
        <f>SUMIFS(movements!$H:$H,movements!$E:$E,$A11,movements!$D:$D,"OPENING",movements!$C:$C,"&lt;"&amp;E$1+1)+SUMIFS(movements!$H:$H,movements!$E:$E,$A11,movements!$D:$D,"RECEIPT",movements!$C:$C,"&lt;"&amp;E$1+1)-SUMIFS(movements!$H:$H,movements!$E:$E,$A11,movements!$D:$D,"ISSUE",movements!$C:$C,"&lt;"&amp;E$1+1)</f>
        <v>80</v>
      </c>
      <c r="F11">
        <f>SUMIFS(movements!$H:$H,movements!$E:$E,$A11,movements!$D:$D,"OPENING",movements!$C:$C,"&lt;"&amp;F$1+1)+SUMIFS(movements!$H:$H,movements!$E:$E,$A11,movements!$D:$D,"RECEIPT",movements!$C:$C,"&lt;"&amp;F$1+1)-SUMIFS(movements!$H:$H,movements!$E:$E,$A11,movements!$D:$D,"ISSUE",movements!$C:$C,"&lt;"&amp;F$1+1)</f>
        <v>80</v>
      </c>
      <c r="G11">
        <f>SUMIFS(movements!$H:$H,movements!$E:$E,$A11,movements!$D:$D,"OPENING",movements!$C:$C,"&lt;"&amp;G$1+1)+SUMIFS(movements!$H:$H,movements!$E:$E,$A11,movements!$D:$D,"RECEIPT",movements!$C:$C,"&lt;"&amp;G$1+1)-SUMIFS(movements!$H:$H,movements!$E:$E,$A11,movements!$D:$D,"ISSUE",movements!$C:$C,"&lt;"&amp;G$1+1)</f>
        <v>80</v>
      </c>
      <c r="H11">
        <f>SUMIFS(movements!$H:$H,movements!$E:$E,$A11,movements!$D:$D,"OPENING",movements!$C:$C,"&lt;"&amp;H$1+1)+SUMIFS(movements!$H:$H,movements!$E:$E,$A11,movements!$D:$D,"RECEIPT",movements!$C:$C,"&lt;"&amp;H$1+1)-SUMIFS(movements!$H:$H,movements!$E:$E,$A11,movements!$D:$D,"ISSUE",movements!$C:$C,"&lt;"&amp;H$1+1)</f>
        <v>80</v>
      </c>
      <c r="I11">
        <f>SUMIFS(movements!$H:$H,movements!$E:$E,$A11,movements!$D:$D,"OPENING",movements!$C:$C,"&lt;"&amp;I$1+1)+SUMIFS(movements!$H:$H,movements!$E:$E,$A11,movements!$D:$D,"RECEIPT",movements!$C:$C,"&lt;"&amp;I$1+1)-SUMIFS(movements!$H:$H,movements!$E:$E,$A11,movements!$D:$D,"ISSUE",movements!$C:$C,"&lt;"&amp;I$1+1)</f>
        <v>166</v>
      </c>
      <c r="J11">
        <f>SUMIFS(movements!$H:$H,movements!$E:$E,$A11,movements!$D:$D,"OPENING",movements!$C:$C,"&lt;"&amp;J$1+1)+SUMIFS(movements!$H:$H,movements!$E:$E,$A11,movements!$D:$D,"RECEIPT",movements!$C:$C,"&lt;"&amp;J$1+1)-SUMIFS(movements!$H:$H,movements!$E:$E,$A11,movements!$D:$D,"ISSUE",movements!$C:$C,"&lt;"&amp;J$1+1)</f>
        <v>166</v>
      </c>
      <c r="K11">
        <f>SUMIFS(movements!$H:$H,movements!$E:$E,$A11,movements!$D:$D,"OPENING",movements!$C:$C,"&lt;"&amp;K$1+1)+SUMIFS(movements!$H:$H,movements!$E:$E,$A11,movements!$D:$D,"RECEIPT",movements!$C:$C,"&lt;"&amp;K$1+1)-SUMIFS(movements!$H:$H,movements!$E:$E,$A11,movements!$D:$D,"ISSUE",movements!$C:$C,"&lt;"&amp;K$1+1)</f>
        <v>166</v>
      </c>
      <c r="L11">
        <f>SUMIFS(movements!$H:$H,movements!$E:$E,$A11,movements!$D:$D,"OPENING",movements!$C:$C,"&lt;"&amp;L$1+1)+SUMIFS(movements!$H:$H,movements!$E:$E,$A11,movements!$D:$D,"RECEIPT",movements!$C:$C,"&lt;"&amp;L$1+1)-SUMIFS(movements!$H:$H,movements!$E:$E,$A11,movements!$D:$D,"ISSUE",movements!$C:$C,"&lt;"&amp;L$1+1)</f>
        <v>166</v>
      </c>
      <c r="M11">
        <f>SUMIFS(movements!$H:$H,movements!$E:$E,$A11,movements!$D:$D,"OPENING",movements!$C:$C,"&lt;"&amp;M$1+1)+SUMIFS(movements!$H:$H,movements!$E:$E,$A11,movements!$D:$D,"RECEIPT",movements!$C:$C,"&lt;"&amp;M$1+1)-SUMIFS(movements!$H:$H,movements!$E:$E,$A11,movements!$D:$D,"ISSUE",movements!$C:$C,"&lt;"&amp;M$1+1)</f>
        <v>166</v>
      </c>
      <c r="N11">
        <f>SUMIFS(movements!$H:$H,movements!$E:$E,$A11,movements!$D:$D,"OPENING",movements!$C:$C,"&lt;"&amp;N$1+1)+SUMIFS(movements!$H:$H,movements!$E:$E,$A11,movements!$D:$D,"RECEIPT",movements!$C:$C,"&lt;"&amp;N$1+1)-SUMIFS(movements!$H:$H,movements!$E:$E,$A11,movements!$D:$D,"ISSUE",movements!$C:$C,"&lt;"&amp;N$1+1)</f>
        <v>166</v>
      </c>
      <c r="O11">
        <f>SUMIFS(movements!$H:$H,movements!$E:$E,$A11,movements!$D:$D,"OPENING",movements!$C:$C,"&lt;"&amp;O$1+1)+SUMIFS(movements!$H:$H,movements!$E:$E,$A11,movements!$D:$D,"RECEIPT",movements!$C:$C,"&lt;"&amp;O$1+1)-SUMIFS(movements!$H:$H,movements!$E:$E,$A11,movements!$D:$D,"ISSUE",movements!$C:$C,"&lt;"&amp;O$1+1)</f>
        <v>166</v>
      </c>
      <c r="P11">
        <f>SUMIFS(movements!$H:$H,movements!$E:$E,$A11,movements!$D:$D,"OPENING",movements!$C:$C,"&lt;"&amp;P$1+1)+SUMIFS(movements!$H:$H,movements!$E:$E,$A11,movements!$D:$D,"RECEIPT",movements!$C:$C,"&lt;"&amp;P$1+1)-SUMIFS(movements!$H:$H,movements!$E:$E,$A11,movements!$D:$D,"ISSUE",movements!$C:$C,"&lt;"&amp;P$1+1)</f>
        <v>166</v>
      </c>
      <c r="Q11">
        <f>SUMIFS(movements!$H:$H,movements!$E:$E,$A11,movements!$D:$D,"OPENING",movements!$C:$C,"&lt;"&amp;Q$1+1)+SUMIFS(movements!$H:$H,movements!$E:$E,$A11,movements!$D:$D,"RECEIPT",movements!$C:$C,"&lt;"&amp;Q$1+1)-SUMIFS(movements!$H:$H,movements!$E:$E,$A11,movements!$D:$D,"ISSUE",movements!$C:$C,"&lt;"&amp;Q$1+1)</f>
        <v>166</v>
      </c>
      <c r="R11">
        <f>SUMIFS(movements!$H:$H,movements!$E:$E,$A11,movements!$D:$D,"OPENING",movements!$C:$C,"&lt;"&amp;R$1+1)+SUMIFS(movements!$H:$H,movements!$E:$E,$A11,movements!$D:$D,"RECEIPT",movements!$C:$C,"&lt;"&amp;R$1+1)-SUMIFS(movements!$H:$H,movements!$E:$E,$A11,movements!$D:$D,"ISSUE",movements!$C:$C,"&lt;"&amp;R$1+1)</f>
        <v>166</v>
      </c>
      <c r="S11">
        <f>SUMIFS(movements!$H:$H,movements!$E:$E,$A11,movements!$D:$D,"OPENING",movements!$C:$C,"&lt;"&amp;S$1+1)+SUMIFS(movements!$H:$H,movements!$E:$E,$A11,movements!$D:$D,"RECEIPT",movements!$C:$C,"&lt;"&amp;S$1+1)-SUMIFS(movements!$H:$H,movements!$E:$E,$A11,movements!$D:$D,"ISSUE",movements!$C:$C,"&lt;"&amp;S$1+1)</f>
        <v>166</v>
      </c>
      <c r="T11">
        <f>SUMIFS(movements!$H:$H,movements!$E:$E,$A11,movements!$D:$D,"OPENING",movements!$C:$C,"&lt;"&amp;T$1+1)+SUMIFS(movements!$H:$H,movements!$E:$E,$A11,movements!$D:$D,"RECEIPT",movements!$C:$C,"&lt;"&amp;T$1+1)-SUMIFS(movements!$H:$H,movements!$E:$E,$A11,movements!$D:$D,"ISSUE",movements!$C:$C,"&lt;"&amp;T$1+1)</f>
        <v>166</v>
      </c>
      <c r="U11">
        <f>SUMIFS(movements!$H:$H,movements!$E:$E,$A11,movements!$D:$D,"OPENING",movements!$C:$C,"&lt;"&amp;U$1+1)+SUMIFS(movements!$H:$H,movements!$E:$E,$A11,movements!$D:$D,"RECEIPT",movements!$C:$C,"&lt;"&amp;U$1+1)-SUMIFS(movements!$H:$H,movements!$E:$E,$A11,movements!$D:$D,"ISSUE",movements!$C:$C,"&lt;"&amp;U$1+1)</f>
        <v>166</v>
      </c>
      <c r="V11">
        <f>SUMIFS(movements!$H:$H,movements!$E:$E,$A11,movements!$D:$D,"OPENING",movements!$C:$C,"&lt;"&amp;V$1+1)+SUMIFS(movements!$H:$H,movements!$E:$E,$A11,movements!$D:$D,"RECEIPT",movements!$C:$C,"&lt;"&amp;V$1+1)-SUMIFS(movements!$H:$H,movements!$E:$E,$A11,movements!$D:$D,"ISSUE",movements!$C:$C,"&lt;"&amp;V$1+1)</f>
        <v>166</v>
      </c>
      <c r="W11">
        <f>SUMIFS(movements!$H:$H,movements!$E:$E,$A11,movements!$D:$D,"OPENING",movements!$C:$C,"&lt;"&amp;W$1+1)+SUMIFS(movements!$H:$H,movements!$E:$E,$A11,movements!$D:$D,"RECEIPT",movements!$C:$C,"&lt;"&amp;W$1+1)-SUMIFS(movements!$H:$H,movements!$E:$E,$A11,movements!$D:$D,"ISSUE",movements!$C:$C,"&lt;"&amp;W$1+1)</f>
        <v>166</v>
      </c>
      <c r="X11">
        <f>SUMIFS(movements!$H:$H,movements!$E:$E,$A11,movements!$D:$D,"OPENING",movements!$C:$C,"&lt;"&amp;X$1+1)+SUMIFS(movements!$H:$H,movements!$E:$E,$A11,movements!$D:$D,"RECEIPT",movements!$C:$C,"&lt;"&amp;X$1+1)-SUMIFS(movements!$H:$H,movements!$E:$E,$A11,movements!$D:$D,"ISSUE",movements!$C:$C,"&lt;"&amp;X$1+1)</f>
        <v>166</v>
      </c>
      <c r="Y11">
        <f>SUMIFS(movements!$H:$H,movements!$E:$E,$A11,movements!$D:$D,"OPENING",movements!$C:$C,"&lt;"&amp;Y$1+1)+SUMIFS(movements!$H:$H,movements!$E:$E,$A11,movements!$D:$D,"RECEIPT",movements!$C:$C,"&lt;"&amp;Y$1+1)-SUMIFS(movements!$H:$H,movements!$E:$E,$A11,movements!$D:$D,"ISSUE",movements!$C:$C,"&lt;"&amp;Y$1+1)</f>
        <v>166</v>
      </c>
      <c r="Z11">
        <f>SUMIFS(movements!$H:$H,movements!$E:$E,$A11,movements!$D:$D,"OPENING",movements!$C:$C,"&lt;"&amp;Z$1+1)+SUMIFS(movements!$H:$H,movements!$E:$E,$A11,movements!$D:$D,"RECEIPT",movements!$C:$C,"&lt;"&amp;Z$1+1)-SUMIFS(movements!$H:$H,movements!$E:$E,$A11,movements!$D:$D,"ISSUE",movements!$C:$C,"&lt;"&amp;Z$1+1)</f>
        <v>166</v>
      </c>
      <c r="AA11">
        <f>SUMIFS(movements!$H:$H,movements!$E:$E,$A11,movements!$D:$D,"OPENING",movements!$C:$C,"&lt;"&amp;AA$1+1)+SUMIFS(movements!$H:$H,movements!$E:$E,$A11,movements!$D:$D,"RECEIPT",movements!$C:$C,"&lt;"&amp;AA$1+1)-SUMIFS(movements!$H:$H,movements!$E:$E,$A11,movements!$D:$D,"ISSUE",movements!$C:$C,"&lt;"&amp;AA$1+1)</f>
        <v>166</v>
      </c>
      <c r="AB11">
        <f>SUMIFS(movements!$H:$H,movements!$E:$E,$A11,movements!$D:$D,"OPENING",movements!$C:$C,"&lt;"&amp;AB$1+1)+SUMIFS(movements!$H:$H,movements!$E:$E,$A11,movements!$D:$D,"RECEIPT",movements!$C:$C,"&lt;"&amp;AB$1+1)-SUMIFS(movements!$H:$H,movements!$E:$E,$A11,movements!$D:$D,"ISSUE",movements!$C:$C,"&lt;"&amp;AB$1+1)</f>
        <v>166</v>
      </c>
      <c r="AC11">
        <f>SUMIFS(movements!$H:$H,movements!$E:$E,$A11,movements!$D:$D,"OPENING",movements!$C:$C,"&lt;"&amp;AC$1+1)+SUMIFS(movements!$H:$H,movements!$E:$E,$A11,movements!$D:$D,"RECEIPT",movements!$C:$C,"&lt;"&amp;AC$1+1)-SUMIFS(movements!$H:$H,movements!$E:$E,$A11,movements!$D:$D,"ISSUE",movements!$C:$C,"&lt;"&amp;AC$1+1)</f>
        <v>166</v>
      </c>
      <c r="AD11">
        <f>SUMIFS(movements!$H:$H,movements!$E:$E,$A11,movements!$D:$D,"OPENING",movements!$C:$C,"&lt;"&amp;AD$1+1)+SUMIFS(movements!$H:$H,movements!$E:$E,$A11,movements!$D:$D,"RECEIPT",movements!$C:$C,"&lt;"&amp;AD$1+1)-SUMIFS(movements!$H:$H,movements!$E:$E,$A11,movements!$D:$D,"ISSUE",movements!$C:$C,"&lt;"&amp;AD$1+1)</f>
        <v>166</v>
      </c>
      <c r="AE11">
        <f>SUMIFS(movements!$H:$H,movements!$E:$E,$A11,movements!$D:$D,"OPENING",movements!$C:$C,"&lt;"&amp;AE$1+1)+SUMIFS(movements!$H:$H,movements!$E:$E,$A11,movements!$D:$D,"RECEIPT",movements!$C:$C,"&lt;"&amp;AE$1+1)-SUMIFS(movements!$H:$H,movements!$E:$E,$A11,movements!$D:$D,"ISSUE",movements!$C:$C,"&lt;"&amp;AE$1+1)</f>
        <v>166</v>
      </c>
      <c r="AF11">
        <f>SUMIFS(movements!$H:$H,movements!$E:$E,$A11,movements!$D:$D,"OPENING",movements!$C:$C,"&lt;"&amp;AF$1+1)+SUMIFS(movements!$H:$H,movements!$E:$E,$A11,movements!$D:$D,"RECEIPT",movements!$C:$C,"&lt;"&amp;AF$1+1)-SUMIFS(movements!$H:$H,movements!$E:$E,$A11,movements!$D:$D,"ISSUE",movements!$C:$C,"&lt;"&amp;AF$1+1)</f>
        <v>166</v>
      </c>
      <c r="AG11">
        <f>SUMIFS(movements!$H:$H,movements!$E:$E,$A11,movements!$D:$D,"OPENING",movements!$C:$C,"&lt;"&amp;AG$1+1)+SUMIFS(movements!$H:$H,movements!$E:$E,$A11,movements!$D:$D,"RECEIPT",movements!$C:$C,"&lt;"&amp;AG$1+1)-SUMIFS(movements!$H:$H,movements!$E:$E,$A11,movements!$D:$D,"ISSUE",movements!$C:$C,"&lt;"&amp;AG$1+1)</f>
        <v>166</v>
      </c>
      <c r="AH11">
        <f>SUMIFS(movements!$H:$H,movements!$E:$E,$A11,movements!$D:$D,"OPENING",movements!$C:$C,"&lt;"&amp;AH$1+1)+SUMIFS(movements!$H:$H,movements!$E:$E,$A11,movements!$D:$D,"RECEIPT",movements!$C:$C,"&lt;"&amp;AH$1+1)-SUMIFS(movements!$H:$H,movements!$E:$E,$A11,movements!$D:$D,"ISSUE",movements!$C:$C,"&lt;"&amp;AH$1+1)</f>
        <v>166</v>
      </c>
      <c r="AI11">
        <f>SUMIFS(movements!$H:$H,movements!$E:$E,$A11,movements!$D:$D,"OPENING",movements!$C:$C,"&lt;"&amp;AI$1+1)+SUMIFS(movements!$H:$H,movements!$E:$E,$A11,movements!$D:$D,"RECEIPT",movements!$C:$C,"&lt;"&amp;AI$1+1)-SUMIFS(movements!$H:$H,movements!$E:$E,$A11,movements!$D:$D,"ISSUE",movements!$C:$C,"&lt;"&amp;AI$1+1)</f>
        <v>166</v>
      </c>
      <c r="AJ11">
        <f>SUMIFS(movements!$H:$H,movements!$E:$E,$A11,movements!$D:$D,"OPENING",movements!$C:$C,"&lt;"&amp;AJ$1+1)+SUMIFS(movements!$H:$H,movements!$E:$E,$A11,movements!$D:$D,"RECEIPT",movements!$C:$C,"&lt;"&amp;AJ$1+1)-SUMIFS(movements!$H:$H,movements!$E:$E,$A11,movements!$D:$D,"ISSUE",movements!$C:$C,"&lt;"&amp;AJ$1+1)</f>
        <v>166</v>
      </c>
      <c r="AK11">
        <f>SUMIFS(movements!$H:$H,movements!$E:$E,$A11,movements!$D:$D,"OPENING",movements!$C:$C,"&lt;"&amp;AK$1+1)+SUMIFS(movements!$H:$H,movements!$E:$E,$A11,movements!$D:$D,"RECEIPT",movements!$C:$C,"&lt;"&amp;AK$1+1)-SUMIFS(movements!$H:$H,movements!$E:$E,$A11,movements!$D:$D,"ISSUE",movements!$C:$C,"&lt;"&amp;AK$1+1)</f>
        <v>166</v>
      </c>
      <c r="AL11">
        <f>SUMIFS(movements!$H:$H,movements!$E:$E,$A11,movements!$D:$D,"OPENING",movements!$C:$C,"&lt;"&amp;AL$1+1)+SUMIFS(movements!$H:$H,movements!$E:$E,$A11,movements!$D:$D,"RECEIPT",movements!$C:$C,"&lt;"&amp;AL$1+1)-SUMIFS(movements!$H:$H,movements!$E:$E,$A11,movements!$D:$D,"ISSUE",movements!$C:$C,"&lt;"&amp;AL$1+1)</f>
        <v>166</v>
      </c>
      <c r="AM11">
        <f>SUMIFS(movements!$H:$H,movements!$E:$E,$A11,movements!$D:$D,"OPENING",movements!$C:$C,"&lt;"&amp;AM$1+1)+SUMIFS(movements!$H:$H,movements!$E:$E,$A11,movements!$D:$D,"RECEIPT",movements!$C:$C,"&lt;"&amp;AM$1+1)-SUMIFS(movements!$H:$H,movements!$E:$E,$A11,movements!$D:$D,"ISSUE",movements!$C:$C,"&lt;"&amp;AM$1+1)</f>
        <v>166</v>
      </c>
      <c r="AN11">
        <f>SUMIFS(movements!$H:$H,movements!$E:$E,$A11,movements!$D:$D,"OPENING",movements!$C:$C,"&lt;"&amp;AN$1+1)+SUMIFS(movements!$H:$H,movements!$E:$E,$A11,movements!$D:$D,"RECEIPT",movements!$C:$C,"&lt;"&amp;AN$1+1)-SUMIFS(movements!$H:$H,movements!$E:$E,$A11,movements!$D:$D,"ISSUE",movements!$C:$C,"&lt;"&amp;AN$1+1)</f>
        <v>166</v>
      </c>
      <c r="AO11">
        <f>SUMIFS(movements!$H:$H,movements!$E:$E,$A11,movements!$D:$D,"OPENING",movements!$C:$C,"&lt;"&amp;AO$1+1)+SUMIFS(movements!$H:$H,movements!$E:$E,$A11,movements!$D:$D,"RECEIPT",movements!$C:$C,"&lt;"&amp;AO$1+1)-SUMIFS(movements!$H:$H,movements!$E:$E,$A11,movements!$D:$D,"ISSUE",movements!$C:$C,"&lt;"&amp;AO$1+1)</f>
        <v>166</v>
      </c>
      <c r="AP11">
        <f>SUMIFS(movements!$H:$H,movements!$E:$E,$A11,movements!$D:$D,"OPENING",movements!$C:$C,"&lt;"&amp;AP$1+1)+SUMIFS(movements!$H:$H,movements!$E:$E,$A11,movements!$D:$D,"RECEIPT",movements!$C:$C,"&lt;"&amp;AP$1+1)-SUMIFS(movements!$H:$H,movements!$E:$E,$A11,movements!$D:$D,"ISSUE",movements!$C:$C,"&lt;"&amp;AP$1+1)</f>
        <v>166</v>
      </c>
      <c r="AQ11">
        <f>SUMIFS(movements!$H:$H,movements!$E:$E,$A11,movements!$D:$D,"OPENING",movements!$C:$C,"&lt;"&amp;AQ$1+1)+SUMIFS(movements!$H:$H,movements!$E:$E,$A11,movements!$D:$D,"RECEIPT",movements!$C:$C,"&lt;"&amp;AQ$1+1)-SUMIFS(movements!$H:$H,movements!$E:$E,$A11,movements!$D:$D,"ISSUE",movements!$C:$C,"&lt;"&amp;AQ$1+1)</f>
        <v>166</v>
      </c>
      <c r="AR11">
        <f>SUMIFS(movements!$H:$H,movements!$E:$E,$A11,movements!$D:$D,"OPENING",movements!$C:$C,"&lt;"&amp;AR$1+1)+SUMIFS(movements!$H:$H,movements!$E:$E,$A11,movements!$D:$D,"RECEIPT",movements!$C:$C,"&lt;"&amp;AR$1+1)-SUMIFS(movements!$H:$H,movements!$E:$E,$A11,movements!$D:$D,"ISSUE",movements!$C:$C,"&lt;"&amp;AR$1+1)</f>
        <v>166</v>
      </c>
      <c r="AS11">
        <f>SUMIFS(movements!$H:$H,movements!$E:$E,$A11,movements!$D:$D,"OPENING",movements!$C:$C,"&lt;"&amp;AS$1+1)+SUMIFS(movements!$H:$H,movements!$E:$E,$A11,movements!$D:$D,"RECEIPT",movements!$C:$C,"&lt;"&amp;AS$1+1)-SUMIFS(movements!$H:$H,movements!$E:$E,$A11,movements!$D:$D,"ISSUE",movements!$C:$C,"&lt;"&amp;AS$1+1)</f>
        <v>166</v>
      </c>
      <c r="AT11">
        <f>SUMIFS(movements!$H:$H,movements!$E:$E,$A11,movements!$D:$D,"OPENING",movements!$C:$C,"&lt;"&amp;AT$1+1)+SUMIFS(movements!$H:$H,movements!$E:$E,$A11,movements!$D:$D,"RECEIPT",movements!$C:$C,"&lt;"&amp;AT$1+1)-SUMIFS(movements!$H:$H,movements!$E:$E,$A11,movements!$D:$D,"ISSUE",movements!$C:$C,"&lt;"&amp;AT$1+1)</f>
        <v>166</v>
      </c>
      <c r="AU11">
        <f>SUMIFS(movements!$H:$H,movements!$E:$E,$A11,movements!$D:$D,"OPENING",movements!$C:$C,"&lt;"&amp;AU$1+1)+SUMIFS(movements!$H:$H,movements!$E:$E,$A11,movements!$D:$D,"RECEIPT",movements!$C:$C,"&lt;"&amp;AU$1+1)-SUMIFS(movements!$H:$H,movements!$E:$E,$A11,movements!$D:$D,"ISSUE",movements!$C:$C,"&lt;"&amp;AU$1+1)</f>
        <v>166</v>
      </c>
      <c r="AV11">
        <f>SUMIFS(movements!$H:$H,movements!$E:$E,$A11,movements!$D:$D,"OPENING",movements!$C:$C,"&lt;"&amp;AV$1+1)+SUMIFS(movements!$H:$H,movements!$E:$E,$A11,movements!$D:$D,"RECEIPT",movements!$C:$C,"&lt;"&amp;AV$1+1)-SUMIFS(movements!$H:$H,movements!$E:$E,$A11,movements!$D:$D,"ISSUE",movements!$C:$C,"&lt;"&amp;AV$1+1)</f>
        <v>166</v>
      </c>
      <c r="AW11">
        <f>SUMIFS(movements!$H:$H,movements!$E:$E,$A11,movements!$D:$D,"OPENING",movements!$C:$C,"&lt;"&amp;AW$1+1)+SUMIFS(movements!$H:$H,movements!$E:$E,$A11,movements!$D:$D,"RECEIPT",movements!$C:$C,"&lt;"&amp;AW$1+1)-SUMIFS(movements!$H:$H,movements!$E:$E,$A11,movements!$D:$D,"ISSUE",movements!$C:$C,"&lt;"&amp;AW$1+1)</f>
        <v>166</v>
      </c>
      <c r="AX11">
        <f>SUMIFS(movements!$H:$H,movements!$E:$E,$A11,movements!$D:$D,"OPENING",movements!$C:$C,"&lt;"&amp;AX$1+1)+SUMIFS(movements!$H:$H,movements!$E:$E,$A11,movements!$D:$D,"RECEIPT",movements!$C:$C,"&lt;"&amp;AX$1+1)-SUMIFS(movements!$H:$H,movements!$E:$E,$A11,movements!$D:$D,"ISSUE",movements!$C:$C,"&lt;"&amp;AX$1+1)</f>
        <v>166</v>
      </c>
      <c r="AY11">
        <f>SUMIFS(movements!$H:$H,movements!$E:$E,$A11,movements!$D:$D,"OPENING",movements!$C:$C,"&lt;"&amp;AY$1+1)+SUMIFS(movements!$H:$H,movements!$E:$E,$A11,movements!$D:$D,"RECEIPT",movements!$C:$C,"&lt;"&amp;AY$1+1)-SUMIFS(movements!$H:$H,movements!$E:$E,$A11,movements!$D:$D,"ISSUE",movements!$C:$C,"&lt;"&amp;AY$1+1)</f>
        <v>166</v>
      </c>
      <c r="AZ11">
        <f>SUMIFS(movements!$H:$H,movements!$E:$E,$A11,movements!$D:$D,"OPENING",movements!$C:$C,"&lt;"&amp;AZ$1+1)+SUMIFS(movements!$H:$H,movements!$E:$E,$A11,movements!$D:$D,"RECEIPT",movements!$C:$C,"&lt;"&amp;AZ$1+1)-SUMIFS(movements!$H:$H,movements!$E:$E,$A11,movements!$D:$D,"ISSUE",movements!$C:$C,"&lt;"&amp;AZ$1+1)</f>
        <v>166</v>
      </c>
      <c r="BA11">
        <f>SUMIFS(movements!$H:$H,movements!$E:$E,$A11,movements!$D:$D,"OPENING",movements!$C:$C,"&lt;"&amp;BA$1+1)+SUMIFS(movements!$H:$H,movements!$E:$E,$A11,movements!$D:$D,"RECEIPT",movements!$C:$C,"&lt;"&amp;BA$1+1)-SUMIFS(movements!$H:$H,movements!$E:$E,$A11,movements!$D:$D,"ISSUE",movements!$C:$C,"&lt;"&amp;BA$1+1)</f>
        <v>166</v>
      </c>
      <c r="BB11">
        <f>SUMIFS(movements!$H:$H,movements!$E:$E,$A11,movements!$D:$D,"OPENING",movements!$C:$C,"&lt;"&amp;BB$1+1)+SUMIFS(movements!$H:$H,movements!$E:$E,$A11,movements!$D:$D,"RECEIPT",movements!$C:$C,"&lt;"&amp;BB$1+1)-SUMIFS(movements!$H:$H,movements!$E:$E,$A11,movements!$D:$D,"ISSUE",movements!$C:$C,"&lt;"&amp;BB$1+1)</f>
        <v>166</v>
      </c>
      <c r="BC11">
        <f>SUMIFS(movements!$H:$H,movements!$E:$E,$A11,movements!$D:$D,"OPENING",movements!$C:$C,"&lt;"&amp;BC$1+1)+SUMIFS(movements!$H:$H,movements!$E:$E,$A11,movements!$D:$D,"RECEIPT",movements!$C:$C,"&lt;"&amp;BC$1+1)-SUMIFS(movements!$H:$H,movements!$E:$E,$A11,movements!$D:$D,"ISSUE",movements!$C:$C,"&lt;"&amp;BC$1+1)</f>
        <v>166</v>
      </c>
      <c r="BD11">
        <f>SUMIFS(movements!$H:$H,movements!$E:$E,$A11,movements!$D:$D,"OPENING",movements!$C:$C,"&lt;"&amp;BD$1+1)+SUMIFS(movements!$H:$H,movements!$E:$E,$A11,movements!$D:$D,"RECEIPT",movements!$C:$C,"&lt;"&amp;BD$1+1)-SUMIFS(movements!$H:$H,movements!$E:$E,$A11,movements!$D:$D,"ISSUE",movements!$C:$C,"&lt;"&amp;BD$1+1)</f>
        <v>166</v>
      </c>
      <c r="BE11">
        <f>SUMIFS(movements!$H:$H,movements!$E:$E,$A11,movements!$D:$D,"OPENING",movements!$C:$C,"&lt;"&amp;BE$1+1)+SUMIFS(movements!$H:$H,movements!$E:$E,$A11,movements!$D:$D,"RECEIPT",movements!$C:$C,"&lt;"&amp;BE$1+1)-SUMIFS(movements!$H:$H,movements!$E:$E,$A11,movements!$D:$D,"ISSUE",movements!$C:$C,"&lt;"&amp;BE$1+1)</f>
        <v>166</v>
      </c>
      <c r="BF11">
        <f>SUMIFS(movements!$H:$H,movements!$E:$E,$A11,movements!$D:$D,"OPENING",movements!$C:$C,"&lt;"&amp;BF$1+1)+SUMIFS(movements!$H:$H,movements!$E:$E,$A11,movements!$D:$D,"RECEIPT",movements!$C:$C,"&lt;"&amp;BF$1+1)-SUMIFS(movements!$H:$H,movements!$E:$E,$A11,movements!$D:$D,"ISSUE",movements!$C:$C,"&lt;"&amp;BF$1+1)</f>
        <v>166</v>
      </c>
      <c r="BG11">
        <f>SUMIFS(movements!$H:$H,movements!$E:$E,$A11,movements!$D:$D,"OPENING",movements!$C:$C,"&lt;"&amp;BG$1+1)+SUMIFS(movements!$H:$H,movements!$E:$E,$A11,movements!$D:$D,"RECEIPT",movements!$C:$C,"&lt;"&amp;BG$1+1)-SUMIFS(movements!$H:$H,movements!$E:$E,$A11,movements!$D:$D,"ISSUE",movements!$C:$C,"&lt;"&amp;BG$1+1)</f>
        <v>166</v>
      </c>
      <c r="BH11">
        <f>SUMIFS(movements!$H:$H,movements!$E:$E,$A11,movements!$D:$D,"OPENING",movements!$C:$C,"&lt;"&amp;BH$1+1)+SUMIFS(movements!$H:$H,movements!$E:$E,$A11,movements!$D:$D,"RECEIPT",movements!$C:$C,"&lt;"&amp;BH$1+1)-SUMIFS(movements!$H:$H,movements!$E:$E,$A11,movements!$D:$D,"ISSUE",movements!$C:$C,"&lt;"&amp;BH$1+1)</f>
        <v>166</v>
      </c>
      <c r="BI11">
        <f>SUMIFS(movements!$H:$H,movements!$E:$E,$A11,movements!$D:$D,"OPENING",movements!$C:$C,"&lt;"&amp;BI$1+1)+SUMIFS(movements!$H:$H,movements!$E:$E,$A11,movements!$D:$D,"RECEIPT",movements!$C:$C,"&lt;"&amp;BI$1+1)-SUMIFS(movements!$H:$H,movements!$E:$E,$A11,movements!$D:$D,"ISSUE",movements!$C:$C,"&lt;"&amp;BI$1+1)</f>
        <v>166</v>
      </c>
      <c r="BJ11">
        <f>SUMIFS(movements!$H:$H,movements!$E:$E,$A11,movements!$D:$D,"OPENING",movements!$C:$C,"&lt;"&amp;BJ$1+1)+SUMIFS(movements!$H:$H,movements!$E:$E,$A11,movements!$D:$D,"RECEIPT",movements!$C:$C,"&lt;"&amp;BJ$1+1)-SUMIFS(movements!$H:$H,movements!$E:$E,$A11,movements!$D:$D,"ISSUE",movements!$C:$C,"&lt;"&amp;BJ$1+1)</f>
        <v>166</v>
      </c>
      <c r="BK11">
        <f>SUMIFS(movements!$H:$H,movements!$E:$E,$A11,movements!$D:$D,"OPENING",movements!$C:$C,"&lt;"&amp;BK$1+1)+SUMIFS(movements!$H:$H,movements!$E:$E,$A11,movements!$D:$D,"RECEIPT",movements!$C:$C,"&lt;"&amp;BK$1+1)-SUMIFS(movements!$H:$H,movements!$E:$E,$A11,movements!$D:$D,"ISSUE",movements!$C:$C,"&lt;"&amp;BK$1+1)</f>
        <v>166</v>
      </c>
      <c r="BL11">
        <f>SUMIFS(movements!$H:$H,movements!$E:$E,$A11,movements!$D:$D,"OPENING",movements!$C:$C,"&lt;"&amp;BL$1+1)+SUMIFS(movements!$H:$H,movements!$E:$E,$A11,movements!$D:$D,"RECEIPT",movements!$C:$C,"&lt;"&amp;BL$1+1)-SUMIFS(movements!$H:$H,movements!$E:$E,$A11,movements!$D:$D,"ISSUE",movements!$C:$C,"&lt;"&amp;BL$1+1)</f>
        <v>166</v>
      </c>
      <c r="BM11">
        <f>SUMIFS(movements!$H:$H,movements!$E:$E,$A11,movements!$D:$D,"OPENING",movements!$C:$C,"&lt;"&amp;BM$1+1)+SUMIFS(movements!$H:$H,movements!$E:$E,$A11,movements!$D:$D,"RECEIPT",movements!$C:$C,"&lt;"&amp;BM$1+1)-SUMIFS(movements!$H:$H,movements!$E:$E,$A11,movements!$D:$D,"ISSUE",movements!$C:$C,"&lt;"&amp;BM$1+1)</f>
        <v>237</v>
      </c>
      <c r="BN11">
        <f>SUMIFS(movements!$H:$H,movements!$E:$E,$A11,movements!$D:$D,"OPENING",movements!$C:$C,"&lt;"&amp;BN$1+1)+SUMIFS(movements!$H:$H,movements!$E:$E,$A11,movements!$D:$D,"RECEIPT",movements!$C:$C,"&lt;"&amp;BN$1+1)-SUMIFS(movements!$H:$H,movements!$E:$E,$A11,movements!$D:$D,"ISSUE",movements!$C:$C,"&lt;"&amp;BN$1+1)</f>
        <v>237</v>
      </c>
      <c r="BO11">
        <f>SUMIFS(movements!$H:$H,movements!$E:$E,$A11,movements!$D:$D,"OPENING",movements!$C:$C,"&lt;"&amp;BO$1+1)+SUMIFS(movements!$H:$H,movements!$E:$E,$A11,movements!$D:$D,"RECEIPT",movements!$C:$C,"&lt;"&amp;BO$1+1)-SUMIFS(movements!$H:$H,movements!$E:$E,$A11,movements!$D:$D,"ISSUE",movements!$C:$C,"&lt;"&amp;BO$1+1)</f>
        <v>237</v>
      </c>
      <c r="BP11">
        <f>SUMIFS(movements!$H:$H,movements!$E:$E,$A11,movements!$D:$D,"OPENING",movements!$C:$C,"&lt;"&amp;BP$1+1)+SUMIFS(movements!$H:$H,movements!$E:$E,$A11,movements!$D:$D,"RECEIPT",movements!$C:$C,"&lt;"&amp;BP$1+1)-SUMIFS(movements!$H:$H,movements!$E:$E,$A11,movements!$D:$D,"ISSUE",movements!$C:$C,"&lt;"&amp;BP$1+1)</f>
        <v>237</v>
      </c>
      <c r="BQ11">
        <f>SUMIFS(movements!$H:$H,movements!$E:$E,$A11,movements!$D:$D,"OPENING",movements!$C:$C,"&lt;"&amp;BQ$1+1)+SUMIFS(movements!$H:$H,movements!$E:$E,$A11,movements!$D:$D,"RECEIPT",movements!$C:$C,"&lt;"&amp;BQ$1+1)-SUMIFS(movements!$H:$H,movements!$E:$E,$A11,movements!$D:$D,"ISSUE",movements!$C:$C,"&lt;"&amp;BQ$1+1)</f>
        <v>237</v>
      </c>
      <c r="BR11">
        <f>SUMIFS(movements!$H:$H,movements!$E:$E,$A11,movements!$D:$D,"OPENING",movements!$C:$C,"&lt;"&amp;BR$1+1)+SUMIFS(movements!$H:$H,movements!$E:$E,$A11,movements!$D:$D,"RECEIPT",movements!$C:$C,"&lt;"&amp;BR$1+1)-SUMIFS(movements!$H:$H,movements!$E:$E,$A11,movements!$D:$D,"ISSUE",movements!$C:$C,"&lt;"&amp;BR$1+1)</f>
        <v>237</v>
      </c>
      <c r="BS11">
        <f>SUMIFS(movements!$H:$H,movements!$E:$E,$A11,movements!$D:$D,"OPENING",movements!$C:$C,"&lt;"&amp;BS$1+1)+SUMIFS(movements!$H:$H,movements!$E:$E,$A11,movements!$D:$D,"RECEIPT",movements!$C:$C,"&lt;"&amp;BS$1+1)-SUMIFS(movements!$H:$H,movements!$E:$E,$A11,movements!$D:$D,"ISSUE",movements!$C:$C,"&lt;"&amp;BS$1+1)</f>
        <v>237</v>
      </c>
      <c r="BT11">
        <f>SUMIFS(movements!$H:$H,movements!$E:$E,$A11,movements!$D:$D,"OPENING",movements!$C:$C,"&lt;"&amp;BT$1+1)+SUMIFS(movements!$H:$H,movements!$E:$E,$A11,movements!$D:$D,"RECEIPT",movements!$C:$C,"&lt;"&amp;BT$1+1)-SUMIFS(movements!$H:$H,movements!$E:$E,$A11,movements!$D:$D,"ISSUE",movements!$C:$C,"&lt;"&amp;BT$1+1)</f>
        <v>237</v>
      </c>
      <c r="BU11">
        <f>SUMIFS(movements!$H:$H,movements!$E:$E,$A11,movements!$D:$D,"OPENING",movements!$C:$C,"&lt;"&amp;BU$1+1)+SUMIFS(movements!$H:$H,movements!$E:$E,$A11,movements!$D:$D,"RECEIPT",movements!$C:$C,"&lt;"&amp;BU$1+1)-SUMIFS(movements!$H:$H,movements!$E:$E,$A11,movements!$D:$D,"ISSUE",movements!$C:$C,"&lt;"&amp;BU$1+1)</f>
        <v>237</v>
      </c>
      <c r="BV11">
        <f>SUMIFS(movements!$H:$H,movements!$E:$E,$A11,movements!$D:$D,"OPENING",movements!$C:$C,"&lt;"&amp;BV$1+1)+SUMIFS(movements!$H:$H,movements!$E:$E,$A11,movements!$D:$D,"RECEIPT",movements!$C:$C,"&lt;"&amp;BV$1+1)-SUMIFS(movements!$H:$H,movements!$E:$E,$A11,movements!$D:$D,"ISSUE",movements!$C:$C,"&lt;"&amp;BV$1+1)</f>
        <v>237</v>
      </c>
      <c r="BW11">
        <f>SUMIFS(movements!$H:$H,movements!$E:$E,$A11,movements!$D:$D,"OPENING",movements!$C:$C,"&lt;"&amp;BW$1+1)+SUMIFS(movements!$H:$H,movements!$E:$E,$A11,movements!$D:$D,"RECEIPT",movements!$C:$C,"&lt;"&amp;BW$1+1)-SUMIFS(movements!$H:$H,movements!$E:$E,$A11,movements!$D:$D,"ISSUE",movements!$C:$C,"&lt;"&amp;BW$1+1)</f>
        <v>237</v>
      </c>
      <c r="BX11">
        <f>SUMIFS(movements!$H:$H,movements!$E:$E,$A11,movements!$D:$D,"OPENING",movements!$C:$C,"&lt;"&amp;BX$1+1)+SUMIFS(movements!$H:$H,movements!$E:$E,$A11,movements!$D:$D,"RECEIPT",movements!$C:$C,"&lt;"&amp;BX$1+1)-SUMIFS(movements!$H:$H,movements!$E:$E,$A11,movements!$D:$D,"ISSUE",movements!$C:$C,"&lt;"&amp;BX$1+1)</f>
        <v>237</v>
      </c>
      <c r="BY11">
        <f>SUMIFS(movements!$H:$H,movements!$E:$E,$A11,movements!$D:$D,"OPENING",movements!$C:$C,"&lt;"&amp;BY$1+1)+SUMIFS(movements!$H:$H,movements!$E:$E,$A11,movements!$D:$D,"RECEIPT",movements!$C:$C,"&lt;"&amp;BY$1+1)-SUMIFS(movements!$H:$H,movements!$E:$E,$A11,movements!$D:$D,"ISSUE",movements!$C:$C,"&lt;"&amp;BY$1+1)</f>
        <v>237</v>
      </c>
      <c r="BZ11">
        <f>SUMIFS(movements!$H:$H,movements!$E:$E,$A11,movements!$D:$D,"OPENING",movements!$C:$C,"&lt;"&amp;BZ$1+1)+SUMIFS(movements!$H:$H,movements!$E:$E,$A11,movements!$D:$D,"RECEIPT",movements!$C:$C,"&lt;"&amp;BZ$1+1)-SUMIFS(movements!$H:$H,movements!$E:$E,$A11,movements!$D:$D,"ISSUE",movements!$C:$C,"&lt;"&amp;BZ$1+1)</f>
        <v>237</v>
      </c>
      <c r="CA11">
        <f>SUMIFS(movements!$H:$H,movements!$E:$E,$A11,movements!$D:$D,"OPENING",movements!$C:$C,"&lt;"&amp;CA$1+1)+SUMIFS(movements!$H:$H,movements!$E:$E,$A11,movements!$D:$D,"RECEIPT",movements!$C:$C,"&lt;"&amp;CA$1+1)-SUMIFS(movements!$H:$H,movements!$E:$E,$A11,movements!$D:$D,"ISSUE",movements!$C:$C,"&lt;"&amp;CA$1+1)</f>
        <v>237</v>
      </c>
      <c r="CB11">
        <f>SUMIFS(movements!$H:$H,movements!$E:$E,$A11,movements!$D:$D,"OPENING",movements!$C:$C,"&lt;"&amp;CB$1+1)+SUMIFS(movements!$H:$H,movements!$E:$E,$A11,movements!$D:$D,"RECEIPT",movements!$C:$C,"&lt;"&amp;CB$1+1)-SUMIFS(movements!$H:$H,movements!$E:$E,$A11,movements!$D:$D,"ISSUE",movements!$C:$C,"&lt;"&amp;CB$1+1)</f>
        <v>237</v>
      </c>
      <c r="CC11">
        <f>SUMIFS(movements!$H:$H,movements!$E:$E,$A11,movements!$D:$D,"OPENING",movements!$C:$C,"&lt;"&amp;CC$1+1)+SUMIFS(movements!$H:$H,movements!$E:$E,$A11,movements!$D:$D,"RECEIPT",movements!$C:$C,"&lt;"&amp;CC$1+1)-SUMIFS(movements!$H:$H,movements!$E:$E,$A11,movements!$D:$D,"ISSUE",movements!$C:$C,"&lt;"&amp;CC$1+1)</f>
        <v>237</v>
      </c>
      <c r="CD11">
        <f>SUMIFS(movements!$H:$H,movements!$E:$E,$A11,movements!$D:$D,"OPENING",movements!$C:$C,"&lt;"&amp;CD$1+1)+SUMIFS(movements!$H:$H,movements!$E:$E,$A11,movements!$D:$D,"RECEIPT",movements!$C:$C,"&lt;"&amp;CD$1+1)-SUMIFS(movements!$H:$H,movements!$E:$E,$A11,movements!$D:$D,"ISSUE",movements!$C:$C,"&lt;"&amp;CD$1+1)</f>
        <v>237</v>
      </c>
      <c r="CE11">
        <f>SUMIFS(movements!$H:$H,movements!$E:$E,$A11,movements!$D:$D,"OPENING",movements!$C:$C,"&lt;"&amp;CE$1+1)+SUMIFS(movements!$H:$H,movements!$E:$E,$A11,movements!$D:$D,"RECEIPT",movements!$C:$C,"&lt;"&amp;CE$1+1)-SUMIFS(movements!$H:$H,movements!$E:$E,$A11,movements!$D:$D,"ISSUE",movements!$C:$C,"&lt;"&amp;CE$1+1)</f>
        <v>237</v>
      </c>
      <c r="CF11">
        <f>SUMIFS(movements!$H:$H,movements!$E:$E,$A11,movements!$D:$D,"OPENING",movements!$C:$C,"&lt;"&amp;CF$1+1)+SUMIFS(movements!$H:$H,movements!$E:$E,$A11,movements!$D:$D,"RECEIPT",movements!$C:$C,"&lt;"&amp;CF$1+1)-SUMIFS(movements!$H:$H,movements!$E:$E,$A11,movements!$D:$D,"ISSUE",movements!$C:$C,"&lt;"&amp;CF$1+1)</f>
        <v>237</v>
      </c>
      <c r="CG11">
        <f>SUMIFS(movements!$H:$H,movements!$E:$E,$A11,movements!$D:$D,"OPENING",movements!$C:$C,"&lt;"&amp;CG$1+1)+SUMIFS(movements!$H:$H,movements!$E:$E,$A11,movements!$D:$D,"RECEIPT",movements!$C:$C,"&lt;"&amp;CG$1+1)-SUMIFS(movements!$H:$H,movements!$E:$E,$A11,movements!$D:$D,"ISSUE",movements!$C:$C,"&lt;"&amp;CG$1+1)</f>
        <v>237</v>
      </c>
      <c r="CH11">
        <f>SUMIFS(movements!$H:$H,movements!$E:$E,$A11,movements!$D:$D,"OPENING",movements!$C:$C,"&lt;"&amp;CH$1+1)+SUMIFS(movements!$H:$H,movements!$E:$E,$A11,movements!$D:$D,"RECEIPT",movements!$C:$C,"&lt;"&amp;CH$1+1)-SUMIFS(movements!$H:$H,movements!$E:$E,$A11,movements!$D:$D,"ISSUE",movements!$C:$C,"&lt;"&amp;CH$1+1)</f>
        <v>237</v>
      </c>
      <c r="CI11">
        <f>SUMIFS(movements!$H:$H,movements!$E:$E,$A11,movements!$D:$D,"OPENING",movements!$C:$C,"&lt;"&amp;CI$1+1)+SUMIFS(movements!$H:$H,movements!$E:$E,$A11,movements!$D:$D,"RECEIPT",movements!$C:$C,"&lt;"&amp;CI$1+1)-SUMIFS(movements!$H:$H,movements!$E:$E,$A11,movements!$D:$D,"ISSUE",movements!$C:$C,"&lt;"&amp;CI$1+1)</f>
        <v>237</v>
      </c>
      <c r="CJ11">
        <f>SUMIFS(movements!$H:$H,movements!$E:$E,$A11,movements!$D:$D,"OPENING",movements!$C:$C,"&lt;"&amp;CJ$1+1)+SUMIFS(movements!$H:$H,movements!$E:$E,$A11,movements!$D:$D,"RECEIPT",movements!$C:$C,"&lt;"&amp;CJ$1+1)-SUMIFS(movements!$H:$H,movements!$E:$E,$A11,movements!$D:$D,"ISSUE",movements!$C:$C,"&lt;"&amp;CJ$1+1)</f>
        <v>237</v>
      </c>
      <c r="CK11">
        <f>SUMIFS(movements!$H:$H,movements!$E:$E,$A11,movements!$D:$D,"OPENING",movements!$C:$C,"&lt;"&amp;CK$1+1)+SUMIFS(movements!$H:$H,movements!$E:$E,$A11,movements!$D:$D,"RECEIPT",movements!$C:$C,"&lt;"&amp;CK$1+1)-SUMIFS(movements!$H:$H,movements!$E:$E,$A11,movements!$D:$D,"ISSUE",movements!$C:$C,"&lt;"&amp;CK$1+1)</f>
        <v>237</v>
      </c>
      <c r="CL11">
        <f>SUMIFS(movements!$H:$H,movements!$E:$E,$A11,movements!$D:$D,"OPENING",movements!$C:$C,"&lt;"&amp;CL$1+1)+SUMIFS(movements!$H:$H,movements!$E:$E,$A11,movements!$D:$D,"RECEIPT",movements!$C:$C,"&lt;"&amp;CL$1+1)-SUMIFS(movements!$H:$H,movements!$E:$E,$A11,movements!$D:$D,"ISSUE",movements!$C:$C,"&lt;"&amp;CL$1+1)</f>
        <v>237</v>
      </c>
      <c r="CM11">
        <f>SUMIFS(movements!$H:$H,movements!$E:$E,$A11,movements!$D:$D,"OPENING",movements!$C:$C,"&lt;"&amp;CM$1+1)+SUMIFS(movements!$H:$H,movements!$E:$E,$A11,movements!$D:$D,"RECEIPT",movements!$C:$C,"&lt;"&amp;CM$1+1)-SUMIFS(movements!$H:$H,movements!$E:$E,$A11,movements!$D:$D,"ISSUE",movements!$C:$C,"&lt;"&amp;CM$1+1)</f>
        <v>237</v>
      </c>
      <c r="CN11">
        <f t="shared" si="2"/>
        <v>180.61111111111111</v>
      </c>
      <c r="CO11">
        <f>SUMIFS(movements!$H:$H,movements!$E:$E,$A11,movements!$D:$D,"ISSUE",movements!$C:$C,"&gt;="&amp;$B$1,movements!$C:$C,"&lt;"&amp;($CM$1+1))</f>
        <v>0</v>
      </c>
      <c r="CP11">
        <f t="shared" si="3"/>
        <v>0</v>
      </c>
      <c r="CQ11" t="str">
        <f t="shared" si="4"/>
        <v>期间无出库</v>
      </c>
    </row>
    <row r="12" spans="1:95" x14ac:dyDescent="0.25">
      <c r="A12" t="s">
        <v>36</v>
      </c>
      <c r="B12">
        <f>SUMIFS(movements!$H:$H,movements!$E:$E,$A12,movements!$D:$D,"OPENING",movements!$C:$C,"&lt;"&amp;B$1+1)+SUMIFS(movements!$H:$H,movements!$E:$E,$A12,movements!$D:$D,"RECEIPT",movements!$C:$C,"&lt;"&amp;B$1+1)-SUMIFS(movements!$H:$H,movements!$E:$E,$A12,movements!$D:$D,"ISSUE",movements!$C:$C,"&lt;"&amp;B$1+1)</f>
        <v>71</v>
      </c>
      <c r="C12">
        <f>SUMIFS(movements!$H:$H,movements!$E:$E,$A12,movements!$D:$D,"OPENING",movements!$C:$C,"&lt;"&amp;C$1+1)+SUMIFS(movements!$H:$H,movements!$E:$E,$A12,movements!$D:$D,"RECEIPT",movements!$C:$C,"&lt;"&amp;C$1+1)-SUMIFS(movements!$H:$H,movements!$E:$E,$A12,movements!$D:$D,"ISSUE",movements!$C:$C,"&lt;"&amp;C$1+1)</f>
        <v>66</v>
      </c>
      <c r="D12">
        <f>SUMIFS(movements!$H:$H,movements!$E:$E,$A12,movements!$D:$D,"OPENING",movements!$C:$C,"&lt;"&amp;D$1+1)+SUMIFS(movements!$H:$H,movements!$E:$E,$A12,movements!$D:$D,"RECEIPT",movements!$C:$C,"&lt;"&amp;D$1+1)-SUMIFS(movements!$H:$H,movements!$E:$E,$A12,movements!$D:$D,"ISSUE",movements!$C:$C,"&lt;"&amp;D$1+1)</f>
        <v>60</v>
      </c>
      <c r="E12">
        <f>SUMIFS(movements!$H:$H,movements!$E:$E,$A12,movements!$D:$D,"OPENING",movements!$C:$C,"&lt;"&amp;E$1+1)+SUMIFS(movements!$H:$H,movements!$E:$E,$A12,movements!$D:$D,"RECEIPT",movements!$C:$C,"&lt;"&amp;E$1+1)-SUMIFS(movements!$H:$H,movements!$E:$E,$A12,movements!$D:$D,"ISSUE",movements!$C:$C,"&lt;"&amp;E$1+1)</f>
        <v>54</v>
      </c>
      <c r="F12">
        <f>SUMIFS(movements!$H:$H,movements!$E:$E,$A12,movements!$D:$D,"OPENING",movements!$C:$C,"&lt;"&amp;F$1+1)+SUMIFS(movements!$H:$H,movements!$E:$E,$A12,movements!$D:$D,"RECEIPT",movements!$C:$C,"&lt;"&amp;F$1+1)-SUMIFS(movements!$H:$H,movements!$E:$E,$A12,movements!$D:$D,"ISSUE",movements!$C:$C,"&lt;"&amp;F$1+1)</f>
        <v>50</v>
      </c>
      <c r="G12">
        <f>SUMIFS(movements!$H:$H,movements!$E:$E,$A12,movements!$D:$D,"OPENING",movements!$C:$C,"&lt;"&amp;G$1+1)+SUMIFS(movements!$H:$H,movements!$E:$E,$A12,movements!$D:$D,"RECEIPT",movements!$C:$C,"&lt;"&amp;G$1+1)-SUMIFS(movements!$H:$H,movements!$E:$E,$A12,movements!$D:$D,"ISSUE",movements!$C:$C,"&lt;"&amp;G$1+1)</f>
        <v>47</v>
      </c>
      <c r="H12">
        <f>SUMIFS(movements!$H:$H,movements!$E:$E,$A12,movements!$D:$D,"OPENING",movements!$C:$C,"&lt;"&amp;H$1+1)+SUMIFS(movements!$H:$H,movements!$E:$E,$A12,movements!$D:$D,"RECEIPT",movements!$C:$C,"&lt;"&amp;H$1+1)-SUMIFS(movements!$H:$H,movements!$E:$E,$A12,movements!$D:$D,"ISSUE",movements!$C:$C,"&lt;"&amp;H$1+1)</f>
        <v>37</v>
      </c>
      <c r="I12">
        <f>SUMIFS(movements!$H:$H,movements!$E:$E,$A12,movements!$D:$D,"OPENING",movements!$C:$C,"&lt;"&amp;I$1+1)+SUMIFS(movements!$H:$H,movements!$E:$E,$A12,movements!$D:$D,"RECEIPT",movements!$C:$C,"&lt;"&amp;I$1+1)-SUMIFS(movements!$H:$H,movements!$E:$E,$A12,movements!$D:$D,"ISSUE",movements!$C:$C,"&lt;"&amp;I$1+1)</f>
        <v>114</v>
      </c>
      <c r="J12">
        <f>SUMIFS(movements!$H:$H,movements!$E:$E,$A12,movements!$D:$D,"OPENING",movements!$C:$C,"&lt;"&amp;J$1+1)+SUMIFS(movements!$H:$H,movements!$E:$E,$A12,movements!$D:$D,"RECEIPT",movements!$C:$C,"&lt;"&amp;J$1+1)-SUMIFS(movements!$H:$H,movements!$E:$E,$A12,movements!$D:$D,"ISSUE",movements!$C:$C,"&lt;"&amp;J$1+1)</f>
        <v>102</v>
      </c>
      <c r="K12">
        <f>SUMIFS(movements!$H:$H,movements!$E:$E,$A12,movements!$D:$D,"OPENING",movements!$C:$C,"&lt;"&amp;K$1+1)+SUMIFS(movements!$H:$H,movements!$E:$E,$A12,movements!$D:$D,"RECEIPT",movements!$C:$C,"&lt;"&amp;K$1+1)-SUMIFS(movements!$H:$H,movements!$E:$E,$A12,movements!$D:$D,"ISSUE",movements!$C:$C,"&lt;"&amp;K$1+1)</f>
        <v>97</v>
      </c>
      <c r="L12">
        <f>SUMIFS(movements!$H:$H,movements!$E:$E,$A12,movements!$D:$D,"OPENING",movements!$C:$C,"&lt;"&amp;L$1+1)+SUMIFS(movements!$H:$H,movements!$E:$E,$A12,movements!$D:$D,"RECEIPT",movements!$C:$C,"&lt;"&amp;L$1+1)-SUMIFS(movements!$H:$H,movements!$E:$E,$A12,movements!$D:$D,"ISSUE",movements!$C:$C,"&lt;"&amp;L$1+1)</f>
        <v>95</v>
      </c>
      <c r="M12">
        <f>SUMIFS(movements!$H:$H,movements!$E:$E,$A12,movements!$D:$D,"OPENING",movements!$C:$C,"&lt;"&amp;M$1+1)+SUMIFS(movements!$H:$H,movements!$E:$E,$A12,movements!$D:$D,"RECEIPT",movements!$C:$C,"&lt;"&amp;M$1+1)-SUMIFS(movements!$H:$H,movements!$E:$E,$A12,movements!$D:$D,"ISSUE",movements!$C:$C,"&lt;"&amp;M$1+1)</f>
        <v>89</v>
      </c>
      <c r="N12">
        <f>SUMIFS(movements!$H:$H,movements!$E:$E,$A12,movements!$D:$D,"OPENING",movements!$C:$C,"&lt;"&amp;N$1+1)+SUMIFS(movements!$H:$H,movements!$E:$E,$A12,movements!$D:$D,"RECEIPT",movements!$C:$C,"&lt;"&amp;N$1+1)-SUMIFS(movements!$H:$H,movements!$E:$E,$A12,movements!$D:$D,"ISSUE",movements!$C:$C,"&lt;"&amp;N$1+1)</f>
        <v>81</v>
      </c>
      <c r="O12">
        <f>SUMIFS(movements!$H:$H,movements!$E:$E,$A12,movements!$D:$D,"OPENING",movements!$C:$C,"&lt;"&amp;O$1+1)+SUMIFS(movements!$H:$H,movements!$E:$E,$A12,movements!$D:$D,"RECEIPT",movements!$C:$C,"&lt;"&amp;O$1+1)-SUMIFS(movements!$H:$H,movements!$E:$E,$A12,movements!$D:$D,"ISSUE",movements!$C:$C,"&lt;"&amp;O$1+1)</f>
        <v>78</v>
      </c>
      <c r="P12">
        <f>SUMIFS(movements!$H:$H,movements!$E:$E,$A12,movements!$D:$D,"OPENING",movements!$C:$C,"&lt;"&amp;P$1+1)+SUMIFS(movements!$H:$H,movements!$E:$E,$A12,movements!$D:$D,"RECEIPT",movements!$C:$C,"&lt;"&amp;P$1+1)-SUMIFS(movements!$H:$H,movements!$E:$E,$A12,movements!$D:$D,"ISSUE",movements!$C:$C,"&lt;"&amp;P$1+1)</f>
        <v>158</v>
      </c>
      <c r="Q12">
        <f>SUMIFS(movements!$H:$H,movements!$E:$E,$A12,movements!$D:$D,"OPENING",movements!$C:$C,"&lt;"&amp;Q$1+1)+SUMIFS(movements!$H:$H,movements!$E:$E,$A12,movements!$D:$D,"RECEIPT",movements!$C:$C,"&lt;"&amp;Q$1+1)-SUMIFS(movements!$H:$H,movements!$E:$E,$A12,movements!$D:$D,"ISSUE",movements!$C:$C,"&lt;"&amp;Q$1+1)</f>
        <v>153</v>
      </c>
      <c r="R12">
        <f>SUMIFS(movements!$H:$H,movements!$E:$E,$A12,movements!$D:$D,"OPENING",movements!$C:$C,"&lt;"&amp;R$1+1)+SUMIFS(movements!$H:$H,movements!$E:$E,$A12,movements!$D:$D,"RECEIPT",movements!$C:$C,"&lt;"&amp;R$1+1)-SUMIFS(movements!$H:$H,movements!$E:$E,$A12,movements!$D:$D,"ISSUE",movements!$C:$C,"&lt;"&amp;R$1+1)</f>
        <v>148</v>
      </c>
      <c r="S12">
        <f>SUMIFS(movements!$H:$H,movements!$E:$E,$A12,movements!$D:$D,"OPENING",movements!$C:$C,"&lt;"&amp;S$1+1)+SUMIFS(movements!$H:$H,movements!$E:$E,$A12,movements!$D:$D,"RECEIPT",movements!$C:$C,"&lt;"&amp;S$1+1)-SUMIFS(movements!$H:$H,movements!$E:$E,$A12,movements!$D:$D,"ISSUE",movements!$C:$C,"&lt;"&amp;S$1+1)</f>
        <v>145</v>
      </c>
      <c r="T12">
        <f>SUMIFS(movements!$H:$H,movements!$E:$E,$A12,movements!$D:$D,"OPENING",movements!$C:$C,"&lt;"&amp;T$1+1)+SUMIFS(movements!$H:$H,movements!$E:$E,$A12,movements!$D:$D,"RECEIPT",movements!$C:$C,"&lt;"&amp;T$1+1)-SUMIFS(movements!$H:$H,movements!$E:$E,$A12,movements!$D:$D,"ISSUE",movements!$C:$C,"&lt;"&amp;T$1+1)</f>
        <v>131</v>
      </c>
      <c r="U12">
        <f>SUMIFS(movements!$H:$H,movements!$E:$E,$A12,movements!$D:$D,"OPENING",movements!$C:$C,"&lt;"&amp;U$1+1)+SUMIFS(movements!$H:$H,movements!$E:$E,$A12,movements!$D:$D,"RECEIPT",movements!$C:$C,"&lt;"&amp;U$1+1)-SUMIFS(movements!$H:$H,movements!$E:$E,$A12,movements!$D:$D,"ISSUE",movements!$C:$C,"&lt;"&amp;U$1+1)</f>
        <v>124</v>
      </c>
      <c r="V12">
        <f>SUMIFS(movements!$H:$H,movements!$E:$E,$A12,movements!$D:$D,"OPENING",movements!$C:$C,"&lt;"&amp;V$1+1)+SUMIFS(movements!$H:$H,movements!$E:$E,$A12,movements!$D:$D,"RECEIPT",movements!$C:$C,"&lt;"&amp;V$1+1)-SUMIFS(movements!$H:$H,movements!$E:$E,$A12,movements!$D:$D,"ISSUE",movements!$C:$C,"&lt;"&amp;V$1+1)</f>
        <v>117</v>
      </c>
      <c r="W12">
        <f>SUMIFS(movements!$H:$H,movements!$E:$E,$A12,movements!$D:$D,"OPENING",movements!$C:$C,"&lt;"&amp;W$1+1)+SUMIFS(movements!$H:$H,movements!$E:$E,$A12,movements!$D:$D,"RECEIPT",movements!$C:$C,"&lt;"&amp;W$1+1)-SUMIFS(movements!$H:$H,movements!$E:$E,$A12,movements!$D:$D,"ISSUE",movements!$C:$C,"&lt;"&amp;W$1+1)</f>
        <v>113</v>
      </c>
      <c r="X12">
        <f>SUMIFS(movements!$H:$H,movements!$E:$E,$A12,movements!$D:$D,"OPENING",movements!$C:$C,"&lt;"&amp;X$1+1)+SUMIFS(movements!$H:$H,movements!$E:$E,$A12,movements!$D:$D,"RECEIPT",movements!$C:$C,"&lt;"&amp;X$1+1)-SUMIFS(movements!$H:$H,movements!$E:$E,$A12,movements!$D:$D,"ISSUE",movements!$C:$C,"&lt;"&amp;X$1+1)</f>
        <v>107</v>
      </c>
      <c r="Y12">
        <f>SUMIFS(movements!$H:$H,movements!$E:$E,$A12,movements!$D:$D,"OPENING",movements!$C:$C,"&lt;"&amp;Y$1+1)+SUMIFS(movements!$H:$H,movements!$E:$E,$A12,movements!$D:$D,"RECEIPT",movements!$C:$C,"&lt;"&amp;Y$1+1)-SUMIFS(movements!$H:$H,movements!$E:$E,$A12,movements!$D:$D,"ISSUE",movements!$C:$C,"&lt;"&amp;Y$1+1)</f>
        <v>101</v>
      </c>
      <c r="Z12">
        <f>SUMIFS(movements!$H:$H,movements!$E:$E,$A12,movements!$D:$D,"OPENING",movements!$C:$C,"&lt;"&amp;Z$1+1)+SUMIFS(movements!$H:$H,movements!$E:$E,$A12,movements!$D:$D,"RECEIPT",movements!$C:$C,"&lt;"&amp;Z$1+1)-SUMIFS(movements!$H:$H,movements!$E:$E,$A12,movements!$D:$D,"ISSUE",movements!$C:$C,"&lt;"&amp;Z$1+1)</f>
        <v>96</v>
      </c>
      <c r="AA12">
        <f>SUMIFS(movements!$H:$H,movements!$E:$E,$A12,movements!$D:$D,"OPENING",movements!$C:$C,"&lt;"&amp;AA$1+1)+SUMIFS(movements!$H:$H,movements!$E:$E,$A12,movements!$D:$D,"RECEIPT",movements!$C:$C,"&lt;"&amp;AA$1+1)-SUMIFS(movements!$H:$H,movements!$E:$E,$A12,movements!$D:$D,"ISSUE",movements!$C:$C,"&lt;"&amp;AA$1+1)</f>
        <v>96</v>
      </c>
      <c r="AB12">
        <f>SUMIFS(movements!$H:$H,movements!$E:$E,$A12,movements!$D:$D,"OPENING",movements!$C:$C,"&lt;"&amp;AB$1+1)+SUMIFS(movements!$H:$H,movements!$E:$E,$A12,movements!$D:$D,"RECEIPT",movements!$C:$C,"&lt;"&amp;AB$1+1)-SUMIFS(movements!$H:$H,movements!$E:$E,$A12,movements!$D:$D,"ISSUE",movements!$C:$C,"&lt;"&amp;AB$1+1)</f>
        <v>86</v>
      </c>
      <c r="AC12">
        <f>SUMIFS(movements!$H:$H,movements!$E:$E,$A12,movements!$D:$D,"OPENING",movements!$C:$C,"&lt;"&amp;AC$1+1)+SUMIFS(movements!$H:$H,movements!$E:$E,$A12,movements!$D:$D,"RECEIPT",movements!$C:$C,"&lt;"&amp;AC$1+1)-SUMIFS(movements!$H:$H,movements!$E:$E,$A12,movements!$D:$D,"ISSUE",movements!$C:$C,"&lt;"&amp;AC$1+1)</f>
        <v>86</v>
      </c>
      <c r="AD12">
        <f>SUMIFS(movements!$H:$H,movements!$E:$E,$A12,movements!$D:$D,"OPENING",movements!$C:$C,"&lt;"&amp;AD$1+1)+SUMIFS(movements!$H:$H,movements!$E:$E,$A12,movements!$D:$D,"RECEIPT",movements!$C:$C,"&lt;"&amp;AD$1+1)-SUMIFS(movements!$H:$H,movements!$E:$E,$A12,movements!$D:$D,"ISSUE",movements!$C:$C,"&lt;"&amp;AD$1+1)</f>
        <v>149</v>
      </c>
      <c r="AE12">
        <f>SUMIFS(movements!$H:$H,movements!$E:$E,$A12,movements!$D:$D,"OPENING",movements!$C:$C,"&lt;"&amp;AE$1+1)+SUMIFS(movements!$H:$H,movements!$E:$E,$A12,movements!$D:$D,"RECEIPT",movements!$C:$C,"&lt;"&amp;AE$1+1)-SUMIFS(movements!$H:$H,movements!$E:$E,$A12,movements!$D:$D,"ISSUE",movements!$C:$C,"&lt;"&amp;AE$1+1)</f>
        <v>149</v>
      </c>
      <c r="AF12">
        <f>SUMIFS(movements!$H:$H,movements!$E:$E,$A12,movements!$D:$D,"OPENING",movements!$C:$C,"&lt;"&amp;AF$1+1)+SUMIFS(movements!$H:$H,movements!$E:$E,$A12,movements!$D:$D,"RECEIPT",movements!$C:$C,"&lt;"&amp;AF$1+1)-SUMIFS(movements!$H:$H,movements!$E:$E,$A12,movements!$D:$D,"ISSUE",movements!$C:$C,"&lt;"&amp;AF$1+1)</f>
        <v>145</v>
      </c>
      <c r="AG12">
        <f>SUMIFS(movements!$H:$H,movements!$E:$E,$A12,movements!$D:$D,"OPENING",movements!$C:$C,"&lt;"&amp;AG$1+1)+SUMIFS(movements!$H:$H,movements!$E:$E,$A12,movements!$D:$D,"RECEIPT",movements!$C:$C,"&lt;"&amp;AG$1+1)-SUMIFS(movements!$H:$H,movements!$E:$E,$A12,movements!$D:$D,"ISSUE",movements!$C:$C,"&lt;"&amp;AG$1+1)</f>
        <v>140</v>
      </c>
      <c r="AH12">
        <f>SUMIFS(movements!$H:$H,movements!$E:$E,$A12,movements!$D:$D,"OPENING",movements!$C:$C,"&lt;"&amp;AH$1+1)+SUMIFS(movements!$H:$H,movements!$E:$E,$A12,movements!$D:$D,"RECEIPT",movements!$C:$C,"&lt;"&amp;AH$1+1)-SUMIFS(movements!$H:$H,movements!$E:$E,$A12,movements!$D:$D,"ISSUE",movements!$C:$C,"&lt;"&amp;AH$1+1)</f>
        <v>135</v>
      </c>
      <c r="AI12">
        <f>SUMIFS(movements!$H:$H,movements!$E:$E,$A12,movements!$D:$D,"OPENING",movements!$C:$C,"&lt;"&amp;AI$1+1)+SUMIFS(movements!$H:$H,movements!$E:$E,$A12,movements!$D:$D,"RECEIPT",movements!$C:$C,"&lt;"&amp;AI$1+1)-SUMIFS(movements!$H:$H,movements!$E:$E,$A12,movements!$D:$D,"ISSUE",movements!$C:$C,"&lt;"&amp;AI$1+1)</f>
        <v>135</v>
      </c>
      <c r="AJ12">
        <f>SUMIFS(movements!$H:$H,movements!$E:$E,$A12,movements!$D:$D,"OPENING",movements!$C:$C,"&lt;"&amp;AJ$1+1)+SUMIFS(movements!$H:$H,movements!$E:$E,$A12,movements!$D:$D,"RECEIPT",movements!$C:$C,"&lt;"&amp;AJ$1+1)-SUMIFS(movements!$H:$H,movements!$E:$E,$A12,movements!$D:$D,"ISSUE",movements!$C:$C,"&lt;"&amp;AJ$1+1)</f>
        <v>125</v>
      </c>
      <c r="AK12">
        <f>SUMIFS(movements!$H:$H,movements!$E:$E,$A12,movements!$D:$D,"OPENING",movements!$C:$C,"&lt;"&amp;AK$1+1)+SUMIFS(movements!$H:$H,movements!$E:$E,$A12,movements!$D:$D,"RECEIPT",movements!$C:$C,"&lt;"&amp;AK$1+1)-SUMIFS(movements!$H:$H,movements!$E:$E,$A12,movements!$D:$D,"ISSUE",movements!$C:$C,"&lt;"&amp;AK$1+1)</f>
        <v>125</v>
      </c>
      <c r="AL12">
        <f>SUMIFS(movements!$H:$H,movements!$E:$E,$A12,movements!$D:$D,"OPENING",movements!$C:$C,"&lt;"&amp;AL$1+1)+SUMIFS(movements!$H:$H,movements!$E:$E,$A12,movements!$D:$D,"RECEIPT",movements!$C:$C,"&lt;"&amp;AL$1+1)-SUMIFS(movements!$H:$H,movements!$E:$E,$A12,movements!$D:$D,"ISSUE",movements!$C:$C,"&lt;"&amp;AL$1+1)</f>
        <v>121</v>
      </c>
      <c r="AM12">
        <f>SUMIFS(movements!$H:$H,movements!$E:$E,$A12,movements!$D:$D,"OPENING",movements!$C:$C,"&lt;"&amp;AM$1+1)+SUMIFS(movements!$H:$H,movements!$E:$E,$A12,movements!$D:$D,"RECEIPT",movements!$C:$C,"&lt;"&amp;AM$1+1)-SUMIFS(movements!$H:$H,movements!$E:$E,$A12,movements!$D:$D,"ISSUE",movements!$C:$C,"&lt;"&amp;AM$1+1)</f>
        <v>117</v>
      </c>
      <c r="AN12">
        <f>SUMIFS(movements!$H:$H,movements!$E:$E,$A12,movements!$D:$D,"OPENING",movements!$C:$C,"&lt;"&amp;AN$1+1)+SUMIFS(movements!$H:$H,movements!$E:$E,$A12,movements!$D:$D,"RECEIPT",movements!$C:$C,"&lt;"&amp;AN$1+1)-SUMIFS(movements!$H:$H,movements!$E:$E,$A12,movements!$D:$D,"ISSUE",movements!$C:$C,"&lt;"&amp;AN$1+1)</f>
        <v>115</v>
      </c>
      <c r="AO12">
        <f>SUMIFS(movements!$H:$H,movements!$E:$E,$A12,movements!$D:$D,"OPENING",movements!$C:$C,"&lt;"&amp;AO$1+1)+SUMIFS(movements!$H:$H,movements!$E:$E,$A12,movements!$D:$D,"RECEIPT",movements!$C:$C,"&lt;"&amp;AO$1+1)-SUMIFS(movements!$H:$H,movements!$E:$E,$A12,movements!$D:$D,"ISSUE",movements!$C:$C,"&lt;"&amp;AO$1+1)</f>
        <v>109</v>
      </c>
      <c r="AP12">
        <f>SUMIFS(movements!$H:$H,movements!$E:$E,$A12,movements!$D:$D,"OPENING",movements!$C:$C,"&lt;"&amp;AP$1+1)+SUMIFS(movements!$H:$H,movements!$E:$E,$A12,movements!$D:$D,"RECEIPT",movements!$C:$C,"&lt;"&amp;AP$1+1)-SUMIFS(movements!$H:$H,movements!$E:$E,$A12,movements!$D:$D,"ISSUE",movements!$C:$C,"&lt;"&amp;AP$1+1)</f>
        <v>109</v>
      </c>
      <c r="AQ12">
        <f>SUMIFS(movements!$H:$H,movements!$E:$E,$A12,movements!$D:$D,"OPENING",movements!$C:$C,"&lt;"&amp;AQ$1+1)+SUMIFS(movements!$H:$H,movements!$E:$E,$A12,movements!$D:$D,"RECEIPT",movements!$C:$C,"&lt;"&amp;AQ$1+1)-SUMIFS(movements!$H:$H,movements!$E:$E,$A12,movements!$D:$D,"ISSUE",movements!$C:$C,"&lt;"&amp;AQ$1+1)</f>
        <v>106</v>
      </c>
      <c r="AR12">
        <f>SUMIFS(movements!$H:$H,movements!$E:$E,$A12,movements!$D:$D,"OPENING",movements!$C:$C,"&lt;"&amp;AR$1+1)+SUMIFS(movements!$H:$H,movements!$E:$E,$A12,movements!$D:$D,"RECEIPT",movements!$C:$C,"&lt;"&amp;AR$1+1)-SUMIFS(movements!$H:$H,movements!$E:$E,$A12,movements!$D:$D,"ISSUE",movements!$C:$C,"&lt;"&amp;AR$1+1)</f>
        <v>191</v>
      </c>
      <c r="AS12">
        <f>SUMIFS(movements!$H:$H,movements!$E:$E,$A12,movements!$D:$D,"OPENING",movements!$C:$C,"&lt;"&amp;AS$1+1)+SUMIFS(movements!$H:$H,movements!$E:$E,$A12,movements!$D:$D,"RECEIPT",movements!$C:$C,"&lt;"&amp;AS$1+1)-SUMIFS(movements!$H:$H,movements!$E:$E,$A12,movements!$D:$D,"ISSUE",movements!$C:$C,"&lt;"&amp;AS$1+1)</f>
        <v>190</v>
      </c>
      <c r="AT12">
        <f>SUMIFS(movements!$H:$H,movements!$E:$E,$A12,movements!$D:$D,"OPENING",movements!$C:$C,"&lt;"&amp;AT$1+1)+SUMIFS(movements!$H:$H,movements!$E:$E,$A12,movements!$D:$D,"RECEIPT",movements!$C:$C,"&lt;"&amp;AT$1+1)-SUMIFS(movements!$H:$H,movements!$E:$E,$A12,movements!$D:$D,"ISSUE",movements!$C:$C,"&lt;"&amp;AT$1+1)</f>
        <v>183</v>
      </c>
      <c r="AU12">
        <f>SUMIFS(movements!$H:$H,movements!$E:$E,$A12,movements!$D:$D,"OPENING",movements!$C:$C,"&lt;"&amp;AU$1+1)+SUMIFS(movements!$H:$H,movements!$E:$E,$A12,movements!$D:$D,"RECEIPT",movements!$C:$C,"&lt;"&amp;AU$1+1)-SUMIFS(movements!$H:$H,movements!$E:$E,$A12,movements!$D:$D,"ISSUE",movements!$C:$C,"&lt;"&amp;AU$1+1)</f>
        <v>168</v>
      </c>
      <c r="AV12">
        <f>SUMIFS(movements!$H:$H,movements!$E:$E,$A12,movements!$D:$D,"OPENING",movements!$C:$C,"&lt;"&amp;AV$1+1)+SUMIFS(movements!$H:$H,movements!$E:$E,$A12,movements!$D:$D,"RECEIPT",movements!$C:$C,"&lt;"&amp;AV$1+1)-SUMIFS(movements!$H:$H,movements!$E:$E,$A12,movements!$D:$D,"ISSUE",movements!$C:$C,"&lt;"&amp;AV$1+1)</f>
        <v>157</v>
      </c>
      <c r="AW12">
        <f>SUMIFS(movements!$H:$H,movements!$E:$E,$A12,movements!$D:$D,"OPENING",movements!$C:$C,"&lt;"&amp;AW$1+1)+SUMIFS(movements!$H:$H,movements!$E:$E,$A12,movements!$D:$D,"RECEIPT",movements!$C:$C,"&lt;"&amp;AW$1+1)-SUMIFS(movements!$H:$H,movements!$E:$E,$A12,movements!$D:$D,"ISSUE",movements!$C:$C,"&lt;"&amp;AW$1+1)</f>
        <v>152</v>
      </c>
      <c r="AX12">
        <f>SUMIFS(movements!$H:$H,movements!$E:$E,$A12,movements!$D:$D,"OPENING",movements!$C:$C,"&lt;"&amp;AX$1+1)+SUMIFS(movements!$H:$H,movements!$E:$E,$A12,movements!$D:$D,"RECEIPT",movements!$C:$C,"&lt;"&amp;AX$1+1)-SUMIFS(movements!$H:$H,movements!$E:$E,$A12,movements!$D:$D,"ISSUE",movements!$C:$C,"&lt;"&amp;AX$1+1)</f>
        <v>150</v>
      </c>
      <c r="AY12">
        <f>SUMIFS(movements!$H:$H,movements!$E:$E,$A12,movements!$D:$D,"OPENING",movements!$C:$C,"&lt;"&amp;AY$1+1)+SUMIFS(movements!$H:$H,movements!$E:$E,$A12,movements!$D:$D,"RECEIPT",movements!$C:$C,"&lt;"&amp;AY$1+1)-SUMIFS(movements!$H:$H,movements!$E:$E,$A12,movements!$D:$D,"ISSUE",movements!$C:$C,"&lt;"&amp;AY$1+1)</f>
        <v>141</v>
      </c>
      <c r="AZ12">
        <f>SUMIFS(movements!$H:$H,movements!$E:$E,$A12,movements!$D:$D,"OPENING",movements!$C:$C,"&lt;"&amp;AZ$1+1)+SUMIFS(movements!$H:$H,movements!$E:$E,$A12,movements!$D:$D,"RECEIPT",movements!$C:$C,"&lt;"&amp;AZ$1+1)-SUMIFS(movements!$H:$H,movements!$E:$E,$A12,movements!$D:$D,"ISSUE",movements!$C:$C,"&lt;"&amp;AZ$1+1)</f>
        <v>138</v>
      </c>
      <c r="BA12">
        <f>SUMIFS(movements!$H:$H,movements!$E:$E,$A12,movements!$D:$D,"OPENING",movements!$C:$C,"&lt;"&amp;BA$1+1)+SUMIFS(movements!$H:$H,movements!$E:$E,$A12,movements!$D:$D,"RECEIPT",movements!$C:$C,"&lt;"&amp;BA$1+1)-SUMIFS(movements!$H:$H,movements!$E:$E,$A12,movements!$D:$D,"ISSUE",movements!$C:$C,"&lt;"&amp;BA$1+1)</f>
        <v>133</v>
      </c>
      <c r="BB12">
        <f>SUMIFS(movements!$H:$H,movements!$E:$E,$A12,movements!$D:$D,"OPENING",movements!$C:$C,"&lt;"&amp;BB$1+1)+SUMIFS(movements!$H:$H,movements!$E:$E,$A12,movements!$D:$D,"RECEIPT",movements!$C:$C,"&lt;"&amp;BB$1+1)-SUMIFS(movements!$H:$H,movements!$E:$E,$A12,movements!$D:$D,"ISSUE",movements!$C:$C,"&lt;"&amp;BB$1+1)</f>
        <v>127</v>
      </c>
      <c r="BC12">
        <f>SUMIFS(movements!$H:$H,movements!$E:$E,$A12,movements!$D:$D,"OPENING",movements!$C:$C,"&lt;"&amp;BC$1+1)+SUMIFS(movements!$H:$H,movements!$E:$E,$A12,movements!$D:$D,"RECEIPT",movements!$C:$C,"&lt;"&amp;BC$1+1)-SUMIFS(movements!$H:$H,movements!$E:$E,$A12,movements!$D:$D,"ISSUE",movements!$C:$C,"&lt;"&amp;BC$1+1)</f>
        <v>123</v>
      </c>
      <c r="BD12">
        <f>SUMIFS(movements!$H:$H,movements!$E:$E,$A12,movements!$D:$D,"OPENING",movements!$C:$C,"&lt;"&amp;BD$1+1)+SUMIFS(movements!$H:$H,movements!$E:$E,$A12,movements!$D:$D,"RECEIPT",movements!$C:$C,"&lt;"&amp;BD$1+1)-SUMIFS(movements!$H:$H,movements!$E:$E,$A12,movements!$D:$D,"ISSUE",movements!$C:$C,"&lt;"&amp;BD$1+1)</f>
        <v>116</v>
      </c>
      <c r="BE12">
        <f>SUMIFS(movements!$H:$H,movements!$E:$E,$A12,movements!$D:$D,"OPENING",movements!$C:$C,"&lt;"&amp;BE$1+1)+SUMIFS(movements!$H:$H,movements!$E:$E,$A12,movements!$D:$D,"RECEIPT",movements!$C:$C,"&lt;"&amp;BE$1+1)-SUMIFS(movements!$H:$H,movements!$E:$E,$A12,movements!$D:$D,"ISSUE",movements!$C:$C,"&lt;"&amp;BE$1+1)</f>
        <v>108</v>
      </c>
      <c r="BF12">
        <f>SUMIFS(movements!$H:$H,movements!$E:$E,$A12,movements!$D:$D,"OPENING",movements!$C:$C,"&lt;"&amp;BF$1+1)+SUMIFS(movements!$H:$H,movements!$E:$E,$A12,movements!$D:$D,"RECEIPT",movements!$C:$C,"&lt;"&amp;BF$1+1)-SUMIFS(movements!$H:$H,movements!$E:$E,$A12,movements!$D:$D,"ISSUE",movements!$C:$C,"&lt;"&amp;BF$1+1)</f>
        <v>186</v>
      </c>
      <c r="BG12">
        <f>SUMIFS(movements!$H:$H,movements!$E:$E,$A12,movements!$D:$D,"OPENING",movements!$C:$C,"&lt;"&amp;BG$1+1)+SUMIFS(movements!$H:$H,movements!$E:$E,$A12,movements!$D:$D,"RECEIPT",movements!$C:$C,"&lt;"&amp;BG$1+1)-SUMIFS(movements!$H:$H,movements!$E:$E,$A12,movements!$D:$D,"ISSUE",movements!$C:$C,"&lt;"&amp;BG$1+1)</f>
        <v>180</v>
      </c>
      <c r="BH12">
        <f>SUMIFS(movements!$H:$H,movements!$E:$E,$A12,movements!$D:$D,"OPENING",movements!$C:$C,"&lt;"&amp;BH$1+1)+SUMIFS(movements!$H:$H,movements!$E:$E,$A12,movements!$D:$D,"RECEIPT",movements!$C:$C,"&lt;"&amp;BH$1+1)-SUMIFS(movements!$H:$H,movements!$E:$E,$A12,movements!$D:$D,"ISSUE",movements!$C:$C,"&lt;"&amp;BH$1+1)</f>
        <v>171</v>
      </c>
      <c r="BI12">
        <f>SUMIFS(movements!$H:$H,movements!$E:$E,$A12,movements!$D:$D,"OPENING",movements!$C:$C,"&lt;"&amp;BI$1+1)+SUMIFS(movements!$H:$H,movements!$E:$E,$A12,movements!$D:$D,"RECEIPT",movements!$C:$C,"&lt;"&amp;BI$1+1)-SUMIFS(movements!$H:$H,movements!$E:$E,$A12,movements!$D:$D,"ISSUE",movements!$C:$C,"&lt;"&amp;BI$1+1)</f>
        <v>166</v>
      </c>
      <c r="BJ12">
        <f>SUMIFS(movements!$H:$H,movements!$E:$E,$A12,movements!$D:$D,"OPENING",movements!$C:$C,"&lt;"&amp;BJ$1+1)+SUMIFS(movements!$H:$H,movements!$E:$E,$A12,movements!$D:$D,"RECEIPT",movements!$C:$C,"&lt;"&amp;BJ$1+1)-SUMIFS(movements!$H:$H,movements!$E:$E,$A12,movements!$D:$D,"ISSUE",movements!$C:$C,"&lt;"&amp;BJ$1+1)</f>
        <v>166</v>
      </c>
      <c r="BK12">
        <f>SUMIFS(movements!$H:$H,movements!$E:$E,$A12,movements!$D:$D,"OPENING",movements!$C:$C,"&lt;"&amp;BK$1+1)+SUMIFS(movements!$H:$H,movements!$E:$E,$A12,movements!$D:$D,"RECEIPT",movements!$C:$C,"&lt;"&amp;BK$1+1)-SUMIFS(movements!$H:$H,movements!$E:$E,$A12,movements!$D:$D,"ISSUE",movements!$C:$C,"&lt;"&amp;BK$1+1)</f>
        <v>156</v>
      </c>
      <c r="BL12">
        <f>SUMIFS(movements!$H:$H,movements!$E:$E,$A12,movements!$D:$D,"OPENING",movements!$C:$C,"&lt;"&amp;BL$1+1)+SUMIFS(movements!$H:$H,movements!$E:$E,$A12,movements!$D:$D,"RECEIPT",movements!$C:$C,"&lt;"&amp;BL$1+1)-SUMIFS(movements!$H:$H,movements!$E:$E,$A12,movements!$D:$D,"ISSUE",movements!$C:$C,"&lt;"&amp;BL$1+1)</f>
        <v>144</v>
      </c>
      <c r="BM12">
        <f>SUMIFS(movements!$H:$H,movements!$E:$E,$A12,movements!$D:$D,"OPENING",movements!$C:$C,"&lt;"&amp;BM$1+1)+SUMIFS(movements!$H:$H,movements!$E:$E,$A12,movements!$D:$D,"RECEIPT",movements!$C:$C,"&lt;"&amp;BM$1+1)-SUMIFS(movements!$H:$H,movements!$E:$E,$A12,movements!$D:$D,"ISSUE",movements!$C:$C,"&lt;"&amp;BM$1+1)</f>
        <v>144</v>
      </c>
      <c r="BN12">
        <f>SUMIFS(movements!$H:$H,movements!$E:$E,$A12,movements!$D:$D,"OPENING",movements!$C:$C,"&lt;"&amp;BN$1+1)+SUMIFS(movements!$H:$H,movements!$E:$E,$A12,movements!$D:$D,"RECEIPT",movements!$C:$C,"&lt;"&amp;BN$1+1)-SUMIFS(movements!$H:$H,movements!$E:$E,$A12,movements!$D:$D,"ISSUE",movements!$C:$C,"&lt;"&amp;BN$1+1)</f>
        <v>142</v>
      </c>
      <c r="BO12">
        <f>SUMIFS(movements!$H:$H,movements!$E:$E,$A12,movements!$D:$D,"OPENING",movements!$C:$C,"&lt;"&amp;BO$1+1)+SUMIFS(movements!$H:$H,movements!$E:$E,$A12,movements!$D:$D,"RECEIPT",movements!$C:$C,"&lt;"&amp;BO$1+1)-SUMIFS(movements!$H:$H,movements!$E:$E,$A12,movements!$D:$D,"ISSUE",movements!$C:$C,"&lt;"&amp;BO$1+1)</f>
        <v>142</v>
      </c>
      <c r="BP12">
        <f>SUMIFS(movements!$H:$H,movements!$E:$E,$A12,movements!$D:$D,"OPENING",movements!$C:$C,"&lt;"&amp;BP$1+1)+SUMIFS(movements!$H:$H,movements!$E:$E,$A12,movements!$D:$D,"RECEIPT",movements!$C:$C,"&lt;"&amp;BP$1+1)-SUMIFS(movements!$H:$H,movements!$E:$E,$A12,movements!$D:$D,"ISSUE",movements!$C:$C,"&lt;"&amp;BP$1+1)</f>
        <v>136</v>
      </c>
      <c r="BQ12">
        <f>SUMIFS(movements!$H:$H,movements!$E:$E,$A12,movements!$D:$D,"OPENING",movements!$C:$C,"&lt;"&amp;BQ$1+1)+SUMIFS(movements!$H:$H,movements!$E:$E,$A12,movements!$D:$D,"RECEIPT",movements!$C:$C,"&lt;"&amp;BQ$1+1)-SUMIFS(movements!$H:$H,movements!$E:$E,$A12,movements!$D:$D,"ISSUE",movements!$C:$C,"&lt;"&amp;BQ$1+1)</f>
        <v>122</v>
      </c>
      <c r="BR12">
        <f>SUMIFS(movements!$H:$H,movements!$E:$E,$A12,movements!$D:$D,"OPENING",movements!$C:$C,"&lt;"&amp;BR$1+1)+SUMIFS(movements!$H:$H,movements!$E:$E,$A12,movements!$D:$D,"RECEIPT",movements!$C:$C,"&lt;"&amp;BR$1+1)-SUMIFS(movements!$H:$H,movements!$E:$E,$A12,movements!$D:$D,"ISSUE",movements!$C:$C,"&lt;"&amp;BR$1+1)</f>
        <v>118</v>
      </c>
      <c r="BS12">
        <f>SUMIFS(movements!$H:$H,movements!$E:$E,$A12,movements!$D:$D,"OPENING",movements!$C:$C,"&lt;"&amp;BS$1+1)+SUMIFS(movements!$H:$H,movements!$E:$E,$A12,movements!$D:$D,"RECEIPT",movements!$C:$C,"&lt;"&amp;BS$1+1)-SUMIFS(movements!$H:$H,movements!$E:$E,$A12,movements!$D:$D,"ISSUE",movements!$C:$C,"&lt;"&amp;BS$1+1)</f>
        <v>114</v>
      </c>
      <c r="BT12">
        <f>SUMIFS(movements!$H:$H,movements!$E:$E,$A12,movements!$D:$D,"OPENING",movements!$C:$C,"&lt;"&amp;BT$1+1)+SUMIFS(movements!$H:$H,movements!$E:$E,$A12,movements!$D:$D,"RECEIPT",movements!$C:$C,"&lt;"&amp;BT$1+1)-SUMIFS(movements!$H:$H,movements!$E:$E,$A12,movements!$D:$D,"ISSUE",movements!$C:$C,"&lt;"&amp;BT$1+1)</f>
        <v>112</v>
      </c>
      <c r="BU12">
        <f>SUMIFS(movements!$H:$H,movements!$E:$E,$A12,movements!$D:$D,"OPENING",movements!$C:$C,"&lt;"&amp;BU$1+1)+SUMIFS(movements!$H:$H,movements!$E:$E,$A12,movements!$D:$D,"RECEIPT",movements!$C:$C,"&lt;"&amp;BU$1+1)-SUMIFS(movements!$H:$H,movements!$E:$E,$A12,movements!$D:$D,"ISSUE",movements!$C:$C,"&lt;"&amp;BU$1+1)</f>
        <v>109</v>
      </c>
      <c r="BV12">
        <f>SUMIFS(movements!$H:$H,movements!$E:$E,$A12,movements!$D:$D,"OPENING",movements!$C:$C,"&lt;"&amp;BV$1+1)+SUMIFS(movements!$H:$H,movements!$E:$E,$A12,movements!$D:$D,"RECEIPT",movements!$C:$C,"&lt;"&amp;BV$1+1)-SUMIFS(movements!$H:$H,movements!$E:$E,$A12,movements!$D:$D,"ISSUE",movements!$C:$C,"&lt;"&amp;BV$1+1)</f>
        <v>101</v>
      </c>
      <c r="BW12">
        <f>SUMIFS(movements!$H:$H,movements!$E:$E,$A12,movements!$D:$D,"OPENING",movements!$C:$C,"&lt;"&amp;BW$1+1)+SUMIFS(movements!$H:$H,movements!$E:$E,$A12,movements!$D:$D,"RECEIPT",movements!$C:$C,"&lt;"&amp;BW$1+1)-SUMIFS(movements!$H:$H,movements!$E:$E,$A12,movements!$D:$D,"ISSUE",movements!$C:$C,"&lt;"&amp;BW$1+1)</f>
        <v>101</v>
      </c>
      <c r="BX12">
        <f>SUMIFS(movements!$H:$H,movements!$E:$E,$A12,movements!$D:$D,"OPENING",movements!$C:$C,"&lt;"&amp;BX$1+1)+SUMIFS(movements!$H:$H,movements!$E:$E,$A12,movements!$D:$D,"RECEIPT",movements!$C:$C,"&lt;"&amp;BX$1+1)-SUMIFS(movements!$H:$H,movements!$E:$E,$A12,movements!$D:$D,"ISSUE",movements!$C:$C,"&lt;"&amp;BX$1+1)</f>
        <v>99</v>
      </c>
      <c r="BY12">
        <f>SUMIFS(movements!$H:$H,movements!$E:$E,$A12,movements!$D:$D,"OPENING",movements!$C:$C,"&lt;"&amp;BY$1+1)+SUMIFS(movements!$H:$H,movements!$E:$E,$A12,movements!$D:$D,"RECEIPT",movements!$C:$C,"&lt;"&amp;BY$1+1)-SUMIFS(movements!$H:$H,movements!$E:$E,$A12,movements!$D:$D,"ISSUE",movements!$C:$C,"&lt;"&amp;BY$1+1)</f>
        <v>92</v>
      </c>
      <c r="BZ12">
        <f>SUMIFS(movements!$H:$H,movements!$E:$E,$A12,movements!$D:$D,"OPENING",movements!$C:$C,"&lt;"&amp;BZ$1+1)+SUMIFS(movements!$H:$H,movements!$E:$E,$A12,movements!$D:$D,"RECEIPT",movements!$C:$C,"&lt;"&amp;BZ$1+1)-SUMIFS(movements!$H:$H,movements!$E:$E,$A12,movements!$D:$D,"ISSUE",movements!$C:$C,"&lt;"&amp;BZ$1+1)</f>
        <v>88</v>
      </c>
      <c r="CA12">
        <f>SUMIFS(movements!$H:$H,movements!$E:$E,$A12,movements!$D:$D,"OPENING",movements!$C:$C,"&lt;"&amp;CA$1+1)+SUMIFS(movements!$H:$H,movements!$E:$E,$A12,movements!$D:$D,"RECEIPT",movements!$C:$C,"&lt;"&amp;CA$1+1)-SUMIFS(movements!$H:$H,movements!$E:$E,$A12,movements!$D:$D,"ISSUE",movements!$C:$C,"&lt;"&amp;CA$1+1)</f>
        <v>169</v>
      </c>
      <c r="CB12">
        <f>SUMIFS(movements!$H:$H,movements!$E:$E,$A12,movements!$D:$D,"OPENING",movements!$C:$C,"&lt;"&amp;CB$1+1)+SUMIFS(movements!$H:$H,movements!$E:$E,$A12,movements!$D:$D,"RECEIPT",movements!$C:$C,"&lt;"&amp;CB$1+1)-SUMIFS(movements!$H:$H,movements!$E:$E,$A12,movements!$D:$D,"ISSUE",movements!$C:$C,"&lt;"&amp;CB$1+1)</f>
        <v>159</v>
      </c>
      <c r="CC12">
        <f>SUMIFS(movements!$H:$H,movements!$E:$E,$A12,movements!$D:$D,"OPENING",movements!$C:$C,"&lt;"&amp;CC$1+1)+SUMIFS(movements!$H:$H,movements!$E:$E,$A12,movements!$D:$D,"RECEIPT",movements!$C:$C,"&lt;"&amp;CC$1+1)-SUMIFS(movements!$H:$H,movements!$E:$E,$A12,movements!$D:$D,"ISSUE",movements!$C:$C,"&lt;"&amp;CC$1+1)</f>
        <v>156</v>
      </c>
      <c r="CD12">
        <f>SUMIFS(movements!$H:$H,movements!$E:$E,$A12,movements!$D:$D,"OPENING",movements!$C:$C,"&lt;"&amp;CD$1+1)+SUMIFS(movements!$H:$H,movements!$E:$E,$A12,movements!$D:$D,"RECEIPT",movements!$C:$C,"&lt;"&amp;CD$1+1)-SUMIFS(movements!$H:$H,movements!$E:$E,$A12,movements!$D:$D,"ISSUE",movements!$C:$C,"&lt;"&amp;CD$1+1)</f>
        <v>153</v>
      </c>
      <c r="CE12">
        <f>SUMIFS(movements!$H:$H,movements!$E:$E,$A12,movements!$D:$D,"OPENING",movements!$C:$C,"&lt;"&amp;CE$1+1)+SUMIFS(movements!$H:$H,movements!$E:$E,$A12,movements!$D:$D,"RECEIPT",movements!$C:$C,"&lt;"&amp;CE$1+1)-SUMIFS(movements!$H:$H,movements!$E:$E,$A12,movements!$D:$D,"ISSUE",movements!$C:$C,"&lt;"&amp;CE$1+1)</f>
        <v>150</v>
      </c>
      <c r="CF12">
        <f>SUMIFS(movements!$H:$H,movements!$E:$E,$A12,movements!$D:$D,"OPENING",movements!$C:$C,"&lt;"&amp;CF$1+1)+SUMIFS(movements!$H:$H,movements!$E:$E,$A12,movements!$D:$D,"RECEIPT",movements!$C:$C,"&lt;"&amp;CF$1+1)-SUMIFS(movements!$H:$H,movements!$E:$E,$A12,movements!$D:$D,"ISSUE",movements!$C:$C,"&lt;"&amp;CF$1+1)</f>
        <v>148</v>
      </c>
      <c r="CG12">
        <f>SUMIFS(movements!$H:$H,movements!$E:$E,$A12,movements!$D:$D,"OPENING",movements!$C:$C,"&lt;"&amp;CG$1+1)+SUMIFS(movements!$H:$H,movements!$E:$E,$A12,movements!$D:$D,"RECEIPT",movements!$C:$C,"&lt;"&amp;CG$1+1)-SUMIFS(movements!$H:$H,movements!$E:$E,$A12,movements!$D:$D,"ISSUE",movements!$C:$C,"&lt;"&amp;CG$1+1)</f>
        <v>142</v>
      </c>
      <c r="CH12">
        <f>SUMIFS(movements!$H:$H,movements!$E:$E,$A12,movements!$D:$D,"OPENING",movements!$C:$C,"&lt;"&amp;CH$1+1)+SUMIFS(movements!$H:$H,movements!$E:$E,$A12,movements!$D:$D,"RECEIPT",movements!$C:$C,"&lt;"&amp;CH$1+1)-SUMIFS(movements!$H:$H,movements!$E:$E,$A12,movements!$D:$D,"ISSUE",movements!$C:$C,"&lt;"&amp;CH$1+1)</f>
        <v>138</v>
      </c>
      <c r="CI12">
        <f>SUMIFS(movements!$H:$H,movements!$E:$E,$A12,movements!$D:$D,"OPENING",movements!$C:$C,"&lt;"&amp;CI$1+1)+SUMIFS(movements!$H:$H,movements!$E:$E,$A12,movements!$D:$D,"RECEIPT",movements!$C:$C,"&lt;"&amp;CI$1+1)-SUMIFS(movements!$H:$H,movements!$E:$E,$A12,movements!$D:$D,"ISSUE",movements!$C:$C,"&lt;"&amp;CI$1+1)</f>
        <v>130</v>
      </c>
      <c r="CJ12">
        <f>SUMIFS(movements!$H:$H,movements!$E:$E,$A12,movements!$D:$D,"OPENING",movements!$C:$C,"&lt;"&amp;CJ$1+1)+SUMIFS(movements!$H:$H,movements!$E:$E,$A12,movements!$D:$D,"RECEIPT",movements!$C:$C,"&lt;"&amp;CJ$1+1)-SUMIFS(movements!$H:$H,movements!$E:$E,$A12,movements!$D:$D,"ISSUE",movements!$C:$C,"&lt;"&amp;CJ$1+1)</f>
        <v>127</v>
      </c>
      <c r="CK12">
        <f>SUMIFS(movements!$H:$H,movements!$E:$E,$A12,movements!$D:$D,"OPENING",movements!$C:$C,"&lt;"&amp;CK$1+1)+SUMIFS(movements!$H:$H,movements!$E:$E,$A12,movements!$D:$D,"RECEIPT",movements!$C:$C,"&lt;"&amp;CK$1+1)-SUMIFS(movements!$H:$H,movements!$E:$E,$A12,movements!$D:$D,"ISSUE",movements!$C:$C,"&lt;"&amp;CK$1+1)</f>
        <v>127</v>
      </c>
      <c r="CL12">
        <f>SUMIFS(movements!$H:$H,movements!$E:$E,$A12,movements!$D:$D,"OPENING",movements!$C:$C,"&lt;"&amp;CL$1+1)+SUMIFS(movements!$H:$H,movements!$E:$E,$A12,movements!$D:$D,"RECEIPT",movements!$C:$C,"&lt;"&amp;CL$1+1)-SUMIFS(movements!$H:$H,movements!$E:$E,$A12,movements!$D:$D,"ISSUE",movements!$C:$C,"&lt;"&amp;CL$1+1)</f>
        <v>120</v>
      </c>
      <c r="CM12">
        <f>SUMIFS(movements!$H:$H,movements!$E:$E,$A12,movements!$D:$D,"OPENING",movements!$C:$C,"&lt;"&amp;CM$1+1)+SUMIFS(movements!$H:$H,movements!$E:$E,$A12,movements!$D:$D,"RECEIPT",movements!$C:$C,"&lt;"&amp;CM$1+1)-SUMIFS(movements!$H:$H,movements!$E:$E,$A12,movements!$D:$D,"ISSUE",movements!$C:$C,"&lt;"&amp;CM$1+1)</f>
        <v>116</v>
      </c>
      <c r="CN12">
        <f t="shared" si="2"/>
        <v>124.25555555555556</v>
      </c>
      <c r="CO12">
        <f>SUMIFS(movements!$H:$H,movements!$E:$E,$A12,movements!$D:$D,"ISSUE",movements!$C:$C,"&gt;="&amp;$B$1,movements!$C:$C,"&lt;"&amp;($CM$1+1))</f>
        <v>463</v>
      </c>
      <c r="CP12">
        <f t="shared" si="3"/>
        <v>3.7261915407314672</v>
      </c>
      <c r="CQ12">
        <f t="shared" si="4"/>
        <v>24.153347732181427</v>
      </c>
    </row>
    <row r="13" spans="1:95" x14ac:dyDescent="0.25">
      <c r="A13" t="s">
        <v>41</v>
      </c>
      <c r="B13">
        <f>SUMIFS(movements!$H:$H,movements!$E:$E,$A13,movements!$D:$D,"OPENING",movements!$C:$C,"&lt;"&amp;B$1+1)+SUMIFS(movements!$H:$H,movements!$E:$E,$A13,movements!$D:$D,"RECEIPT",movements!$C:$C,"&lt;"&amp;B$1+1)-SUMIFS(movements!$H:$H,movements!$E:$E,$A13,movements!$D:$D,"ISSUE",movements!$C:$C,"&lt;"&amp;B$1+1)</f>
        <v>79</v>
      </c>
      <c r="C13">
        <f>SUMIFS(movements!$H:$H,movements!$E:$E,$A13,movements!$D:$D,"OPENING",movements!$C:$C,"&lt;"&amp;C$1+1)+SUMIFS(movements!$H:$H,movements!$E:$E,$A13,movements!$D:$D,"RECEIPT",movements!$C:$C,"&lt;"&amp;C$1+1)-SUMIFS(movements!$H:$H,movements!$E:$E,$A13,movements!$D:$D,"ISSUE",movements!$C:$C,"&lt;"&amp;C$1+1)</f>
        <v>74</v>
      </c>
      <c r="D13">
        <f>SUMIFS(movements!$H:$H,movements!$E:$E,$A13,movements!$D:$D,"OPENING",movements!$C:$C,"&lt;"&amp;D$1+1)+SUMIFS(movements!$H:$H,movements!$E:$E,$A13,movements!$D:$D,"RECEIPT",movements!$C:$C,"&lt;"&amp;D$1+1)-SUMIFS(movements!$H:$H,movements!$E:$E,$A13,movements!$D:$D,"ISSUE",movements!$C:$C,"&lt;"&amp;D$1+1)</f>
        <v>70</v>
      </c>
      <c r="E13">
        <f>SUMIFS(movements!$H:$H,movements!$E:$E,$A13,movements!$D:$D,"OPENING",movements!$C:$C,"&lt;"&amp;E$1+1)+SUMIFS(movements!$H:$H,movements!$E:$E,$A13,movements!$D:$D,"RECEIPT",movements!$C:$C,"&lt;"&amp;E$1+1)-SUMIFS(movements!$H:$H,movements!$E:$E,$A13,movements!$D:$D,"ISSUE",movements!$C:$C,"&lt;"&amp;E$1+1)</f>
        <v>69</v>
      </c>
      <c r="F13">
        <f>SUMIFS(movements!$H:$H,movements!$E:$E,$A13,movements!$D:$D,"OPENING",movements!$C:$C,"&lt;"&amp;F$1+1)+SUMIFS(movements!$H:$H,movements!$E:$E,$A13,movements!$D:$D,"RECEIPT",movements!$C:$C,"&lt;"&amp;F$1+1)-SUMIFS(movements!$H:$H,movements!$E:$E,$A13,movements!$D:$D,"ISSUE",movements!$C:$C,"&lt;"&amp;F$1+1)</f>
        <v>64</v>
      </c>
      <c r="G13">
        <f>SUMIFS(movements!$H:$H,movements!$E:$E,$A13,movements!$D:$D,"OPENING",movements!$C:$C,"&lt;"&amp;G$1+1)+SUMIFS(movements!$H:$H,movements!$E:$E,$A13,movements!$D:$D,"RECEIPT",movements!$C:$C,"&lt;"&amp;G$1+1)-SUMIFS(movements!$H:$H,movements!$E:$E,$A13,movements!$D:$D,"ISSUE",movements!$C:$C,"&lt;"&amp;G$1+1)</f>
        <v>57</v>
      </c>
      <c r="H13">
        <f>SUMIFS(movements!$H:$H,movements!$E:$E,$A13,movements!$D:$D,"OPENING",movements!$C:$C,"&lt;"&amp;H$1+1)+SUMIFS(movements!$H:$H,movements!$E:$E,$A13,movements!$D:$D,"RECEIPT",movements!$C:$C,"&lt;"&amp;H$1+1)-SUMIFS(movements!$H:$H,movements!$E:$E,$A13,movements!$D:$D,"ISSUE",movements!$C:$C,"&lt;"&amp;H$1+1)</f>
        <v>54</v>
      </c>
      <c r="I13">
        <f>SUMIFS(movements!$H:$H,movements!$E:$E,$A13,movements!$D:$D,"OPENING",movements!$C:$C,"&lt;"&amp;I$1+1)+SUMIFS(movements!$H:$H,movements!$E:$E,$A13,movements!$D:$D,"RECEIPT",movements!$C:$C,"&lt;"&amp;I$1+1)-SUMIFS(movements!$H:$H,movements!$E:$E,$A13,movements!$D:$D,"ISSUE",movements!$C:$C,"&lt;"&amp;I$1+1)</f>
        <v>113</v>
      </c>
      <c r="J13">
        <f>SUMIFS(movements!$H:$H,movements!$E:$E,$A13,movements!$D:$D,"OPENING",movements!$C:$C,"&lt;"&amp;J$1+1)+SUMIFS(movements!$H:$H,movements!$E:$E,$A13,movements!$D:$D,"RECEIPT",movements!$C:$C,"&lt;"&amp;J$1+1)-SUMIFS(movements!$H:$H,movements!$E:$E,$A13,movements!$D:$D,"ISSUE",movements!$C:$C,"&lt;"&amp;J$1+1)</f>
        <v>97</v>
      </c>
      <c r="K13">
        <f>SUMIFS(movements!$H:$H,movements!$E:$E,$A13,movements!$D:$D,"OPENING",movements!$C:$C,"&lt;"&amp;K$1+1)+SUMIFS(movements!$H:$H,movements!$E:$E,$A13,movements!$D:$D,"RECEIPT",movements!$C:$C,"&lt;"&amp;K$1+1)-SUMIFS(movements!$H:$H,movements!$E:$E,$A13,movements!$D:$D,"ISSUE",movements!$C:$C,"&lt;"&amp;K$1+1)</f>
        <v>94</v>
      </c>
      <c r="L13">
        <f>SUMIFS(movements!$H:$H,movements!$E:$E,$A13,movements!$D:$D,"OPENING",movements!$C:$C,"&lt;"&amp;L$1+1)+SUMIFS(movements!$H:$H,movements!$E:$E,$A13,movements!$D:$D,"RECEIPT",movements!$C:$C,"&lt;"&amp;L$1+1)-SUMIFS(movements!$H:$H,movements!$E:$E,$A13,movements!$D:$D,"ISSUE",movements!$C:$C,"&lt;"&amp;L$1+1)</f>
        <v>84</v>
      </c>
      <c r="M13">
        <f>SUMIFS(movements!$H:$H,movements!$E:$E,$A13,movements!$D:$D,"OPENING",movements!$C:$C,"&lt;"&amp;M$1+1)+SUMIFS(movements!$H:$H,movements!$E:$E,$A13,movements!$D:$D,"RECEIPT",movements!$C:$C,"&lt;"&amp;M$1+1)-SUMIFS(movements!$H:$H,movements!$E:$E,$A13,movements!$D:$D,"ISSUE",movements!$C:$C,"&lt;"&amp;M$1+1)</f>
        <v>78</v>
      </c>
      <c r="N13">
        <f>SUMIFS(movements!$H:$H,movements!$E:$E,$A13,movements!$D:$D,"OPENING",movements!$C:$C,"&lt;"&amp;N$1+1)+SUMIFS(movements!$H:$H,movements!$E:$E,$A13,movements!$D:$D,"RECEIPT",movements!$C:$C,"&lt;"&amp;N$1+1)-SUMIFS(movements!$H:$H,movements!$E:$E,$A13,movements!$D:$D,"ISSUE",movements!$C:$C,"&lt;"&amp;N$1+1)</f>
        <v>78</v>
      </c>
      <c r="O13">
        <f>SUMIFS(movements!$H:$H,movements!$E:$E,$A13,movements!$D:$D,"OPENING",movements!$C:$C,"&lt;"&amp;O$1+1)+SUMIFS(movements!$H:$H,movements!$E:$E,$A13,movements!$D:$D,"RECEIPT",movements!$C:$C,"&lt;"&amp;O$1+1)-SUMIFS(movements!$H:$H,movements!$E:$E,$A13,movements!$D:$D,"ISSUE",movements!$C:$C,"&lt;"&amp;O$1+1)</f>
        <v>68</v>
      </c>
      <c r="P13">
        <f>SUMIFS(movements!$H:$H,movements!$E:$E,$A13,movements!$D:$D,"OPENING",movements!$C:$C,"&lt;"&amp;P$1+1)+SUMIFS(movements!$H:$H,movements!$E:$E,$A13,movements!$D:$D,"RECEIPT",movements!$C:$C,"&lt;"&amp;P$1+1)-SUMIFS(movements!$H:$H,movements!$E:$E,$A13,movements!$D:$D,"ISSUE",movements!$C:$C,"&lt;"&amp;P$1+1)</f>
        <v>144</v>
      </c>
      <c r="Q13">
        <f>SUMIFS(movements!$H:$H,movements!$E:$E,$A13,movements!$D:$D,"OPENING",movements!$C:$C,"&lt;"&amp;Q$1+1)+SUMIFS(movements!$H:$H,movements!$E:$E,$A13,movements!$D:$D,"RECEIPT",movements!$C:$C,"&lt;"&amp;Q$1+1)-SUMIFS(movements!$H:$H,movements!$E:$E,$A13,movements!$D:$D,"ISSUE",movements!$C:$C,"&lt;"&amp;Q$1+1)</f>
        <v>143</v>
      </c>
      <c r="R13">
        <f>SUMIFS(movements!$H:$H,movements!$E:$E,$A13,movements!$D:$D,"OPENING",movements!$C:$C,"&lt;"&amp;R$1+1)+SUMIFS(movements!$H:$H,movements!$E:$E,$A13,movements!$D:$D,"RECEIPT",movements!$C:$C,"&lt;"&amp;R$1+1)-SUMIFS(movements!$H:$H,movements!$E:$E,$A13,movements!$D:$D,"ISSUE",movements!$C:$C,"&lt;"&amp;R$1+1)</f>
        <v>143</v>
      </c>
      <c r="S13">
        <f>SUMIFS(movements!$H:$H,movements!$E:$E,$A13,movements!$D:$D,"OPENING",movements!$C:$C,"&lt;"&amp;S$1+1)+SUMIFS(movements!$H:$H,movements!$E:$E,$A13,movements!$D:$D,"RECEIPT",movements!$C:$C,"&lt;"&amp;S$1+1)-SUMIFS(movements!$H:$H,movements!$E:$E,$A13,movements!$D:$D,"ISSUE",movements!$C:$C,"&lt;"&amp;S$1+1)</f>
        <v>134</v>
      </c>
      <c r="T13">
        <f>SUMIFS(movements!$H:$H,movements!$E:$E,$A13,movements!$D:$D,"OPENING",movements!$C:$C,"&lt;"&amp;T$1+1)+SUMIFS(movements!$H:$H,movements!$E:$E,$A13,movements!$D:$D,"RECEIPT",movements!$C:$C,"&lt;"&amp;T$1+1)-SUMIFS(movements!$H:$H,movements!$E:$E,$A13,movements!$D:$D,"ISSUE",movements!$C:$C,"&lt;"&amp;T$1+1)</f>
        <v>127</v>
      </c>
      <c r="U13">
        <f>SUMIFS(movements!$H:$H,movements!$E:$E,$A13,movements!$D:$D,"OPENING",movements!$C:$C,"&lt;"&amp;U$1+1)+SUMIFS(movements!$H:$H,movements!$E:$E,$A13,movements!$D:$D,"RECEIPT",movements!$C:$C,"&lt;"&amp;U$1+1)-SUMIFS(movements!$H:$H,movements!$E:$E,$A13,movements!$D:$D,"ISSUE",movements!$C:$C,"&lt;"&amp;U$1+1)</f>
        <v>126</v>
      </c>
      <c r="V13">
        <f>SUMIFS(movements!$H:$H,movements!$E:$E,$A13,movements!$D:$D,"OPENING",movements!$C:$C,"&lt;"&amp;V$1+1)+SUMIFS(movements!$H:$H,movements!$E:$E,$A13,movements!$D:$D,"RECEIPT",movements!$C:$C,"&lt;"&amp;V$1+1)-SUMIFS(movements!$H:$H,movements!$E:$E,$A13,movements!$D:$D,"ISSUE",movements!$C:$C,"&lt;"&amp;V$1+1)</f>
        <v>124</v>
      </c>
      <c r="W13">
        <f>SUMIFS(movements!$H:$H,movements!$E:$E,$A13,movements!$D:$D,"OPENING",movements!$C:$C,"&lt;"&amp;W$1+1)+SUMIFS(movements!$H:$H,movements!$E:$E,$A13,movements!$D:$D,"RECEIPT",movements!$C:$C,"&lt;"&amp;W$1+1)-SUMIFS(movements!$H:$H,movements!$E:$E,$A13,movements!$D:$D,"ISSUE",movements!$C:$C,"&lt;"&amp;W$1+1)</f>
        <v>119</v>
      </c>
      <c r="X13">
        <f>SUMIFS(movements!$H:$H,movements!$E:$E,$A13,movements!$D:$D,"OPENING",movements!$C:$C,"&lt;"&amp;X$1+1)+SUMIFS(movements!$H:$H,movements!$E:$E,$A13,movements!$D:$D,"RECEIPT",movements!$C:$C,"&lt;"&amp;X$1+1)-SUMIFS(movements!$H:$H,movements!$E:$E,$A13,movements!$D:$D,"ISSUE",movements!$C:$C,"&lt;"&amp;X$1+1)</f>
        <v>119</v>
      </c>
      <c r="Y13">
        <f>SUMIFS(movements!$H:$H,movements!$E:$E,$A13,movements!$D:$D,"OPENING",movements!$C:$C,"&lt;"&amp;Y$1+1)+SUMIFS(movements!$H:$H,movements!$E:$E,$A13,movements!$D:$D,"RECEIPT",movements!$C:$C,"&lt;"&amp;Y$1+1)-SUMIFS(movements!$H:$H,movements!$E:$E,$A13,movements!$D:$D,"ISSUE",movements!$C:$C,"&lt;"&amp;Y$1+1)</f>
        <v>114</v>
      </c>
      <c r="Z13">
        <f>SUMIFS(movements!$H:$H,movements!$E:$E,$A13,movements!$D:$D,"OPENING",movements!$C:$C,"&lt;"&amp;Z$1+1)+SUMIFS(movements!$H:$H,movements!$E:$E,$A13,movements!$D:$D,"RECEIPT",movements!$C:$C,"&lt;"&amp;Z$1+1)-SUMIFS(movements!$H:$H,movements!$E:$E,$A13,movements!$D:$D,"ISSUE",movements!$C:$C,"&lt;"&amp;Z$1+1)</f>
        <v>112</v>
      </c>
      <c r="AA13">
        <f>SUMIFS(movements!$H:$H,movements!$E:$E,$A13,movements!$D:$D,"OPENING",movements!$C:$C,"&lt;"&amp;AA$1+1)+SUMIFS(movements!$H:$H,movements!$E:$E,$A13,movements!$D:$D,"RECEIPT",movements!$C:$C,"&lt;"&amp;AA$1+1)-SUMIFS(movements!$H:$H,movements!$E:$E,$A13,movements!$D:$D,"ISSUE",movements!$C:$C,"&lt;"&amp;AA$1+1)</f>
        <v>109</v>
      </c>
      <c r="AB13">
        <f>SUMIFS(movements!$H:$H,movements!$E:$E,$A13,movements!$D:$D,"OPENING",movements!$C:$C,"&lt;"&amp;AB$1+1)+SUMIFS(movements!$H:$H,movements!$E:$E,$A13,movements!$D:$D,"RECEIPT",movements!$C:$C,"&lt;"&amp;AB$1+1)-SUMIFS(movements!$H:$H,movements!$E:$E,$A13,movements!$D:$D,"ISSUE",movements!$C:$C,"&lt;"&amp;AB$1+1)</f>
        <v>108</v>
      </c>
      <c r="AC13">
        <f>SUMIFS(movements!$H:$H,movements!$E:$E,$A13,movements!$D:$D,"OPENING",movements!$C:$C,"&lt;"&amp;AC$1+1)+SUMIFS(movements!$H:$H,movements!$E:$E,$A13,movements!$D:$D,"RECEIPT",movements!$C:$C,"&lt;"&amp;AC$1+1)-SUMIFS(movements!$H:$H,movements!$E:$E,$A13,movements!$D:$D,"ISSUE",movements!$C:$C,"&lt;"&amp;AC$1+1)</f>
        <v>103</v>
      </c>
      <c r="AD13">
        <f>SUMIFS(movements!$H:$H,movements!$E:$E,$A13,movements!$D:$D,"OPENING",movements!$C:$C,"&lt;"&amp;AD$1+1)+SUMIFS(movements!$H:$H,movements!$E:$E,$A13,movements!$D:$D,"RECEIPT",movements!$C:$C,"&lt;"&amp;AD$1+1)-SUMIFS(movements!$H:$H,movements!$E:$E,$A13,movements!$D:$D,"ISSUE",movements!$C:$C,"&lt;"&amp;AD$1+1)</f>
        <v>163</v>
      </c>
      <c r="AE13">
        <f>SUMIFS(movements!$H:$H,movements!$E:$E,$A13,movements!$D:$D,"OPENING",movements!$C:$C,"&lt;"&amp;AE$1+1)+SUMIFS(movements!$H:$H,movements!$E:$E,$A13,movements!$D:$D,"RECEIPT",movements!$C:$C,"&lt;"&amp;AE$1+1)-SUMIFS(movements!$H:$H,movements!$E:$E,$A13,movements!$D:$D,"ISSUE",movements!$C:$C,"&lt;"&amp;AE$1+1)</f>
        <v>160</v>
      </c>
      <c r="AF13">
        <f>SUMIFS(movements!$H:$H,movements!$E:$E,$A13,movements!$D:$D,"OPENING",movements!$C:$C,"&lt;"&amp;AF$1+1)+SUMIFS(movements!$H:$H,movements!$E:$E,$A13,movements!$D:$D,"RECEIPT",movements!$C:$C,"&lt;"&amp;AF$1+1)-SUMIFS(movements!$H:$H,movements!$E:$E,$A13,movements!$D:$D,"ISSUE",movements!$C:$C,"&lt;"&amp;AF$1+1)</f>
        <v>156</v>
      </c>
      <c r="AG13">
        <f>SUMIFS(movements!$H:$H,movements!$E:$E,$A13,movements!$D:$D,"OPENING",movements!$C:$C,"&lt;"&amp;AG$1+1)+SUMIFS(movements!$H:$H,movements!$E:$E,$A13,movements!$D:$D,"RECEIPT",movements!$C:$C,"&lt;"&amp;AG$1+1)-SUMIFS(movements!$H:$H,movements!$E:$E,$A13,movements!$D:$D,"ISSUE",movements!$C:$C,"&lt;"&amp;AG$1+1)</f>
        <v>153</v>
      </c>
      <c r="AH13">
        <f>SUMIFS(movements!$H:$H,movements!$E:$E,$A13,movements!$D:$D,"OPENING",movements!$C:$C,"&lt;"&amp;AH$1+1)+SUMIFS(movements!$H:$H,movements!$E:$E,$A13,movements!$D:$D,"RECEIPT",movements!$C:$C,"&lt;"&amp;AH$1+1)-SUMIFS(movements!$H:$H,movements!$E:$E,$A13,movements!$D:$D,"ISSUE",movements!$C:$C,"&lt;"&amp;AH$1+1)</f>
        <v>153</v>
      </c>
      <c r="AI13">
        <f>SUMIFS(movements!$H:$H,movements!$E:$E,$A13,movements!$D:$D,"OPENING",movements!$C:$C,"&lt;"&amp;AI$1+1)+SUMIFS(movements!$H:$H,movements!$E:$E,$A13,movements!$D:$D,"RECEIPT",movements!$C:$C,"&lt;"&amp;AI$1+1)-SUMIFS(movements!$H:$H,movements!$E:$E,$A13,movements!$D:$D,"ISSUE",movements!$C:$C,"&lt;"&amp;AI$1+1)</f>
        <v>145</v>
      </c>
      <c r="AJ13">
        <f>SUMIFS(movements!$H:$H,movements!$E:$E,$A13,movements!$D:$D,"OPENING",movements!$C:$C,"&lt;"&amp;AJ$1+1)+SUMIFS(movements!$H:$H,movements!$E:$E,$A13,movements!$D:$D,"RECEIPT",movements!$C:$C,"&lt;"&amp;AJ$1+1)-SUMIFS(movements!$H:$H,movements!$E:$E,$A13,movements!$D:$D,"ISSUE",movements!$C:$C,"&lt;"&amp;AJ$1+1)</f>
        <v>141</v>
      </c>
      <c r="AK13">
        <f>SUMIFS(movements!$H:$H,movements!$E:$E,$A13,movements!$D:$D,"OPENING",movements!$C:$C,"&lt;"&amp;AK$1+1)+SUMIFS(movements!$H:$H,movements!$E:$E,$A13,movements!$D:$D,"RECEIPT",movements!$C:$C,"&lt;"&amp;AK$1+1)-SUMIFS(movements!$H:$H,movements!$E:$E,$A13,movements!$D:$D,"ISSUE",movements!$C:$C,"&lt;"&amp;AK$1+1)</f>
        <v>134</v>
      </c>
      <c r="AL13">
        <f>SUMIFS(movements!$H:$H,movements!$E:$E,$A13,movements!$D:$D,"OPENING",movements!$C:$C,"&lt;"&amp;AL$1+1)+SUMIFS(movements!$H:$H,movements!$E:$E,$A13,movements!$D:$D,"RECEIPT",movements!$C:$C,"&lt;"&amp;AL$1+1)-SUMIFS(movements!$H:$H,movements!$E:$E,$A13,movements!$D:$D,"ISSUE",movements!$C:$C,"&lt;"&amp;AL$1+1)</f>
        <v>132</v>
      </c>
      <c r="AM13">
        <f>SUMIFS(movements!$H:$H,movements!$E:$E,$A13,movements!$D:$D,"OPENING",movements!$C:$C,"&lt;"&amp;AM$1+1)+SUMIFS(movements!$H:$H,movements!$E:$E,$A13,movements!$D:$D,"RECEIPT",movements!$C:$C,"&lt;"&amp;AM$1+1)-SUMIFS(movements!$H:$H,movements!$E:$E,$A13,movements!$D:$D,"ISSUE",movements!$C:$C,"&lt;"&amp;AM$1+1)</f>
        <v>126</v>
      </c>
      <c r="AN13">
        <f>SUMIFS(movements!$H:$H,movements!$E:$E,$A13,movements!$D:$D,"OPENING",movements!$C:$C,"&lt;"&amp;AN$1+1)+SUMIFS(movements!$H:$H,movements!$E:$E,$A13,movements!$D:$D,"RECEIPT",movements!$C:$C,"&lt;"&amp;AN$1+1)-SUMIFS(movements!$H:$H,movements!$E:$E,$A13,movements!$D:$D,"ISSUE",movements!$C:$C,"&lt;"&amp;AN$1+1)</f>
        <v>122</v>
      </c>
      <c r="AO13">
        <f>SUMIFS(movements!$H:$H,movements!$E:$E,$A13,movements!$D:$D,"OPENING",movements!$C:$C,"&lt;"&amp;AO$1+1)+SUMIFS(movements!$H:$H,movements!$E:$E,$A13,movements!$D:$D,"RECEIPT",movements!$C:$C,"&lt;"&amp;AO$1+1)-SUMIFS(movements!$H:$H,movements!$E:$E,$A13,movements!$D:$D,"ISSUE",movements!$C:$C,"&lt;"&amp;AO$1+1)</f>
        <v>120</v>
      </c>
      <c r="AP13">
        <f>SUMIFS(movements!$H:$H,movements!$E:$E,$A13,movements!$D:$D,"OPENING",movements!$C:$C,"&lt;"&amp;AP$1+1)+SUMIFS(movements!$H:$H,movements!$E:$E,$A13,movements!$D:$D,"RECEIPT",movements!$C:$C,"&lt;"&amp;AP$1+1)-SUMIFS(movements!$H:$H,movements!$E:$E,$A13,movements!$D:$D,"ISSUE",movements!$C:$C,"&lt;"&amp;AP$1+1)</f>
        <v>120</v>
      </c>
      <c r="AQ13">
        <f>SUMIFS(movements!$H:$H,movements!$E:$E,$A13,movements!$D:$D,"OPENING",movements!$C:$C,"&lt;"&amp;AQ$1+1)+SUMIFS(movements!$H:$H,movements!$E:$E,$A13,movements!$D:$D,"RECEIPT",movements!$C:$C,"&lt;"&amp;AQ$1+1)-SUMIFS(movements!$H:$H,movements!$E:$E,$A13,movements!$D:$D,"ISSUE",movements!$C:$C,"&lt;"&amp;AQ$1+1)</f>
        <v>120</v>
      </c>
      <c r="AR13">
        <f>SUMIFS(movements!$H:$H,movements!$E:$E,$A13,movements!$D:$D,"OPENING",movements!$C:$C,"&lt;"&amp;AR$1+1)+SUMIFS(movements!$H:$H,movements!$E:$E,$A13,movements!$D:$D,"RECEIPT",movements!$C:$C,"&lt;"&amp;AR$1+1)-SUMIFS(movements!$H:$H,movements!$E:$E,$A13,movements!$D:$D,"ISSUE",movements!$C:$C,"&lt;"&amp;AR$1+1)</f>
        <v>116</v>
      </c>
      <c r="AS13">
        <f>SUMIFS(movements!$H:$H,movements!$E:$E,$A13,movements!$D:$D,"OPENING",movements!$C:$C,"&lt;"&amp;AS$1+1)+SUMIFS(movements!$H:$H,movements!$E:$E,$A13,movements!$D:$D,"RECEIPT",movements!$C:$C,"&lt;"&amp;AS$1+1)-SUMIFS(movements!$H:$H,movements!$E:$E,$A13,movements!$D:$D,"ISSUE",movements!$C:$C,"&lt;"&amp;AS$1+1)</f>
        <v>115</v>
      </c>
      <c r="AT13">
        <f>SUMIFS(movements!$H:$H,movements!$E:$E,$A13,movements!$D:$D,"OPENING",movements!$C:$C,"&lt;"&amp;AT$1+1)+SUMIFS(movements!$H:$H,movements!$E:$E,$A13,movements!$D:$D,"RECEIPT",movements!$C:$C,"&lt;"&amp;AT$1+1)-SUMIFS(movements!$H:$H,movements!$E:$E,$A13,movements!$D:$D,"ISSUE",movements!$C:$C,"&lt;"&amp;AT$1+1)</f>
        <v>108</v>
      </c>
      <c r="AU13">
        <f>SUMIFS(movements!$H:$H,movements!$E:$E,$A13,movements!$D:$D,"OPENING",movements!$C:$C,"&lt;"&amp;AU$1+1)+SUMIFS(movements!$H:$H,movements!$E:$E,$A13,movements!$D:$D,"RECEIPT",movements!$C:$C,"&lt;"&amp;AU$1+1)-SUMIFS(movements!$H:$H,movements!$E:$E,$A13,movements!$D:$D,"ISSUE",movements!$C:$C,"&lt;"&amp;AU$1+1)</f>
        <v>105</v>
      </c>
      <c r="AV13">
        <f>SUMIFS(movements!$H:$H,movements!$E:$E,$A13,movements!$D:$D,"OPENING",movements!$C:$C,"&lt;"&amp;AV$1+1)+SUMIFS(movements!$H:$H,movements!$E:$E,$A13,movements!$D:$D,"RECEIPT",movements!$C:$C,"&lt;"&amp;AV$1+1)-SUMIFS(movements!$H:$H,movements!$E:$E,$A13,movements!$D:$D,"ISSUE",movements!$C:$C,"&lt;"&amp;AV$1+1)</f>
        <v>100</v>
      </c>
      <c r="AW13">
        <f>SUMIFS(movements!$H:$H,movements!$E:$E,$A13,movements!$D:$D,"OPENING",movements!$C:$C,"&lt;"&amp;AW$1+1)+SUMIFS(movements!$H:$H,movements!$E:$E,$A13,movements!$D:$D,"RECEIPT",movements!$C:$C,"&lt;"&amp;AW$1+1)-SUMIFS(movements!$H:$H,movements!$E:$E,$A13,movements!$D:$D,"ISSUE",movements!$C:$C,"&lt;"&amp;AW$1+1)</f>
        <v>99</v>
      </c>
      <c r="AX13">
        <f>SUMIFS(movements!$H:$H,movements!$E:$E,$A13,movements!$D:$D,"OPENING",movements!$C:$C,"&lt;"&amp;AX$1+1)+SUMIFS(movements!$H:$H,movements!$E:$E,$A13,movements!$D:$D,"RECEIPT",movements!$C:$C,"&lt;"&amp;AX$1+1)-SUMIFS(movements!$H:$H,movements!$E:$E,$A13,movements!$D:$D,"ISSUE",movements!$C:$C,"&lt;"&amp;AX$1+1)</f>
        <v>94</v>
      </c>
      <c r="AY13">
        <f>SUMIFS(movements!$H:$H,movements!$E:$E,$A13,movements!$D:$D,"OPENING",movements!$C:$C,"&lt;"&amp;AY$1+1)+SUMIFS(movements!$H:$H,movements!$E:$E,$A13,movements!$D:$D,"RECEIPT",movements!$C:$C,"&lt;"&amp;AY$1+1)-SUMIFS(movements!$H:$H,movements!$E:$E,$A13,movements!$D:$D,"ISSUE",movements!$C:$C,"&lt;"&amp;AY$1+1)</f>
        <v>163</v>
      </c>
      <c r="AZ13">
        <f>SUMIFS(movements!$H:$H,movements!$E:$E,$A13,movements!$D:$D,"OPENING",movements!$C:$C,"&lt;"&amp;AZ$1+1)+SUMIFS(movements!$H:$H,movements!$E:$E,$A13,movements!$D:$D,"RECEIPT",movements!$C:$C,"&lt;"&amp;AZ$1+1)-SUMIFS(movements!$H:$H,movements!$E:$E,$A13,movements!$D:$D,"ISSUE",movements!$C:$C,"&lt;"&amp;AZ$1+1)</f>
        <v>161</v>
      </c>
      <c r="BA13">
        <f>SUMIFS(movements!$H:$H,movements!$E:$E,$A13,movements!$D:$D,"OPENING",movements!$C:$C,"&lt;"&amp;BA$1+1)+SUMIFS(movements!$H:$H,movements!$E:$E,$A13,movements!$D:$D,"RECEIPT",movements!$C:$C,"&lt;"&amp;BA$1+1)-SUMIFS(movements!$H:$H,movements!$E:$E,$A13,movements!$D:$D,"ISSUE",movements!$C:$C,"&lt;"&amp;BA$1+1)</f>
        <v>155</v>
      </c>
      <c r="BB13">
        <f>SUMIFS(movements!$H:$H,movements!$E:$E,$A13,movements!$D:$D,"OPENING",movements!$C:$C,"&lt;"&amp;BB$1+1)+SUMIFS(movements!$H:$H,movements!$E:$E,$A13,movements!$D:$D,"RECEIPT",movements!$C:$C,"&lt;"&amp;BB$1+1)-SUMIFS(movements!$H:$H,movements!$E:$E,$A13,movements!$D:$D,"ISSUE",movements!$C:$C,"&lt;"&amp;BB$1+1)</f>
        <v>152</v>
      </c>
      <c r="BC13">
        <f>SUMIFS(movements!$H:$H,movements!$E:$E,$A13,movements!$D:$D,"OPENING",movements!$C:$C,"&lt;"&amp;BC$1+1)+SUMIFS(movements!$H:$H,movements!$E:$E,$A13,movements!$D:$D,"RECEIPT",movements!$C:$C,"&lt;"&amp;BC$1+1)-SUMIFS(movements!$H:$H,movements!$E:$E,$A13,movements!$D:$D,"ISSUE",movements!$C:$C,"&lt;"&amp;BC$1+1)</f>
        <v>149</v>
      </c>
      <c r="BD13">
        <f>SUMIFS(movements!$H:$H,movements!$E:$E,$A13,movements!$D:$D,"OPENING",movements!$C:$C,"&lt;"&amp;BD$1+1)+SUMIFS(movements!$H:$H,movements!$E:$E,$A13,movements!$D:$D,"RECEIPT",movements!$C:$C,"&lt;"&amp;BD$1+1)-SUMIFS(movements!$H:$H,movements!$E:$E,$A13,movements!$D:$D,"ISSUE",movements!$C:$C,"&lt;"&amp;BD$1+1)</f>
        <v>149</v>
      </c>
      <c r="BE13">
        <f>SUMIFS(movements!$H:$H,movements!$E:$E,$A13,movements!$D:$D,"OPENING",movements!$C:$C,"&lt;"&amp;BE$1+1)+SUMIFS(movements!$H:$H,movements!$E:$E,$A13,movements!$D:$D,"RECEIPT",movements!$C:$C,"&lt;"&amp;BE$1+1)-SUMIFS(movements!$H:$H,movements!$E:$E,$A13,movements!$D:$D,"ISSUE",movements!$C:$C,"&lt;"&amp;BE$1+1)</f>
        <v>149</v>
      </c>
      <c r="BF13">
        <f>SUMIFS(movements!$H:$H,movements!$E:$E,$A13,movements!$D:$D,"OPENING",movements!$C:$C,"&lt;"&amp;BF$1+1)+SUMIFS(movements!$H:$H,movements!$E:$E,$A13,movements!$D:$D,"RECEIPT",movements!$C:$C,"&lt;"&amp;BF$1+1)-SUMIFS(movements!$H:$H,movements!$E:$E,$A13,movements!$D:$D,"ISSUE",movements!$C:$C,"&lt;"&amp;BF$1+1)</f>
        <v>145</v>
      </c>
      <c r="BG13">
        <f>SUMIFS(movements!$H:$H,movements!$E:$E,$A13,movements!$D:$D,"OPENING",movements!$C:$C,"&lt;"&amp;BG$1+1)+SUMIFS(movements!$H:$H,movements!$E:$E,$A13,movements!$D:$D,"RECEIPT",movements!$C:$C,"&lt;"&amp;BG$1+1)-SUMIFS(movements!$H:$H,movements!$E:$E,$A13,movements!$D:$D,"ISSUE",movements!$C:$C,"&lt;"&amp;BG$1+1)</f>
        <v>143</v>
      </c>
      <c r="BH13">
        <f>SUMIFS(movements!$H:$H,movements!$E:$E,$A13,movements!$D:$D,"OPENING",movements!$C:$C,"&lt;"&amp;BH$1+1)+SUMIFS(movements!$H:$H,movements!$E:$E,$A13,movements!$D:$D,"RECEIPT",movements!$C:$C,"&lt;"&amp;BH$1+1)-SUMIFS(movements!$H:$H,movements!$E:$E,$A13,movements!$D:$D,"ISSUE",movements!$C:$C,"&lt;"&amp;BH$1+1)</f>
        <v>130</v>
      </c>
      <c r="BI13">
        <f>SUMIFS(movements!$H:$H,movements!$E:$E,$A13,movements!$D:$D,"OPENING",movements!$C:$C,"&lt;"&amp;BI$1+1)+SUMIFS(movements!$H:$H,movements!$E:$E,$A13,movements!$D:$D,"RECEIPT",movements!$C:$C,"&lt;"&amp;BI$1+1)-SUMIFS(movements!$H:$H,movements!$E:$E,$A13,movements!$D:$D,"ISSUE",movements!$C:$C,"&lt;"&amp;BI$1+1)</f>
        <v>128</v>
      </c>
      <c r="BJ13">
        <f>SUMIFS(movements!$H:$H,movements!$E:$E,$A13,movements!$D:$D,"OPENING",movements!$C:$C,"&lt;"&amp;BJ$1+1)+SUMIFS(movements!$H:$H,movements!$E:$E,$A13,movements!$D:$D,"RECEIPT",movements!$C:$C,"&lt;"&amp;BJ$1+1)-SUMIFS(movements!$H:$H,movements!$E:$E,$A13,movements!$D:$D,"ISSUE",movements!$C:$C,"&lt;"&amp;BJ$1+1)</f>
        <v>120</v>
      </c>
      <c r="BK13">
        <f>SUMIFS(movements!$H:$H,movements!$E:$E,$A13,movements!$D:$D,"OPENING",movements!$C:$C,"&lt;"&amp;BK$1+1)+SUMIFS(movements!$H:$H,movements!$E:$E,$A13,movements!$D:$D,"RECEIPT",movements!$C:$C,"&lt;"&amp;BK$1+1)-SUMIFS(movements!$H:$H,movements!$E:$E,$A13,movements!$D:$D,"ISSUE",movements!$C:$C,"&lt;"&amp;BK$1+1)</f>
        <v>112</v>
      </c>
      <c r="BL13">
        <f>SUMIFS(movements!$H:$H,movements!$E:$E,$A13,movements!$D:$D,"OPENING",movements!$C:$C,"&lt;"&amp;BL$1+1)+SUMIFS(movements!$H:$H,movements!$E:$E,$A13,movements!$D:$D,"RECEIPT",movements!$C:$C,"&lt;"&amp;BL$1+1)-SUMIFS(movements!$H:$H,movements!$E:$E,$A13,movements!$D:$D,"ISSUE",movements!$C:$C,"&lt;"&amp;BL$1+1)</f>
        <v>107</v>
      </c>
      <c r="BM13">
        <f>SUMIFS(movements!$H:$H,movements!$E:$E,$A13,movements!$D:$D,"OPENING",movements!$C:$C,"&lt;"&amp;BM$1+1)+SUMIFS(movements!$H:$H,movements!$E:$E,$A13,movements!$D:$D,"RECEIPT",movements!$C:$C,"&lt;"&amp;BM$1+1)-SUMIFS(movements!$H:$H,movements!$E:$E,$A13,movements!$D:$D,"ISSUE",movements!$C:$C,"&lt;"&amp;BM$1+1)</f>
        <v>189</v>
      </c>
      <c r="BN13">
        <f>SUMIFS(movements!$H:$H,movements!$E:$E,$A13,movements!$D:$D,"OPENING",movements!$C:$C,"&lt;"&amp;BN$1+1)+SUMIFS(movements!$H:$H,movements!$E:$E,$A13,movements!$D:$D,"RECEIPT",movements!$C:$C,"&lt;"&amp;BN$1+1)-SUMIFS(movements!$H:$H,movements!$E:$E,$A13,movements!$D:$D,"ISSUE",movements!$C:$C,"&lt;"&amp;BN$1+1)</f>
        <v>183</v>
      </c>
      <c r="BO13">
        <f>SUMIFS(movements!$H:$H,movements!$E:$E,$A13,movements!$D:$D,"OPENING",movements!$C:$C,"&lt;"&amp;BO$1+1)+SUMIFS(movements!$H:$H,movements!$E:$E,$A13,movements!$D:$D,"RECEIPT",movements!$C:$C,"&lt;"&amp;BO$1+1)-SUMIFS(movements!$H:$H,movements!$E:$E,$A13,movements!$D:$D,"ISSUE",movements!$C:$C,"&lt;"&amp;BO$1+1)</f>
        <v>182</v>
      </c>
      <c r="BP13">
        <f>SUMIFS(movements!$H:$H,movements!$E:$E,$A13,movements!$D:$D,"OPENING",movements!$C:$C,"&lt;"&amp;BP$1+1)+SUMIFS(movements!$H:$H,movements!$E:$E,$A13,movements!$D:$D,"RECEIPT",movements!$C:$C,"&lt;"&amp;BP$1+1)-SUMIFS(movements!$H:$H,movements!$E:$E,$A13,movements!$D:$D,"ISSUE",movements!$C:$C,"&lt;"&amp;BP$1+1)</f>
        <v>175</v>
      </c>
      <c r="BQ13">
        <f>SUMIFS(movements!$H:$H,movements!$E:$E,$A13,movements!$D:$D,"OPENING",movements!$C:$C,"&lt;"&amp;BQ$1+1)+SUMIFS(movements!$H:$H,movements!$E:$E,$A13,movements!$D:$D,"RECEIPT",movements!$C:$C,"&lt;"&amp;BQ$1+1)-SUMIFS(movements!$H:$H,movements!$E:$E,$A13,movements!$D:$D,"ISSUE",movements!$C:$C,"&lt;"&amp;BQ$1+1)</f>
        <v>169</v>
      </c>
      <c r="BR13">
        <f>SUMIFS(movements!$H:$H,movements!$E:$E,$A13,movements!$D:$D,"OPENING",movements!$C:$C,"&lt;"&amp;BR$1+1)+SUMIFS(movements!$H:$H,movements!$E:$E,$A13,movements!$D:$D,"RECEIPT",movements!$C:$C,"&lt;"&amp;BR$1+1)-SUMIFS(movements!$H:$H,movements!$E:$E,$A13,movements!$D:$D,"ISSUE",movements!$C:$C,"&lt;"&amp;BR$1+1)</f>
        <v>165</v>
      </c>
      <c r="BS13">
        <f>SUMIFS(movements!$H:$H,movements!$E:$E,$A13,movements!$D:$D,"OPENING",movements!$C:$C,"&lt;"&amp;BS$1+1)+SUMIFS(movements!$H:$H,movements!$E:$E,$A13,movements!$D:$D,"RECEIPT",movements!$C:$C,"&lt;"&amp;BS$1+1)-SUMIFS(movements!$H:$H,movements!$E:$E,$A13,movements!$D:$D,"ISSUE",movements!$C:$C,"&lt;"&amp;BS$1+1)</f>
        <v>156</v>
      </c>
      <c r="BT13">
        <f>SUMIFS(movements!$H:$H,movements!$E:$E,$A13,movements!$D:$D,"OPENING",movements!$C:$C,"&lt;"&amp;BT$1+1)+SUMIFS(movements!$H:$H,movements!$E:$E,$A13,movements!$D:$D,"RECEIPT",movements!$C:$C,"&lt;"&amp;BT$1+1)-SUMIFS(movements!$H:$H,movements!$E:$E,$A13,movements!$D:$D,"ISSUE",movements!$C:$C,"&lt;"&amp;BT$1+1)</f>
        <v>156</v>
      </c>
      <c r="BU13">
        <f>SUMIFS(movements!$H:$H,movements!$E:$E,$A13,movements!$D:$D,"OPENING",movements!$C:$C,"&lt;"&amp;BU$1+1)+SUMIFS(movements!$H:$H,movements!$E:$E,$A13,movements!$D:$D,"RECEIPT",movements!$C:$C,"&lt;"&amp;BU$1+1)-SUMIFS(movements!$H:$H,movements!$E:$E,$A13,movements!$D:$D,"ISSUE",movements!$C:$C,"&lt;"&amp;BU$1+1)</f>
        <v>155</v>
      </c>
      <c r="BV13">
        <f>SUMIFS(movements!$H:$H,movements!$E:$E,$A13,movements!$D:$D,"OPENING",movements!$C:$C,"&lt;"&amp;BV$1+1)+SUMIFS(movements!$H:$H,movements!$E:$E,$A13,movements!$D:$D,"RECEIPT",movements!$C:$C,"&lt;"&amp;BV$1+1)-SUMIFS(movements!$H:$H,movements!$E:$E,$A13,movements!$D:$D,"ISSUE",movements!$C:$C,"&lt;"&amp;BV$1+1)</f>
        <v>149</v>
      </c>
      <c r="BW13">
        <f>SUMIFS(movements!$H:$H,movements!$E:$E,$A13,movements!$D:$D,"OPENING",movements!$C:$C,"&lt;"&amp;BW$1+1)+SUMIFS(movements!$H:$H,movements!$E:$E,$A13,movements!$D:$D,"RECEIPT",movements!$C:$C,"&lt;"&amp;BW$1+1)-SUMIFS(movements!$H:$H,movements!$E:$E,$A13,movements!$D:$D,"ISSUE",movements!$C:$C,"&lt;"&amp;BW$1+1)</f>
        <v>149</v>
      </c>
      <c r="BX13">
        <f>SUMIFS(movements!$H:$H,movements!$E:$E,$A13,movements!$D:$D,"OPENING",movements!$C:$C,"&lt;"&amp;BX$1+1)+SUMIFS(movements!$H:$H,movements!$E:$E,$A13,movements!$D:$D,"RECEIPT",movements!$C:$C,"&lt;"&amp;BX$1+1)-SUMIFS(movements!$H:$H,movements!$E:$E,$A13,movements!$D:$D,"ISSUE",movements!$C:$C,"&lt;"&amp;BX$1+1)</f>
        <v>146</v>
      </c>
      <c r="BY13">
        <f>SUMIFS(movements!$H:$H,movements!$E:$E,$A13,movements!$D:$D,"OPENING",movements!$C:$C,"&lt;"&amp;BY$1+1)+SUMIFS(movements!$H:$H,movements!$E:$E,$A13,movements!$D:$D,"RECEIPT",movements!$C:$C,"&lt;"&amp;BY$1+1)-SUMIFS(movements!$H:$H,movements!$E:$E,$A13,movements!$D:$D,"ISSUE",movements!$C:$C,"&lt;"&amp;BY$1+1)</f>
        <v>138</v>
      </c>
      <c r="BZ13">
        <f>SUMIFS(movements!$H:$H,movements!$E:$E,$A13,movements!$D:$D,"OPENING",movements!$C:$C,"&lt;"&amp;BZ$1+1)+SUMIFS(movements!$H:$H,movements!$E:$E,$A13,movements!$D:$D,"RECEIPT",movements!$C:$C,"&lt;"&amp;BZ$1+1)-SUMIFS(movements!$H:$H,movements!$E:$E,$A13,movements!$D:$D,"ISSUE",movements!$C:$C,"&lt;"&amp;BZ$1+1)</f>
        <v>136</v>
      </c>
      <c r="CA13">
        <f>SUMIFS(movements!$H:$H,movements!$E:$E,$A13,movements!$D:$D,"OPENING",movements!$C:$C,"&lt;"&amp;CA$1+1)+SUMIFS(movements!$H:$H,movements!$E:$E,$A13,movements!$D:$D,"RECEIPT",movements!$C:$C,"&lt;"&amp;CA$1+1)-SUMIFS(movements!$H:$H,movements!$E:$E,$A13,movements!$D:$D,"ISSUE",movements!$C:$C,"&lt;"&amp;CA$1+1)</f>
        <v>130</v>
      </c>
      <c r="CB13">
        <f>SUMIFS(movements!$H:$H,movements!$E:$E,$A13,movements!$D:$D,"OPENING",movements!$C:$C,"&lt;"&amp;CB$1+1)+SUMIFS(movements!$H:$H,movements!$E:$E,$A13,movements!$D:$D,"RECEIPT",movements!$C:$C,"&lt;"&amp;CB$1+1)-SUMIFS(movements!$H:$H,movements!$E:$E,$A13,movements!$D:$D,"ISSUE",movements!$C:$C,"&lt;"&amp;CB$1+1)</f>
        <v>126</v>
      </c>
      <c r="CC13">
        <f>SUMIFS(movements!$H:$H,movements!$E:$E,$A13,movements!$D:$D,"OPENING",movements!$C:$C,"&lt;"&amp;CC$1+1)+SUMIFS(movements!$H:$H,movements!$E:$E,$A13,movements!$D:$D,"RECEIPT",movements!$C:$C,"&lt;"&amp;CC$1+1)-SUMIFS(movements!$H:$H,movements!$E:$E,$A13,movements!$D:$D,"ISSUE",movements!$C:$C,"&lt;"&amp;CC$1+1)</f>
        <v>125</v>
      </c>
      <c r="CD13">
        <f>SUMIFS(movements!$H:$H,movements!$E:$E,$A13,movements!$D:$D,"OPENING",movements!$C:$C,"&lt;"&amp;CD$1+1)+SUMIFS(movements!$H:$H,movements!$E:$E,$A13,movements!$D:$D,"RECEIPT",movements!$C:$C,"&lt;"&amp;CD$1+1)-SUMIFS(movements!$H:$H,movements!$E:$E,$A13,movements!$D:$D,"ISSUE",movements!$C:$C,"&lt;"&amp;CD$1+1)</f>
        <v>121</v>
      </c>
      <c r="CE13">
        <f>SUMIFS(movements!$H:$H,movements!$E:$E,$A13,movements!$D:$D,"OPENING",movements!$C:$C,"&lt;"&amp;CE$1+1)+SUMIFS(movements!$H:$H,movements!$E:$E,$A13,movements!$D:$D,"RECEIPT",movements!$C:$C,"&lt;"&amp;CE$1+1)-SUMIFS(movements!$H:$H,movements!$E:$E,$A13,movements!$D:$D,"ISSUE",movements!$C:$C,"&lt;"&amp;CE$1+1)</f>
        <v>116</v>
      </c>
      <c r="CF13">
        <f>SUMIFS(movements!$H:$H,movements!$E:$E,$A13,movements!$D:$D,"OPENING",movements!$C:$C,"&lt;"&amp;CF$1+1)+SUMIFS(movements!$H:$H,movements!$E:$E,$A13,movements!$D:$D,"RECEIPT",movements!$C:$C,"&lt;"&amp;CF$1+1)-SUMIFS(movements!$H:$H,movements!$E:$E,$A13,movements!$D:$D,"ISSUE",movements!$C:$C,"&lt;"&amp;CF$1+1)</f>
        <v>106</v>
      </c>
      <c r="CG13">
        <f>SUMIFS(movements!$H:$H,movements!$E:$E,$A13,movements!$D:$D,"OPENING",movements!$C:$C,"&lt;"&amp;CG$1+1)+SUMIFS(movements!$H:$H,movements!$E:$E,$A13,movements!$D:$D,"RECEIPT",movements!$C:$C,"&lt;"&amp;CG$1+1)-SUMIFS(movements!$H:$H,movements!$E:$E,$A13,movements!$D:$D,"ISSUE",movements!$C:$C,"&lt;"&amp;CG$1+1)</f>
        <v>106</v>
      </c>
      <c r="CH13">
        <f>SUMIFS(movements!$H:$H,movements!$E:$E,$A13,movements!$D:$D,"OPENING",movements!$C:$C,"&lt;"&amp;CH$1+1)+SUMIFS(movements!$H:$H,movements!$E:$E,$A13,movements!$D:$D,"RECEIPT",movements!$C:$C,"&lt;"&amp;CH$1+1)-SUMIFS(movements!$H:$H,movements!$E:$E,$A13,movements!$D:$D,"ISSUE",movements!$C:$C,"&lt;"&amp;CH$1+1)</f>
        <v>191</v>
      </c>
      <c r="CI13">
        <f>SUMIFS(movements!$H:$H,movements!$E:$E,$A13,movements!$D:$D,"OPENING",movements!$C:$C,"&lt;"&amp;CI$1+1)+SUMIFS(movements!$H:$H,movements!$E:$E,$A13,movements!$D:$D,"RECEIPT",movements!$C:$C,"&lt;"&amp;CI$1+1)-SUMIFS(movements!$H:$H,movements!$E:$E,$A13,movements!$D:$D,"ISSUE",movements!$C:$C,"&lt;"&amp;CI$1+1)</f>
        <v>179</v>
      </c>
      <c r="CJ13">
        <f>SUMIFS(movements!$H:$H,movements!$E:$E,$A13,movements!$D:$D,"OPENING",movements!$C:$C,"&lt;"&amp;CJ$1+1)+SUMIFS(movements!$H:$H,movements!$E:$E,$A13,movements!$D:$D,"RECEIPT",movements!$C:$C,"&lt;"&amp;CJ$1+1)-SUMIFS(movements!$H:$H,movements!$E:$E,$A13,movements!$D:$D,"ISSUE",movements!$C:$C,"&lt;"&amp;CJ$1+1)</f>
        <v>179</v>
      </c>
      <c r="CK13">
        <f>SUMIFS(movements!$H:$H,movements!$E:$E,$A13,movements!$D:$D,"OPENING",movements!$C:$C,"&lt;"&amp;CK$1+1)+SUMIFS(movements!$H:$H,movements!$E:$E,$A13,movements!$D:$D,"RECEIPT",movements!$C:$C,"&lt;"&amp;CK$1+1)-SUMIFS(movements!$H:$H,movements!$E:$E,$A13,movements!$D:$D,"ISSUE",movements!$C:$C,"&lt;"&amp;CK$1+1)</f>
        <v>171</v>
      </c>
      <c r="CL13">
        <f>SUMIFS(movements!$H:$H,movements!$E:$E,$A13,movements!$D:$D,"OPENING",movements!$C:$C,"&lt;"&amp;CL$1+1)+SUMIFS(movements!$H:$H,movements!$E:$E,$A13,movements!$D:$D,"RECEIPT",movements!$C:$C,"&lt;"&amp;CL$1+1)-SUMIFS(movements!$H:$H,movements!$E:$E,$A13,movements!$D:$D,"ISSUE",movements!$C:$C,"&lt;"&amp;CL$1+1)</f>
        <v>166</v>
      </c>
      <c r="CM13">
        <f>SUMIFS(movements!$H:$H,movements!$E:$E,$A13,movements!$D:$D,"OPENING",movements!$C:$C,"&lt;"&amp;CM$1+1)+SUMIFS(movements!$H:$H,movements!$E:$E,$A13,movements!$D:$D,"RECEIPT",movements!$C:$C,"&lt;"&amp;CM$1+1)-SUMIFS(movements!$H:$H,movements!$E:$E,$A13,movements!$D:$D,"ISSUE",movements!$C:$C,"&lt;"&amp;CM$1+1)</f>
        <v>163</v>
      </c>
      <c r="CN13">
        <f t="shared" si="2"/>
        <v>128.62222222222223</v>
      </c>
      <c r="CO13">
        <f>SUMIFS(movements!$H:$H,movements!$E:$E,$A13,movements!$D:$D,"ISSUE",movements!$C:$C,"&gt;="&amp;$B$1,movements!$C:$C,"&lt;"&amp;($CM$1+1))</f>
        <v>369</v>
      </c>
      <c r="CP13">
        <f t="shared" si="3"/>
        <v>2.868866620594333</v>
      </c>
      <c r="CQ13">
        <f t="shared" si="4"/>
        <v>31.371273712737128</v>
      </c>
    </row>
    <row r="14" spans="1:95" x14ac:dyDescent="0.25">
      <c r="A14" t="s">
        <v>43</v>
      </c>
      <c r="B14">
        <f>SUMIFS(movements!$H:$H,movements!$E:$E,$A14,movements!$D:$D,"OPENING",movements!$C:$C,"&lt;"&amp;B$1+1)+SUMIFS(movements!$H:$H,movements!$E:$E,$A14,movements!$D:$D,"RECEIPT",movements!$C:$C,"&lt;"&amp;B$1+1)-SUMIFS(movements!$H:$H,movements!$E:$E,$A14,movements!$D:$D,"ISSUE",movements!$C:$C,"&lt;"&amp;B$1+1)</f>
        <v>80</v>
      </c>
      <c r="C14">
        <f>SUMIFS(movements!$H:$H,movements!$E:$E,$A14,movements!$D:$D,"OPENING",movements!$C:$C,"&lt;"&amp;C$1+1)+SUMIFS(movements!$H:$H,movements!$E:$E,$A14,movements!$D:$D,"RECEIPT",movements!$C:$C,"&lt;"&amp;C$1+1)-SUMIFS(movements!$H:$H,movements!$E:$E,$A14,movements!$D:$D,"ISSUE",movements!$C:$C,"&lt;"&amp;C$1+1)</f>
        <v>76</v>
      </c>
      <c r="D14">
        <f>SUMIFS(movements!$H:$H,movements!$E:$E,$A14,movements!$D:$D,"OPENING",movements!$C:$C,"&lt;"&amp;D$1+1)+SUMIFS(movements!$H:$H,movements!$E:$E,$A14,movements!$D:$D,"RECEIPT",movements!$C:$C,"&lt;"&amp;D$1+1)-SUMIFS(movements!$H:$H,movements!$E:$E,$A14,movements!$D:$D,"ISSUE",movements!$C:$C,"&lt;"&amp;D$1+1)</f>
        <v>74</v>
      </c>
      <c r="E14">
        <f>SUMIFS(movements!$H:$H,movements!$E:$E,$A14,movements!$D:$D,"OPENING",movements!$C:$C,"&lt;"&amp;E$1+1)+SUMIFS(movements!$H:$H,movements!$E:$E,$A14,movements!$D:$D,"RECEIPT",movements!$C:$C,"&lt;"&amp;E$1+1)-SUMIFS(movements!$H:$H,movements!$E:$E,$A14,movements!$D:$D,"ISSUE",movements!$C:$C,"&lt;"&amp;E$1+1)</f>
        <v>74</v>
      </c>
      <c r="F14">
        <f>SUMIFS(movements!$H:$H,movements!$E:$E,$A14,movements!$D:$D,"OPENING",movements!$C:$C,"&lt;"&amp;F$1+1)+SUMIFS(movements!$H:$H,movements!$E:$E,$A14,movements!$D:$D,"RECEIPT",movements!$C:$C,"&lt;"&amp;F$1+1)-SUMIFS(movements!$H:$H,movements!$E:$E,$A14,movements!$D:$D,"ISSUE",movements!$C:$C,"&lt;"&amp;F$1+1)</f>
        <v>72</v>
      </c>
      <c r="G14">
        <f>SUMIFS(movements!$H:$H,movements!$E:$E,$A14,movements!$D:$D,"OPENING",movements!$C:$C,"&lt;"&amp;G$1+1)+SUMIFS(movements!$H:$H,movements!$E:$E,$A14,movements!$D:$D,"RECEIPT",movements!$C:$C,"&lt;"&amp;G$1+1)-SUMIFS(movements!$H:$H,movements!$E:$E,$A14,movements!$D:$D,"ISSUE",movements!$C:$C,"&lt;"&amp;G$1+1)</f>
        <v>70</v>
      </c>
      <c r="H14">
        <f>SUMIFS(movements!$H:$H,movements!$E:$E,$A14,movements!$D:$D,"OPENING",movements!$C:$C,"&lt;"&amp;H$1+1)+SUMIFS(movements!$H:$H,movements!$E:$E,$A14,movements!$D:$D,"RECEIPT",movements!$C:$C,"&lt;"&amp;H$1+1)-SUMIFS(movements!$H:$H,movements!$E:$E,$A14,movements!$D:$D,"ISSUE",movements!$C:$C,"&lt;"&amp;H$1+1)</f>
        <v>66</v>
      </c>
      <c r="I14">
        <f>SUMIFS(movements!$H:$H,movements!$E:$E,$A14,movements!$D:$D,"OPENING",movements!$C:$C,"&lt;"&amp;I$1+1)+SUMIFS(movements!$H:$H,movements!$E:$E,$A14,movements!$D:$D,"RECEIPT",movements!$C:$C,"&lt;"&amp;I$1+1)-SUMIFS(movements!$H:$H,movements!$E:$E,$A14,movements!$D:$D,"ISSUE",movements!$C:$C,"&lt;"&amp;I$1+1)</f>
        <v>134</v>
      </c>
      <c r="J14">
        <f>SUMIFS(movements!$H:$H,movements!$E:$E,$A14,movements!$D:$D,"OPENING",movements!$C:$C,"&lt;"&amp;J$1+1)+SUMIFS(movements!$H:$H,movements!$E:$E,$A14,movements!$D:$D,"RECEIPT",movements!$C:$C,"&lt;"&amp;J$1+1)-SUMIFS(movements!$H:$H,movements!$E:$E,$A14,movements!$D:$D,"ISSUE",movements!$C:$C,"&lt;"&amp;J$1+1)</f>
        <v>130</v>
      </c>
      <c r="K14">
        <f>SUMIFS(movements!$H:$H,movements!$E:$E,$A14,movements!$D:$D,"OPENING",movements!$C:$C,"&lt;"&amp;K$1+1)+SUMIFS(movements!$H:$H,movements!$E:$E,$A14,movements!$D:$D,"RECEIPT",movements!$C:$C,"&lt;"&amp;K$1+1)-SUMIFS(movements!$H:$H,movements!$E:$E,$A14,movements!$D:$D,"ISSUE",movements!$C:$C,"&lt;"&amp;K$1+1)</f>
        <v>126</v>
      </c>
      <c r="L14">
        <f>SUMIFS(movements!$H:$H,movements!$E:$E,$A14,movements!$D:$D,"OPENING",movements!$C:$C,"&lt;"&amp;L$1+1)+SUMIFS(movements!$H:$H,movements!$E:$E,$A14,movements!$D:$D,"RECEIPT",movements!$C:$C,"&lt;"&amp;L$1+1)-SUMIFS(movements!$H:$H,movements!$E:$E,$A14,movements!$D:$D,"ISSUE",movements!$C:$C,"&lt;"&amp;L$1+1)</f>
        <v>126</v>
      </c>
      <c r="M14">
        <f>SUMIFS(movements!$H:$H,movements!$E:$E,$A14,movements!$D:$D,"OPENING",movements!$C:$C,"&lt;"&amp;M$1+1)+SUMIFS(movements!$H:$H,movements!$E:$E,$A14,movements!$D:$D,"RECEIPT",movements!$C:$C,"&lt;"&amp;M$1+1)-SUMIFS(movements!$H:$H,movements!$E:$E,$A14,movements!$D:$D,"ISSUE",movements!$C:$C,"&lt;"&amp;M$1+1)</f>
        <v>126</v>
      </c>
      <c r="N14">
        <f>SUMIFS(movements!$H:$H,movements!$E:$E,$A14,movements!$D:$D,"OPENING",movements!$C:$C,"&lt;"&amp;N$1+1)+SUMIFS(movements!$H:$H,movements!$E:$E,$A14,movements!$D:$D,"RECEIPT",movements!$C:$C,"&lt;"&amp;N$1+1)-SUMIFS(movements!$H:$H,movements!$E:$E,$A14,movements!$D:$D,"ISSUE",movements!$C:$C,"&lt;"&amp;N$1+1)</f>
        <v>119</v>
      </c>
      <c r="O14">
        <f>SUMIFS(movements!$H:$H,movements!$E:$E,$A14,movements!$D:$D,"OPENING",movements!$C:$C,"&lt;"&amp;O$1+1)+SUMIFS(movements!$H:$H,movements!$E:$E,$A14,movements!$D:$D,"RECEIPT",movements!$C:$C,"&lt;"&amp;O$1+1)-SUMIFS(movements!$H:$H,movements!$E:$E,$A14,movements!$D:$D,"ISSUE",movements!$C:$C,"&lt;"&amp;O$1+1)</f>
        <v>119</v>
      </c>
      <c r="P14">
        <f>SUMIFS(movements!$H:$H,movements!$E:$E,$A14,movements!$D:$D,"OPENING",movements!$C:$C,"&lt;"&amp;P$1+1)+SUMIFS(movements!$H:$H,movements!$E:$E,$A14,movements!$D:$D,"RECEIPT",movements!$C:$C,"&lt;"&amp;P$1+1)-SUMIFS(movements!$H:$H,movements!$E:$E,$A14,movements!$D:$D,"ISSUE",movements!$C:$C,"&lt;"&amp;P$1+1)</f>
        <v>119</v>
      </c>
      <c r="Q14">
        <f>SUMIFS(movements!$H:$H,movements!$E:$E,$A14,movements!$D:$D,"OPENING",movements!$C:$C,"&lt;"&amp;Q$1+1)+SUMIFS(movements!$H:$H,movements!$E:$E,$A14,movements!$D:$D,"RECEIPT",movements!$C:$C,"&lt;"&amp;Q$1+1)-SUMIFS(movements!$H:$H,movements!$E:$E,$A14,movements!$D:$D,"ISSUE",movements!$C:$C,"&lt;"&amp;Q$1+1)</f>
        <v>116</v>
      </c>
      <c r="R14">
        <f>SUMIFS(movements!$H:$H,movements!$E:$E,$A14,movements!$D:$D,"OPENING",movements!$C:$C,"&lt;"&amp;R$1+1)+SUMIFS(movements!$H:$H,movements!$E:$E,$A14,movements!$D:$D,"RECEIPT",movements!$C:$C,"&lt;"&amp;R$1+1)-SUMIFS(movements!$H:$H,movements!$E:$E,$A14,movements!$D:$D,"ISSUE",movements!$C:$C,"&lt;"&amp;R$1+1)</f>
        <v>110</v>
      </c>
      <c r="S14">
        <f>SUMIFS(movements!$H:$H,movements!$E:$E,$A14,movements!$D:$D,"OPENING",movements!$C:$C,"&lt;"&amp;S$1+1)+SUMIFS(movements!$H:$H,movements!$E:$E,$A14,movements!$D:$D,"RECEIPT",movements!$C:$C,"&lt;"&amp;S$1+1)-SUMIFS(movements!$H:$H,movements!$E:$E,$A14,movements!$D:$D,"ISSUE",movements!$C:$C,"&lt;"&amp;S$1+1)</f>
        <v>104</v>
      </c>
      <c r="T14">
        <f>SUMIFS(movements!$H:$H,movements!$E:$E,$A14,movements!$D:$D,"OPENING",movements!$C:$C,"&lt;"&amp;T$1+1)+SUMIFS(movements!$H:$H,movements!$E:$E,$A14,movements!$D:$D,"RECEIPT",movements!$C:$C,"&lt;"&amp;T$1+1)-SUMIFS(movements!$H:$H,movements!$E:$E,$A14,movements!$D:$D,"ISSUE",movements!$C:$C,"&lt;"&amp;T$1+1)</f>
        <v>98</v>
      </c>
      <c r="U14">
        <f>SUMIFS(movements!$H:$H,movements!$E:$E,$A14,movements!$D:$D,"OPENING",movements!$C:$C,"&lt;"&amp;U$1+1)+SUMIFS(movements!$H:$H,movements!$E:$E,$A14,movements!$D:$D,"RECEIPT",movements!$C:$C,"&lt;"&amp;U$1+1)-SUMIFS(movements!$H:$H,movements!$E:$E,$A14,movements!$D:$D,"ISSUE",movements!$C:$C,"&lt;"&amp;U$1+1)</f>
        <v>95</v>
      </c>
      <c r="V14">
        <f>SUMIFS(movements!$H:$H,movements!$E:$E,$A14,movements!$D:$D,"OPENING",movements!$C:$C,"&lt;"&amp;V$1+1)+SUMIFS(movements!$H:$H,movements!$E:$E,$A14,movements!$D:$D,"RECEIPT",movements!$C:$C,"&lt;"&amp;V$1+1)-SUMIFS(movements!$H:$H,movements!$E:$E,$A14,movements!$D:$D,"ISSUE",movements!$C:$C,"&lt;"&amp;V$1+1)</f>
        <v>89</v>
      </c>
      <c r="W14">
        <f>SUMIFS(movements!$H:$H,movements!$E:$E,$A14,movements!$D:$D,"OPENING",movements!$C:$C,"&lt;"&amp;W$1+1)+SUMIFS(movements!$H:$H,movements!$E:$E,$A14,movements!$D:$D,"RECEIPT",movements!$C:$C,"&lt;"&amp;W$1+1)-SUMIFS(movements!$H:$H,movements!$E:$E,$A14,movements!$D:$D,"ISSUE",movements!$C:$C,"&lt;"&amp;W$1+1)</f>
        <v>150</v>
      </c>
      <c r="X14">
        <f>SUMIFS(movements!$H:$H,movements!$E:$E,$A14,movements!$D:$D,"OPENING",movements!$C:$C,"&lt;"&amp;X$1+1)+SUMIFS(movements!$H:$H,movements!$E:$E,$A14,movements!$D:$D,"RECEIPT",movements!$C:$C,"&lt;"&amp;X$1+1)-SUMIFS(movements!$H:$H,movements!$E:$E,$A14,movements!$D:$D,"ISSUE",movements!$C:$C,"&lt;"&amp;X$1+1)</f>
        <v>143</v>
      </c>
      <c r="Y14">
        <f>SUMIFS(movements!$H:$H,movements!$E:$E,$A14,movements!$D:$D,"OPENING",movements!$C:$C,"&lt;"&amp;Y$1+1)+SUMIFS(movements!$H:$H,movements!$E:$E,$A14,movements!$D:$D,"RECEIPT",movements!$C:$C,"&lt;"&amp;Y$1+1)-SUMIFS(movements!$H:$H,movements!$E:$E,$A14,movements!$D:$D,"ISSUE",movements!$C:$C,"&lt;"&amp;Y$1+1)</f>
        <v>136</v>
      </c>
      <c r="Z14">
        <f>SUMIFS(movements!$H:$H,movements!$E:$E,$A14,movements!$D:$D,"OPENING",movements!$C:$C,"&lt;"&amp;Z$1+1)+SUMIFS(movements!$H:$H,movements!$E:$E,$A14,movements!$D:$D,"RECEIPT",movements!$C:$C,"&lt;"&amp;Z$1+1)-SUMIFS(movements!$H:$H,movements!$E:$E,$A14,movements!$D:$D,"ISSUE",movements!$C:$C,"&lt;"&amp;Z$1+1)</f>
        <v>128</v>
      </c>
      <c r="AA14">
        <f>SUMIFS(movements!$H:$H,movements!$E:$E,$A14,movements!$D:$D,"OPENING",movements!$C:$C,"&lt;"&amp;AA$1+1)+SUMIFS(movements!$H:$H,movements!$E:$E,$A14,movements!$D:$D,"RECEIPT",movements!$C:$C,"&lt;"&amp;AA$1+1)-SUMIFS(movements!$H:$H,movements!$E:$E,$A14,movements!$D:$D,"ISSUE",movements!$C:$C,"&lt;"&amp;AA$1+1)</f>
        <v>127</v>
      </c>
      <c r="AB14">
        <f>SUMIFS(movements!$H:$H,movements!$E:$E,$A14,movements!$D:$D,"OPENING",movements!$C:$C,"&lt;"&amp;AB$1+1)+SUMIFS(movements!$H:$H,movements!$E:$E,$A14,movements!$D:$D,"RECEIPT",movements!$C:$C,"&lt;"&amp;AB$1+1)-SUMIFS(movements!$H:$H,movements!$E:$E,$A14,movements!$D:$D,"ISSUE",movements!$C:$C,"&lt;"&amp;AB$1+1)</f>
        <v>125</v>
      </c>
      <c r="AC14">
        <f>SUMIFS(movements!$H:$H,movements!$E:$E,$A14,movements!$D:$D,"OPENING",movements!$C:$C,"&lt;"&amp;AC$1+1)+SUMIFS(movements!$H:$H,movements!$E:$E,$A14,movements!$D:$D,"RECEIPT",movements!$C:$C,"&lt;"&amp;AC$1+1)-SUMIFS(movements!$H:$H,movements!$E:$E,$A14,movements!$D:$D,"ISSUE",movements!$C:$C,"&lt;"&amp;AC$1+1)</f>
        <v>120</v>
      </c>
      <c r="AD14">
        <f>SUMIFS(movements!$H:$H,movements!$E:$E,$A14,movements!$D:$D,"OPENING",movements!$C:$C,"&lt;"&amp;AD$1+1)+SUMIFS(movements!$H:$H,movements!$E:$E,$A14,movements!$D:$D,"RECEIPT",movements!$C:$C,"&lt;"&amp;AD$1+1)-SUMIFS(movements!$H:$H,movements!$E:$E,$A14,movements!$D:$D,"ISSUE",movements!$C:$C,"&lt;"&amp;AD$1+1)</f>
        <v>114</v>
      </c>
      <c r="AE14">
        <f>SUMIFS(movements!$H:$H,movements!$E:$E,$A14,movements!$D:$D,"OPENING",movements!$C:$C,"&lt;"&amp;AE$1+1)+SUMIFS(movements!$H:$H,movements!$E:$E,$A14,movements!$D:$D,"RECEIPT",movements!$C:$C,"&lt;"&amp;AE$1+1)-SUMIFS(movements!$H:$H,movements!$E:$E,$A14,movements!$D:$D,"ISSUE",movements!$C:$C,"&lt;"&amp;AE$1+1)</f>
        <v>109</v>
      </c>
      <c r="AF14">
        <f>SUMIFS(movements!$H:$H,movements!$E:$E,$A14,movements!$D:$D,"OPENING",movements!$C:$C,"&lt;"&amp;AF$1+1)+SUMIFS(movements!$H:$H,movements!$E:$E,$A14,movements!$D:$D,"RECEIPT",movements!$C:$C,"&lt;"&amp;AF$1+1)-SUMIFS(movements!$H:$H,movements!$E:$E,$A14,movements!$D:$D,"ISSUE",movements!$C:$C,"&lt;"&amp;AF$1+1)</f>
        <v>103</v>
      </c>
      <c r="AG14">
        <f>SUMIFS(movements!$H:$H,movements!$E:$E,$A14,movements!$D:$D,"OPENING",movements!$C:$C,"&lt;"&amp;AG$1+1)+SUMIFS(movements!$H:$H,movements!$E:$E,$A14,movements!$D:$D,"RECEIPT",movements!$C:$C,"&lt;"&amp;AG$1+1)-SUMIFS(movements!$H:$H,movements!$E:$E,$A14,movements!$D:$D,"ISSUE",movements!$C:$C,"&lt;"&amp;AG$1+1)</f>
        <v>98</v>
      </c>
      <c r="AH14">
        <f>SUMIFS(movements!$H:$H,movements!$E:$E,$A14,movements!$D:$D,"OPENING",movements!$C:$C,"&lt;"&amp;AH$1+1)+SUMIFS(movements!$H:$H,movements!$E:$E,$A14,movements!$D:$D,"RECEIPT",movements!$C:$C,"&lt;"&amp;AH$1+1)-SUMIFS(movements!$H:$H,movements!$E:$E,$A14,movements!$D:$D,"ISSUE",movements!$C:$C,"&lt;"&amp;AH$1+1)</f>
        <v>93</v>
      </c>
      <c r="AI14">
        <f>SUMIFS(movements!$H:$H,movements!$E:$E,$A14,movements!$D:$D,"OPENING",movements!$C:$C,"&lt;"&amp;AI$1+1)+SUMIFS(movements!$H:$H,movements!$E:$E,$A14,movements!$D:$D,"RECEIPT",movements!$C:$C,"&lt;"&amp;AI$1+1)-SUMIFS(movements!$H:$H,movements!$E:$E,$A14,movements!$D:$D,"ISSUE",movements!$C:$C,"&lt;"&amp;AI$1+1)</f>
        <v>87</v>
      </c>
      <c r="AJ14">
        <f>SUMIFS(movements!$H:$H,movements!$E:$E,$A14,movements!$D:$D,"OPENING",movements!$C:$C,"&lt;"&amp;AJ$1+1)+SUMIFS(movements!$H:$H,movements!$E:$E,$A14,movements!$D:$D,"RECEIPT",movements!$C:$C,"&lt;"&amp;AJ$1+1)-SUMIFS(movements!$H:$H,movements!$E:$E,$A14,movements!$D:$D,"ISSUE",movements!$C:$C,"&lt;"&amp;AJ$1+1)</f>
        <v>83</v>
      </c>
      <c r="AK14">
        <f>SUMIFS(movements!$H:$H,movements!$E:$E,$A14,movements!$D:$D,"OPENING",movements!$C:$C,"&lt;"&amp;AK$1+1)+SUMIFS(movements!$H:$H,movements!$E:$E,$A14,movements!$D:$D,"RECEIPT",movements!$C:$C,"&lt;"&amp;AK$1+1)-SUMIFS(movements!$H:$H,movements!$E:$E,$A14,movements!$D:$D,"ISSUE",movements!$C:$C,"&lt;"&amp;AK$1+1)</f>
        <v>153</v>
      </c>
      <c r="AL14">
        <f>SUMIFS(movements!$H:$H,movements!$E:$E,$A14,movements!$D:$D,"OPENING",movements!$C:$C,"&lt;"&amp;AL$1+1)+SUMIFS(movements!$H:$H,movements!$E:$E,$A14,movements!$D:$D,"RECEIPT",movements!$C:$C,"&lt;"&amp;AL$1+1)-SUMIFS(movements!$H:$H,movements!$E:$E,$A14,movements!$D:$D,"ISSUE",movements!$C:$C,"&lt;"&amp;AL$1+1)</f>
        <v>149</v>
      </c>
      <c r="AM14">
        <f>SUMIFS(movements!$H:$H,movements!$E:$E,$A14,movements!$D:$D,"OPENING",movements!$C:$C,"&lt;"&amp;AM$1+1)+SUMIFS(movements!$H:$H,movements!$E:$E,$A14,movements!$D:$D,"RECEIPT",movements!$C:$C,"&lt;"&amp;AM$1+1)-SUMIFS(movements!$H:$H,movements!$E:$E,$A14,movements!$D:$D,"ISSUE",movements!$C:$C,"&lt;"&amp;AM$1+1)</f>
        <v>142</v>
      </c>
      <c r="AN14">
        <f>SUMIFS(movements!$H:$H,movements!$E:$E,$A14,movements!$D:$D,"OPENING",movements!$C:$C,"&lt;"&amp;AN$1+1)+SUMIFS(movements!$H:$H,movements!$E:$E,$A14,movements!$D:$D,"RECEIPT",movements!$C:$C,"&lt;"&amp;AN$1+1)-SUMIFS(movements!$H:$H,movements!$E:$E,$A14,movements!$D:$D,"ISSUE",movements!$C:$C,"&lt;"&amp;AN$1+1)</f>
        <v>139</v>
      </c>
      <c r="AO14">
        <f>SUMIFS(movements!$H:$H,movements!$E:$E,$A14,movements!$D:$D,"OPENING",movements!$C:$C,"&lt;"&amp;AO$1+1)+SUMIFS(movements!$H:$H,movements!$E:$E,$A14,movements!$D:$D,"RECEIPT",movements!$C:$C,"&lt;"&amp;AO$1+1)-SUMIFS(movements!$H:$H,movements!$E:$E,$A14,movements!$D:$D,"ISSUE",movements!$C:$C,"&lt;"&amp;AO$1+1)</f>
        <v>134</v>
      </c>
      <c r="AP14">
        <f>SUMIFS(movements!$H:$H,movements!$E:$E,$A14,movements!$D:$D,"OPENING",movements!$C:$C,"&lt;"&amp;AP$1+1)+SUMIFS(movements!$H:$H,movements!$E:$E,$A14,movements!$D:$D,"RECEIPT",movements!$C:$C,"&lt;"&amp;AP$1+1)-SUMIFS(movements!$H:$H,movements!$E:$E,$A14,movements!$D:$D,"ISSUE",movements!$C:$C,"&lt;"&amp;AP$1+1)</f>
        <v>127</v>
      </c>
      <c r="AQ14">
        <f>SUMIFS(movements!$H:$H,movements!$E:$E,$A14,movements!$D:$D,"OPENING",movements!$C:$C,"&lt;"&amp;AQ$1+1)+SUMIFS(movements!$H:$H,movements!$E:$E,$A14,movements!$D:$D,"RECEIPT",movements!$C:$C,"&lt;"&amp;AQ$1+1)-SUMIFS(movements!$H:$H,movements!$E:$E,$A14,movements!$D:$D,"ISSUE",movements!$C:$C,"&lt;"&amp;AQ$1+1)</f>
        <v>122</v>
      </c>
      <c r="AR14">
        <f>SUMIFS(movements!$H:$H,movements!$E:$E,$A14,movements!$D:$D,"OPENING",movements!$C:$C,"&lt;"&amp;AR$1+1)+SUMIFS(movements!$H:$H,movements!$E:$E,$A14,movements!$D:$D,"RECEIPT",movements!$C:$C,"&lt;"&amp;AR$1+1)-SUMIFS(movements!$H:$H,movements!$E:$E,$A14,movements!$D:$D,"ISSUE",movements!$C:$C,"&lt;"&amp;AR$1+1)</f>
        <v>118</v>
      </c>
      <c r="AS14">
        <f>SUMIFS(movements!$H:$H,movements!$E:$E,$A14,movements!$D:$D,"OPENING",movements!$C:$C,"&lt;"&amp;AS$1+1)+SUMIFS(movements!$H:$H,movements!$E:$E,$A14,movements!$D:$D,"RECEIPT",movements!$C:$C,"&lt;"&amp;AS$1+1)-SUMIFS(movements!$H:$H,movements!$E:$E,$A14,movements!$D:$D,"ISSUE",movements!$C:$C,"&lt;"&amp;AS$1+1)</f>
        <v>118</v>
      </c>
      <c r="AT14">
        <f>SUMIFS(movements!$H:$H,movements!$E:$E,$A14,movements!$D:$D,"OPENING",movements!$C:$C,"&lt;"&amp;AT$1+1)+SUMIFS(movements!$H:$H,movements!$E:$E,$A14,movements!$D:$D,"RECEIPT",movements!$C:$C,"&lt;"&amp;AT$1+1)-SUMIFS(movements!$H:$H,movements!$E:$E,$A14,movements!$D:$D,"ISSUE",movements!$C:$C,"&lt;"&amp;AT$1+1)</f>
        <v>113</v>
      </c>
      <c r="AU14">
        <f>SUMIFS(movements!$H:$H,movements!$E:$E,$A14,movements!$D:$D,"OPENING",movements!$C:$C,"&lt;"&amp;AU$1+1)+SUMIFS(movements!$H:$H,movements!$E:$E,$A14,movements!$D:$D,"RECEIPT",movements!$C:$C,"&lt;"&amp;AU$1+1)-SUMIFS(movements!$H:$H,movements!$E:$E,$A14,movements!$D:$D,"ISSUE",movements!$C:$C,"&lt;"&amp;AU$1+1)</f>
        <v>113</v>
      </c>
      <c r="AV14">
        <f>SUMIFS(movements!$H:$H,movements!$E:$E,$A14,movements!$D:$D,"OPENING",movements!$C:$C,"&lt;"&amp;AV$1+1)+SUMIFS(movements!$H:$H,movements!$E:$E,$A14,movements!$D:$D,"RECEIPT",movements!$C:$C,"&lt;"&amp;AV$1+1)-SUMIFS(movements!$H:$H,movements!$E:$E,$A14,movements!$D:$D,"ISSUE",movements!$C:$C,"&lt;"&amp;AV$1+1)</f>
        <v>113</v>
      </c>
      <c r="AW14">
        <f>SUMIFS(movements!$H:$H,movements!$E:$E,$A14,movements!$D:$D,"OPENING",movements!$C:$C,"&lt;"&amp;AW$1+1)+SUMIFS(movements!$H:$H,movements!$E:$E,$A14,movements!$D:$D,"RECEIPT",movements!$C:$C,"&lt;"&amp;AW$1+1)-SUMIFS(movements!$H:$H,movements!$E:$E,$A14,movements!$D:$D,"ISSUE",movements!$C:$C,"&lt;"&amp;AW$1+1)</f>
        <v>107</v>
      </c>
      <c r="AX14">
        <f>SUMIFS(movements!$H:$H,movements!$E:$E,$A14,movements!$D:$D,"OPENING",movements!$C:$C,"&lt;"&amp;AX$1+1)+SUMIFS(movements!$H:$H,movements!$E:$E,$A14,movements!$D:$D,"RECEIPT",movements!$C:$C,"&lt;"&amp;AX$1+1)-SUMIFS(movements!$H:$H,movements!$E:$E,$A14,movements!$D:$D,"ISSUE",movements!$C:$C,"&lt;"&amp;AX$1+1)</f>
        <v>107</v>
      </c>
      <c r="AY14">
        <f>SUMIFS(movements!$H:$H,movements!$E:$E,$A14,movements!$D:$D,"OPENING",movements!$C:$C,"&lt;"&amp;AY$1+1)+SUMIFS(movements!$H:$H,movements!$E:$E,$A14,movements!$D:$D,"RECEIPT",movements!$C:$C,"&lt;"&amp;AY$1+1)-SUMIFS(movements!$H:$H,movements!$E:$E,$A14,movements!$D:$D,"ISSUE",movements!$C:$C,"&lt;"&amp;AY$1+1)</f>
        <v>173</v>
      </c>
      <c r="AZ14">
        <f>SUMIFS(movements!$H:$H,movements!$E:$E,$A14,movements!$D:$D,"OPENING",movements!$C:$C,"&lt;"&amp;AZ$1+1)+SUMIFS(movements!$H:$H,movements!$E:$E,$A14,movements!$D:$D,"RECEIPT",movements!$C:$C,"&lt;"&amp;AZ$1+1)-SUMIFS(movements!$H:$H,movements!$E:$E,$A14,movements!$D:$D,"ISSUE",movements!$C:$C,"&lt;"&amp;AZ$1+1)</f>
        <v>166</v>
      </c>
      <c r="BA14">
        <f>SUMIFS(movements!$H:$H,movements!$E:$E,$A14,movements!$D:$D,"OPENING",movements!$C:$C,"&lt;"&amp;BA$1+1)+SUMIFS(movements!$H:$H,movements!$E:$E,$A14,movements!$D:$D,"RECEIPT",movements!$C:$C,"&lt;"&amp;BA$1+1)-SUMIFS(movements!$H:$H,movements!$E:$E,$A14,movements!$D:$D,"ISSUE",movements!$C:$C,"&lt;"&amp;BA$1+1)</f>
        <v>160</v>
      </c>
      <c r="BB14">
        <f>SUMIFS(movements!$H:$H,movements!$E:$E,$A14,movements!$D:$D,"OPENING",movements!$C:$C,"&lt;"&amp;BB$1+1)+SUMIFS(movements!$H:$H,movements!$E:$E,$A14,movements!$D:$D,"RECEIPT",movements!$C:$C,"&lt;"&amp;BB$1+1)-SUMIFS(movements!$H:$H,movements!$E:$E,$A14,movements!$D:$D,"ISSUE",movements!$C:$C,"&lt;"&amp;BB$1+1)</f>
        <v>160</v>
      </c>
      <c r="BC14">
        <f>SUMIFS(movements!$H:$H,movements!$E:$E,$A14,movements!$D:$D,"OPENING",movements!$C:$C,"&lt;"&amp;BC$1+1)+SUMIFS(movements!$H:$H,movements!$E:$E,$A14,movements!$D:$D,"RECEIPT",movements!$C:$C,"&lt;"&amp;BC$1+1)-SUMIFS(movements!$H:$H,movements!$E:$E,$A14,movements!$D:$D,"ISSUE",movements!$C:$C,"&lt;"&amp;BC$1+1)</f>
        <v>157</v>
      </c>
      <c r="BD14">
        <f>SUMIFS(movements!$H:$H,movements!$E:$E,$A14,movements!$D:$D,"OPENING",movements!$C:$C,"&lt;"&amp;BD$1+1)+SUMIFS(movements!$H:$H,movements!$E:$E,$A14,movements!$D:$D,"RECEIPT",movements!$C:$C,"&lt;"&amp;BD$1+1)-SUMIFS(movements!$H:$H,movements!$E:$E,$A14,movements!$D:$D,"ISSUE",movements!$C:$C,"&lt;"&amp;BD$1+1)</f>
        <v>143</v>
      </c>
      <c r="BE14">
        <f>SUMIFS(movements!$H:$H,movements!$E:$E,$A14,movements!$D:$D,"OPENING",movements!$C:$C,"&lt;"&amp;BE$1+1)+SUMIFS(movements!$H:$H,movements!$E:$E,$A14,movements!$D:$D,"RECEIPT",movements!$C:$C,"&lt;"&amp;BE$1+1)-SUMIFS(movements!$H:$H,movements!$E:$E,$A14,movements!$D:$D,"ISSUE",movements!$C:$C,"&lt;"&amp;BE$1+1)</f>
        <v>143</v>
      </c>
      <c r="BF14">
        <f>SUMIFS(movements!$H:$H,movements!$E:$E,$A14,movements!$D:$D,"OPENING",movements!$C:$C,"&lt;"&amp;BF$1+1)+SUMIFS(movements!$H:$H,movements!$E:$E,$A14,movements!$D:$D,"RECEIPT",movements!$C:$C,"&lt;"&amp;BF$1+1)-SUMIFS(movements!$H:$H,movements!$E:$E,$A14,movements!$D:$D,"ISSUE",movements!$C:$C,"&lt;"&amp;BF$1+1)</f>
        <v>139</v>
      </c>
      <c r="BG14">
        <f>SUMIFS(movements!$H:$H,movements!$E:$E,$A14,movements!$D:$D,"OPENING",movements!$C:$C,"&lt;"&amp;BG$1+1)+SUMIFS(movements!$H:$H,movements!$E:$E,$A14,movements!$D:$D,"RECEIPT",movements!$C:$C,"&lt;"&amp;BG$1+1)-SUMIFS(movements!$H:$H,movements!$E:$E,$A14,movements!$D:$D,"ISSUE",movements!$C:$C,"&lt;"&amp;BG$1+1)</f>
        <v>135</v>
      </c>
      <c r="BH14">
        <f>SUMIFS(movements!$H:$H,movements!$E:$E,$A14,movements!$D:$D,"OPENING",movements!$C:$C,"&lt;"&amp;BH$1+1)+SUMIFS(movements!$H:$H,movements!$E:$E,$A14,movements!$D:$D,"RECEIPT",movements!$C:$C,"&lt;"&amp;BH$1+1)-SUMIFS(movements!$H:$H,movements!$E:$E,$A14,movements!$D:$D,"ISSUE",movements!$C:$C,"&lt;"&amp;BH$1+1)</f>
        <v>133</v>
      </c>
      <c r="BI14">
        <f>SUMIFS(movements!$H:$H,movements!$E:$E,$A14,movements!$D:$D,"OPENING",movements!$C:$C,"&lt;"&amp;BI$1+1)+SUMIFS(movements!$H:$H,movements!$E:$E,$A14,movements!$D:$D,"RECEIPT",movements!$C:$C,"&lt;"&amp;BI$1+1)-SUMIFS(movements!$H:$H,movements!$E:$E,$A14,movements!$D:$D,"ISSUE",movements!$C:$C,"&lt;"&amp;BI$1+1)</f>
        <v>120</v>
      </c>
      <c r="BJ14">
        <f>SUMIFS(movements!$H:$H,movements!$E:$E,$A14,movements!$D:$D,"OPENING",movements!$C:$C,"&lt;"&amp;BJ$1+1)+SUMIFS(movements!$H:$H,movements!$E:$E,$A14,movements!$D:$D,"RECEIPT",movements!$C:$C,"&lt;"&amp;BJ$1+1)-SUMIFS(movements!$H:$H,movements!$E:$E,$A14,movements!$D:$D,"ISSUE",movements!$C:$C,"&lt;"&amp;BJ$1+1)</f>
        <v>118</v>
      </c>
      <c r="BK14">
        <f>SUMIFS(movements!$H:$H,movements!$E:$E,$A14,movements!$D:$D,"OPENING",movements!$C:$C,"&lt;"&amp;BK$1+1)+SUMIFS(movements!$H:$H,movements!$E:$E,$A14,movements!$D:$D,"RECEIPT",movements!$C:$C,"&lt;"&amp;BK$1+1)-SUMIFS(movements!$H:$H,movements!$E:$E,$A14,movements!$D:$D,"ISSUE",movements!$C:$C,"&lt;"&amp;BK$1+1)</f>
        <v>103</v>
      </c>
      <c r="BL14">
        <f>SUMIFS(movements!$H:$H,movements!$E:$E,$A14,movements!$D:$D,"OPENING",movements!$C:$C,"&lt;"&amp;BL$1+1)+SUMIFS(movements!$H:$H,movements!$E:$E,$A14,movements!$D:$D,"RECEIPT",movements!$C:$C,"&lt;"&amp;BL$1+1)-SUMIFS(movements!$H:$H,movements!$E:$E,$A14,movements!$D:$D,"ISSUE",movements!$C:$C,"&lt;"&amp;BL$1+1)</f>
        <v>103</v>
      </c>
      <c r="BM14">
        <f>SUMIFS(movements!$H:$H,movements!$E:$E,$A14,movements!$D:$D,"OPENING",movements!$C:$C,"&lt;"&amp;BM$1+1)+SUMIFS(movements!$H:$H,movements!$E:$E,$A14,movements!$D:$D,"RECEIPT",movements!$C:$C,"&lt;"&amp;BM$1+1)-SUMIFS(movements!$H:$H,movements!$E:$E,$A14,movements!$D:$D,"ISSUE",movements!$C:$C,"&lt;"&amp;BM$1+1)</f>
        <v>193</v>
      </c>
      <c r="BN14">
        <f>SUMIFS(movements!$H:$H,movements!$E:$E,$A14,movements!$D:$D,"OPENING",movements!$C:$C,"&lt;"&amp;BN$1+1)+SUMIFS(movements!$H:$H,movements!$E:$E,$A14,movements!$D:$D,"RECEIPT",movements!$C:$C,"&lt;"&amp;BN$1+1)-SUMIFS(movements!$H:$H,movements!$E:$E,$A14,movements!$D:$D,"ISSUE",movements!$C:$C,"&lt;"&amp;BN$1+1)</f>
        <v>183</v>
      </c>
      <c r="BO14">
        <f>SUMIFS(movements!$H:$H,movements!$E:$E,$A14,movements!$D:$D,"OPENING",movements!$C:$C,"&lt;"&amp;BO$1+1)+SUMIFS(movements!$H:$H,movements!$E:$E,$A14,movements!$D:$D,"RECEIPT",movements!$C:$C,"&lt;"&amp;BO$1+1)-SUMIFS(movements!$H:$H,movements!$E:$E,$A14,movements!$D:$D,"ISSUE",movements!$C:$C,"&lt;"&amp;BO$1+1)</f>
        <v>174</v>
      </c>
      <c r="BP14">
        <f>SUMIFS(movements!$H:$H,movements!$E:$E,$A14,movements!$D:$D,"OPENING",movements!$C:$C,"&lt;"&amp;BP$1+1)+SUMIFS(movements!$H:$H,movements!$E:$E,$A14,movements!$D:$D,"RECEIPT",movements!$C:$C,"&lt;"&amp;BP$1+1)-SUMIFS(movements!$H:$H,movements!$E:$E,$A14,movements!$D:$D,"ISSUE",movements!$C:$C,"&lt;"&amp;BP$1+1)</f>
        <v>170</v>
      </c>
      <c r="BQ14">
        <f>SUMIFS(movements!$H:$H,movements!$E:$E,$A14,movements!$D:$D,"OPENING",movements!$C:$C,"&lt;"&amp;BQ$1+1)+SUMIFS(movements!$H:$H,movements!$E:$E,$A14,movements!$D:$D,"RECEIPT",movements!$C:$C,"&lt;"&amp;BQ$1+1)-SUMIFS(movements!$H:$H,movements!$E:$E,$A14,movements!$D:$D,"ISSUE",movements!$C:$C,"&lt;"&amp;BQ$1+1)</f>
        <v>161</v>
      </c>
      <c r="BR14">
        <f>SUMIFS(movements!$H:$H,movements!$E:$E,$A14,movements!$D:$D,"OPENING",movements!$C:$C,"&lt;"&amp;BR$1+1)+SUMIFS(movements!$H:$H,movements!$E:$E,$A14,movements!$D:$D,"RECEIPT",movements!$C:$C,"&lt;"&amp;BR$1+1)-SUMIFS(movements!$H:$H,movements!$E:$E,$A14,movements!$D:$D,"ISSUE",movements!$C:$C,"&lt;"&amp;BR$1+1)</f>
        <v>150</v>
      </c>
      <c r="BS14">
        <f>SUMIFS(movements!$H:$H,movements!$E:$E,$A14,movements!$D:$D,"OPENING",movements!$C:$C,"&lt;"&amp;BS$1+1)+SUMIFS(movements!$H:$H,movements!$E:$E,$A14,movements!$D:$D,"RECEIPT",movements!$C:$C,"&lt;"&amp;BS$1+1)-SUMIFS(movements!$H:$H,movements!$E:$E,$A14,movements!$D:$D,"ISSUE",movements!$C:$C,"&lt;"&amp;BS$1+1)</f>
        <v>150</v>
      </c>
      <c r="BT14">
        <f>SUMIFS(movements!$H:$H,movements!$E:$E,$A14,movements!$D:$D,"OPENING",movements!$C:$C,"&lt;"&amp;BT$1+1)+SUMIFS(movements!$H:$H,movements!$E:$E,$A14,movements!$D:$D,"RECEIPT",movements!$C:$C,"&lt;"&amp;BT$1+1)-SUMIFS(movements!$H:$H,movements!$E:$E,$A14,movements!$D:$D,"ISSUE",movements!$C:$C,"&lt;"&amp;BT$1+1)</f>
        <v>140</v>
      </c>
      <c r="BU14">
        <f>SUMIFS(movements!$H:$H,movements!$E:$E,$A14,movements!$D:$D,"OPENING",movements!$C:$C,"&lt;"&amp;BU$1+1)+SUMIFS(movements!$H:$H,movements!$E:$E,$A14,movements!$D:$D,"RECEIPT",movements!$C:$C,"&lt;"&amp;BU$1+1)-SUMIFS(movements!$H:$H,movements!$E:$E,$A14,movements!$D:$D,"ISSUE",movements!$C:$C,"&lt;"&amp;BU$1+1)</f>
        <v>140</v>
      </c>
      <c r="BV14">
        <f>SUMIFS(movements!$H:$H,movements!$E:$E,$A14,movements!$D:$D,"OPENING",movements!$C:$C,"&lt;"&amp;BV$1+1)+SUMIFS(movements!$H:$H,movements!$E:$E,$A14,movements!$D:$D,"RECEIPT",movements!$C:$C,"&lt;"&amp;BV$1+1)-SUMIFS(movements!$H:$H,movements!$E:$E,$A14,movements!$D:$D,"ISSUE",movements!$C:$C,"&lt;"&amp;BV$1+1)</f>
        <v>135</v>
      </c>
      <c r="BW14">
        <f>SUMIFS(movements!$H:$H,movements!$E:$E,$A14,movements!$D:$D,"OPENING",movements!$C:$C,"&lt;"&amp;BW$1+1)+SUMIFS(movements!$H:$H,movements!$E:$E,$A14,movements!$D:$D,"RECEIPT",movements!$C:$C,"&lt;"&amp;BW$1+1)-SUMIFS(movements!$H:$H,movements!$E:$E,$A14,movements!$D:$D,"ISSUE",movements!$C:$C,"&lt;"&amp;BW$1+1)</f>
        <v>131</v>
      </c>
      <c r="BX14">
        <f>SUMIFS(movements!$H:$H,movements!$E:$E,$A14,movements!$D:$D,"OPENING",movements!$C:$C,"&lt;"&amp;BX$1+1)+SUMIFS(movements!$H:$H,movements!$E:$E,$A14,movements!$D:$D,"RECEIPT",movements!$C:$C,"&lt;"&amp;BX$1+1)-SUMIFS(movements!$H:$H,movements!$E:$E,$A14,movements!$D:$D,"ISSUE",movements!$C:$C,"&lt;"&amp;BX$1+1)</f>
        <v>123</v>
      </c>
      <c r="BY14">
        <f>SUMIFS(movements!$H:$H,movements!$E:$E,$A14,movements!$D:$D,"OPENING",movements!$C:$C,"&lt;"&amp;BY$1+1)+SUMIFS(movements!$H:$H,movements!$E:$E,$A14,movements!$D:$D,"RECEIPT",movements!$C:$C,"&lt;"&amp;BY$1+1)-SUMIFS(movements!$H:$H,movements!$E:$E,$A14,movements!$D:$D,"ISSUE",movements!$C:$C,"&lt;"&amp;BY$1+1)</f>
        <v>114</v>
      </c>
      <c r="BZ14">
        <f>SUMIFS(movements!$H:$H,movements!$E:$E,$A14,movements!$D:$D,"OPENING",movements!$C:$C,"&lt;"&amp;BZ$1+1)+SUMIFS(movements!$H:$H,movements!$E:$E,$A14,movements!$D:$D,"RECEIPT",movements!$C:$C,"&lt;"&amp;BZ$1+1)-SUMIFS(movements!$H:$H,movements!$E:$E,$A14,movements!$D:$D,"ISSUE",movements!$C:$C,"&lt;"&amp;BZ$1+1)</f>
        <v>114</v>
      </c>
      <c r="CA14">
        <f>SUMIFS(movements!$H:$H,movements!$E:$E,$A14,movements!$D:$D,"OPENING",movements!$C:$C,"&lt;"&amp;CA$1+1)+SUMIFS(movements!$H:$H,movements!$E:$E,$A14,movements!$D:$D,"RECEIPT",movements!$C:$C,"&lt;"&amp;CA$1+1)-SUMIFS(movements!$H:$H,movements!$E:$E,$A14,movements!$D:$D,"ISSUE",movements!$C:$C,"&lt;"&amp;CA$1+1)</f>
        <v>105</v>
      </c>
      <c r="CB14">
        <f>SUMIFS(movements!$H:$H,movements!$E:$E,$A14,movements!$D:$D,"OPENING",movements!$C:$C,"&lt;"&amp;CB$1+1)+SUMIFS(movements!$H:$H,movements!$E:$E,$A14,movements!$D:$D,"RECEIPT",movements!$C:$C,"&lt;"&amp;CB$1+1)-SUMIFS(movements!$H:$H,movements!$E:$E,$A14,movements!$D:$D,"ISSUE",movements!$C:$C,"&lt;"&amp;CB$1+1)</f>
        <v>102</v>
      </c>
      <c r="CC14">
        <f>SUMIFS(movements!$H:$H,movements!$E:$E,$A14,movements!$D:$D,"OPENING",movements!$C:$C,"&lt;"&amp;CC$1+1)+SUMIFS(movements!$H:$H,movements!$E:$E,$A14,movements!$D:$D,"RECEIPT",movements!$C:$C,"&lt;"&amp;CC$1+1)-SUMIFS(movements!$H:$H,movements!$E:$E,$A14,movements!$D:$D,"ISSUE",movements!$C:$C,"&lt;"&amp;CC$1+1)</f>
        <v>95</v>
      </c>
      <c r="CD14">
        <f>SUMIFS(movements!$H:$H,movements!$E:$E,$A14,movements!$D:$D,"OPENING",movements!$C:$C,"&lt;"&amp;CD$1+1)+SUMIFS(movements!$H:$H,movements!$E:$E,$A14,movements!$D:$D,"RECEIPT",movements!$C:$C,"&lt;"&amp;CD$1+1)-SUMIFS(movements!$H:$H,movements!$E:$E,$A14,movements!$D:$D,"ISSUE",movements!$C:$C,"&lt;"&amp;CD$1+1)</f>
        <v>89</v>
      </c>
      <c r="CE14">
        <f>SUMIFS(movements!$H:$H,movements!$E:$E,$A14,movements!$D:$D,"OPENING",movements!$C:$C,"&lt;"&amp;CE$1+1)+SUMIFS(movements!$H:$H,movements!$E:$E,$A14,movements!$D:$D,"RECEIPT",movements!$C:$C,"&lt;"&amp;CE$1+1)-SUMIFS(movements!$H:$H,movements!$E:$E,$A14,movements!$D:$D,"ISSUE",movements!$C:$C,"&lt;"&amp;CE$1+1)</f>
        <v>78</v>
      </c>
      <c r="CF14">
        <f>SUMIFS(movements!$H:$H,movements!$E:$E,$A14,movements!$D:$D,"OPENING",movements!$C:$C,"&lt;"&amp;CF$1+1)+SUMIFS(movements!$H:$H,movements!$E:$E,$A14,movements!$D:$D,"RECEIPT",movements!$C:$C,"&lt;"&amp;CF$1+1)-SUMIFS(movements!$H:$H,movements!$E:$E,$A14,movements!$D:$D,"ISSUE",movements!$C:$C,"&lt;"&amp;CF$1+1)</f>
        <v>76</v>
      </c>
      <c r="CG14">
        <f>SUMIFS(movements!$H:$H,movements!$E:$E,$A14,movements!$D:$D,"OPENING",movements!$C:$C,"&lt;"&amp;CG$1+1)+SUMIFS(movements!$H:$H,movements!$E:$E,$A14,movements!$D:$D,"RECEIPT",movements!$C:$C,"&lt;"&amp;CG$1+1)-SUMIFS(movements!$H:$H,movements!$E:$E,$A14,movements!$D:$D,"ISSUE",movements!$C:$C,"&lt;"&amp;CG$1+1)</f>
        <v>69</v>
      </c>
      <c r="CH14">
        <f>SUMIFS(movements!$H:$H,movements!$E:$E,$A14,movements!$D:$D,"OPENING",movements!$C:$C,"&lt;"&amp;CH$1+1)+SUMIFS(movements!$H:$H,movements!$E:$E,$A14,movements!$D:$D,"RECEIPT",movements!$C:$C,"&lt;"&amp;CH$1+1)-SUMIFS(movements!$H:$H,movements!$E:$E,$A14,movements!$D:$D,"ISSUE",movements!$C:$C,"&lt;"&amp;CH$1+1)</f>
        <v>132</v>
      </c>
      <c r="CI14">
        <f>SUMIFS(movements!$H:$H,movements!$E:$E,$A14,movements!$D:$D,"OPENING",movements!$C:$C,"&lt;"&amp;CI$1+1)+SUMIFS(movements!$H:$H,movements!$E:$E,$A14,movements!$D:$D,"RECEIPT",movements!$C:$C,"&lt;"&amp;CI$1+1)-SUMIFS(movements!$H:$H,movements!$E:$E,$A14,movements!$D:$D,"ISSUE",movements!$C:$C,"&lt;"&amp;CI$1+1)</f>
        <v>132</v>
      </c>
      <c r="CJ14">
        <f>SUMIFS(movements!$H:$H,movements!$E:$E,$A14,movements!$D:$D,"OPENING",movements!$C:$C,"&lt;"&amp;CJ$1+1)+SUMIFS(movements!$H:$H,movements!$E:$E,$A14,movements!$D:$D,"RECEIPT",movements!$C:$C,"&lt;"&amp;CJ$1+1)-SUMIFS(movements!$H:$H,movements!$E:$E,$A14,movements!$D:$D,"ISSUE",movements!$C:$C,"&lt;"&amp;CJ$1+1)</f>
        <v>128</v>
      </c>
      <c r="CK14">
        <f>SUMIFS(movements!$H:$H,movements!$E:$E,$A14,movements!$D:$D,"OPENING",movements!$C:$C,"&lt;"&amp;CK$1+1)+SUMIFS(movements!$H:$H,movements!$E:$E,$A14,movements!$D:$D,"RECEIPT",movements!$C:$C,"&lt;"&amp;CK$1+1)-SUMIFS(movements!$H:$H,movements!$E:$E,$A14,movements!$D:$D,"ISSUE",movements!$C:$C,"&lt;"&amp;CK$1+1)</f>
        <v>119</v>
      </c>
      <c r="CL14">
        <f>SUMIFS(movements!$H:$H,movements!$E:$E,$A14,movements!$D:$D,"OPENING",movements!$C:$C,"&lt;"&amp;CL$1+1)+SUMIFS(movements!$H:$H,movements!$E:$E,$A14,movements!$D:$D,"RECEIPT",movements!$C:$C,"&lt;"&amp;CL$1+1)-SUMIFS(movements!$H:$H,movements!$E:$E,$A14,movements!$D:$D,"ISSUE",movements!$C:$C,"&lt;"&amp;CL$1+1)</f>
        <v>110</v>
      </c>
      <c r="CM14">
        <f>SUMIFS(movements!$H:$H,movements!$E:$E,$A14,movements!$D:$D,"OPENING",movements!$C:$C,"&lt;"&amp;CM$1+1)+SUMIFS(movements!$H:$H,movements!$E:$E,$A14,movements!$D:$D,"RECEIPT",movements!$C:$C,"&lt;"&amp;CM$1+1)-SUMIFS(movements!$H:$H,movements!$E:$E,$A14,movements!$D:$D,"ISSUE",movements!$C:$C,"&lt;"&amp;CM$1+1)</f>
        <v>107</v>
      </c>
      <c r="CN14">
        <f t="shared" si="2"/>
        <v>120.74444444444444</v>
      </c>
      <c r="CO14">
        <f>SUMIFS(movements!$H:$H,movements!$E:$E,$A14,movements!$D:$D,"ISSUE",movements!$C:$C,"&gt;="&amp;$B$1,movements!$C:$C,"&lt;"&amp;($CM$1+1))</f>
        <v>407</v>
      </c>
      <c r="CP14">
        <f t="shared" si="3"/>
        <v>3.3707554982975982</v>
      </c>
      <c r="CQ14">
        <f t="shared" si="4"/>
        <v>26.700245700245699</v>
      </c>
    </row>
    <row r="15" spans="1:95" x14ac:dyDescent="0.25">
      <c r="A15" t="s">
        <v>45</v>
      </c>
      <c r="B15">
        <f>SUMIFS(movements!$H:$H,movements!$E:$E,$A15,movements!$D:$D,"OPENING",movements!$C:$C,"&lt;"&amp;B$1+1)+SUMIFS(movements!$H:$H,movements!$E:$E,$A15,movements!$D:$D,"RECEIPT",movements!$C:$C,"&lt;"&amp;B$1+1)-SUMIFS(movements!$H:$H,movements!$E:$E,$A15,movements!$D:$D,"ISSUE",movements!$C:$C,"&lt;"&amp;B$1+1)</f>
        <v>79</v>
      </c>
      <c r="C15">
        <f>SUMIFS(movements!$H:$H,movements!$E:$E,$A15,movements!$D:$D,"OPENING",movements!$C:$C,"&lt;"&amp;C$1+1)+SUMIFS(movements!$H:$H,movements!$E:$E,$A15,movements!$D:$D,"RECEIPT",movements!$C:$C,"&lt;"&amp;C$1+1)-SUMIFS(movements!$H:$H,movements!$E:$E,$A15,movements!$D:$D,"ISSUE",movements!$C:$C,"&lt;"&amp;C$1+1)</f>
        <v>74</v>
      </c>
      <c r="D15">
        <f>SUMIFS(movements!$H:$H,movements!$E:$E,$A15,movements!$D:$D,"OPENING",movements!$C:$C,"&lt;"&amp;D$1+1)+SUMIFS(movements!$H:$H,movements!$E:$E,$A15,movements!$D:$D,"RECEIPT",movements!$C:$C,"&lt;"&amp;D$1+1)-SUMIFS(movements!$H:$H,movements!$E:$E,$A15,movements!$D:$D,"ISSUE",movements!$C:$C,"&lt;"&amp;D$1+1)</f>
        <v>71</v>
      </c>
      <c r="E15">
        <f>SUMIFS(movements!$H:$H,movements!$E:$E,$A15,movements!$D:$D,"OPENING",movements!$C:$C,"&lt;"&amp;E$1+1)+SUMIFS(movements!$H:$H,movements!$E:$E,$A15,movements!$D:$D,"RECEIPT",movements!$C:$C,"&lt;"&amp;E$1+1)-SUMIFS(movements!$H:$H,movements!$E:$E,$A15,movements!$D:$D,"ISSUE",movements!$C:$C,"&lt;"&amp;E$1+1)</f>
        <v>71</v>
      </c>
      <c r="F15">
        <f>SUMIFS(movements!$H:$H,movements!$E:$E,$A15,movements!$D:$D,"OPENING",movements!$C:$C,"&lt;"&amp;F$1+1)+SUMIFS(movements!$H:$H,movements!$E:$E,$A15,movements!$D:$D,"RECEIPT",movements!$C:$C,"&lt;"&amp;F$1+1)-SUMIFS(movements!$H:$H,movements!$E:$E,$A15,movements!$D:$D,"ISSUE",movements!$C:$C,"&lt;"&amp;F$1+1)</f>
        <v>70</v>
      </c>
      <c r="G15">
        <f>SUMIFS(movements!$H:$H,movements!$E:$E,$A15,movements!$D:$D,"OPENING",movements!$C:$C,"&lt;"&amp;G$1+1)+SUMIFS(movements!$H:$H,movements!$E:$E,$A15,movements!$D:$D,"RECEIPT",movements!$C:$C,"&lt;"&amp;G$1+1)-SUMIFS(movements!$H:$H,movements!$E:$E,$A15,movements!$D:$D,"ISSUE",movements!$C:$C,"&lt;"&amp;G$1+1)</f>
        <v>70</v>
      </c>
      <c r="H15">
        <f>SUMIFS(movements!$H:$H,movements!$E:$E,$A15,movements!$D:$D,"OPENING",movements!$C:$C,"&lt;"&amp;H$1+1)+SUMIFS(movements!$H:$H,movements!$E:$E,$A15,movements!$D:$D,"RECEIPT",movements!$C:$C,"&lt;"&amp;H$1+1)-SUMIFS(movements!$H:$H,movements!$E:$E,$A15,movements!$D:$D,"ISSUE",movements!$C:$C,"&lt;"&amp;H$1+1)</f>
        <v>56</v>
      </c>
      <c r="I15">
        <f>SUMIFS(movements!$H:$H,movements!$E:$E,$A15,movements!$D:$D,"OPENING",movements!$C:$C,"&lt;"&amp;I$1+1)+SUMIFS(movements!$H:$H,movements!$E:$E,$A15,movements!$D:$D,"RECEIPT",movements!$C:$C,"&lt;"&amp;I$1+1)-SUMIFS(movements!$H:$H,movements!$E:$E,$A15,movements!$D:$D,"ISSUE",movements!$C:$C,"&lt;"&amp;I$1+1)</f>
        <v>134</v>
      </c>
      <c r="J15">
        <f>SUMIFS(movements!$H:$H,movements!$E:$E,$A15,movements!$D:$D,"OPENING",movements!$C:$C,"&lt;"&amp;J$1+1)+SUMIFS(movements!$H:$H,movements!$E:$E,$A15,movements!$D:$D,"RECEIPT",movements!$C:$C,"&lt;"&amp;J$1+1)-SUMIFS(movements!$H:$H,movements!$E:$E,$A15,movements!$D:$D,"ISSUE",movements!$C:$C,"&lt;"&amp;J$1+1)</f>
        <v>127</v>
      </c>
      <c r="K15">
        <f>SUMIFS(movements!$H:$H,movements!$E:$E,$A15,movements!$D:$D,"OPENING",movements!$C:$C,"&lt;"&amp;K$1+1)+SUMIFS(movements!$H:$H,movements!$E:$E,$A15,movements!$D:$D,"RECEIPT",movements!$C:$C,"&lt;"&amp;K$1+1)-SUMIFS(movements!$H:$H,movements!$E:$E,$A15,movements!$D:$D,"ISSUE",movements!$C:$C,"&lt;"&amp;K$1+1)</f>
        <v>124</v>
      </c>
      <c r="L15">
        <f>SUMIFS(movements!$H:$H,movements!$E:$E,$A15,movements!$D:$D,"OPENING",movements!$C:$C,"&lt;"&amp;L$1+1)+SUMIFS(movements!$H:$H,movements!$E:$E,$A15,movements!$D:$D,"RECEIPT",movements!$C:$C,"&lt;"&amp;L$1+1)-SUMIFS(movements!$H:$H,movements!$E:$E,$A15,movements!$D:$D,"ISSUE",movements!$C:$C,"&lt;"&amp;L$1+1)</f>
        <v>120</v>
      </c>
      <c r="M15">
        <f>SUMIFS(movements!$H:$H,movements!$E:$E,$A15,movements!$D:$D,"OPENING",movements!$C:$C,"&lt;"&amp;M$1+1)+SUMIFS(movements!$H:$H,movements!$E:$E,$A15,movements!$D:$D,"RECEIPT",movements!$C:$C,"&lt;"&amp;M$1+1)-SUMIFS(movements!$H:$H,movements!$E:$E,$A15,movements!$D:$D,"ISSUE",movements!$C:$C,"&lt;"&amp;M$1+1)</f>
        <v>116</v>
      </c>
      <c r="N15">
        <f>SUMIFS(movements!$H:$H,movements!$E:$E,$A15,movements!$D:$D,"OPENING",movements!$C:$C,"&lt;"&amp;N$1+1)+SUMIFS(movements!$H:$H,movements!$E:$E,$A15,movements!$D:$D,"RECEIPT",movements!$C:$C,"&lt;"&amp;N$1+1)-SUMIFS(movements!$H:$H,movements!$E:$E,$A15,movements!$D:$D,"ISSUE",movements!$C:$C,"&lt;"&amp;N$1+1)</f>
        <v>110</v>
      </c>
      <c r="O15">
        <f>SUMIFS(movements!$H:$H,movements!$E:$E,$A15,movements!$D:$D,"OPENING",movements!$C:$C,"&lt;"&amp;O$1+1)+SUMIFS(movements!$H:$H,movements!$E:$E,$A15,movements!$D:$D,"RECEIPT",movements!$C:$C,"&lt;"&amp;O$1+1)-SUMIFS(movements!$H:$H,movements!$E:$E,$A15,movements!$D:$D,"ISSUE",movements!$C:$C,"&lt;"&amp;O$1+1)</f>
        <v>105</v>
      </c>
      <c r="P15">
        <f>SUMIFS(movements!$H:$H,movements!$E:$E,$A15,movements!$D:$D,"OPENING",movements!$C:$C,"&lt;"&amp;P$1+1)+SUMIFS(movements!$H:$H,movements!$E:$E,$A15,movements!$D:$D,"RECEIPT",movements!$C:$C,"&lt;"&amp;P$1+1)-SUMIFS(movements!$H:$H,movements!$E:$E,$A15,movements!$D:$D,"ISSUE",movements!$C:$C,"&lt;"&amp;P$1+1)</f>
        <v>170</v>
      </c>
      <c r="Q15">
        <f>SUMIFS(movements!$H:$H,movements!$E:$E,$A15,movements!$D:$D,"OPENING",movements!$C:$C,"&lt;"&amp;Q$1+1)+SUMIFS(movements!$H:$H,movements!$E:$E,$A15,movements!$D:$D,"RECEIPT",movements!$C:$C,"&lt;"&amp;Q$1+1)-SUMIFS(movements!$H:$H,movements!$E:$E,$A15,movements!$D:$D,"ISSUE",movements!$C:$C,"&lt;"&amp;Q$1+1)</f>
        <v>169</v>
      </c>
      <c r="R15">
        <f>SUMIFS(movements!$H:$H,movements!$E:$E,$A15,movements!$D:$D,"OPENING",movements!$C:$C,"&lt;"&amp;R$1+1)+SUMIFS(movements!$H:$H,movements!$E:$E,$A15,movements!$D:$D,"RECEIPT",movements!$C:$C,"&lt;"&amp;R$1+1)-SUMIFS(movements!$H:$H,movements!$E:$E,$A15,movements!$D:$D,"ISSUE",movements!$C:$C,"&lt;"&amp;R$1+1)</f>
        <v>158</v>
      </c>
      <c r="S15">
        <f>SUMIFS(movements!$H:$H,movements!$E:$E,$A15,movements!$D:$D,"OPENING",movements!$C:$C,"&lt;"&amp;S$1+1)+SUMIFS(movements!$H:$H,movements!$E:$E,$A15,movements!$D:$D,"RECEIPT",movements!$C:$C,"&lt;"&amp;S$1+1)-SUMIFS(movements!$H:$H,movements!$E:$E,$A15,movements!$D:$D,"ISSUE",movements!$C:$C,"&lt;"&amp;S$1+1)</f>
        <v>153</v>
      </c>
      <c r="T15">
        <f>SUMIFS(movements!$H:$H,movements!$E:$E,$A15,movements!$D:$D,"OPENING",movements!$C:$C,"&lt;"&amp;T$1+1)+SUMIFS(movements!$H:$H,movements!$E:$E,$A15,movements!$D:$D,"RECEIPT",movements!$C:$C,"&lt;"&amp;T$1+1)-SUMIFS(movements!$H:$H,movements!$E:$E,$A15,movements!$D:$D,"ISSUE",movements!$C:$C,"&lt;"&amp;T$1+1)</f>
        <v>147</v>
      </c>
      <c r="U15">
        <f>SUMIFS(movements!$H:$H,movements!$E:$E,$A15,movements!$D:$D,"OPENING",movements!$C:$C,"&lt;"&amp;U$1+1)+SUMIFS(movements!$H:$H,movements!$E:$E,$A15,movements!$D:$D,"RECEIPT",movements!$C:$C,"&lt;"&amp;U$1+1)-SUMIFS(movements!$H:$H,movements!$E:$E,$A15,movements!$D:$D,"ISSUE",movements!$C:$C,"&lt;"&amp;U$1+1)</f>
        <v>143</v>
      </c>
      <c r="V15">
        <f>SUMIFS(movements!$H:$H,movements!$E:$E,$A15,movements!$D:$D,"OPENING",movements!$C:$C,"&lt;"&amp;V$1+1)+SUMIFS(movements!$H:$H,movements!$E:$E,$A15,movements!$D:$D,"RECEIPT",movements!$C:$C,"&lt;"&amp;V$1+1)-SUMIFS(movements!$H:$H,movements!$E:$E,$A15,movements!$D:$D,"ISSUE",movements!$C:$C,"&lt;"&amp;V$1+1)</f>
        <v>139</v>
      </c>
      <c r="W15">
        <f>SUMIFS(movements!$H:$H,movements!$E:$E,$A15,movements!$D:$D,"OPENING",movements!$C:$C,"&lt;"&amp;W$1+1)+SUMIFS(movements!$H:$H,movements!$E:$E,$A15,movements!$D:$D,"RECEIPT",movements!$C:$C,"&lt;"&amp;W$1+1)-SUMIFS(movements!$H:$H,movements!$E:$E,$A15,movements!$D:$D,"ISSUE",movements!$C:$C,"&lt;"&amp;W$1+1)</f>
        <v>128</v>
      </c>
      <c r="X15">
        <f>SUMIFS(movements!$H:$H,movements!$E:$E,$A15,movements!$D:$D,"OPENING",movements!$C:$C,"&lt;"&amp;X$1+1)+SUMIFS(movements!$H:$H,movements!$E:$E,$A15,movements!$D:$D,"RECEIPT",movements!$C:$C,"&lt;"&amp;X$1+1)-SUMIFS(movements!$H:$H,movements!$E:$E,$A15,movements!$D:$D,"ISSUE",movements!$C:$C,"&lt;"&amp;X$1+1)</f>
        <v>128</v>
      </c>
      <c r="Y15">
        <f>SUMIFS(movements!$H:$H,movements!$E:$E,$A15,movements!$D:$D,"OPENING",movements!$C:$C,"&lt;"&amp;Y$1+1)+SUMIFS(movements!$H:$H,movements!$E:$E,$A15,movements!$D:$D,"RECEIPT",movements!$C:$C,"&lt;"&amp;Y$1+1)-SUMIFS(movements!$H:$H,movements!$E:$E,$A15,movements!$D:$D,"ISSUE",movements!$C:$C,"&lt;"&amp;Y$1+1)</f>
        <v>121</v>
      </c>
      <c r="Z15">
        <f>SUMIFS(movements!$H:$H,movements!$E:$E,$A15,movements!$D:$D,"OPENING",movements!$C:$C,"&lt;"&amp;Z$1+1)+SUMIFS(movements!$H:$H,movements!$E:$E,$A15,movements!$D:$D,"RECEIPT",movements!$C:$C,"&lt;"&amp;Z$1+1)-SUMIFS(movements!$H:$H,movements!$E:$E,$A15,movements!$D:$D,"ISSUE",movements!$C:$C,"&lt;"&amp;Z$1+1)</f>
        <v>117</v>
      </c>
      <c r="AA15">
        <f>SUMIFS(movements!$H:$H,movements!$E:$E,$A15,movements!$D:$D,"OPENING",movements!$C:$C,"&lt;"&amp;AA$1+1)+SUMIFS(movements!$H:$H,movements!$E:$E,$A15,movements!$D:$D,"RECEIPT",movements!$C:$C,"&lt;"&amp;AA$1+1)-SUMIFS(movements!$H:$H,movements!$E:$E,$A15,movements!$D:$D,"ISSUE",movements!$C:$C,"&lt;"&amp;AA$1+1)</f>
        <v>117</v>
      </c>
      <c r="AB15">
        <f>SUMIFS(movements!$H:$H,movements!$E:$E,$A15,movements!$D:$D,"OPENING",movements!$C:$C,"&lt;"&amp;AB$1+1)+SUMIFS(movements!$H:$H,movements!$E:$E,$A15,movements!$D:$D,"RECEIPT",movements!$C:$C,"&lt;"&amp;AB$1+1)-SUMIFS(movements!$H:$H,movements!$E:$E,$A15,movements!$D:$D,"ISSUE",movements!$C:$C,"&lt;"&amp;AB$1+1)</f>
        <v>114</v>
      </c>
      <c r="AC15">
        <f>SUMIFS(movements!$H:$H,movements!$E:$E,$A15,movements!$D:$D,"OPENING",movements!$C:$C,"&lt;"&amp;AC$1+1)+SUMIFS(movements!$H:$H,movements!$E:$E,$A15,movements!$D:$D,"RECEIPT",movements!$C:$C,"&lt;"&amp;AC$1+1)-SUMIFS(movements!$H:$H,movements!$E:$E,$A15,movements!$D:$D,"ISSUE",movements!$C:$C,"&lt;"&amp;AC$1+1)</f>
        <v>108</v>
      </c>
      <c r="AD15">
        <f>SUMIFS(movements!$H:$H,movements!$E:$E,$A15,movements!$D:$D,"OPENING",movements!$C:$C,"&lt;"&amp;AD$1+1)+SUMIFS(movements!$H:$H,movements!$E:$E,$A15,movements!$D:$D,"RECEIPT",movements!$C:$C,"&lt;"&amp;AD$1+1)-SUMIFS(movements!$H:$H,movements!$E:$E,$A15,movements!$D:$D,"ISSUE",movements!$C:$C,"&lt;"&amp;AD$1+1)</f>
        <v>173</v>
      </c>
      <c r="AE15">
        <f>SUMIFS(movements!$H:$H,movements!$E:$E,$A15,movements!$D:$D,"OPENING",movements!$C:$C,"&lt;"&amp;AE$1+1)+SUMIFS(movements!$H:$H,movements!$E:$E,$A15,movements!$D:$D,"RECEIPT",movements!$C:$C,"&lt;"&amp;AE$1+1)-SUMIFS(movements!$H:$H,movements!$E:$E,$A15,movements!$D:$D,"ISSUE",movements!$C:$C,"&lt;"&amp;AE$1+1)</f>
        <v>173</v>
      </c>
      <c r="AF15">
        <f>SUMIFS(movements!$H:$H,movements!$E:$E,$A15,movements!$D:$D,"OPENING",movements!$C:$C,"&lt;"&amp;AF$1+1)+SUMIFS(movements!$H:$H,movements!$E:$E,$A15,movements!$D:$D,"RECEIPT",movements!$C:$C,"&lt;"&amp;AF$1+1)-SUMIFS(movements!$H:$H,movements!$E:$E,$A15,movements!$D:$D,"ISSUE",movements!$C:$C,"&lt;"&amp;AF$1+1)</f>
        <v>164</v>
      </c>
      <c r="AG15">
        <f>SUMIFS(movements!$H:$H,movements!$E:$E,$A15,movements!$D:$D,"OPENING",movements!$C:$C,"&lt;"&amp;AG$1+1)+SUMIFS(movements!$H:$H,movements!$E:$E,$A15,movements!$D:$D,"RECEIPT",movements!$C:$C,"&lt;"&amp;AG$1+1)-SUMIFS(movements!$H:$H,movements!$E:$E,$A15,movements!$D:$D,"ISSUE",movements!$C:$C,"&lt;"&amp;AG$1+1)</f>
        <v>160</v>
      </c>
      <c r="AH15">
        <f>SUMIFS(movements!$H:$H,movements!$E:$E,$A15,movements!$D:$D,"OPENING",movements!$C:$C,"&lt;"&amp;AH$1+1)+SUMIFS(movements!$H:$H,movements!$E:$E,$A15,movements!$D:$D,"RECEIPT",movements!$C:$C,"&lt;"&amp;AH$1+1)-SUMIFS(movements!$H:$H,movements!$E:$E,$A15,movements!$D:$D,"ISSUE",movements!$C:$C,"&lt;"&amp;AH$1+1)</f>
        <v>153</v>
      </c>
      <c r="AI15">
        <f>SUMIFS(movements!$H:$H,movements!$E:$E,$A15,movements!$D:$D,"OPENING",movements!$C:$C,"&lt;"&amp;AI$1+1)+SUMIFS(movements!$H:$H,movements!$E:$E,$A15,movements!$D:$D,"RECEIPT",movements!$C:$C,"&lt;"&amp;AI$1+1)-SUMIFS(movements!$H:$H,movements!$E:$E,$A15,movements!$D:$D,"ISSUE",movements!$C:$C,"&lt;"&amp;AI$1+1)</f>
        <v>146</v>
      </c>
      <c r="AJ15">
        <f>SUMIFS(movements!$H:$H,movements!$E:$E,$A15,movements!$D:$D,"OPENING",movements!$C:$C,"&lt;"&amp;AJ$1+1)+SUMIFS(movements!$H:$H,movements!$E:$E,$A15,movements!$D:$D,"RECEIPT",movements!$C:$C,"&lt;"&amp;AJ$1+1)-SUMIFS(movements!$H:$H,movements!$E:$E,$A15,movements!$D:$D,"ISSUE",movements!$C:$C,"&lt;"&amp;AJ$1+1)</f>
        <v>141</v>
      </c>
      <c r="AK15">
        <f>SUMIFS(movements!$H:$H,movements!$E:$E,$A15,movements!$D:$D,"OPENING",movements!$C:$C,"&lt;"&amp;AK$1+1)+SUMIFS(movements!$H:$H,movements!$E:$E,$A15,movements!$D:$D,"RECEIPT",movements!$C:$C,"&lt;"&amp;AK$1+1)-SUMIFS(movements!$H:$H,movements!$E:$E,$A15,movements!$D:$D,"ISSUE",movements!$C:$C,"&lt;"&amp;AK$1+1)</f>
        <v>141</v>
      </c>
      <c r="AL15">
        <f>SUMIFS(movements!$H:$H,movements!$E:$E,$A15,movements!$D:$D,"OPENING",movements!$C:$C,"&lt;"&amp;AL$1+1)+SUMIFS(movements!$H:$H,movements!$E:$E,$A15,movements!$D:$D,"RECEIPT",movements!$C:$C,"&lt;"&amp;AL$1+1)-SUMIFS(movements!$H:$H,movements!$E:$E,$A15,movements!$D:$D,"ISSUE",movements!$C:$C,"&lt;"&amp;AL$1+1)</f>
        <v>139</v>
      </c>
      <c r="AM15">
        <f>SUMIFS(movements!$H:$H,movements!$E:$E,$A15,movements!$D:$D,"OPENING",movements!$C:$C,"&lt;"&amp;AM$1+1)+SUMIFS(movements!$H:$H,movements!$E:$E,$A15,movements!$D:$D,"RECEIPT",movements!$C:$C,"&lt;"&amp;AM$1+1)-SUMIFS(movements!$H:$H,movements!$E:$E,$A15,movements!$D:$D,"ISSUE",movements!$C:$C,"&lt;"&amp;AM$1+1)</f>
        <v>136</v>
      </c>
      <c r="AN15">
        <f>SUMIFS(movements!$H:$H,movements!$E:$E,$A15,movements!$D:$D,"OPENING",movements!$C:$C,"&lt;"&amp;AN$1+1)+SUMIFS(movements!$H:$H,movements!$E:$E,$A15,movements!$D:$D,"RECEIPT",movements!$C:$C,"&lt;"&amp;AN$1+1)-SUMIFS(movements!$H:$H,movements!$E:$E,$A15,movements!$D:$D,"ISSUE",movements!$C:$C,"&lt;"&amp;AN$1+1)</f>
        <v>135</v>
      </c>
      <c r="AO15">
        <f>SUMIFS(movements!$H:$H,movements!$E:$E,$A15,movements!$D:$D,"OPENING",movements!$C:$C,"&lt;"&amp;AO$1+1)+SUMIFS(movements!$H:$H,movements!$E:$E,$A15,movements!$D:$D,"RECEIPT",movements!$C:$C,"&lt;"&amp;AO$1+1)-SUMIFS(movements!$H:$H,movements!$E:$E,$A15,movements!$D:$D,"ISSUE",movements!$C:$C,"&lt;"&amp;AO$1+1)</f>
        <v>130</v>
      </c>
      <c r="AP15">
        <f>SUMIFS(movements!$H:$H,movements!$E:$E,$A15,movements!$D:$D,"OPENING",movements!$C:$C,"&lt;"&amp;AP$1+1)+SUMIFS(movements!$H:$H,movements!$E:$E,$A15,movements!$D:$D,"RECEIPT",movements!$C:$C,"&lt;"&amp;AP$1+1)-SUMIFS(movements!$H:$H,movements!$E:$E,$A15,movements!$D:$D,"ISSUE",movements!$C:$C,"&lt;"&amp;AP$1+1)</f>
        <v>120</v>
      </c>
      <c r="AQ15">
        <f>SUMIFS(movements!$H:$H,movements!$E:$E,$A15,movements!$D:$D,"OPENING",movements!$C:$C,"&lt;"&amp;AQ$1+1)+SUMIFS(movements!$H:$H,movements!$E:$E,$A15,movements!$D:$D,"RECEIPT",movements!$C:$C,"&lt;"&amp;AQ$1+1)-SUMIFS(movements!$H:$H,movements!$E:$E,$A15,movements!$D:$D,"ISSUE",movements!$C:$C,"&lt;"&amp;AQ$1+1)</f>
        <v>117</v>
      </c>
      <c r="AR15">
        <f>SUMIFS(movements!$H:$H,movements!$E:$E,$A15,movements!$D:$D,"OPENING",movements!$C:$C,"&lt;"&amp;AR$1+1)+SUMIFS(movements!$H:$H,movements!$E:$E,$A15,movements!$D:$D,"RECEIPT",movements!$C:$C,"&lt;"&amp;AR$1+1)-SUMIFS(movements!$H:$H,movements!$E:$E,$A15,movements!$D:$D,"ISSUE",movements!$C:$C,"&lt;"&amp;AR$1+1)</f>
        <v>117</v>
      </c>
      <c r="AS15">
        <f>SUMIFS(movements!$H:$H,movements!$E:$E,$A15,movements!$D:$D,"OPENING",movements!$C:$C,"&lt;"&amp;AS$1+1)+SUMIFS(movements!$H:$H,movements!$E:$E,$A15,movements!$D:$D,"RECEIPT",movements!$C:$C,"&lt;"&amp;AS$1+1)-SUMIFS(movements!$H:$H,movements!$E:$E,$A15,movements!$D:$D,"ISSUE",movements!$C:$C,"&lt;"&amp;AS$1+1)</f>
        <v>108</v>
      </c>
      <c r="AT15">
        <f>SUMIFS(movements!$H:$H,movements!$E:$E,$A15,movements!$D:$D,"OPENING",movements!$C:$C,"&lt;"&amp;AT$1+1)+SUMIFS(movements!$H:$H,movements!$E:$E,$A15,movements!$D:$D,"RECEIPT",movements!$C:$C,"&lt;"&amp;AT$1+1)-SUMIFS(movements!$H:$H,movements!$E:$E,$A15,movements!$D:$D,"ISSUE",movements!$C:$C,"&lt;"&amp;AT$1+1)</f>
        <v>103</v>
      </c>
      <c r="AU15">
        <f>SUMIFS(movements!$H:$H,movements!$E:$E,$A15,movements!$D:$D,"OPENING",movements!$C:$C,"&lt;"&amp;AU$1+1)+SUMIFS(movements!$H:$H,movements!$E:$E,$A15,movements!$D:$D,"RECEIPT",movements!$C:$C,"&lt;"&amp;AU$1+1)-SUMIFS(movements!$H:$H,movements!$E:$E,$A15,movements!$D:$D,"ISSUE",movements!$C:$C,"&lt;"&amp;AU$1+1)</f>
        <v>98</v>
      </c>
      <c r="AV15">
        <f>SUMIFS(movements!$H:$H,movements!$E:$E,$A15,movements!$D:$D,"OPENING",movements!$C:$C,"&lt;"&amp;AV$1+1)+SUMIFS(movements!$H:$H,movements!$E:$E,$A15,movements!$D:$D,"RECEIPT",movements!$C:$C,"&lt;"&amp;AV$1+1)-SUMIFS(movements!$H:$H,movements!$E:$E,$A15,movements!$D:$D,"ISSUE",movements!$C:$C,"&lt;"&amp;AV$1+1)</f>
        <v>96</v>
      </c>
      <c r="AW15">
        <f>SUMIFS(movements!$H:$H,movements!$E:$E,$A15,movements!$D:$D,"OPENING",movements!$C:$C,"&lt;"&amp;AW$1+1)+SUMIFS(movements!$H:$H,movements!$E:$E,$A15,movements!$D:$D,"RECEIPT",movements!$C:$C,"&lt;"&amp;AW$1+1)-SUMIFS(movements!$H:$H,movements!$E:$E,$A15,movements!$D:$D,"ISSUE",movements!$C:$C,"&lt;"&amp;AW$1+1)</f>
        <v>93</v>
      </c>
      <c r="AX15">
        <f>SUMIFS(movements!$H:$H,movements!$E:$E,$A15,movements!$D:$D,"OPENING",movements!$C:$C,"&lt;"&amp;AX$1+1)+SUMIFS(movements!$H:$H,movements!$E:$E,$A15,movements!$D:$D,"RECEIPT",movements!$C:$C,"&lt;"&amp;AX$1+1)-SUMIFS(movements!$H:$H,movements!$E:$E,$A15,movements!$D:$D,"ISSUE",movements!$C:$C,"&lt;"&amp;AX$1+1)</f>
        <v>91</v>
      </c>
      <c r="AY15">
        <f>SUMIFS(movements!$H:$H,movements!$E:$E,$A15,movements!$D:$D,"OPENING",movements!$C:$C,"&lt;"&amp;AY$1+1)+SUMIFS(movements!$H:$H,movements!$E:$E,$A15,movements!$D:$D,"RECEIPT",movements!$C:$C,"&lt;"&amp;AY$1+1)-SUMIFS(movements!$H:$H,movements!$E:$E,$A15,movements!$D:$D,"ISSUE",movements!$C:$C,"&lt;"&amp;AY$1+1)</f>
        <v>169</v>
      </c>
      <c r="AZ15">
        <f>SUMIFS(movements!$H:$H,movements!$E:$E,$A15,movements!$D:$D,"OPENING",movements!$C:$C,"&lt;"&amp;AZ$1+1)+SUMIFS(movements!$H:$H,movements!$E:$E,$A15,movements!$D:$D,"RECEIPT",movements!$C:$C,"&lt;"&amp;AZ$1+1)-SUMIFS(movements!$H:$H,movements!$E:$E,$A15,movements!$D:$D,"ISSUE",movements!$C:$C,"&lt;"&amp;AZ$1+1)</f>
        <v>162</v>
      </c>
      <c r="BA15">
        <f>SUMIFS(movements!$H:$H,movements!$E:$E,$A15,movements!$D:$D,"OPENING",movements!$C:$C,"&lt;"&amp;BA$1+1)+SUMIFS(movements!$H:$H,movements!$E:$E,$A15,movements!$D:$D,"RECEIPT",movements!$C:$C,"&lt;"&amp;BA$1+1)-SUMIFS(movements!$H:$H,movements!$E:$E,$A15,movements!$D:$D,"ISSUE",movements!$C:$C,"&lt;"&amp;BA$1+1)</f>
        <v>162</v>
      </c>
      <c r="BB15">
        <f>SUMIFS(movements!$H:$H,movements!$E:$E,$A15,movements!$D:$D,"OPENING",movements!$C:$C,"&lt;"&amp;BB$1+1)+SUMIFS(movements!$H:$H,movements!$E:$E,$A15,movements!$D:$D,"RECEIPT",movements!$C:$C,"&lt;"&amp;BB$1+1)-SUMIFS(movements!$H:$H,movements!$E:$E,$A15,movements!$D:$D,"ISSUE",movements!$C:$C,"&lt;"&amp;BB$1+1)</f>
        <v>154</v>
      </c>
      <c r="BC15">
        <f>SUMIFS(movements!$H:$H,movements!$E:$E,$A15,movements!$D:$D,"OPENING",movements!$C:$C,"&lt;"&amp;BC$1+1)+SUMIFS(movements!$H:$H,movements!$E:$E,$A15,movements!$D:$D,"RECEIPT",movements!$C:$C,"&lt;"&amp;BC$1+1)-SUMIFS(movements!$H:$H,movements!$E:$E,$A15,movements!$D:$D,"ISSUE",movements!$C:$C,"&lt;"&amp;BC$1+1)</f>
        <v>150</v>
      </c>
      <c r="BD15">
        <f>SUMIFS(movements!$H:$H,movements!$E:$E,$A15,movements!$D:$D,"OPENING",movements!$C:$C,"&lt;"&amp;BD$1+1)+SUMIFS(movements!$H:$H,movements!$E:$E,$A15,movements!$D:$D,"RECEIPT",movements!$C:$C,"&lt;"&amp;BD$1+1)-SUMIFS(movements!$H:$H,movements!$E:$E,$A15,movements!$D:$D,"ISSUE",movements!$C:$C,"&lt;"&amp;BD$1+1)</f>
        <v>145</v>
      </c>
      <c r="BE15">
        <f>SUMIFS(movements!$H:$H,movements!$E:$E,$A15,movements!$D:$D,"OPENING",movements!$C:$C,"&lt;"&amp;BE$1+1)+SUMIFS(movements!$H:$H,movements!$E:$E,$A15,movements!$D:$D,"RECEIPT",movements!$C:$C,"&lt;"&amp;BE$1+1)-SUMIFS(movements!$H:$H,movements!$E:$E,$A15,movements!$D:$D,"ISSUE",movements!$C:$C,"&lt;"&amp;BE$1+1)</f>
        <v>142</v>
      </c>
      <c r="BF15">
        <f>SUMIFS(movements!$H:$H,movements!$E:$E,$A15,movements!$D:$D,"OPENING",movements!$C:$C,"&lt;"&amp;BF$1+1)+SUMIFS(movements!$H:$H,movements!$E:$E,$A15,movements!$D:$D,"RECEIPT",movements!$C:$C,"&lt;"&amp;BF$1+1)-SUMIFS(movements!$H:$H,movements!$E:$E,$A15,movements!$D:$D,"ISSUE",movements!$C:$C,"&lt;"&amp;BF$1+1)</f>
        <v>137</v>
      </c>
      <c r="BG15">
        <f>SUMIFS(movements!$H:$H,movements!$E:$E,$A15,movements!$D:$D,"OPENING",movements!$C:$C,"&lt;"&amp;BG$1+1)+SUMIFS(movements!$H:$H,movements!$E:$E,$A15,movements!$D:$D,"RECEIPT",movements!$C:$C,"&lt;"&amp;BG$1+1)-SUMIFS(movements!$H:$H,movements!$E:$E,$A15,movements!$D:$D,"ISSUE",movements!$C:$C,"&lt;"&amp;BG$1+1)</f>
        <v>129</v>
      </c>
      <c r="BH15">
        <f>SUMIFS(movements!$H:$H,movements!$E:$E,$A15,movements!$D:$D,"OPENING",movements!$C:$C,"&lt;"&amp;BH$1+1)+SUMIFS(movements!$H:$H,movements!$E:$E,$A15,movements!$D:$D,"RECEIPT",movements!$C:$C,"&lt;"&amp;BH$1+1)-SUMIFS(movements!$H:$H,movements!$E:$E,$A15,movements!$D:$D,"ISSUE",movements!$C:$C,"&lt;"&amp;BH$1+1)</f>
        <v>129</v>
      </c>
      <c r="BI15">
        <f>SUMIFS(movements!$H:$H,movements!$E:$E,$A15,movements!$D:$D,"OPENING",movements!$C:$C,"&lt;"&amp;BI$1+1)+SUMIFS(movements!$H:$H,movements!$E:$E,$A15,movements!$D:$D,"RECEIPT",movements!$C:$C,"&lt;"&amp;BI$1+1)-SUMIFS(movements!$H:$H,movements!$E:$E,$A15,movements!$D:$D,"ISSUE",movements!$C:$C,"&lt;"&amp;BI$1+1)</f>
        <v>125</v>
      </c>
      <c r="BJ15">
        <f>SUMIFS(movements!$H:$H,movements!$E:$E,$A15,movements!$D:$D,"OPENING",movements!$C:$C,"&lt;"&amp;BJ$1+1)+SUMIFS(movements!$H:$H,movements!$E:$E,$A15,movements!$D:$D,"RECEIPT",movements!$C:$C,"&lt;"&amp;BJ$1+1)-SUMIFS(movements!$H:$H,movements!$E:$E,$A15,movements!$D:$D,"ISSUE",movements!$C:$C,"&lt;"&amp;BJ$1+1)</f>
        <v>125</v>
      </c>
      <c r="BK15">
        <f>SUMIFS(movements!$H:$H,movements!$E:$E,$A15,movements!$D:$D,"OPENING",movements!$C:$C,"&lt;"&amp;BK$1+1)+SUMIFS(movements!$H:$H,movements!$E:$E,$A15,movements!$D:$D,"RECEIPT",movements!$C:$C,"&lt;"&amp;BK$1+1)-SUMIFS(movements!$H:$H,movements!$E:$E,$A15,movements!$D:$D,"ISSUE",movements!$C:$C,"&lt;"&amp;BK$1+1)</f>
        <v>119</v>
      </c>
      <c r="BL15">
        <f>SUMIFS(movements!$H:$H,movements!$E:$E,$A15,movements!$D:$D,"OPENING",movements!$C:$C,"&lt;"&amp;BL$1+1)+SUMIFS(movements!$H:$H,movements!$E:$E,$A15,movements!$D:$D,"RECEIPT",movements!$C:$C,"&lt;"&amp;BL$1+1)-SUMIFS(movements!$H:$H,movements!$E:$E,$A15,movements!$D:$D,"ISSUE",movements!$C:$C,"&lt;"&amp;BL$1+1)</f>
        <v>113</v>
      </c>
      <c r="BM15">
        <f>SUMIFS(movements!$H:$H,movements!$E:$E,$A15,movements!$D:$D,"OPENING",movements!$C:$C,"&lt;"&amp;BM$1+1)+SUMIFS(movements!$H:$H,movements!$E:$E,$A15,movements!$D:$D,"RECEIPT",movements!$C:$C,"&lt;"&amp;BM$1+1)-SUMIFS(movements!$H:$H,movements!$E:$E,$A15,movements!$D:$D,"ISSUE",movements!$C:$C,"&lt;"&amp;BM$1+1)</f>
        <v>111</v>
      </c>
      <c r="BN15">
        <f>SUMIFS(movements!$H:$H,movements!$E:$E,$A15,movements!$D:$D,"OPENING",movements!$C:$C,"&lt;"&amp;BN$1+1)+SUMIFS(movements!$H:$H,movements!$E:$E,$A15,movements!$D:$D,"RECEIPT",movements!$C:$C,"&lt;"&amp;BN$1+1)-SUMIFS(movements!$H:$H,movements!$E:$E,$A15,movements!$D:$D,"ISSUE",movements!$C:$C,"&lt;"&amp;BN$1+1)</f>
        <v>108</v>
      </c>
      <c r="BO15">
        <f>SUMIFS(movements!$H:$H,movements!$E:$E,$A15,movements!$D:$D,"OPENING",movements!$C:$C,"&lt;"&amp;BO$1+1)+SUMIFS(movements!$H:$H,movements!$E:$E,$A15,movements!$D:$D,"RECEIPT",movements!$C:$C,"&lt;"&amp;BO$1+1)-SUMIFS(movements!$H:$H,movements!$E:$E,$A15,movements!$D:$D,"ISSUE",movements!$C:$C,"&lt;"&amp;BO$1+1)</f>
        <v>104</v>
      </c>
      <c r="BP15">
        <f>SUMIFS(movements!$H:$H,movements!$E:$E,$A15,movements!$D:$D,"OPENING",movements!$C:$C,"&lt;"&amp;BP$1+1)+SUMIFS(movements!$H:$H,movements!$E:$E,$A15,movements!$D:$D,"RECEIPT",movements!$C:$C,"&lt;"&amp;BP$1+1)-SUMIFS(movements!$H:$H,movements!$E:$E,$A15,movements!$D:$D,"ISSUE",movements!$C:$C,"&lt;"&amp;BP$1+1)</f>
        <v>100</v>
      </c>
      <c r="BQ15">
        <f>SUMIFS(movements!$H:$H,movements!$E:$E,$A15,movements!$D:$D,"OPENING",movements!$C:$C,"&lt;"&amp;BQ$1+1)+SUMIFS(movements!$H:$H,movements!$E:$E,$A15,movements!$D:$D,"RECEIPT",movements!$C:$C,"&lt;"&amp;BQ$1+1)-SUMIFS(movements!$H:$H,movements!$E:$E,$A15,movements!$D:$D,"ISSUE",movements!$C:$C,"&lt;"&amp;BQ$1+1)</f>
        <v>100</v>
      </c>
      <c r="BR15">
        <f>SUMIFS(movements!$H:$H,movements!$E:$E,$A15,movements!$D:$D,"OPENING",movements!$C:$C,"&lt;"&amp;BR$1+1)+SUMIFS(movements!$H:$H,movements!$E:$E,$A15,movements!$D:$D,"RECEIPT",movements!$C:$C,"&lt;"&amp;BR$1+1)-SUMIFS(movements!$H:$H,movements!$E:$E,$A15,movements!$D:$D,"ISSUE",movements!$C:$C,"&lt;"&amp;BR$1+1)</f>
        <v>94</v>
      </c>
      <c r="BS15">
        <f>SUMIFS(movements!$H:$H,movements!$E:$E,$A15,movements!$D:$D,"OPENING",movements!$C:$C,"&lt;"&amp;BS$1+1)+SUMIFS(movements!$H:$H,movements!$E:$E,$A15,movements!$D:$D,"RECEIPT",movements!$C:$C,"&lt;"&amp;BS$1+1)-SUMIFS(movements!$H:$H,movements!$E:$E,$A15,movements!$D:$D,"ISSUE",movements!$C:$C,"&lt;"&amp;BS$1+1)</f>
        <v>91</v>
      </c>
      <c r="BT15">
        <f>SUMIFS(movements!$H:$H,movements!$E:$E,$A15,movements!$D:$D,"OPENING",movements!$C:$C,"&lt;"&amp;BT$1+1)+SUMIFS(movements!$H:$H,movements!$E:$E,$A15,movements!$D:$D,"RECEIPT",movements!$C:$C,"&lt;"&amp;BT$1+1)-SUMIFS(movements!$H:$H,movements!$E:$E,$A15,movements!$D:$D,"ISSUE",movements!$C:$C,"&lt;"&amp;BT$1+1)</f>
        <v>168</v>
      </c>
      <c r="BU15">
        <f>SUMIFS(movements!$H:$H,movements!$E:$E,$A15,movements!$D:$D,"OPENING",movements!$C:$C,"&lt;"&amp;BU$1+1)+SUMIFS(movements!$H:$H,movements!$E:$E,$A15,movements!$D:$D,"RECEIPT",movements!$C:$C,"&lt;"&amp;BU$1+1)-SUMIFS(movements!$H:$H,movements!$E:$E,$A15,movements!$D:$D,"ISSUE",movements!$C:$C,"&lt;"&amp;BU$1+1)</f>
        <v>167</v>
      </c>
      <c r="BV15">
        <f>SUMIFS(movements!$H:$H,movements!$E:$E,$A15,movements!$D:$D,"OPENING",movements!$C:$C,"&lt;"&amp;BV$1+1)+SUMIFS(movements!$H:$H,movements!$E:$E,$A15,movements!$D:$D,"RECEIPT",movements!$C:$C,"&lt;"&amp;BV$1+1)-SUMIFS(movements!$H:$H,movements!$E:$E,$A15,movements!$D:$D,"ISSUE",movements!$C:$C,"&lt;"&amp;BV$1+1)</f>
        <v>155</v>
      </c>
      <c r="BW15">
        <f>SUMIFS(movements!$H:$H,movements!$E:$E,$A15,movements!$D:$D,"OPENING",movements!$C:$C,"&lt;"&amp;BW$1+1)+SUMIFS(movements!$H:$H,movements!$E:$E,$A15,movements!$D:$D,"RECEIPT",movements!$C:$C,"&lt;"&amp;BW$1+1)-SUMIFS(movements!$H:$H,movements!$E:$E,$A15,movements!$D:$D,"ISSUE",movements!$C:$C,"&lt;"&amp;BW$1+1)</f>
        <v>151</v>
      </c>
      <c r="BX15">
        <f>SUMIFS(movements!$H:$H,movements!$E:$E,$A15,movements!$D:$D,"OPENING",movements!$C:$C,"&lt;"&amp;BX$1+1)+SUMIFS(movements!$H:$H,movements!$E:$E,$A15,movements!$D:$D,"RECEIPT",movements!$C:$C,"&lt;"&amp;BX$1+1)-SUMIFS(movements!$H:$H,movements!$E:$E,$A15,movements!$D:$D,"ISSUE",movements!$C:$C,"&lt;"&amp;BX$1+1)</f>
        <v>142</v>
      </c>
      <c r="BY15">
        <f>SUMIFS(movements!$H:$H,movements!$E:$E,$A15,movements!$D:$D,"OPENING",movements!$C:$C,"&lt;"&amp;BY$1+1)+SUMIFS(movements!$H:$H,movements!$E:$E,$A15,movements!$D:$D,"RECEIPT",movements!$C:$C,"&lt;"&amp;BY$1+1)-SUMIFS(movements!$H:$H,movements!$E:$E,$A15,movements!$D:$D,"ISSUE",movements!$C:$C,"&lt;"&amp;BY$1+1)</f>
        <v>133</v>
      </c>
      <c r="BZ15">
        <f>SUMIFS(movements!$H:$H,movements!$E:$E,$A15,movements!$D:$D,"OPENING",movements!$C:$C,"&lt;"&amp;BZ$1+1)+SUMIFS(movements!$H:$H,movements!$E:$E,$A15,movements!$D:$D,"RECEIPT",movements!$C:$C,"&lt;"&amp;BZ$1+1)-SUMIFS(movements!$H:$H,movements!$E:$E,$A15,movements!$D:$D,"ISSUE",movements!$C:$C,"&lt;"&amp;BZ$1+1)</f>
        <v>126</v>
      </c>
      <c r="CA15">
        <f>SUMIFS(movements!$H:$H,movements!$E:$E,$A15,movements!$D:$D,"OPENING",movements!$C:$C,"&lt;"&amp;CA$1+1)+SUMIFS(movements!$H:$H,movements!$E:$E,$A15,movements!$D:$D,"RECEIPT",movements!$C:$C,"&lt;"&amp;CA$1+1)-SUMIFS(movements!$H:$H,movements!$E:$E,$A15,movements!$D:$D,"ISSUE",movements!$C:$C,"&lt;"&amp;CA$1+1)</f>
        <v>108</v>
      </c>
      <c r="CB15">
        <f>SUMIFS(movements!$H:$H,movements!$E:$E,$A15,movements!$D:$D,"OPENING",movements!$C:$C,"&lt;"&amp;CB$1+1)+SUMIFS(movements!$H:$H,movements!$E:$E,$A15,movements!$D:$D,"RECEIPT",movements!$C:$C,"&lt;"&amp;CB$1+1)-SUMIFS(movements!$H:$H,movements!$E:$E,$A15,movements!$D:$D,"ISSUE",movements!$C:$C,"&lt;"&amp;CB$1+1)</f>
        <v>102</v>
      </c>
      <c r="CC15">
        <f>SUMIFS(movements!$H:$H,movements!$E:$E,$A15,movements!$D:$D,"OPENING",movements!$C:$C,"&lt;"&amp;CC$1+1)+SUMIFS(movements!$H:$H,movements!$E:$E,$A15,movements!$D:$D,"RECEIPT",movements!$C:$C,"&lt;"&amp;CC$1+1)-SUMIFS(movements!$H:$H,movements!$E:$E,$A15,movements!$D:$D,"ISSUE",movements!$C:$C,"&lt;"&amp;CC$1+1)</f>
        <v>98</v>
      </c>
      <c r="CD15">
        <f>SUMIFS(movements!$H:$H,movements!$E:$E,$A15,movements!$D:$D,"OPENING",movements!$C:$C,"&lt;"&amp;CD$1+1)+SUMIFS(movements!$H:$H,movements!$E:$E,$A15,movements!$D:$D,"RECEIPT",movements!$C:$C,"&lt;"&amp;CD$1+1)-SUMIFS(movements!$H:$H,movements!$E:$E,$A15,movements!$D:$D,"ISSUE",movements!$C:$C,"&lt;"&amp;CD$1+1)</f>
        <v>98</v>
      </c>
      <c r="CE15">
        <f>SUMIFS(movements!$H:$H,movements!$E:$E,$A15,movements!$D:$D,"OPENING",movements!$C:$C,"&lt;"&amp;CE$1+1)+SUMIFS(movements!$H:$H,movements!$E:$E,$A15,movements!$D:$D,"RECEIPT",movements!$C:$C,"&lt;"&amp;CE$1+1)-SUMIFS(movements!$H:$H,movements!$E:$E,$A15,movements!$D:$D,"ISSUE",movements!$C:$C,"&lt;"&amp;CE$1+1)</f>
        <v>94</v>
      </c>
      <c r="CF15">
        <f>SUMIFS(movements!$H:$H,movements!$E:$E,$A15,movements!$D:$D,"OPENING",movements!$C:$C,"&lt;"&amp;CF$1+1)+SUMIFS(movements!$H:$H,movements!$E:$E,$A15,movements!$D:$D,"RECEIPT",movements!$C:$C,"&lt;"&amp;CF$1+1)-SUMIFS(movements!$H:$H,movements!$E:$E,$A15,movements!$D:$D,"ISSUE",movements!$C:$C,"&lt;"&amp;CF$1+1)</f>
        <v>91</v>
      </c>
      <c r="CG15">
        <f>SUMIFS(movements!$H:$H,movements!$E:$E,$A15,movements!$D:$D,"OPENING",movements!$C:$C,"&lt;"&amp;CG$1+1)+SUMIFS(movements!$H:$H,movements!$E:$E,$A15,movements!$D:$D,"RECEIPT",movements!$C:$C,"&lt;"&amp;CG$1+1)-SUMIFS(movements!$H:$H,movements!$E:$E,$A15,movements!$D:$D,"ISSUE",movements!$C:$C,"&lt;"&amp;CG$1+1)</f>
        <v>85</v>
      </c>
      <c r="CH15">
        <f>SUMIFS(movements!$H:$H,movements!$E:$E,$A15,movements!$D:$D,"OPENING",movements!$C:$C,"&lt;"&amp;CH$1+1)+SUMIFS(movements!$H:$H,movements!$E:$E,$A15,movements!$D:$D,"RECEIPT",movements!$C:$C,"&lt;"&amp;CH$1+1)-SUMIFS(movements!$H:$H,movements!$E:$E,$A15,movements!$D:$D,"ISSUE",movements!$C:$C,"&lt;"&amp;CH$1+1)</f>
        <v>160</v>
      </c>
      <c r="CI15">
        <f>SUMIFS(movements!$H:$H,movements!$E:$E,$A15,movements!$D:$D,"OPENING",movements!$C:$C,"&lt;"&amp;CI$1+1)+SUMIFS(movements!$H:$H,movements!$E:$E,$A15,movements!$D:$D,"RECEIPT",movements!$C:$C,"&lt;"&amp;CI$1+1)-SUMIFS(movements!$H:$H,movements!$E:$E,$A15,movements!$D:$D,"ISSUE",movements!$C:$C,"&lt;"&amp;CI$1+1)</f>
        <v>157</v>
      </c>
      <c r="CJ15">
        <f>SUMIFS(movements!$H:$H,movements!$E:$E,$A15,movements!$D:$D,"OPENING",movements!$C:$C,"&lt;"&amp;CJ$1+1)+SUMIFS(movements!$H:$H,movements!$E:$E,$A15,movements!$D:$D,"RECEIPT",movements!$C:$C,"&lt;"&amp;CJ$1+1)-SUMIFS(movements!$H:$H,movements!$E:$E,$A15,movements!$D:$D,"ISSUE",movements!$C:$C,"&lt;"&amp;CJ$1+1)</f>
        <v>152</v>
      </c>
      <c r="CK15">
        <f>SUMIFS(movements!$H:$H,movements!$E:$E,$A15,movements!$D:$D,"OPENING",movements!$C:$C,"&lt;"&amp;CK$1+1)+SUMIFS(movements!$H:$H,movements!$E:$E,$A15,movements!$D:$D,"RECEIPT",movements!$C:$C,"&lt;"&amp;CK$1+1)-SUMIFS(movements!$H:$H,movements!$E:$E,$A15,movements!$D:$D,"ISSUE",movements!$C:$C,"&lt;"&amp;CK$1+1)</f>
        <v>146</v>
      </c>
      <c r="CL15">
        <f>SUMIFS(movements!$H:$H,movements!$E:$E,$A15,movements!$D:$D,"OPENING",movements!$C:$C,"&lt;"&amp;CL$1+1)+SUMIFS(movements!$H:$H,movements!$E:$E,$A15,movements!$D:$D,"RECEIPT",movements!$C:$C,"&lt;"&amp;CL$1+1)-SUMIFS(movements!$H:$H,movements!$E:$E,$A15,movements!$D:$D,"ISSUE",movements!$C:$C,"&lt;"&amp;CL$1+1)</f>
        <v>141</v>
      </c>
      <c r="CM15">
        <f>SUMIFS(movements!$H:$H,movements!$E:$E,$A15,movements!$D:$D,"OPENING",movements!$C:$C,"&lt;"&amp;CM$1+1)+SUMIFS(movements!$H:$H,movements!$E:$E,$A15,movements!$D:$D,"RECEIPT",movements!$C:$C,"&lt;"&amp;CM$1+1)-SUMIFS(movements!$H:$H,movements!$E:$E,$A15,movements!$D:$D,"ISSUE",movements!$C:$C,"&lt;"&amp;CM$1+1)</f>
        <v>131</v>
      </c>
      <c r="CN15">
        <f t="shared" si="2"/>
        <v>124.96666666666667</v>
      </c>
      <c r="CO15">
        <f>SUMIFS(movements!$H:$H,movements!$E:$E,$A15,movements!$D:$D,"ISSUE",movements!$C:$C,"&gt;="&amp;$B$1,movements!$C:$C,"&lt;"&amp;($CM$1+1))</f>
        <v>409</v>
      </c>
      <c r="CP15">
        <f t="shared" si="3"/>
        <v>3.272872766070952</v>
      </c>
      <c r="CQ15">
        <f t="shared" si="4"/>
        <v>27.498777506112472</v>
      </c>
    </row>
    <row r="16" spans="1:95" x14ac:dyDescent="0.25">
      <c r="A16" t="s">
        <v>47</v>
      </c>
      <c r="B16">
        <f>SUMIFS(movements!$H:$H,movements!$E:$E,$A16,movements!$D:$D,"OPENING",movements!$C:$C,"&lt;"&amp;B$1+1)+SUMIFS(movements!$H:$H,movements!$E:$E,$A16,movements!$D:$D,"RECEIPT",movements!$C:$C,"&lt;"&amp;B$1+1)-SUMIFS(movements!$H:$H,movements!$E:$E,$A16,movements!$D:$D,"ISSUE",movements!$C:$C,"&lt;"&amp;B$1+1)</f>
        <v>80</v>
      </c>
      <c r="C16">
        <f>SUMIFS(movements!$H:$H,movements!$E:$E,$A16,movements!$D:$D,"OPENING",movements!$C:$C,"&lt;"&amp;C$1+1)+SUMIFS(movements!$H:$H,movements!$E:$E,$A16,movements!$D:$D,"RECEIPT",movements!$C:$C,"&lt;"&amp;C$1+1)-SUMIFS(movements!$H:$H,movements!$E:$E,$A16,movements!$D:$D,"ISSUE",movements!$C:$C,"&lt;"&amp;C$1+1)</f>
        <v>73</v>
      </c>
      <c r="D16">
        <f>SUMIFS(movements!$H:$H,movements!$E:$E,$A16,movements!$D:$D,"OPENING",movements!$C:$C,"&lt;"&amp;D$1+1)+SUMIFS(movements!$H:$H,movements!$E:$E,$A16,movements!$D:$D,"RECEIPT",movements!$C:$C,"&lt;"&amp;D$1+1)-SUMIFS(movements!$H:$H,movements!$E:$E,$A16,movements!$D:$D,"ISSUE",movements!$C:$C,"&lt;"&amp;D$1+1)</f>
        <v>73</v>
      </c>
      <c r="E16">
        <f>SUMIFS(movements!$H:$H,movements!$E:$E,$A16,movements!$D:$D,"OPENING",movements!$C:$C,"&lt;"&amp;E$1+1)+SUMIFS(movements!$H:$H,movements!$E:$E,$A16,movements!$D:$D,"RECEIPT",movements!$C:$C,"&lt;"&amp;E$1+1)-SUMIFS(movements!$H:$H,movements!$E:$E,$A16,movements!$D:$D,"ISSUE",movements!$C:$C,"&lt;"&amp;E$1+1)</f>
        <v>73</v>
      </c>
      <c r="F16">
        <f>SUMIFS(movements!$H:$H,movements!$E:$E,$A16,movements!$D:$D,"OPENING",movements!$C:$C,"&lt;"&amp;F$1+1)+SUMIFS(movements!$H:$H,movements!$E:$E,$A16,movements!$D:$D,"RECEIPT",movements!$C:$C,"&lt;"&amp;F$1+1)-SUMIFS(movements!$H:$H,movements!$E:$E,$A16,movements!$D:$D,"ISSUE",movements!$C:$C,"&lt;"&amp;F$1+1)</f>
        <v>69</v>
      </c>
      <c r="G16">
        <f>SUMIFS(movements!$H:$H,movements!$E:$E,$A16,movements!$D:$D,"OPENING",movements!$C:$C,"&lt;"&amp;G$1+1)+SUMIFS(movements!$H:$H,movements!$E:$E,$A16,movements!$D:$D,"RECEIPT",movements!$C:$C,"&lt;"&amp;G$1+1)-SUMIFS(movements!$H:$H,movements!$E:$E,$A16,movements!$D:$D,"ISSUE",movements!$C:$C,"&lt;"&amp;G$1+1)</f>
        <v>67</v>
      </c>
      <c r="H16">
        <f>SUMIFS(movements!$H:$H,movements!$E:$E,$A16,movements!$D:$D,"OPENING",movements!$C:$C,"&lt;"&amp;H$1+1)+SUMIFS(movements!$H:$H,movements!$E:$E,$A16,movements!$D:$D,"RECEIPT",movements!$C:$C,"&lt;"&amp;H$1+1)-SUMIFS(movements!$H:$H,movements!$E:$E,$A16,movements!$D:$D,"ISSUE",movements!$C:$C,"&lt;"&amp;H$1+1)</f>
        <v>66</v>
      </c>
      <c r="I16">
        <f>SUMIFS(movements!$H:$H,movements!$E:$E,$A16,movements!$D:$D,"OPENING",movements!$C:$C,"&lt;"&amp;I$1+1)+SUMIFS(movements!$H:$H,movements!$E:$E,$A16,movements!$D:$D,"RECEIPT",movements!$C:$C,"&lt;"&amp;I$1+1)-SUMIFS(movements!$H:$H,movements!$E:$E,$A16,movements!$D:$D,"ISSUE",movements!$C:$C,"&lt;"&amp;I$1+1)</f>
        <v>130</v>
      </c>
      <c r="J16">
        <f>SUMIFS(movements!$H:$H,movements!$E:$E,$A16,movements!$D:$D,"OPENING",movements!$C:$C,"&lt;"&amp;J$1+1)+SUMIFS(movements!$H:$H,movements!$E:$E,$A16,movements!$D:$D,"RECEIPT",movements!$C:$C,"&lt;"&amp;J$1+1)-SUMIFS(movements!$H:$H,movements!$E:$E,$A16,movements!$D:$D,"ISSUE",movements!$C:$C,"&lt;"&amp;J$1+1)</f>
        <v>126</v>
      </c>
      <c r="K16">
        <f>SUMIFS(movements!$H:$H,movements!$E:$E,$A16,movements!$D:$D,"OPENING",movements!$C:$C,"&lt;"&amp;K$1+1)+SUMIFS(movements!$H:$H,movements!$E:$E,$A16,movements!$D:$D,"RECEIPT",movements!$C:$C,"&lt;"&amp;K$1+1)-SUMIFS(movements!$H:$H,movements!$E:$E,$A16,movements!$D:$D,"ISSUE",movements!$C:$C,"&lt;"&amp;K$1+1)</f>
        <v>116</v>
      </c>
      <c r="L16">
        <f>SUMIFS(movements!$H:$H,movements!$E:$E,$A16,movements!$D:$D,"OPENING",movements!$C:$C,"&lt;"&amp;L$1+1)+SUMIFS(movements!$H:$H,movements!$E:$E,$A16,movements!$D:$D,"RECEIPT",movements!$C:$C,"&lt;"&amp;L$1+1)-SUMIFS(movements!$H:$H,movements!$E:$E,$A16,movements!$D:$D,"ISSUE",movements!$C:$C,"&lt;"&amp;L$1+1)</f>
        <v>116</v>
      </c>
      <c r="M16">
        <f>SUMIFS(movements!$H:$H,movements!$E:$E,$A16,movements!$D:$D,"OPENING",movements!$C:$C,"&lt;"&amp;M$1+1)+SUMIFS(movements!$H:$H,movements!$E:$E,$A16,movements!$D:$D,"RECEIPT",movements!$C:$C,"&lt;"&amp;M$1+1)-SUMIFS(movements!$H:$H,movements!$E:$E,$A16,movements!$D:$D,"ISSUE",movements!$C:$C,"&lt;"&amp;M$1+1)</f>
        <v>107</v>
      </c>
      <c r="N16">
        <f>SUMIFS(movements!$H:$H,movements!$E:$E,$A16,movements!$D:$D,"OPENING",movements!$C:$C,"&lt;"&amp;N$1+1)+SUMIFS(movements!$H:$H,movements!$E:$E,$A16,movements!$D:$D,"RECEIPT",movements!$C:$C,"&lt;"&amp;N$1+1)-SUMIFS(movements!$H:$H,movements!$E:$E,$A16,movements!$D:$D,"ISSUE",movements!$C:$C,"&lt;"&amp;N$1+1)</f>
        <v>107</v>
      </c>
      <c r="O16">
        <f>SUMIFS(movements!$H:$H,movements!$E:$E,$A16,movements!$D:$D,"OPENING",movements!$C:$C,"&lt;"&amp;O$1+1)+SUMIFS(movements!$H:$H,movements!$E:$E,$A16,movements!$D:$D,"RECEIPT",movements!$C:$C,"&lt;"&amp;O$1+1)-SUMIFS(movements!$H:$H,movements!$E:$E,$A16,movements!$D:$D,"ISSUE",movements!$C:$C,"&lt;"&amp;O$1+1)</f>
        <v>105</v>
      </c>
      <c r="P16">
        <f>SUMIFS(movements!$H:$H,movements!$E:$E,$A16,movements!$D:$D,"OPENING",movements!$C:$C,"&lt;"&amp;P$1+1)+SUMIFS(movements!$H:$H,movements!$E:$E,$A16,movements!$D:$D,"RECEIPT",movements!$C:$C,"&lt;"&amp;P$1+1)-SUMIFS(movements!$H:$H,movements!$E:$E,$A16,movements!$D:$D,"ISSUE",movements!$C:$C,"&lt;"&amp;P$1+1)</f>
        <v>176</v>
      </c>
      <c r="Q16">
        <f>SUMIFS(movements!$H:$H,movements!$E:$E,$A16,movements!$D:$D,"OPENING",movements!$C:$C,"&lt;"&amp;Q$1+1)+SUMIFS(movements!$H:$H,movements!$E:$E,$A16,movements!$D:$D,"RECEIPT",movements!$C:$C,"&lt;"&amp;Q$1+1)-SUMIFS(movements!$H:$H,movements!$E:$E,$A16,movements!$D:$D,"ISSUE",movements!$C:$C,"&lt;"&amp;Q$1+1)</f>
        <v>175</v>
      </c>
      <c r="R16">
        <f>SUMIFS(movements!$H:$H,movements!$E:$E,$A16,movements!$D:$D,"OPENING",movements!$C:$C,"&lt;"&amp;R$1+1)+SUMIFS(movements!$H:$H,movements!$E:$E,$A16,movements!$D:$D,"RECEIPT",movements!$C:$C,"&lt;"&amp;R$1+1)-SUMIFS(movements!$H:$H,movements!$E:$E,$A16,movements!$D:$D,"ISSUE",movements!$C:$C,"&lt;"&amp;R$1+1)</f>
        <v>168</v>
      </c>
      <c r="S16">
        <f>SUMIFS(movements!$H:$H,movements!$E:$E,$A16,movements!$D:$D,"OPENING",movements!$C:$C,"&lt;"&amp;S$1+1)+SUMIFS(movements!$H:$H,movements!$E:$E,$A16,movements!$D:$D,"RECEIPT",movements!$C:$C,"&lt;"&amp;S$1+1)-SUMIFS(movements!$H:$H,movements!$E:$E,$A16,movements!$D:$D,"ISSUE",movements!$C:$C,"&lt;"&amp;S$1+1)</f>
        <v>165</v>
      </c>
      <c r="T16">
        <f>SUMIFS(movements!$H:$H,movements!$E:$E,$A16,movements!$D:$D,"OPENING",movements!$C:$C,"&lt;"&amp;T$1+1)+SUMIFS(movements!$H:$H,movements!$E:$E,$A16,movements!$D:$D,"RECEIPT",movements!$C:$C,"&lt;"&amp;T$1+1)-SUMIFS(movements!$H:$H,movements!$E:$E,$A16,movements!$D:$D,"ISSUE",movements!$C:$C,"&lt;"&amp;T$1+1)</f>
        <v>160</v>
      </c>
      <c r="U16">
        <f>SUMIFS(movements!$H:$H,movements!$E:$E,$A16,movements!$D:$D,"OPENING",movements!$C:$C,"&lt;"&amp;U$1+1)+SUMIFS(movements!$H:$H,movements!$E:$E,$A16,movements!$D:$D,"RECEIPT",movements!$C:$C,"&lt;"&amp;U$1+1)-SUMIFS(movements!$H:$H,movements!$E:$E,$A16,movements!$D:$D,"ISSUE",movements!$C:$C,"&lt;"&amp;U$1+1)</f>
        <v>160</v>
      </c>
      <c r="V16">
        <f>SUMIFS(movements!$H:$H,movements!$E:$E,$A16,movements!$D:$D,"OPENING",movements!$C:$C,"&lt;"&amp;V$1+1)+SUMIFS(movements!$H:$H,movements!$E:$E,$A16,movements!$D:$D,"RECEIPT",movements!$C:$C,"&lt;"&amp;V$1+1)-SUMIFS(movements!$H:$H,movements!$E:$E,$A16,movements!$D:$D,"ISSUE",movements!$C:$C,"&lt;"&amp;V$1+1)</f>
        <v>151</v>
      </c>
      <c r="W16">
        <f>SUMIFS(movements!$H:$H,movements!$E:$E,$A16,movements!$D:$D,"OPENING",movements!$C:$C,"&lt;"&amp;W$1+1)+SUMIFS(movements!$H:$H,movements!$E:$E,$A16,movements!$D:$D,"RECEIPT",movements!$C:$C,"&lt;"&amp;W$1+1)-SUMIFS(movements!$H:$H,movements!$E:$E,$A16,movements!$D:$D,"ISSUE",movements!$C:$C,"&lt;"&amp;W$1+1)</f>
        <v>151</v>
      </c>
      <c r="X16">
        <f>SUMIFS(movements!$H:$H,movements!$E:$E,$A16,movements!$D:$D,"OPENING",movements!$C:$C,"&lt;"&amp;X$1+1)+SUMIFS(movements!$H:$H,movements!$E:$E,$A16,movements!$D:$D,"RECEIPT",movements!$C:$C,"&lt;"&amp;X$1+1)-SUMIFS(movements!$H:$H,movements!$E:$E,$A16,movements!$D:$D,"ISSUE",movements!$C:$C,"&lt;"&amp;X$1+1)</f>
        <v>151</v>
      </c>
      <c r="Y16">
        <f>SUMIFS(movements!$H:$H,movements!$E:$E,$A16,movements!$D:$D,"OPENING",movements!$C:$C,"&lt;"&amp;Y$1+1)+SUMIFS(movements!$H:$H,movements!$E:$E,$A16,movements!$D:$D,"RECEIPT",movements!$C:$C,"&lt;"&amp;Y$1+1)-SUMIFS(movements!$H:$H,movements!$E:$E,$A16,movements!$D:$D,"ISSUE",movements!$C:$C,"&lt;"&amp;Y$1+1)</f>
        <v>146</v>
      </c>
      <c r="Z16">
        <f>SUMIFS(movements!$H:$H,movements!$E:$E,$A16,movements!$D:$D,"OPENING",movements!$C:$C,"&lt;"&amp;Z$1+1)+SUMIFS(movements!$H:$H,movements!$E:$E,$A16,movements!$D:$D,"RECEIPT",movements!$C:$C,"&lt;"&amp;Z$1+1)-SUMIFS(movements!$H:$H,movements!$E:$E,$A16,movements!$D:$D,"ISSUE",movements!$C:$C,"&lt;"&amp;Z$1+1)</f>
        <v>141</v>
      </c>
      <c r="AA16">
        <f>SUMIFS(movements!$H:$H,movements!$E:$E,$A16,movements!$D:$D,"OPENING",movements!$C:$C,"&lt;"&amp;AA$1+1)+SUMIFS(movements!$H:$H,movements!$E:$E,$A16,movements!$D:$D,"RECEIPT",movements!$C:$C,"&lt;"&amp;AA$1+1)-SUMIFS(movements!$H:$H,movements!$E:$E,$A16,movements!$D:$D,"ISSUE",movements!$C:$C,"&lt;"&amp;AA$1+1)</f>
        <v>131</v>
      </c>
      <c r="AB16">
        <f>SUMIFS(movements!$H:$H,movements!$E:$E,$A16,movements!$D:$D,"OPENING",movements!$C:$C,"&lt;"&amp;AB$1+1)+SUMIFS(movements!$H:$H,movements!$E:$E,$A16,movements!$D:$D,"RECEIPT",movements!$C:$C,"&lt;"&amp;AB$1+1)-SUMIFS(movements!$H:$H,movements!$E:$E,$A16,movements!$D:$D,"ISSUE",movements!$C:$C,"&lt;"&amp;AB$1+1)</f>
        <v>121</v>
      </c>
      <c r="AC16">
        <f>SUMIFS(movements!$H:$H,movements!$E:$E,$A16,movements!$D:$D,"OPENING",movements!$C:$C,"&lt;"&amp;AC$1+1)+SUMIFS(movements!$H:$H,movements!$E:$E,$A16,movements!$D:$D,"RECEIPT",movements!$C:$C,"&lt;"&amp;AC$1+1)-SUMIFS(movements!$H:$H,movements!$E:$E,$A16,movements!$D:$D,"ISSUE",movements!$C:$C,"&lt;"&amp;AC$1+1)</f>
        <v>115</v>
      </c>
      <c r="AD16">
        <f>SUMIFS(movements!$H:$H,movements!$E:$E,$A16,movements!$D:$D,"OPENING",movements!$C:$C,"&lt;"&amp;AD$1+1)+SUMIFS(movements!$H:$H,movements!$E:$E,$A16,movements!$D:$D,"RECEIPT",movements!$C:$C,"&lt;"&amp;AD$1+1)-SUMIFS(movements!$H:$H,movements!$E:$E,$A16,movements!$D:$D,"ISSUE",movements!$C:$C,"&lt;"&amp;AD$1+1)</f>
        <v>112</v>
      </c>
      <c r="AE16">
        <f>SUMIFS(movements!$H:$H,movements!$E:$E,$A16,movements!$D:$D,"OPENING",movements!$C:$C,"&lt;"&amp;AE$1+1)+SUMIFS(movements!$H:$H,movements!$E:$E,$A16,movements!$D:$D,"RECEIPT",movements!$C:$C,"&lt;"&amp;AE$1+1)-SUMIFS(movements!$H:$H,movements!$E:$E,$A16,movements!$D:$D,"ISSUE",movements!$C:$C,"&lt;"&amp;AE$1+1)</f>
        <v>110</v>
      </c>
      <c r="AF16">
        <f>SUMIFS(movements!$H:$H,movements!$E:$E,$A16,movements!$D:$D,"OPENING",movements!$C:$C,"&lt;"&amp;AF$1+1)+SUMIFS(movements!$H:$H,movements!$E:$E,$A16,movements!$D:$D,"RECEIPT",movements!$C:$C,"&lt;"&amp;AF$1+1)-SUMIFS(movements!$H:$H,movements!$E:$E,$A16,movements!$D:$D,"ISSUE",movements!$C:$C,"&lt;"&amp;AF$1+1)</f>
        <v>106</v>
      </c>
      <c r="AG16">
        <f>SUMIFS(movements!$H:$H,movements!$E:$E,$A16,movements!$D:$D,"OPENING",movements!$C:$C,"&lt;"&amp;AG$1+1)+SUMIFS(movements!$H:$H,movements!$E:$E,$A16,movements!$D:$D,"RECEIPT",movements!$C:$C,"&lt;"&amp;AG$1+1)-SUMIFS(movements!$H:$H,movements!$E:$E,$A16,movements!$D:$D,"ISSUE",movements!$C:$C,"&lt;"&amp;AG$1+1)</f>
        <v>105</v>
      </c>
      <c r="AH16">
        <f>SUMIFS(movements!$H:$H,movements!$E:$E,$A16,movements!$D:$D,"OPENING",movements!$C:$C,"&lt;"&amp;AH$1+1)+SUMIFS(movements!$H:$H,movements!$E:$E,$A16,movements!$D:$D,"RECEIPT",movements!$C:$C,"&lt;"&amp;AH$1+1)-SUMIFS(movements!$H:$H,movements!$E:$E,$A16,movements!$D:$D,"ISSUE",movements!$C:$C,"&lt;"&amp;AH$1+1)</f>
        <v>98</v>
      </c>
      <c r="AI16">
        <f>SUMIFS(movements!$H:$H,movements!$E:$E,$A16,movements!$D:$D,"OPENING",movements!$C:$C,"&lt;"&amp;AI$1+1)+SUMIFS(movements!$H:$H,movements!$E:$E,$A16,movements!$D:$D,"RECEIPT",movements!$C:$C,"&lt;"&amp;AI$1+1)-SUMIFS(movements!$H:$H,movements!$E:$E,$A16,movements!$D:$D,"ISSUE",movements!$C:$C,"&lt;"&amp;AI$1+1)</f>
        <v>88</v>
      </c>
      <c r="AJ16">
        <f>SUMIFS(movements!$H:$H,movements!$E:$E,$A16,movements!$D:$D,"OPENING",movements!$C:$C,"&lt;"&amp;AJ$1+1)+SUMIFS(movements!$H:$H,movements!$E:$E,$A16,movements!$D:$D,"RECEIPT",movements!$C:$C,"&lt;"&amp;AJ$1+1)-SUMIFS(movements!$H:$H,movements!$E:$E,$A16,movements!$D:$D,"ISSUE",movements!$C:$C,"&lt;"&amp;AJ$1+1)</f>
        <v>87</v>
      </c>
      <c r="AK16">
        <f>SUMIFS(movements!$H:$H,movements!$E:$E,$A16,movements!$D:$D,"OPENING",movements!$C:$C,"&lt;"&amp;AK$1+1)+SUMIFS(movements!$H:$H,movements!$E:$E,$A16,movements!$D:$D,"RECEIPT",movements!$C:$C,"&lt;"&amp;AK$1+1)-SUMIFS(movements!$H:$H,movements!$E:$E,$A16,movements!$D:$D,"ISSUE",movements!$C:$C,"&lt;"&amp;AK$1+1)</f>
        <v>161</v>
      </c>
      <c r="AL16">
        <f>SUMIFS(movements!$H:$H,movements!$E:$E,$A16,movements!$D:$D,"OPENING",movements!$C:$C,"&lt;"&amp;AL$1+1)+SUMIFS(movements!$H:$H,movements!$E:$E,$A16,movements!$D:$D,"RECEIPT",movements!$C:$C,"&lt;"&amp;AL$1+1)-SUMIFS(movements!$H:$H,movements!$E:$E,$A16,movements!$D:$D,"ISSUE",movements!$C:$C,"&lt;"&amp;AL$1+1)</f>
        <v>155</v>
      </c>
      <c r="AM16">
        <f>SUMIFS(movements!$H:$H,movements!$E:$E,$A16,movements!$D:$D,"OPENING",movements!$C:$C,"&lt;"&amp;AM$1+1)+SUMIFS(movements!$H:$H,movements!$E:$E,$A16,movements!$D:$D,"RECEIPT",movements!$C:$C,"&lt;"&amp;AM$1+1)-SUMIFS(movements!$H:$H,movements!$E:$E,$A16,movements!$D:$D,"ISSUE",movements!$C:$C,"&lt;"&amp;AM$1+1)</f>
        <v>155</v>
      </c>
      <c r="AN16">
        <f>SUMIFS(movements!$H:$H,movements!$E:$E,$A16,movements!$D:$D,"OPENING",movements!$C:$C,"&lt;"&amp;AN$1+1)+SUMIFS(movements!$H:$H,movements!$E:$E,$A16,movements!$D:$D,"RECEIPT",movements!$C:$C,"&lt;"&amp;AN$1+1)-SUMIFS(movements!$H:$H,movements!$E:$E,$A16,movements!$D:$D,"ISSUE",movements!$C:$C,"&lt;"&amp;AN$1+1)</f>
        <v>147</v>
      </c>
      <c r="AO16">
        <f>SUMIFS(movements!$H:$H,movements!$E:$E,$A16,movements!$D:$D,"OPENING",movements!$C:$C,"&lt;"&amp;AO$1+1)+SUMIFS(movements!$H:$H,movements!$E:$E,$A16,movements!$D:$D,"RECEIPT",movements!$C:$C,"&lt;"&amp;AO$1+1)-SUMIFS(movements!$H:$H,movements!$E:$E,$A16,movements!$D:$D,"ISSUE",movements!$C:$C,"&lt;"&amp;AO$1+1)</f>
        <v>142</v>
      </c>
      <c r="AP16">
        <f>SUMIFS(movements!$H:$H,movements!$E:$E,$A16,movements!$D:$D,"OPENING",movements!$C:$C,"&lt;"&amp;AP$1+1)+SUMIFS(movements!$H:$H,movements!$E:$E,$A16,movements!$D:$D,"RECEIPT",movements!$C:$C,"&lt;"&amp;AP$1+1)-SUMIFS(movements!$H:$H,movements!$E:$E,$A16,movements!$D:$D,"ISSUE",movements!$C:$C,"&lt;"&amp;AP$1+1)</f>
        <v>137</v>
      </c>
      <c r="AQ16">
        <f>SUMIFS(movements!$H:$H,movements!$E:$E,$A16,movements!$D:$D,"OPENING",movements!$C:$C,"&lt;"&amp;AQ$1+1)+SUMIFS(movements!$H:$H,movements!$E:$E,$A16,movements!$D:$D,"RECEIPT",movements!$C:$C,"&lt;"&amp;AQ$1+1)-SUMIFS(movements!$H:$H,movements!$E:$E,$A16,movements!$D:$D,"ISSUE",movements!$C:$C,"&lt;"&amp;AQ$1+1)</f>
        <v>130</v>
      </c>
      <c r="AR16">
        <f>SUMIFS(movements!$H:$H,movements!$E:$E,$A16,movements!$D:$D,"OPENING",movements!$C:$C,"&lt;"&amp;AR$1+1)+SUMIFS(movements!$H:$H,movements!$E:$E,$A16,movements!$D:$D,"RECEIPT",movements!$C:$C,"&lt;"&amp;AR$1+1)-SUMIFS(movements!$H:$H,movements!$E:$E,$A16,movements!$D:$D,"ISSUE",movements!$C:$C,"&lt;"&amp;AR$1+1)</f>
        <v>129</v>
      </c>
      <c r="AS16">
        <f>SUMIFS(movements!$H:$H,movements!$E:$E,$A16,movements!$D:$D,"OPENING",movements!$C:$C,"&lt;"&amp;AS$1+1)+SUMIFS(movements!$H:$H,movements!$E:$E,$A16,movements!$D:$D,"RECEIPT",movements!$C:$C,"&lt;"&amp;AS$1+1)-SUMIFS(movements!$H:$H,movements!$E:$E,$A16,movements!$D:$D,"ISSUE",movements!$C:$C,"&lt;"&amp;AS$1+1)</f>
        <v>121</v>
      </c>
      <c r="AT16">
        <f>SUMIFS(movements!$H:$H,movements!$E:$E,$A16,movements!$D:$D,"OPENING",movements!$C:$C,"&lt;"&amp;AT$1+1)+SUMIFS(movements!$H:$H,movements!$E:$E,$A16,movements!$D:$D,"RECEIPT",movements!$C:$C,"&lt;"&amp;AT$1+1)-SUMIFS(movements!$H:$H,movements!$E:$E,$A16,movements!$D:$D,"ISSUE",movements!$C:$C,"&lt;"&amp;AT$1+1)</f>
        <v>111</v>
      </c>
      <c r="AU16">
        <f>SUMIFS(movements!$H:$H,movements!$E:$E,$A16,movements!$D:$D,"OPENING",movements!$C:$C,"&lt;"&amp;AU$1+1)+SUMIFS(movements!$H:$H,movements!$E:$E,$A16,movements!$D:$D,"RECEIPT",movements!$C:$C,"&lt;"&amp;AU$1+1)-SUMIFS(movements!$H:$H,movements!$E:$E,$A16,movements!$D:$D,"ISSUE",movements!$C:$C,"&lt;"&amp;AU$1+1)</f>
        <v>103</v>
      </c>
      <c r="AV16">
        <f>SUMIFS(movements!$H:$H,movements!$E:$E,$A16,movements!$D:$D,"OPENING",movements!$C:$C,"&lt;"&amp;AV$1+1)+SUMIFS(movements!$H:$H,movements!$E:$E,$A16,movements!$D:$D,"RECEIPT",movements!$C:$C,"&lt;"&amp;AV$1+1)-SUMIFS(movements!$H:$H,movements!$E:$E,$A16,movements!$D:$D,"ISSUE",movements!$C:$C,"&lt;"&amp;AV$1+1)</f>
        <v>97</v>
      </c>
      <c r="AW16">
        <f>SUMIFS(movements!$H:$H,movements!$E:$E,$A16,movements!$D:$D,"OPENING",movements!$C:$C,"&lt;"&amp;AW$1+1)+SUMIFS(movements!$H:$H,movements!$E:$E,$A16,movements!$D:$D,"RECEIPT",movements!$C:$C,"&lt;"&amp;AW$1+1)-SUMIFS(movements!$H:$H,movements!$E:$E,$A16,movements!$D:$D,"ISSUE",movements!$C:$C,"&lt;"&amp;AW$1+1)</f>
        <v>90</v>
      </c>
      <c r="AX16">
        <f>SUMIFS(movements!$H:$H,movements!$E:$E,$A16,movements!$D:$D,"OPENING",movements!$C:$C,"&lt;"&amp;AX$1+1)+SUMIFS(movements!$H:$H,movements!$E:$E,$A16,movements!$D:$D,"RECEIPT",movements!$C:$C,"&lt;"&amp;AX$1+1)-SUMIFS(movements!$H:$H,movements!$E:$E,$A16,movements!$D:$D,"ISSUE",movements!$C:$C,"&lt;"&amp;AX$1+1)</f>
        <v>89</v>
      </c>
      <c r="AY16">
        <f>SUMIFS(movements!$H:$H,movements!$E:$E,$A16,movements!$D:$D,"OPENING",movements!$C:$C,"&lt;"&amp;AY$1+1)+SUMIFS(movements!$H:$H,movements!$E:$E,$A16,movements!$D:$D,"RECEIPT",movements!$C:$C,"&lt;"&amp;AY$1+1)-SUMIFS(movements!$H:$H,movements!$E:$E,$A16,movements!$D:$D,"ISSUE",movements!$C:$C,"&lt;"&amp;AY$1+1)</f>
        <v>148</v>
      </c>
      <c r="AZ16">
        <f>SUMIFS(movements!$H:$H,movements!$E:$E,$A16,movements!$D:$D,"OPENING",movements!$C:$C,"&lt;"&amp;AZ$1+1)+SUMIFS(movements!$H:$H,movements!$E:$E,$A16,movements!$D:$D,"RECEIPT",movements!$C:$C,"&lt;"&amp;AZ$1+1)-SUMIFS(movements!$H:$H,movements!$E:$E,$A16,movements!$D:$D,"ISSUE",movements!$C:$C,"&lt;"&amp;AZ$1+1)</f>
        <v>139</v>
      </c>
      <c r="BA16">
        <f>SUMIFS(movements!$H:$H,movements!$E:$E,$A16,movements!$D:$D,"OPENING",movements!$C:$C,"&lt;"&amp;BA$1+1)+SUMIFS(movements!$H:$H,movements!$E:$E,$A16,movements!$D:$D,"RECEIPT",movements!$C:$C,"&lt;"&amp;BA$1+1)-SUMIFS(movements!$H:$H,movements!$E:$E,$A16,movements!$D:$D,"ISSUE",movements!$C:$C,"&lt;"&amp;BA$1+1)</f>
        <v>134</v>
      </c>
      <c r="BB16">
        <f>SUMIFS(movements!$H:$H,movements!$E:$E,$A16,movements!$D:$D,"OPENING",movements!$C:$C,"&lt;"&amp;BB$1+1)+SUMIFS(movements!$H:$H,movements!$E:$E,$A16,movements!$D:$D,"RECEIPT",movements!$C:$C,"&lt;"&amp;BB$1+1)-SUMIFS(movements!$H:$H,movements!$E:$E,$A16,movements!$D:$D,"ISSUE",movements!$C:$C,"&lt;"&amp;BB$1+1)</f>
        <v>128</v>
      </c>
      <c r="BC16">
        <f>SUMIFS(movements!$H:$H,movements!$E:$E,$A16,movements!$D:$D,"OPENING",movements!$C:$C,"&lt;"&amp;BC$1+1)+SUMIFS(movements!$H:$H,movements!$E:$E,$A16,movements!$D:$D,"RECEIPT",movements!$C:$C,"&lt;"&amp;BC$1+1)-SUMIFS(movements!$H:$H,movements!$E:$E,$A16,movements!$D:$D,"ISSUE",movements!$C:$C,"&lt;"&amp;BC$1+1)</f>
        <v>124</v>
      </c>
      <c r="BD16">
        <f>SUMIFS(movements!$H:$H,movements!$E:$E,$A16,movements!$D:$D,"OPENING",movements!$C:$C,"&lt;"&amp;BD$1+1)+SUMIFS(movements!$H:$H,movements!$E:$E,$A16,movements!$D:$D,"RECEIPT",movements!$C:$C,"&lt;"&amp;BD$1+1)-SUMIFS(movements!$H:$H,movements!$E:$E,$A16,movements!$D:$D,"ISSUE",movements!$C:$C,"&lt;"&amp;BD$1+1)</f>
        <v>106</v>
      </c>
      <c r="BE16">
        <f>SUMIFS(movements!$H:$H,movements!$E:$E,$A16,movements!$D:$D,"OPENING",movements!$C:$C,"&lt;"&amp;BE$1+1)+SUMIFS(movements!$H:$H,movements!$E:$E,$A16,movements!$D:$D,"RECEIPT",movements!$C:$C,"&lt;"&amp;BE$1+1)-SUMIFS(movements!$H:$H,movements!$E:$E,$A16,movements!$D:$D,"ISSUE",movements!$C:$C,"&lt;"&amp;BE$1+1)</f>
        <v>98</v>
      </c>
      <c r="BF16">
        <f>SUMIFS(movements!$H:$H,movements!$E:$E,$A16,movements!$D:$D,"OPENING",movements!$C:$C,"&lt;"&amp;BF$1+1)+SUMIFS(movements!$H:$H,movements!$E:$E,$A16,movements!$D:$D,"RECEIPT",movements!$C:$C,"&lt;"&amp;BF$1+1)-SUMIFS(movements!$H:$H,movements!$E:$E,$A16,movements!$D:$D,"ISSUE",movements!$C:$C,"&lt;"&amp;BF$1+1)</f>
        <v>188</v>
      </c>
      <c r="BG16">
        <f>SUMIFS(movements!$H:$H,movements!$E:$E,$A16,movements!$D:$D,"OPENING",movements!$C:$C,"&lt;"&amp;BG$1+1)+SUMIFS(movements!$H:$H,movements!$E:$E,$A16,movements!$D:$D,"RECEIPT",movements!$C:$C,"&lt;"&amp;BG$1+1)-SUMIFS(movements!$H:$H,movements!$E:$E,$A16,movements!$D:$D,"ISSUE",movements!$C:$C,"&lt;"&amp;BG$1+1)</f>
        <v>181</v>
      </c>
      <c r="BH16">
        <f>SUMIFS(movements!$H:$H,movements!$E:$E,$A16,movements!$D:$D,"OPENING",movements!$C:$C,"&lt;"&amp;BH$1+1)+SUMIFS(movements!$H:$H,movements!$E:$E,$A16,movements!$D:$D,"RECEIPT",movements!$C:$C,"&lt;"&amp;BH$1+1)-SUMIFS(movements!$H:$H,movements!$E:$E,$A16,movements!$D:$D,"ISSUE",movements!$C:$C,"&lt;"&amp;BH$1+1)</f>
        <v>173</v>
      </c>
      <c r="BI16">
        <f>SUMIFS(movements!$H:$H,movements!$E:$E,$A16,movements!$D:$D,"OPENING",movements!$C:$C,"&lt;"&amp;BI$1+1)+SUMIFS(movements!$H:$H,movements!$E:$E,$A16,movements!$D:$D,"RECEIPT",movements!$C:$C,"&lt;"&amp;BI$1+1)-SUMIFS(movements!$H:$H,movements!$E:$E,$A16,movements!$D:$D,"ISSUE",movements!$C:$C,"&lt;"&amp;BI$1+1)</f>
        <v>169</v>
      </c>
      <c r="BJ16">
        <f>SUMIFS(movements!$H:$H,movements!$E:$E,$A16,movements!$D:$D,"OPENING",movements!$C:$C,"&lt;"&amp;BJ$1+1)+SUMIFS(movements!$H:$H,movements!$E:$E,$A16,movements!$D:$D,"RECEIPT",movements!$C:$C,"&lt;"&amp;BJ$1+1)-SUMIFS(movements!$H:$H,movements!$E:$E,$A16,movements!$D:$D,"ISSUE",movements!$C:$C,"&lt;"&amp;BJ$1+1)</f>
        <v>160</v>
      </c>
      <c r="BK16">
        <f>SUMIFS(movements!$H:$H,movements!$E:$E,$A16,movements!$D:$D,"OPENING",movements!$C:$C,"&lt;"&amp;BK$1+1)+SUMIFS(movements!$H:$H,movements!$E:$E,$A16,movements!$D:$D,"RECEIPT",movements!$C:$C,"&lt;"&amp;BK$1+1)-SUMIFS(movements!$H:$H,movements!$E:$E,$A16,movements!$D:$D,"ISSUE",movements!$C:$C,"&lt;"&amp;BK$1+1)</f>
        <v>155</v>
      </c>
      <c r="BL16">
        <f>SUMIFS(movements!$H:$H,movements!$E:$E,$A16,movements!$D:$D,"OPENING",movements!$C:$C,"&lt;"&amp;BL$1+1)+SUMIFS(movements!$H:$H,movements!$E:$E,$A16,movements!$D:$D,"RECEIPT",movements!$C:$C,"&lt;"&amp;BL$1+1)-SUMIFS(movements!$H:$H,movements!$E:$E,$A16,movements!$D:$D,"ISSUE",movements!$C:$C,"&lt;"&amp;BL$1+1)</f>
        <v>149</v>
      </c>
      <c r="BM16">
        <f>SUMIFS(movements!$H:$H,movements!$E:$E,$A16,movements!$D:$D,"OPENING",movements!$C:$C,"&lt;"&amp;BM$1+1)+SUMIFS(movements!$H:$H,movements!$E:$E,$A16,movements!$D:$D,"RECEIPT",movements!$C:$C,"&lt;"&amp;BM$1+1)-SUMIFS(movements!$H:$H,movements!$E:$E,$A16,movements!$D:$D,"ISSUE",movements!$C:$C,"&lt;"&amp;BM$1+1)</f>
        <v>147</v>
      </c>
      <c r="BN16">
        <f>SUMIFS(movements!$H:$H,movements!$E:$E,$A16,movements!$D:$D,"OPENING",movements!$C:$C,"&lt;"&amp;BN$1+1)+SUMIFS(movements!$H:$H,movements!$E:$E,$A16,movements!$D:$D,"RECEIPT",movements!$C:$C,"&lt;"&amp;BN$1+1)-SUMIFS(movements!$H:$H,movements!$E:$E,$A16,movements!$D:$D,"ISSUE",movements!$C:$C,"&lt;"&amp;BN$1+1)</f>
        <v>147</v>
      </c>
      <c r="BO16">
        <f>SUMIFS(movements!$H:$H,movements!$E:$E,$A16,movements!$D:$D,"OPENING",movements!$C:$C,"&lt;"&amp;BO$1+1)+SUMIFS(movements!$H:$H,movements!$E:$E,$A16,movements!$D:$D,"RECEIPT",movements!$C:$C,"&lt;"&amp;BO$1+1)-SUMIFS(movements!$H:$H,movements!$E:$E,$A16,movements!$D:$D,"ISSUE",movements!$C:$C,"&lt;"&amp;BO$1+1)</f>
        <v>139</v>
      </c>
      <c r="BP16">
        <f>SUMIFS(movements!$H:$H,movements!$E:$E,$A16,movements!$D:$D,"OPENING",movements!$C:$C,"&lt;"&amp;BP$1+1)+SUMIFS(movements!$H:$H,movements!$E:$E,$A16,movements!$D:$D,"RECEIPT",movements!$C:$C,"&lt;"&amp;BP$1+1)-SUMIFS(movements!$H:$H,movements!$E:$E,$A16,movements!$D:$D,"ISSUE",movements!$C:$C,"&lt;"&amp;BP$1+1)</f>
        <v>134</v>
      </c>
      <c r="BQ16">
        <f>SUMIFS(movements!$H:$H,movements!$E:$E,$A16,movements!$D:$D,"OPENING",movements!$C:$C,"&lt;"&amp;BQ$1+1)+SUMIFS(movements!$H:$H,movements!$E:$E,$A16,movements!$D:$D,"RECEIPT",movements!$C:$C,"&lt;"&amp;BQ$1+1)-SUMIFS(movements!$H:$H,movements!$E:$E,$A16,movements!$D:$D,"ISSUE",movements!$C:$C,"&lt;"&amp;BQ$1+1)</f>
        <v>130</v>
      </c>
      <c r="BR16">
        <f>SUMIFS(movements!$H:$H,movements!$E:$E,$A16,movements!$D:$D,"OPENING",movements!$C:$C,"&lt;"&amp;BR$1+1)+SUMIFS(movements!$H:$H,movements!$E:$E,$A16,movements!$D:$D,"RECEIPT",movements!$C:$C,"&lt;"&amp;BR$1+1)-SUMIFS(movements!$H:$H,movements!$E:$E,$A16,movements!$D:$D,"ISSUE",movements!$C:$C,"&lt;"&amp;BR$1+1)</f>
        <v>123</v>
      </c>
      <c r="BS16">
        <f>SUMIFS(movements!$H:$H,movements!$E:$E,$A16,movements!$D:$D,"OPENING",movements!$C:$C,"&lt;"&amp;BS$1+1)+SUMIFS(movements!$H:$H,movements!$E:$E,$A16,movements!$D:$D,"RECEIPT",movements!$C:$C,"&lt;"&amp;BS$1+1)-SUMIFS(movements!$H:$H,movements!$E:$E,$A16,movements!$D:$D,"ISSUE",movements!$C:$C,"&lt;"&amp;BS$1+1)</f>
        <v>119</v>
      </c>
      <c r="BT16">
        <f>SUMIFS(movements!$H:$H,movements!$E:$E,$A16,movements!$D:$D,"OPENING",movements!$C:$C,"&lt;"&amp;BT$1+1)+SUMIFS(movements!$H:$H,movements!$E:$E,$A16,movements!$D:$D,"RECEIPT",movements!$C:$C,"&lt;"&amp;BT$1+1)-SUMIFS(movements!$H:$H,movements!$E:$E,$A16,movements!$D:$D,"ISSUE",movements!$C:$C,"&lt;"&amp;BT$1+1)</f>
        <v>119</v>
      </c>
      <c r="BU16">
        <f>SUMIFS(movements!$H:$H,movements!$E:$E,$A16,movements!$D:$D,"OPENING",movements!$C:$C,"&lt;"&amp;BU$1+1)+SUMIFS(movements!$H:$H,movements!$E:$E,$A16,movements!$D:$D,"RECEIPT",movements!$C:$C,"&lt;"&amp;BU$1+1)-SUMIFS(movements!$H:$H,movements!$E:$E,$A16,movements!$D:$D,"ISSUE",movements!$C:$C,"&lt;"&amp;BU$1+1)</f>
        <v>115</v>
      </c>
      <c r="BV16">
        <f>SUMIFS(movements!$H:$H,movements!$E:$E,$A16,movements!$D:$D,"OPENING",movements!$C:$C,"&lt;"&amp;BV$1+1)+SUMIFS(movements!$H:$H,movements!$E:$E,$A16,movements!$D:$D,"RECEIPT",movements!$C:$C,"&lt;"&amp;BV$1+1)-SUMIFS(movements!$H:$H,movements!$E:$E,$A16,movements!$D:$D,"ISSUE",movements!$C:$C,"&lt;"&amp;BV$1+1)</f>
        <v>109</v>
      </c>
      <c r="BW16">
        <f>SUMIFS(movements!$H:$H,movements!$E:$E,$A16,movements!$D:$D,"OPENING",movements!$C:$C,"&lt;"&amp;BW$1+1)+SUMIFS(movements!$H:$H,movements!$E:$E,$A16,movements!$D:$D,"RECEIPT",movements!$C:$C,"&lt;"&amp;BW$1+1)-SUMIFS(movements!$H:$H,movements!$E:$E,$A16,movements!$D:$D,"ISSUE",movements!$C:$C,"&lt;"&amp;BW$1+1)</f>
        <v>107</v>
      </c>
      <c r="BX16">
        <f>SUMIFS(movements!$H:$H,movements!$E:$E,$A16,movements!$D:$D,"OPENING",movements!$C:$C,"&lt;"&amp;BX$1+1)+SUMIFS(movements!$H:$H,movements!$E:$E,$A16,movements!$D:$D,"RECEIPT",movements!$C:$C,"&lt;"&amp;BX$1+1)-SUMIFS(movements!$H:$H,movements!$E:$E,$A16,movements!$D:$D,"ISSUE",movements!$C:$C,"&lt;"&amp;BX$1+1)</f>
        <v>102</v>
      </c>
      <c r="BY16">
        <f>SUMIFS(movements!$H:$H,movements!$E:$E,$A16,movements!$D:$D,"OPENING",movements!$C:$C,"&lt;"&amp;BY$1+1)+SUMIFS(movements!$H:$H,movements!$E:$E,$A16,movements!$D:$D,"RECEIPT",movements!$C:$C,"&lt;"&amp;BY$1+1)-SUMIFS(movements!$H:$H,movements!$E:$E,$A16,movements!$D:$D,"ISSUE",movements!$C:$C,"&lt;"&amp;BY$1+1)</f>
        <v>96</v>
      </c>
      <c r="BZ16">
        <f>SUMIFS(movements!$H:$H,movements!$E:$E,$A16,movements!$D:$D,"OPENING",movements!$C:$C,"&lt;"&amp;BZ$1+1)+SUMIFS(movements!$H:$H,movements!$E:$E,$A16,movements!$D:$D,"RECEIPT",movements!$C:$C,"&lt;"&amp;BZ$1+1)-SUMIFS(movements!$H:$H,movements!$E:$E,$A16,movements!$D:$D,"ISSUE",movements!$C:$C,"&lt;"&amp;BZ$1+1)</f>
        <v>89</v>
      </c>
      <c r="CA16">
        <f>SUMIFS(movements!$H:$H,movements!$E:$E,$A16,movements!$D:$D,"OPENING",movements!$C:$C,"&lt;"&amp;CA$1+1)+SUMIFS(movements!$H:$H,movements!$E:$E,$A16,movements!$D:$D,"RECEIPT",movements!$C:$C,"&lt;"&amp;CA$1+1)-SUMIFS(movements!$H:$H,movements!$E:$E,$A16,movements!$D:$D,"ISSUE",movements!$C:$C,"&lt;"&amp;CA$1+1)</f>
        <v>149</v>
      </c>
      <c r="CB16">
        <f>SUMIFS(movements!$H:$H,movements!$E:$E,$A16,movements!$D:$D,"OPENING",movements!$C:$C,"&lt;"&amp;CB$1+1)+SUMIFS(movements!$H:$H,movements!$E:$E,$A16,movements!$D:$D,"RECEIPT",movements!$C:$C,"&lt;"&amp;CB$1+1)-SUMIFS(movements!$H:$H,movements!$E:$E,$A16,movements!$D:$D,"ISSUE",movements!$C:$C,"&lt;"&amp;CB$1+1)</f>
        <v>146</v>
      </c>
      <c r="CC16">
        <f>SUMIFS(movements!$H:$H,movements!$E:$E,$A16,movements!$D:$D,"OPENING",movements!$C:$C,"&lt;"&amp;CC$1+1)+SUMIFS(movements!$H:$H,movements!$E:$E,$A16,movements!$D:$D,"RECEIPT",movements!$C:$C,"&lt;"&amp;CC$1+1)-SUMIFS(movements!$H:$H,movements!$E:$E,$A16,movements!$D:$D,"ISSUE",movements!$C:$C,"&lt;"&amp;CC$1+1)</f>
        <v>142</v>
      </c>
      <c r="CD16">
        <f>SUMIFS(movements!$H:$H,movements!$E:$E,$A16,movements!$D:$D,"OPENING",movements!$C:$C,"&lt;"&amp;CD$1+1)+SUMIFS(movements!$H:$H,movements!$E:$E,$A16,movements!$D:$D,"RECEIPT",movements!$C:$C,"&lt;"&amp;CD$1+1)-SUMIFS(movements!$H:$H,movements!$E:$E,$A16,movements!$D:$D,"ISSUE",movements!$C:$C,"&lt;"&amp;CD$1+1)</f>
        <v>139</v>
      </c>
      <c r="CE16">
        <f>SUMIFS(movements!$H:$H,movements!$E:$E,$A16,movements!$D:$D,"OPENING",movements!$C:$C,"&lt;"&amp;CE$1+1)+SUMIFS(movements!$H:$H,movements!$E:$E,$A16,movements!$D:$D,"RECEIPT",movements!$C:$C,"&lt;"&amp;CE$1+1)-SUMIFS(movements!$H:$H,movements!$E:$E,$A16,movements!$D:$D,"ISSUE",movements!$C:$C,"&lt;"&amp;CE$1+1)</f>
        <v>139</v>
      </c>
      <c r="CF16">
        <f>SUMIFS(movements!$H:$H,movements!$E:$E,$A16,movements!$D:$D,"OPENING",movements!$C:$C,"&lt;"&amp;CF$1+1)+SUMIFS(movements!$H:$H,movements!$E:$E,$A16,movements!$D:$D,"RECEIPT",movements!$C:$C,"&lt;"&amp;CF$1+1)-SUMIFS(movements!$H:$H,movements!$E:$E,$A16,movements!$D:$D,"ISSUE",movements!$C:$C,"&lt;"&amp;CF$1+1)</f>
        <v>131</v>
      </c>
      <c r="CG16">
        <f>SUMIFS(movements!$H:$H,movements!$E:$E,$A16,movements!$D:$D,"OPENING",movements!$C:$C,"&lt;"&amp;CG$1+1)+SUMIFS(movements!$H:$H,movements!$E:$E,$A16,movements!$D:$D,"RECEIPT",movements!$C:$C,"&lt;"&amp;CG$1+1)-SUMIFS(movements!$H:$H,movements!$E:$E,$A16,movements!$D:$D,"ISSUE",movements!$C:$C,"&lt;"&amp;CG$1+1)</f>
        <v>131</v>
      </c>
      <c r="CH16">
        <f>SUMIFS(movements!$H:$H,movements!$E:$E,$A16,movements!$D:$D,"OPENING",movements!$C:$C,"&lt;"&amp;CH$1+1)+SUMIFS(movements!$H:$H,movements!$E:$E,$A16,movements!$D:$D,"RECEIPT",movements!$C:$C,"&lt;"&amp;CH$1+1)-SUMIFS(movements!$H:$H,movements!$E:$E,$A16,movements!$D:$D,"ISSUE",movements!$C:$C,"&lt;"&amp;CH$1+1)</f>
        <v>125</v>
      </c>
      <c r="CI16">
        <f>SUMIFS(movements!$H:$H,movements!$E:$E,$A16,movements!$D:$D,"OPENING",movements!$C:$C,"&lt;"&amp;CI$1+1)+SUMIFS(movements!$H:$H,movements!$E:$E,$A16,movements!$D:$D,"RECEIPT",movements!$C:$C,"&lt;"&amp;CI$1+1)-SUMIFS(movements!$H:$H,movements!$E:$E,$A16,movements!$D:$D,"ISSUE",movements!$C:$C,"&lt;"&amp;CI$1+1)</f>
        <v>124</v>
      </c>
      <c r="CJ16">
        <f>SUMIFS(movements!$H:$H,movements!$E:$E,$A16,movements!$D:$D,"OPENING",movements!$C:$C,"&lt;"&amp;CJ$1+1)+SUMIFS(movements!$H:$H,movements!$E:$E,$A16,movements!$D:$D,"RECEIPT",movements!$C:$C,"&lt;"&amp;CJ$1+1)-SUMIFS(movements!$H:$H,movements!$E:$E,$A16,movements!$D:$D,"ISSUE",movements!$C:$C,"&lt;"&amp;CJ$1+1)</f>
        <v>124</v>
      </c>
      <c r="CK16">
        <f>SUMIFS(movements!$H:$H,movements!$E:$E,$A16,movements!$D:$D,"OPENING",movements!$C:$C,"&lt;"&amp;CK$1+1)+SUMIFS(movements!$H:$H,movements!$E:$E,$A16,movements!$D:$D,"RECEIPT",movements!$C:$C,"&lt;"&amp;CK$1+1)-SUMIFS(movements!$H:$H,movements!$E:$E,$A16,movements!$D:$D,"ISSUE",movements!$C:$C,"&lt;"&amp;CK$1+1)</f>
        <v>115</v>
      </c>
      <c r="CL16">
        <f>SUMIFS(movements!$H:$H,movements!$E:$E,$A16,movements!$D:$D,"OPENING",movements!$C:$C,"&lt;"&amp;CL$1+1)+SUMIFS(movements!$H:$H,movements!$E:$E,$A16,movements!$D:$D,"RECEIPT",movements!$C:$C,"&lt;"&amp;CL$1+1)-SUMIFS(movements!$H:$H,movements!$E:$E,$A16,movements!$D:$D,"ISSUE",movements!$C:$C,"&lt;"&amp;CL$1+1)</f>
        <v>109</v>
      </c>
      <c r="CM16">
        <f>SUMIFS(movements!$H:$H,movements!$E:$E,$A16,movements!$D:$D,"OPENING",movements!$C:$C,"&lt;"&amp;CM$1+1)+SUMIFS(movements!$H:$H,movements!$E:$E,$A16,movements!$D:$D,"RECEIPT",movements!$C:$C,"&lt;"&amp;CM$1+1)-SUMIFS(movements!$H:$H,movements!$E:$E,$A16,movements!$D:$D,"ISSUE",movements!$C:$C,"&lt;"&amp;CM$1+1)</f>
        <v>84</v>
      </c>
      <c r="CN16">
        <f t="shared" si="2"/>
        <v>125.31111111111112</v>
      </c>
      <c r="CO16">
        <f>SUMIFS(movements!$H:$H,movements!$E:$E,$A16,movements!$D:$D,"ISSUE",movements!$C:$C,"&gt;="&amp;$B$1,movements!$C:$C,"&lt;"&amp;($CM$1+1))</f>
        <v>442</v>
      </c>
      <c r="CP16">
        <f t="shared" si="3"/>
        <v>3.5272211384997338</v>
      </c>
      <c r="CQ16">
        <f t="shared" si="4"/>
        <v>25.5158371040724</v>
      </c>
    </row>
    <row r="17" spans="1:95" x14ac:dyDescent="0.25">
      <c r="A17" t="s">
        <v>49</v>
      </c>
      <c r="B17">
        <f>SUMIFS(movements!$H:$H,movements!$E:$E,$A17,movements!$D:$D,"OPENING",movements!$C:$C,"&lt;"&amp;B$1+1)+SUMIFS(movements!$H:$H,movements!$E:$E,$A17,movements!$D:$D,"RECEIPT",movements!$C:$C,"&lt;"&amp;B$1+1)-SUMIFS(movements!$H:$H,movements!$E:$E,$A17,movements!$D:$D,"ISSUE",movements!$C:$C,"&lt;"&amp;B$1+1)</f>
        <v>74</v>
      </c>
      <c r="C17">
        <f>SUMIFS(movements!$H:$H,movements!$E:$E,$A17,movements!$D:$D,"OPENING",movements!$C:$C,"&lt;"&amp;C$1+1)+SUMIFS(movements!$H:$H,movements!$E:$E,$A17,movements!$D:$D,"RECEIPT",movements!$C:$C,"&lt;"&amp;C$1+1)-SUMIFS(movements!$H:$H,movements!$E:$E,$A17,movements!$D:$D,"ISSUE",movements!$C:$C,"&lt;"&amp;C$1+1)</f>
        <v>70</v>
      </c>
      <c r="D17">
        <f>SUMIFS(movements!$H:$H,movements!$E:$E,$A17,movements!$D:$D,"OPENING",movements!$C:$C,"&lt;"&amp;D$1+1)+SUMIFS(movements!$H:$H,movements!$E:$E,$A17,movements!$D:$D,"RECEIPT",movements!$C:$C,"&lt;"&amp;D$1+1)-SUMIFS(movements!$H:$H,movements!$E:$E,$A17,movements!$D:$D,"ISSUE",movements!$C:$C,"&lt;"&amp;D$1+1)</f>
        <v>62</v>
      </c>
      <c r="E17">
        <f>SUMIFS(movements!$H:$H,movements!$E:$E,$A17,movements!$D:$D,"OPENING",movements!$C:$C,"&lt;"&amp;E$1+1)+SUMIFS(movements!$H:$H,movements!$E:$E,$A17,movements!$D:$D,"RECEIPT",movements!$C:$C,"&lt;"&amp;E$1+1)-SUMIFS(movements!$H:$H,movements!$E:$E,$A17,movements!$D:$D,"ISSUE",movements!$C:$C,"&lt;"&amp;E$1+1)</f>
        <v>44</v>
      </c>
      <c r="F17">
        <f>SUMIFS(movements!$H:$H,movements!$E:$E,$A17,movements!$D:$D,"OPENING",movements!$C:$C,"&lt;"&amp;F$1+1)+SUMIFS(movements!$H:$H,movements!$E:$E,$A17,movements!$D:$D,"RECEIPT",movements!$C:$C,"&lt;"&amp;F$1+1)-SUMIFS(movements!$H:$H,movements!$E:$E,$A17,movements!$D:$D,"ISSUE",movements!$C:$C,"&lt;"&amp;F$1+1)</f>
        <v>39</v>
      </c>
      <c r="G17">
        <f>SUMIFS(movements!$H:$H,movements!$E:$E,$A17,movements!$D:$D,"OPENING",movements!$C:$C,"&lt;"&amp;G$1+1)+SUMIFS(movements!$H:$H,movements!$E:$E,$A17,movements!$D:$D,"RECEIPT",movements!$C:$C,"&lt;"&amp;G$1+1)-SUMIFS(movements!$H:$H,movements!$E:$E,$A17,movements!$D:$D,"ISSUE",movements!$C:$C,"&lt;"&amp;G$1+1)</f>
        <v>39</v>
      </c>
      <c r="H17">
        <f>SUMIFS(movements!$H:$H,movements!$E:$E,$A17,movements!$D:$D,"OPENING",movements!$C:$C,"&lt;"&amp;H$1+1)+SUMIFS(movements!$H:$H,movements!$E:$E,$A17,movements!$D:$D,"RECEIPT",movements!$C:$C,"&lt;"&amp;H$1+1)-SUMIFS(movements!$H:$H,movements!$E:$E,$A17,movements!$D:$D,"ISSUE",movements!$C:$C,"&lt;"&amp;H$1+1)</f>
        <v>32</v>
      </c>
      <c r="I17">
        <f>SUMIFS(movements!$H:$H,movements!$E:$E,$A17,movements!$D:$D,"OPENING",movements!$C:$C,"&lt;"&amp;I$1+1)+SUMIFS(movements!$H:$H,movements!$E:$E,$A17,movements!$D:$D,"RECEIPT",movements!$C:$C,"&lt;"&amp;I$1+1)-SUMIFS(movements!$H:$H,movements!$E:$E,$A17,movements!$D:$D,"ISSUE",movements!$C:$C,"&lt;"&amp;I$1+1)</f>
        <v>104</v>
      </c>
      <c r="J17">
        <f>SUMIFS(movements!$H:$H,movements!$E:$E,$A17,movements!$D:$D,"OPENING",movements!$C:$C,"&lt;"&amp;J$1+1)+SUMIFS(movements!$H:$H,movements!$E:$E,$A17,movements!$D:$D,"RECEIPT",movements!$C:$C,"&lt;"&amp;J$1+1)-SUMIFS(movements!$H:$H,movements!$E:$E,$A17,movements!$D:$D,"ISSUE",movements!$C:$C,"&lt;"&amp;J$1+1)</f>
        <v>96</v>
      </c>
      <c r="K17">
        <f>SUMIFS(movements!$H:$H,movements!$E:$E,$A17,movements!$D:$D,"OPENING",movements!$C:$C,"&lt;"&amp;K$1+1)+SUMIFS(movements!$H:$H,movements!$E:$E,$A17,movements!$D:$D,"RECEIPT",movements!$C:$C,"&lt;"&amp;K$1+1)-SUMIFS(movements!$H:$H,movements!$E:$E,$A17,movements!$D:$D,"ISSUE",movements!$C:$C,"&lt;"&amp;K$1+1)</f>
        <v>96</v>
      </c>
      <c r="L17">
        <f>SUMIFS(movements!$H:$H,movements!$E:$E,$A17,movements!$D:$D,"OPENING",movements!$C:$C,"&lt;"&amp;L$1+1)+SUMIFS(movements!$H:$H,movements!$E:$E,$A17,movements!$D:$D,"RECEIPT",movements!$C:$C,"&lt;"&amp;L$1+1)-SUMIFS(movements!$H:$H,movements!$E:$E,$A17,movements!$D:$D,"ISSUE",movements!$C:$C,"&lt;"&amp;L$1+1)</f>
        <v>90</v>
      </c>
      <c r="M17">
        <f>SUMIFS(movements!$H:$H,movements!$E:$E,$A17,movements!$D:$D,"OPENING",movements!$C:$C,"&lt;"&amp;M$1+1)+SUMIFS(movements!$H:$H,movements!$E:$E,$A17,movements!$D:$D,"RECEIPT",movements!$C:$C,"&lt;"&amp;M$1+1)-SUMIFS(movements!$H:$H,movements!$E:$E,$A17,movements!$D:$D,"ISSUE",movements!$C:$C,"&lt;"&amp;M$1+1)</f>
        <v>86</v>
      </c>
      <c r="N17">
        <f>SUMIFS(movements!$H:$H,movements!$E:$E,$A17,movements!$D:$D,"OPENING",movements!$C:$C,"&lt;"&amp;N$1+1)+SUMIFS(movements!$H:$H,movements!$E:$E,$A17,movements!$D:$D,"RECEIPT",movements!$C:$C,"&lt;"&amp;N$1+1)-SUMIFS(movements!$H:$H,movements!$E:$E,$A17,movements!$D:$D,"ISSUE",movements!$C:$C,"&lt;"&amp;N$1+1)</f>
        <v>82</v>
      </c>
      <c r="O17">
        <f>SUMIFS(movements!$H:$H,movements!$E:$E,$A17,movements!$D:$D,"OPENING",movements!$C:$C,"&lt;"&amp;O$1+1)+SUMIFS(movements!$H:$H,movements!$E:$E,$A17,movements!$D:$D,"RECEIPT",movements!$C:$C,"&lt;"&amp;O$1+1)-SUMIFS(movements!$H:$H,movements!$E:$E,$A17,movements!$D:$D,"ISSUE",movements!$C:$C,"&lt;"&amp;O$1+1)</f>
        <v>80</v>
      </c>
      <c r="P17">
        <f>SUMIFS(movements!$H:$H,movements!$E:$E,$A17,movements!$D:$D,"OPENING",movements!$C:$C,"&lt;"&amp;P$1+1)+SUMIFS(movements!$H:$H,movements!$E:$E,$A17,movements!$D:$D,"RECEIPT",movements!$C:$C,"&lt;"&amp;P$1+1)-SUMIFS(movements!$H:$H,movements!$E:$E,$A17,movements!$D:$D,"ISSUE",movements!$C:$C,"&lt;"&amp;P$1+1)</f>
        <v>167</v>
      </c>
      <c r="Q17">
        <f>SUMIFS(movements!$H:$H,movements!$E:$E,$A17,movements!$D:$D,"OPENING",movements!$C:$C,"&lt;"&amp;Q$1+1)+SUMIFS(movements!$H:$H,movements!$E:$E,$A17,movements!$D:$D,"RECEIPT",movements!$C:$C,"&lt;"&amp;Q$1+1)-SUMIFS(movements!$H:$H,movements!$E:$E,$A17,movements!$D:$D,"ISSUE",movements!$C:$C,"&lt;"&amp;Q$1+1)</f>
        <v>161</v>
      </c>
      <c r="R17">
        <f>SUMIFS(movements!$H:$H,movements!$E:$E,$A17,movements!$D:$D,"OPENING",movements!$C:$C,"&lt;"&amp;R$1+1)+SUMIFS(movements!$H:$H,movements!$E:$E,$A17,movements!$D:$D,"RECEIPT",movements!$C:$C,"&lt;"&amp;R$1+1)-SUMIFS(movements!$H:$H,movements!$E:$E,$A17,movements!$D:$D,"ISSUE",movements!$C:$C,"&lt;"&amp;R$1+1)</f>
        <v>153</v>
      </c>
      <c r="S17">
        <f>SUMIFS(movements!$H:$H,movements!$E:$E,$A17,movements!$D:$D,"OPENING",movements!$C:$C,"&lt;"&amp;S$1+1)+SUMIFS(movements!$H:$H,movements!$E:$E,$A17,movements!$D:$D,"RECEIPT",movements!$C:$C,"&lt;"&amp;S$1+1)-SUMIFS(movements!$H:$H,movements!$E:$E,$A17,movements!$D:$D,"ISSUE",movements!$C:$C,"&lt;"&amp;S$1+1)</f>
        <v>152</v>
      </c>
      <c r="T17">
        <f>SUMIFS(movements!$H:$H,movements!$E:$E,$A17,movements!$D:$D,"OPENING",movements!$C:$C,"&lt;"&amp;T$1+1)+SUMIFS(movements!$H:$H,movements!$E:$E,$A17,movements!$D:$D,"RECEIPT",movements!$C:$C,"&lt;"&amp;T$1+1)-SUMIFS(movements!$H:$H,movements!$E:$E,$A17,movements!$D:$D,"ISSUE",movements!$C:$C,"&lt;"&amp;T$1+1)</f>
        <v>136</v>
      </c>
      <c r="U17">
        <f>SUMIFS(movements!$H:$H,movements!$E:$E,$A17,movements!$D:$D,"OPENING",movements!$C:$C,"&lt;"&amp;U$1+1)+SUMIFS(movements!$H:$H,movements!$E:$E,$A17,movements!$D:$D,"RECEIPT",movements!$C:$C,"&lt;"&amp;U$1+1)-SUMIFS(movements!$H:$H,movements!$E:$E,$A17,movements!$D:$D,"ISSUE",movements!$C:$C,"&lt;"&amp;U$1+1)</f>
        <v>126</v>
      </c>
      <c r="V17">
        <f>SUMIFS(movements!$H:$H,movements!$E:$E,$A17,movements!$D:$D,"OPENING",movements!$C:$C,"&lt;"&amp;V$1+1)+SUMIFS(movements!$H:$H,movements!$E:$E,$A17,movements!$D:$D,"RECEIPT",movements!$C:$C,"&lt;"&amp;V$1+1)-SUMIFS(movements!$H:$H,movements!$E:$E,$A17,movements!$D:$D,"ISSUE",movements!$C:$C,"&lt;"&amp;V$1+1)</f>
        <v>125</v>
      </c>
      <c r="W17">
        <f>SUMIFS(movements!$H:$H,movements!$E:$E,$A17,movements!$D:$D,"OPENING",movements!$C:$C,"&lt;"&amp;W$1+1)+SUMIFS(movements!$H:$H,movements!$E:$E,$A17,movements!$D:$D,"RECEIPT",movements!$C:$C,"&lt;"&amp;W$1+1)-SUMIFS(movements!$H:$H,movements!$E:$E,$A17,movements!$D:$D,"ISSUE",movements!$C:$C,"&lt;"&amp;W$1+1)</f>
        <v>125</v>
      </c>
      <c r="X17">
        <f>SUMIFS(movements!$H:$H,movements!$E:$E,$A17,movements!$D:$D,"OPENING",movements!$C:$C,"&lt;"&amp;X$1+1)+SUMIFS(movements!$H:$H,movements!$E:$E,$A17,movements!$D:$D,"RECEIPT",movements!$C:$C,"&lt;"&amp;X$1+1)-SUMIFS(movements!$H:$H,movements!$E:$E,$A17,movements!$D:$D,"ISSUE",movements!$C:$C,"&lt;"&amp;X$1+1)</f>
        <v>121</v>
      </c>
      <c r="Y17">
        <f>SUMIFS(movements!$H:$H,movements!$E:$E,$A17,movements!$D:$D,"OPENING",movements!$C:$C,"&lt;"&amp;Y$1+1)+SUMIFS(movements!$H:$H,movements!$E:$E,$A17,movements!$D:$D,"RECEIPT",movements!$C:$C,"&lt;"&amp;Y$1+1)-SUMIFS(movements!$H:$H,movements!$E:$E,$A17,movements!$D:$D,"ISSUE",movements!$C:$C,"&lt;"&amp;Y$1+1)</f>
        <v>119</v>
      </c>
      <c r="Z17">
        <f>SUMIFS(movements!$H:$H,movements!$E:$E,$A17,movements!$D:$D,"OPENING",movements!$C:$C,"&lt;"&amp;Z$1+1)+SUMIFS(movements!$H:$H,movements!$E:$E,$A17,movements!$D:$D,"RECEIPT",movements!$C:$C,"&lt;"&amp;Z$1+1)-SUMIFS(movements!$H:$H,movements!$E:$E,$A17,movements!$D:$D,"ISSUE",movements!$C:$C,"&lt;"&amp;Z$1+1)</f>
        <v>118</v>
      </c>
      <c r="AA17">
        <f>SUMIFS(movements!$H:$H,movements!$E:$E,$A17,movements!$D:$D,"OPENING",movements!$C:$C,"&lt;"&amp;AA$1+1)+SUMIFS(movements!$H:$H,movements!$E:$E,$A17,movements!$D:$D,"RECEIPT",movements!$C:$C,"&lt;"&amp;AA$1+1)-SUMIFS(movements!$H:$H,movements!$E:$E,$A17,movements!$D:$D,"ISSUE",movements!$C:$C,"&lt;"&amp;AA$1+1)</f>
        <v>118</v>
      </c>
      <c r="AB17">
        <f>SUMIFS(movements!$H:$H,movements!$E:$E,$A17,movements!$D:$D,"OPENING",movements!$C:$C,"&lt;"&amp;AB$1+1)+SUMIFS(movements!$H:$H,movements!$E:$E,$A17,movements!$D:$D,"RECEIPT",movements!$C:$C,"&lt;"&amp;AB$1+1)-SUMIFS(movements!$H:$H,movements!$E:$E,$A17,movements!$D:$D,"ISSUE",movements!$C:$C,"&lt;"&amp;AB$1+1)</f>
        <v>110</v>
      </c>
      <c r="AC17">
        <f>SUMIFS(movements!$H:$H,movements!$E:$E,$A17,movements!$D:$D,"OPENING",movements!$C:$C,"&lt;"&amp;AC$1+1)+SUMIFS(movements!$H:$H,movements!$E:$E,$A17,movements!$D:$D,"RECEIPT",movements!$C:$C,"&lt;"&amp;AC$1+1)-SUMIFS(movements!$H:$H,movements!$E:$E,$A17,movements!$D:$D,"ISSUE",movements!$C:$C,"&lt;"&amp;AC$1+1)</f>
        <v>109</v>
      </c>
      <c r="AD17">
        <f>SUMIFS(movements!$H:$H,movements!$E:$E,$A17,movements!$D:$D,"OPENING",movements!$C:$C,"&lt;"&amp;AD$1+1)+SUMIFS(movements!$H:$H,movements!$E:$E,$A17,movements!$D:$D,"RECEIPT",movements!$C:$C,"&lt;"&amp;AD$1+1)-SUMIFS(movements!$H:$H,movements!$E:$E,$A17,movements!$D:$D,"ISSUE",movements!$C:$C,"&lt;"&amp;AD$1+1)</f>
        <v>169</v>
      </c>
      <c r="AE17">
        <f>SUMIFS(movements!$H:$H,movements!$E:$E,$A17,movements!$D:$D,"OPENING",movements!$C:$C,"&lt;"&amp;AE$1+1)+SUMIFS(movements!$H:$H,movements!$E:$E,$A17,movements!$D:$D,"RECEIPT",movements!$C:$C,"&lt;"&amp;AE$1+1)-SUMIFS(movements!$H:$H,movements!$E:$E,$A17,movements!$D:$D,"ISSUE",movements!$C:$C,"&lt;"&amp;AE$1+1)</f>
        <v>161</v>
      </c>
      <c r="AF17">
        <f>SUMIFS(movements!$H:$H,movements!$E:$E,$A17,movements!$D:$D,"OPENING",movements!$C:$C,"&lt;"&amp;AF$1+1)+SUMIFS(movements!$H:$H,movements!$E:$E,$A17,movements!$D:$D,"RECEIPT",movements!$C:$C,"&lt;"&amp;AF$1+1)-SUMIFS(movements!$H:$H,movements!$E:$E,$A17,movements!$D:$D,"ISSUE",movements!$C:$C,"&lt;"&amp;AF$1+1)</f>
        <v>153</v>
      </c>
      <c r="AG17">
        <f>SUMIFS(movements!$H:$H,movements!$E:$E,$A17,movements!$D:$D,"OPENING",movements!$C:$C,"&lt;"&amp;AG$1+1)+SUMIFS(movements!$H:$H,movements!$E:$E,$A17,movements!$D:$D,"RECEIPT",movements!$C:$C,"&lt;"&amp;AG$1+1)-SUMIFS(movements!$H:$H,movements!$E:$E,$A17,movements!$D:$D,"ISSUE",movements!$C:$C,"&lt;"&amp;AG$1+1)</f>
        <v>145</v>
      </c>
      <c r="AH17">
        <f>SUMIFS(movements!$H:$H,movements!$E:$E,$A17,movements!$D:$D,"OPENING",movements!$C:$C,"&lt;"&amp;AH$1+1)+SUMIFS(movements!$H:$H,movements!$E:$E,$A17,movements!$D:$D,"RECEIPT",movements!$C:$C,"&lt;"&amp;AH$1+1)-SUMIFS(movements!$H:$H,movements!$E:$E,$A17,movements!$D:$D,"ISSUE",movements!$C:$C,"&lt;"&amp;AH$1+1)</f>
        <v>140</v>
      </c>
      <c r="AI17">
        <f>SUMIFS(movements!$H:$H,movements!$E:$E,$A17,movements!$D:$D,"OPENING",movements!$C:$C,"&lt;"&amp;AI$1+1)+SUMIFS(movements!$H:$H,movements!$E:$E,$A17,movements!$D:$D,"RECEIPT",movements!$C:$C,"&lt;"&amp;AI$1+1)-SUMIFS(movements!$H:$H,movements!$E:$E,$A17,movements!$D:$D,"ISSUE",movements!$C:$C,"&lt;"&amp;AI$1+1)</f>
        <v>137</v>
      </c>
      <c r="AJ17">
        <f>SUMIFS(movements!$H:$H,movements!$E:$E,$A17,movements!$D:$D,"OPENING",movements!$C:$C,"&lt;"&amp;AJ$1+1)+SUMIFS(movements!$H:$H,movements!$E:$E,$A17,movements!$D:$D,"RECEIPT",movements!$C:$C,"&lt;"&amp;AJ$1+1)-SUMIFS(movements!$H:$H,movements!$E:$E,$A17,movements!$D:$D,"ISSUE",movements!$C:$C,"&lt;"&amp;AJ$1+1)</f>
        <v>137</v>
      </c>
      <c r="AK17">
        <f>SUMIFS(movements!$H:$H,movements!$E:$E,$A17,movements!$D:$D,"OPENING",movements!$C:$C,"&lt;"&amp;AK$1+1)+SUMIFS(movements!$H:$H,movements!$E:$E,$A17,movements!$D:$D,"RECEIPT",movements!$C:$C,"&lt;"&amp;AK$1+1)-SUMIFS(movements!$H:$H,movements!$E:$E,$A17,movements!$D:$D,"ISSUE",movements!$C:$C,"&lt;"&amp;AK$1+1)</f>
        <v>137</v>
      </c>
      <c r="AL17">
        <f>SUMIFS(movements!$H:$H,movements!$E:$E,$A17,movements!$D:$D,"OPENING",movements!$C:$C,"&lt;"&amp;AL$1+1)+SUMIFS(movements!$H:$H,movements!$E:$E,$A17,movements!$D:$D,"RECEIPT",movements!$C:$C,"&lt;"&amp;AL$1+1)-SUMIFS(movements!$H:$H,movements!$E:$E,$A17,movements!$D:$D,"ISSUE",movements!$C:$C,"&lt;"&amp;AL$1+1)</f>
        <v>126</v>
      </c>
      <c r="AM17">
        <f>SUMIFS(movements!$H:$H,movements!$E:$E,$A17,movements!$D:$D,"OPENING",movements!$C:$C,"&lt;"&amp;AM$1+1)+SUMIFS(movements!$H:$H,movements!$E:$E,$A17,movements!$D:$D,"RECEIPT",movements!$C:$C,"&lt;"&amp;AM$1+1)-SUMIFS(movements!$H:$H,movements!$E:$E,$A17,movements!$D:$D,"ISSUE",movements!$C:$C,"&lt;"&amp;AM$1+1)</f>
        <v>114</v>
      </c>
      <c r="AN17">
        <f>SUMIFS(movements!$H:$H,movements!$E:$E,$A17,movements!$D:$D,"OPENING",movements!$C:$C,"&lt;"&amp;AN$1+1)+SUMIFS(movements!$H:$H,movements!$E:$E,$A17,movements!$D:$D,"RECEIPT",movements!$C:$C,"&lt;"&amp;AN$1+1)-SUMIFS(movements!$H:$H,movements!$E:$E,$A17,movements!$D:$D,"ISSUE",movements!$C:$C,"&lt;"&amp;AN$1+1)</f>
        <v>111</v>
      </c>
      <c r="AO17">
        <f>SUMIFS(movements!$H:$H,movements!$E:$E,$A17,movements!$D:$D,"OPENING",movements!$C:$C,"&lt;"&amp;AO$1+1)+SUMIFS(movements!$H:$H,movements!$E:$E,$A17,movements!$D:$D,"RECEIPT",movements!$C:$C,"&lt;"&amp;AO$1+1)-SUMIFS(movements!$H:$H,movements!$E:$E,$A17,movements!$D:$D,"ISSUE",movements!$C:$C,"&lt;"&amp;AO$1+1)</f>
        <v>106</v>
      </c>
      <c r="AP17">
        <f>SUMIFS(movements!$H:$H,movements!$E:$E,$A17,movements!$D:$D,"OPENING",movements!$C:$C,"&lt;"&amp;AP$1+1)+SUMIFS(movements!$H:$H,movements!$E:$E,$A17,movements!$D:$D,"RECEIPT",movements!$C:$C,"&lt;"&amp;AP$1+1)-SUMIFS(movements!$H:$H,movements!$E:$E,$A17,movements!$D:$D,"ISSUE",movements!$C:$C,"&lt;"&amp;AP$1+1)</f>
        <v>106</v>
      </c>
      <c r="AQ17">
        <f>SUMIFS(movements!$H:$H,movements!$E:$E,$A17,movements!$D:$D,"OPENING",movements!$C:$C,"&lt;"&amp;AQ$1+1)+SUMIFS(movements!$H:$H,movements!$E:$E,$A17,movements!$D:$D,"RECEIPT",movements!$C:$C,"&lt;"&amp;AQ$1+1)-SUMIFS(movements!$H:$H,movements!$E:$E,$A17,movements!$D:$D,"ISSUE",movements!$C:$C,"&lt;"&amp;AQ$1+1)</f>
        <v>106</v>
      </c>
      <c r="AR17">
        <f>SUMIFS(movements!$H:$H,movements!$E:$E,$A17,movements!$D:$D,"OPENING",movements!$C:$C,"&lt;"&amp;AR$1+1)+SUMIFS(movements!$H:$H,movements!$E:$E,$A17,movements!$D:$D,"RECEIPT",movements!$C:$C,"&lt;"&amp;AR$1+1)-SUMIFS(movements!$H:$H,movements!$E:$E,$A17,movements!$D:$D,"ISSUE",movements!$C:$C,"&lt;"&amp;AR$1+1)</f>
        <v>196</v>
      </c>
      <c r="AS17">
        <f>SUMIFS(movements!$H:$H,movements!$E:$E,$A17,movements!$D:$D,"OPENING",movements!$C:$C,"&lt;"&amp;AS$1+1)+SUMIFS(movements!$H:$H,movements!$E:$E,$A17,movements!$D:$D,"RECEIPT",movements!$C:$C,"&lt;"&amp;AS$1+1)-SUMIFS(movements!$H:$H,movements!$E:$E,$A17,movements!$D:$D,"ISSUE",movements!$C:$C,"&lt;"&amp;AS$1+1)</f>
        <v>193</v>
      </c>
      <c r="AT17">
        <f>SUMIFS(movements!$H:$H,movements!$E:$E,$A17,movements!$D:$D,"OPENING",movements!$C:$C,"&lt;"&amp;AT$1+1)+SUMIFS(movements!$H:$H,movements!$E:$E,$A17,movements!$D:$D,"RECEIPT",movements!$C:$C,"&lt;"&amp;AT$1+1)-SUMIFS(movements!$H:$H,movements!$E:$E,$A17,movements!$D:$D,"ISSUE",movements!$C:$C,"&lt;"&amp;AT$1+1)</f>
        <v>189</v>
      </c>
      <c r="AU17">
        <f>SUMIFS(movements!$H:$H,movements!$E:$E,$A17,movements!$D:$D,"OPENING",movements!$C:$C,"&lt;"&amp;AU$1+1)+SUMIFS(movements!$H:$H,movements!$E:$E,$A17,movements!$D:$D,"RECEIPT",movements!$C:$C,"&lt;"&amp;AU$1+1)-SUMIFS(movements!$H:$H,movements!$E:$E,$A17,movements!$D:$D,"ISSUE",movements!$C:$C,"&lt;"&amp;AU$1+1)</f>
        <v>185</v>
      </c>
      <c r="AV17">
        <f>SUMIFS(movements!$H:$H,movements!$E:$E,$A17,movements!$D:$D,"OPENING",movements!$C:$C,"&lt;"&amp;AV$1+1)+SUMIFS(movements!$H:$H,movements!$E:$E,$A17,movements!$D:$D,"RECEIPT",movements!$C:$C,"&lt;"&amp;AV$1+1)-SUMIFS(movements!$H:$H,movements!$E:$E,$A17,movements!$D:$D,"ISSUE",movements!$C:$C,"&lt;"&amp;AV$1+1)</f>
        <v>176</v>
      </c>
      <c r="AW17">
        <f>SUMIFS(movements!$H:$H,movements!$E:$E,$A17,movements!$D:$D,"OPENING",movements!$C:$C,"&lt;"&amp;AW$1+1)+SUMIFS(movements!$H:$H,movements!$E:$E,$A17,movements!$D:$D,"RECEIPT",movements!$C:$C,"&lt;"&amp;AW$1+1)-SUMIFS(movements!$H:$H,movements!$E:$E,$A17,movements!$D:$D,"ISSUE",movements!$C:$C,"&lt;"&amp;AW$1+1)</f>
        <v>163</v>
      </c>
      <c r="AX17">
        <f>SUMIFS(movements!$H:$H,movements!$E:$E,$A17,movements!$D:$D,"OPENING",movements!$C:$C,"&lt;"&amp;AX$1+1)+SUMIFS(movements!$H:$H,movements!$E:$E,$A17,movements!$D:$D,"RECEIPT",movements!$C:$C,"&lt;"&amp;AX$1+1)-SUMIFS(movements!$H:$H,movements!$E:$E,$A17,movements!$D:$D,"ISSUE",movements!$C:$C,"&lt;"&amp;AX$1+1)</f>
        <v>163</v>
      </c>
      <c r="AY17">
        <f>SUMIFS(movements!$H:$H,movements!$E:$E,$A17,movements!$D:$D,"OPENING",movements!$C:$C,"&lt;"&amp;AY$1+1)+SUMIFS(movements!$H:$H,movements!$E:$E,$A17,movements!$D:$D,"RECEIPT",movements!$C:$C,"&lt;"&amp;AY$1+1)-SUMIFS(movements!$H:$H,movements!$E:$E,$A17,movements!$D:$D,"ISSUE",movements!$C:$C,"&lt;"&amp;AY$1+1)</f>
        <v>161</v>
      </c>
      <c r="AZ17">
        <f>SUMIFS(movements!$H:$H,movements!$E:$E,$A17,movements!$D:$D,"OPENING",movements!$C:$C,"&lt;"&amp;AZ$1+1)+SUMIFS(movements!$H:$H,movements!$E:$E,$A17,movements!$D:$D,"RECEIPT",movements!$C:$C,"&lt;"&amp;AZ$1+1)-SUMIFS(movements!$H:$H,movements!$E:$E,$A17,movements!$D:$D,"ISSUE",movements!$C:$C,"&lt;"&amp;AZ$1+1)</f>
        <v>161</v>
      </c>
      <c r="BA17">
        <f>SUMIFS(movements!$H:$H,movements!$E:$E,$A17,movements!$D:$D,"OPENING",movements!$C:$C,"&lt;"&amp;BA$1+1)+SUMIFS(movements!$H:$H,movements!$E:$E,$A17,movements!$D:$D,"RECEIPT",movements!$C:$C,"&lt;"&amp;BA$1+1)-SUMIFS(movements!$H:$H,movements!$E:$E,$A17,movements!$D:$D,"ISSUE",movements!$C:$C,"&lt;"&amp;BA$1+1)</f>
        <v>155</v>
      </c>
      <c r="BB17">
        <f>SUMIFS(movements!$H:$H,movements!$E:$E,$A17,movements!$D:$D,"OPENING",movements!$C:$C,"&lt;"&amp;BB$1+1)+SUMIFS(movements!$H:$H,movements!$E:$E,$A17,movements!$D:$D,"RECEIPT",movements!$C:$C,"&lt;"&amp;BB$1+1)-SUMIFS(movements!$H:$H,movements!$E:$E,$A17,movements!$D:$D,"ISSUE",movements!$C:$C,"&lt;"&amp;BB$1+1)</f>
        <v>153</v>
      </c>
      <c r="BC17">
        <f>SUMIFS(movements!$H:$H,movements!$E:$E,$A17,movements!$D:$D,"OPENING",movements!$C:$C,"&lt;"&amp;BC$1+1)+SUMIFS(movements!$H:$H,movements!$E:$E,$A17,movements!$D:$D,"RECEIPT",movements!$C:$C,"&lt;"&amp;BC$1+1)-SUMIFS(movements!$H:$H,movements!$E:$E,$A17,movements!$D:$D,"ISSUE",movements!$C:$C,"&lt;"&amp;BC$1+1)</f>
        <v>153</v>
      </c>
      <c r="BD17">
        <f>SUMIFS(movements!$H:$H,movements!$E:$E,$A17,movements!$D:$D,"OPENING",movements!$C:$C,"&lt;"&amp;BD$1+1)+SUMIFS(movements!$H:$H,movements!$E:$E,$A17,movements!$D:$D,"RECEIPT",movements!$C:$C,"&lt;"&amp;BD$1+1)-SUMIFS(movements!$H:$H,movements!$E:$E,$A17,movements!$D:$D,"ISSUE",movements!$C:$C,"&lt;"&amp;BD$1+1)</f>
        <v>144</v>
      </c>
      <c r="BE17">
        <f>SUMIFS(movements!$H:$H,movements!$E:$E,$A17,movements!$D:$D,"OPENING",movements!$C:$C,"&lt;"&amp;BE$1+1)+SUMIFS(movements!$H:$H,movements!$E:$E,$A17,movements!$D:$D,"RECEIPT",movements!$C:$C,"&lt;"&amp;BE$1+1)-SUMIFS(movements!$H:$H,movements!$E:$E,$A17,movements!$D:$D,"ISSUE",movements!$C:$C,"&lt;"&amp;BE$1+1)</f>
        <v>138</v>
      </c>
      <c r="BF17">
        <f>SUMIFS(movements!$H:$H,movements!$E:$E,$A17,movements!$D:$D,"OPENING",movements!$C:$C,"&lt;"&amp;BF$1+1)+SUMIFS(movements!$H:$H,movements!$E:$E,$A17,movements!$D:$D,"RECEIPT",movements!$C:$C,"&lt;"&amp;BF$1+1)-SUMIFS(movements!$H:$H,movements!$E:$E,$A17,movements!$D:$D,"ISSUE",movements!$C:$C,"&lt;"&amp;BF$1+1)</f>
        <v>125</v>
      </c>
      <c r="BG17">
        <f>SUMIFS(movements!$H:$H,movements!$E:$E,$A17,movements!$D:$D,"OPENING",movements!$C:$C,"&lt;"&amp;BG$1+1)+SUMIFS(movements!$H:$H,movements!$E:$E,$A17,movements!$D:$D,"RECEIPT",movements!$C:$C,"&lt;"&amp;BG$1+1)-SUMIFS(movements!$H:$H,movements!$E:$E,$A17,movements!$D:$D,"ISSUE",movements!$C:$C,"&lt;"&amp;BG$1+1)</f>
        <v>125</v>
      </c>
      <c r="BH17">
        <f>SUMIFS(movements!$H:$H,movements!$E:$E,$A17,movements!$D:$D,"OPENING",movements!$C:$C,"&lt;"&amp;BH$1+1)+SUMIFS(movements!$H:$H,movements!$E:$E,$A17,movements!$D:$D,"RECEIPT",movements!$C:$C,"&lt;"&amp;BH$1+1)-SUMIFS(movements!$H:$H,movements!$E:$E,$A17,movements!$D:$D,"ISSUE",movements!$C:$C,"&lt;"&amp;BH$1+1)</f>
        <v>121</v>
      </c>
      <c r="BI17">
        <f>SUMIFS(movements!$H:$H,movements!$E:$E,$A17,movements!$D:$D,"OPENING",movements!$C:$C,"&lt;"&amp;BI$1+1)+SUMIFS(movements!$H:$H,movements!$E:$E,$A17,movements!$D:$D,"RECEIPT",movements!$C:$C,"&lt;"&amp;BI$1+1)-SUMIFS(movements!$H:$H,movements!$E:$E,$A17,movements!$D:$D,"ISSUE",movements!$C:$C,"&lt;"&amp;BI$1+1)</f>
        <v>112</v>
      </c>
      <c r="BJ17">
        <f>SUMIFS(movements!$H:$H,movements!$E:$E,$A17,movements!$D:$D,"OPENING",movements!$C:$C,"&lt;"&amp;BJ$1+1)+SUMIFS(movements!$H:$H,movements!$E:$E,$A17,movements!$D:$D,"RECEIPT",movements!$C:$C,"&lt;"&amp;BJ$1+1)-SUMIFS(movements!$H:$H,movements!$E:$E,$A17,movements!$D:$D,"ISSUE",movements!$C:$C,"&lt;"&amp;BJ$1+1)</f>
        <v>112</v>
      </c>
      <c r="BK17">
        <f>SUMIFS(movements!$H:$H,movements!$E:$E,$A17,movements!$D:$D,"OPENING",movements!$C:$C,"&lt;"&amp;BK$1+1)+SUMIFS(movements!$H:$H,movements!$E:$E,$A17,movements!$D:$D,"RECEIPT",movements!$C:$C,"&lt;"&amp;BK$1+1)-SUMIFS(movements!$H:$H,movements!$E:$E,$A17,movements!$D:$D,"ISSUE",movements!$C:$C,"&lt;"&amp;BK$1+1)</f>
        <v>100</v>
      </c>
      <c r="BL17">
        <f>SUMIFS(movements!$H:$H,movements!$E:$E,$A17,movements!$D:$D,"OPENING",movements!$C:$C,"&lt;"&amp;BL$1+1)+SUMIFS(movements!$H:$H,movements!$E:$E,$A17,movements!$D:$D,"RECEIPT",movements!$C:$C,"&lt;"&amp;BL$1+1)-SUMIFS(movements!$H:$H,movements!$E:$E,$A17,movements!$D:$D,"ISSUE",movements!$C:$C,"&lt;"&amp;BL$1+1)</f>
        <v>98</v>
      </c>
      <c r="BM17">
        <f>SUMIFS(movements!$H:$H,movements!$E:$E,$A17,movements!$D:$D,"OPENING",movements!$C:$C,"&lt;"&amp;BM$1+1)+SUMIFS(movements!$H:$H,movements!$E:$E,$A17,movements!$D:$D,"RECEIPT",movements!$C:$C,"&lt;"&amp;BM$1+1)-SUMIFS(movements!$H:$H,movements!$E:$E,$A17,movements!$D:$D,"ISSUE",movements!$C:$C,"&lt;"&amp;BM$1+1)</f>
        <v>164</v>
      </c>
      <c r="BN17">
        <f>SUMIFS(movements!$H:$H,movements!$E:$E,$A17,movements!$D:$D,"OPENING",movements!$C:$C,"&lt;"&amp;BN$1+1)+SUMIFS(movements!$H:$H,movements!$E:$E,$A17,movements!$D:$D,"RECEIPT",movements!$C:$C,"&lt;"&amp;BN$1+1)-SUMIFS(movements!$H:$H,movements!$E:$E,$A17,movements!$D:$D,"ISSUE",movements!$C:$C,"&lt;"&amp;BN$1+1)</f>
        <v>164</v>
      </c>
      <c r="BO17">
        <f>SUMIFS(movements!$H:$H,movements!$E:$E,$A17,movements!$D:$D,"OPENING",movements!$C:$C,"&lt;"&amp;BO$1+1)+SUMIFS(movements!$H:$H,movements!$E:$E,$A17,movements!$D:$D,"RECEIPT",movements!$C:$C,"&lt;"&amp;BO$1+1)-SUMIFS(movements!$H:$H,movements!$E:$E,$A17,movements!$D:$D,"ISSUE",movements!$C:$C,"&lt;"&amp;BO$1+1)</f>
        <v>164</v>
      </c>
      <c r="BP17">
        <f>SUMIFS(movements!$H:$H,movements!$E:$E,$A17,movements!$D:$D,"OPENING",movements!$C:$C,"&lt;"&amp;BP$1+1)+SUMIFS(movements!$H:$H,movements!$E:$E,$A17,movements!$D:$D,"RECEIPT",movements!$C:$C,"&lt;"&amp;BP$1+1)-SUMIFS(movements!$H:$H,movements!$E:$E,$A17,movements!$D:$D,"ISSUE",movements!$C:$C,"&lt;"&amp;BP$1+1)</f>
        <v>162</v>
      </c>
      <c r="BQ17">
        <f>SUMIFS(movements!$H:$H,movements!$E:$E,$A17,movements!$D:$D,"OPENING",movements!$C:$C,"&lt;"&amp;BQ$1+1)+SUMIFS(movements!$H:$H,movements!$E:$E,$A17,movements!$D:$D,"RECEIPT",movements!$C:$C,"&lt;"&amp;BQ$1+1)-SUMIFS(movements!$H:$H,movements!$E:$E,$A17,movements!$D:$D,"ISSUE",movements!$C:$C,"&lt;"&amp;BQ$1+1)</f>
        <v>162</v>
      </c>
      <c r="BR17">
        <f>SUMIFS(movements!$H:$H,movements!$E:$E,$A17,movements!$D:$D,"OPENING",movements!$C:$C,"&lt;"&amp;BR$1+1)+SUMIFS(movements!$H:$H,movements!$E:$E,$A17,movements!$D:$D,"RECEIPT",movements!$C:$C,"&lt;"&amp;BR$1+1)-SUMIFS(movements!$H:$H,movements!$E:$E,$A17,movements!$D:$D,"ISSUE",movements!$C:$C,"&lt;"&amp;BR$1+1)</f>
        <v>155</v>
      </c>
      <c r="BS17">
        <f>SUMIFS(movements!$H:$H,movements!$E:$E,$A17,movements!$D:$D,"OPENING",movements!$C:$C,"&lt;"&amp;BS$1+1)+SUMIFS(movements!$H:$H,movements!$E:$E,$A17,movements!$D:$D,"RECEIPT",movements!$C:$C,"&lt;"&amp;BS$1+1)-SUMIFS(movements!$H:$H,movements!$E:$E,$A17,movements!$D:$D,"ISSUE",movements!$C:$C,"&lt;"&amp;BS$1+1)</f>
        <v>155</v>
      </c>
      <c r="BT17">
        <f>SUMIFS(movements!$H:$H,movements!$E:$E,$A17,movements!$D:$D,"OPENING",movements!$C:$C,"&lt;"&amp;BT$1+1)+SUMIFS(movements!$H:$H,movements!$E:$E,$A17,movements!$D:$D,"RECEIPT",movements!$C:$C,"&lt;"&amp;BT$1+1)-SUMIFS(movements!$H:$H,movements!$E:$E,$A17,movements!$D:$D,"ISSUE",movements!$C:$C,"&lt;"&amp;BT$1+1)</f>
        <v>155</v>
      </c>
      <c r="BU17">
        <f>SUMIFS(movements!$H:$H,movements!$E:$E,$A17,movements!$D:$D,"OPENING",movements!$C:$C,"&lt;"&amp;BU$1+1)+SUMIFS(movements!$H:$H,movements!$E:$E,$A17,movements!$D:$D,"RECEIPT",movements!$C:$C,"&lt;"&amp;BU$1+1)-SUMIFS(movements!$H:$H,movements!$E:$E,$A17,movements!$D:$D,"ISSUE",movements!$C:$C,"&lt;"&amp;BU$1+1)</f>
        <v>149</v>
      </c>
      <c r="BV17">
        <f>SUMIFS(movements!$H:$H,movements!$E:$E,$A17,movements!$D:$D,"OPENING",movements!$C:$C,"&lt;"&amp;BV$1+1)+SUMIFS(movements!$H:$H,movements!$E:$E,$A17,movements!$D:$D,"RECEIPT",movements!$C:$C,"&lt;"&amp;BV$1+1)-SUMIFS(movements!$H:$H,movements!$E:$E,$A17,movements!$D:$D,"ISSUE",movements!$C:$C,"&lt;"&amp;BV$1+1)</f>
        <v>143</v>
      </c>
      <c r="BW17">
        <f>SUMIFS(movements!$H:$H,movements!$E:$E,$A17,movements!$D:$D,"OPENING",movements!$C:$C,"&lt;"&amp;BW$1+1)+SUMIFS(movements!$H:$H,movements!$E:$E,$A17,movements!$D:$D,"RECEIPT",movements!$C:$C,"&lt;"&amp;BW$1+1)-SUMIFS(movements!$H:$H,movements!$E:$E,$A17,movements!$D:$D,"ISSUE",movements!$C:$C,"&lt;"&amp;BW$1+1)</f>
        <v>139</v>
      </c>
      <c r="BX17">
        <f>SUMIFS(movements!$H:$H,movements!$E:$E,$A17,movements!$D:$D,"OPENING",movements!$C:$C,"&lt;"&amp;BX$1+1)+SUMIFS(movements!$H:$H,movements!$E:$E,$A17,movements!$D:$D,"RECEIPT",movements!$C:$C,"&lt;"&amp;BX$1+1)-SUMIFS(movements!$H:$H,movements!$E:$E,$A17,movements!$D:$D,"ISSUE",movements!$C:$C,"&lt;"&amp;BX$1+1)</f>
        <v>134</v>
      </c>
      <c r="BY17">
        <f>SUMIFS(movements!$H:$H,movements!$E:$E,$A17,movements!$D:$D,"OPENING",movements!$C:$C,"&lt;"&amp;BY$1+1)+SUMIFS(movements!$H:$H,movements!$E:$E,$A17,movements!$D:$D,"RECEIPT",movements!$C:$C,"&lt;"&amp;BY$1+1)-SUMIFS(movements!$H:$H,movements!$E:$E,$A17,movements!$D:$D,"ISSUE",movements!$C:$C,"&lt;"&amp;BY$1+1)</f>
        <v>122</v>
      </c>
      <c r="BZ17">
        <f>SUMIFS(movements!$H:$H,movements!$E:$E,$A17,movements!$D:$D,"OPENING",movements!$C:$C,"&lt;"&amp;BZ$1+1)+SUMIFS(movements!$H:$H,movements!$E:$E,$A17,movements!$D:$D,"RECEIPT",movements!$C:$C,"&lt;"&amp;BZ$1+1)-SUMIFS(movements!$H:$H,movements!$E:$E,$A17,movements!$D:$D,"ISSUE",movements!$C:$C,"&lt;"&amp;BZ$1+1)</f>
        <v>110</v>
      </c>
      <c r="CA17">
        <f>SUMIFS(movements!$H:$H,movements!$E:$E,$A17,movements!$D:$D,"OPENING",movements!$C:$C,"&lt;"&amp;CA$1+1)+SUMIFS(movements!$H:$H,movements!$E:$E,$A17,movements!$D:$D,"RECEIPT",movements!$C:$C,"&lt;"&amp;CA$1+1)-SUMIFS(movements!$H:$H,movements!$E:$E,$A17,movements!$D:$D,"ISSUE",movements!$C:$C,"&lt;"&amp;CA$1+1)</f>
        <v>110</v>
      </c>
      <c r="CB17">
        <f>SUMIFS(movements!$H:$H,movements!$E:$E,$A17,movements!$D:$D,"OPENING",movements!$C:$C,"&lt;"&amp;CB$1+1)+SUMIFS(movements!$H:$H,movements!$E:$E,$A17,movements!$D:$D,"RECEIPT",movements!$C:$C,"&lt;"&amp;CB$1+1)-SUMIFS(movements!$H:$H,movements!$E:$E,$A17,movements!$D:$D,"ISSUE",movements!$C:$C,"&lt;"&amp;CB$1+1)</f>
        <v>103</v>
      </c>
      <c r="CC17">
        <f>SUMIFS(movements!$H:$H,movements!$E:$E,$A17,movements!$D:$D,"OPENING",movements!$C:$C,"&lt;"&amp;CC$1+1)+SUMIFS(movements!$H:$H,movements!$E:$E,$A17,movements!$D:$D,"RECEIPT",movements!$C:$C,"&lt;"&amp;CC$1+1)-SUMIFS(movements!$H:$H,movements!$E:$E,$A17,movements!$D:$D,"ISSUE",movements!$C:$C,"&lt;"&amp;CC$1+1)</f>
        <v>102</v>
      </c>
      <c r="CD17">
        <f>SUMIFS(movements!$H:$H,movements!$E:$E,$A17,movements!$D:$D,"OPENING",movements!$C:$C,"&lt;"&amp;CD$1+1)+SUMIFS(movements!$H:$H,movements!$E:$E,$A17,movements!$D:$D,"RECEIPT",movements!$C:$C,"&lt;"&amp;CD$1+1)-SUMIFS(movements!$H:$H,movements!$E:$E,$A17,movements!$D:$D,"ISSUE",movements!$C:$C,"&lt;"&amp;CD$1+1)</f>
        <v>96</v>
      </c>
      <c r="CE17">
        <f>SUMIFS(movements!$H:$H,movements!$E:$E,$A17,movements!$D:$D,"OPENING",movements!$C:$C,"&lt;"&amp;CE$1+1)+SUMIFS(movements!$H:$H,movements!$E:$E,$A17,movements!$D:$D,"RECEIPT",movements!$C:$C,"&lt;"&amp;CE$1+1)-SUMIFS(movements!$H:$H,movements!$E:$E,$A17,movements!$D:$D,"ISSUE",movements!$C:$C,"&lt;"&amp;CE$1+1)</f>
        <v>89</v>
      </c>
      <c r="CF17">
        <f>SUMIFS(movements!$H:$H,movements!$E:$E,$A17,movements!$D:$D,"OPENING",movements!$C:$C,"&lt;"&amp;CF$1+1)+SUMIFS(movements!$H:$H,movements!$E:$E,$A17,movements!$D:$D,"RECEIPT",movements!$C:$C,"&lt;"&amp;CF$1+1)-SUMIFS(movements!$H:$H,movements!$E:$E,$A17,movements!$D:$D,"ISSUE",movements!$C:$C,"&lt;"&amp;CF$1+1)</f>
        <v>82</v>
      </c>
      <c r="CG17">
        <f>SUMIFS(movements!$H:$H,movements!$E:$E,$A17,movements!$D:$D,"OPENING",movements!$C:$C,"&lt;"&amp;CG$1+1)+SUMIFS(movements!$H:$H,movements!$E:$E,$A17,movements!$D:$D,"RECEIPT",movements!$C:$C,"&lt;"&amp;CG$1+1)-SUMIFS(movements!$H:$H,movements!$E:$E,$A17,movements!$D:$D,"ISSUE",movements!$C:$C,"&lt;"&amp;CG$1+1)</f>
        <v>80</v>
      </c>
      <c r="CH17">
        <f>SUMIFS(movements!$H:$H,movements!$E:$E,$A17,movements!$D:$D,"OPENING",movements!$C:$C,"&lt;"&amp;CH$1+1)+SUMIFS(movements!$H:$H,movements!$E:$E,$A17,movements!$D:$D,"RECEIPT",movements!$C:$C,"&lt;"&amp;CH$1+1)-SUMIFS(movements!$H:$H,movements!$E:$E,$A17,movements!$D:$D,"ISSUE",movements!$C:$C,"&lt;"&amp;CH$1+1)</f>
        <v>148</v>
      </c>
      <c r="CI17">
        <f>SUMIFS(movements!$H:$H,movements!$E:$E,$A17,movements!$D:$D,"OPENING",movements!$C:$C,"&lt;"&amp;CI$1+1)+SUMIFS(movements!$H:$H,movements!$E:$E,$A17,movements!$D:$D,"RECEIPT",movements!$C:$C,"&lt;"&amp;CI$1+1)-SUMIFS(movements!$H:$H,movements!$E:$E,$A17,movements!$D:$D,"ISSUE",movements!$C:$C,"&lt;"&amp;CI$1+1)</f>
        <v>143</v>
      </c>
      <c r="CJ17">
        <f>SUMIFS(movements!$H:$H,movements!$E:$E,$A17,movements!$D:$D,"OPENING",movements!$C:$C,"&lt;"&amp;CJ$1+1)+SUMIFS(movements!$H:$H,movements!$E:$E,$A17,movements!$D:$D,"RECEIPT",movements!$C:$C,"&lt;"&amp;CJ$1+1)-SUMIFS(movements!$H:$H,movements!$E:$E,$A17,movements!$D:$D,"ISSUE",movements!$C:$C,"&lt;"&amp;CJ$1+1)</f>
        <v>141</v>
      </c>
      <c r="CK17">
        <f>SUMIFS(movements!$H:$H,movements!$E:$E,$A17,movements!$D:$D,"OPENING",movements!$C:$C,"&lt;"&amp;CK$1+1)+SUMIFS(movements!$H:$H,movements!$E:$E,$A17,movements!$D:$D,"RECEIPT",movements!$C:$C,"&lt;"&amp;CK$1+1)-SUMIFS(movements!$H:$H,movements!$E:$E,$A17,movements!$D:$D,"ISSUE",movements!$C:$C,"&lt;"&amp;CK$1+1)</f>
        <v>132</v>
      </c>
      <c r="CL17">
        <f>SUMIFS(movements!$H:$H,movements!$E:$E,$A17,movements!$D:$D,"OPENING",movements!$C:$C,"&lt;"&amp;CL$1+1)+SUMIFS(movements!$H:$H,movements!$E:$E,$A17,movements!$D:$D,"RECEIPT",movements!$C:$C,"&lt;"&amp;CL$1+1)-SUMIFS(movements!$H:$H,movements!$E:$E,$A17,movements!$D:$D,"ISSUE",movements!$C:$C,"&lt;"&amp;CL$1+1)</f>
        <v>117</v>
      </c>
      <c r="CM17">
        <f>SUMIFS(movements!$H:$H,movements!$E:$E,$A17,movements!$D:$D,"OPENING",movements!$C:$C,"&lt;"&amp;CM$1+1)+SUMIFS(movements!$H:$H,movements!$E:$E,$A17,movements!$D:$D,"RECEIPT",movements!$C:$C,"&lt;"&amp;CM$1+1)-SUMIFS(movements!$H:$H,movements!$E:$E,$A17,movements!$D:$D,"ISSUE",movements!$C:$C,"&lt;"&amp;CM$1+1)</f>
        <v>117</v>
      </c>
      <c r="CN17">
        <f t="shared" si="2"/>
        <v>126.03333333333333</v>
      </c>
      <c r="CO17">
        <f>SUMIFS(movements!$H:$H,movements!$E:$E,$A17,movements!$D:$D,"ISSUE",movements!$C:$C,"&gt;="&amp;$B$1,movements!$C:$C,"&lt;"&amp;($CM$1+1))</f>
        <v>432</v>
      </c>
      <c r="CP17">
        <f t="shared" si="3"/>
        <v>3.4276646389843957</v>
      </c>
      <c r="CQ17">
        <f t="shared" si="4"/>
        <v>26.256944444444443</v>
      </c>
    </row>
    <row r="18" spans="1:95" x14ac:dyDescent="0.25">
      <c r="A18" t="s">
        <v>51</v>
      </c>
      <c r="B18">
        <f>SUMIFS(movements!$H:$H,movements!$E:$E,$A18,movements!$D:$D,"OPENING",movements!$C:$C,"&lt;"&amp;B$1+1)+SUMIFS(movements!$H:$H,movements!$E:$E,$A18,movements!$D:$D,"RECEIPT",movements!$C:$C,"&lt;"&amp;B$1+1)-SUMIFS(movements!$H:$H,movements!$E:$E,$A18,movements!$D:$D,"ISSUE",movements!$C:$C,"&lt;"&amp;B$1+1)</f>
        <v>78</v>
      </c>
      <c r="C18">
        <f>SUMIFS(movements!$H:$H,movements!$E:$E,$A18,movements!$D:$D,"OPENING",movements!$C:$C,"&lt;"&amp;C$1+1)+SUMIFS(movements!$H:$H,movements!$E:$E,$A18,movements!$D:$D,"RECEIPT",movements!$C:$C,"&lt;"&amp;C$1+1)-SUMIFS(movements!$H:$H,movements!$E:$E,$A18,movements!$D:$D,"ISSUE",movements!$C:$C,"&lt;"&amp;C$1+1)</f>
        <v>73</v>
      </c>
      <c r="D18">
        <f>SUMIFS(movements!$H:$H,movements!$E:$E,$A18,movements!$D:$D,"OPENING",movements!$C:$C,"&lt;"&amp;D$1+1)+SUMIFS(movements!$H:$H,movements!$E:$E,$A18,movements!$D:$D,"RECEIPT",movements!$C:$C,"&lt;"&amp;D$1+1)-SUMIFS(movements!$H:$H,movements!$E:$E,$A18,movements!$D:$D,"ISSUE",movements!$C:$C,"&lt;"&amp;D$1+1)</f>
        <v>72</v>
      </c>
      <c r="E18">
        <f>SUMIFS(movements!$H:$H,movements!$E:$E,$A18,movements!$D:$D,"OPENING",movements!$C:$C,"&lt;"&amp;E$1+1)+SUMIFS(movements!$H:$H,movements!$E:$E,$A18,movements!$D:$D,"RECEIPT",movements!$C:$C,"&lt;"&amp;E$1+1)-SUMIFS(movements!$H:$H,movements!$E:$E,$A18,movements!$D:$D,"ISSUE",movements!$C:$C,"&lt;"&amp;E$1+1)</f>
        <v>64</v>
      </c>
      <c r="F18">
        <f>SUMIFS(movements!$H:$H,movements!$E:$E,$A18,movements!$D:$D,"OPENING",movements!$C:$C,"&lt;"&amp;F$1+1)+SUMIFS(movements!$H:$H,movements!$E:$E,$A18,movements!$D:$D,"RECEIPT",movements!$C:$C,"&lt;"&amp;F$1+1)-SUMIFS(movements!$H:$H,movements!$E:$E,$A18,movements!$D:$D,"ISSUE",movements!$C:$C,"&lt;"&amp;F$1+1)</f>
        <v>57</v>
      </c>
      <c r="G18">
        <f>SUMIFS(movements!$H:$H,movements!$E:$E,$A18,movements!$D:$D,"OPENING",movements!$C:$C,"&lt;"&amp;G$1+1)+SUMIFS(movements!$H:$H,movements!$E:$E,$A18,movements!$D:$D,"RECEIPT",movements!$C:$C,"&lt;"&amp;G$1+1)-SUMIFS(movements!$H:$H,movements!$E:$E,$A18,movements!$D:$D,"ISSUE",movements!$C:$C,"&lt;"&amp;G$1+1)</f>
        <v>48</v>
      </c>
      <c r="H18">
        <f>SUMIFS(movements!$H:$H,movements!$E:$E,$A18,movements!$D:$D,"OPENING",movements!$C:$C,"&lt;"&amp;H$1+1)+SUMIFS(movements!$H:$H,movements!$E:$E,$A18,movements!$D:$D,"RECEIPT",movements!$C:$C,"&lt;"&amp;H$1+1)-SUMIFS(movements!$H:$H,movements!$E:$E,$A18,movements!$D:$D,"ISSUE",movements!$C:$C,"&lt;"&amp;H$1+1)</f>
        <v>45</v>
      </c>
      <c r="I18">
        <f>SUMIFS(movements!$H:$H,movements!$E:$E,$A18,movements!$D:$D,"OPENING",movements!$C:$C,"&lt;"&amp;I$1+1)+SUMIFS(movements!$H:$H,movements!$E:$E,$A18,movements!$D:$D,"RECEIPT",movements!$C:$C,"&lt;"&amp;I$1+1)-SUMIFS(movements!$H:$H,movements!$E:$E,$A18,movements!$D:$D,"ISSUE",movements!$C:$C,"&lt;"&amp;I$1+1)</f>
        <v>136</v>
      </c>
      <c r="J18">
        <f>SUMIFS(movements!$H:$H,movements!$E:$E,$A18,movements!$D:$D,"OPENING",movements!$C:$C,"&lt;"&amp;J$1+1)+SUMIFS(movements!$H:$H,movements!$E:$E,$A18,movements!$D:$D,"RECEIPT",movements!$C:$C,"&lt;"&amp;J$1+1)-SUMIFS(movements!$H:$H,movements!$E:$E,$A18,movements!$D:$D,"ISSUE",movements!$C:$C,"&lt;"&amp;J$1+1)</f>
        <v>132</v>
      </c>
      <c r="K18">
        <f>SUMIFS(movements!$H:$H,movements!$E:$E,$A18,movements!$D:$D,"OPENING",movements!$C:$C,"&lt;"&amp;K$1+1)+SUMIFS(movements!$H:$H,movements!$E:$E,$A18,movements!$D:$D,"RECEIPT",movements!$C:$C,"&lt;"&amp;K$1+1)-SUMIFS(movements!$H:$H,movements!$E:$E,$A18,movements!$D:$D,"ISSUE",movements!$C:$C,"&lt;"&amp;K$1+1)</f>
        <v>130</v>
      </c>
      <c r="L18">
        <f>SUMIFS(movements!$H:$H,movements!$E:$E,$A18,movements!$D:$D,"OPENING",movements!$C:$C,"&lt;"&amp;L$1+1)+SUMIFS(movements!$H:$H,movements!$E:$E,$A18,movements!$D:$D,"RECEIPT",movements!$C:$C,"&lt;"&amp;L$1+1)-SUMIFS(movements!$H:$H,movements!$E:$E,$A18,movements!$D:$D,"ISSUE",movements!$C:$C,"&lt;"&amp;L$1+1)</f>
        <v>128</v>
      </c>
      <c r="M18">
        <f>SUMIFS(movements!$H:$H,movements!$E:$E,$A18,movements!$D:$D,"OPENING",movements!$C:$C,"&lt;"&amp;M$1+1)+SUMIFS(movements!$H:$H,movements!$E:$E,$A18,movements!$D:$D,"RECEIPT",movements!$C:$C,"&lt;"&amp;M$1+1)-SUMIFS(movements!$H:$H,movements!$E:$E,$A18,movements!$D:$D,"ISSUE",movements!$C:$C,"&lt;"&amp;M$1+1)</f>
        <v>124</v>
      </c>
      <c r="N18">
        <f>SUMIFS(movements!$H:$H,movements!$E:$E,$A18,movements!$D:$D,"OPENING",movements!$C:$C,"&lt;"&amp;N$1+1)+SUMIFS(movements!$H:$H,movements!$E:$E,$A18,movements!$D:$D,"RECEIPT",movements!$C:$C,"&lt;"&amp;N$1+1)-SUMIFS(movements!$H:$H,movements!$E:$E,$A18,movements!$D:$D,"ISSUE",movements!$C:$C,"&lt;"&amp;N$1+1)</f>
        <v>118</v>
      </c>
      <c r="O18">
        <f>SUMIFS(movements!$H:$H,movements!$E:$E,$A18,movements!$D:$D,"OPENING",movements!$C:$C,"&lt;"&amp;O$1+1)+SUMIFS(movements!$H:$H,movements!$E:$E,$A18,movements!$D:$D,"RECEIPT",movements!$C:$C,"&lt;"&amp;O$1+1)-SUMIFS(movements!$H:$H,movements!$E:$E,$A18,movements!$D:$D,"ISSUE",movements!$C:$C,"&lt;"&amp;O$1+1)</f>
        <v>118</v>
      </c>
      <c r="P18">
        <f>SUMIFS(movements!$H:$H,movements!$E:$E,$A18,movements!$D:$D,"OPENING",movements!$C:$C,"&lt;"&amp;P$1+1)+SUMIFS(movements!$H:$H,movements!$E:$E,$A18,movements!$D:$D,"RECEIPT",movements!$C:$C,"&lt;"&amp;P$1+1)-SUMIFS(movements!$H:$H,movements!$E:$E,$A18,movements!$D:$D,"ISSUE",movements!$C:$C,"&lt;"&amp;P$1+1)</f>
        <v>118</v>
      </c>
      <c r="Q18">
        <f>SUMIFS(movements!$H:$H,movements!$E:$E,$A18,movements!$D:$D,"OPENING",movements!$C:$C,"&lt;"&amp;Q$1+1)+SUMIFS(movements!$H:$H,movements!$E:$E,$A18,movements!$D:$D,"RECEIPT",movements!$C:$C,"&lt;"&amp;Q$1+1)-SUMIFS(movements!$H:$H,movements!$E:$E,$A18,movements!$D:$D,"ISSUE",movements!$C:$C,"&lt;"&amp;Q$1+1)</f>
        <v>110</v>
      </c>
      <c r="R18">
        <f>SUMIFS(movements!$H:$H,movements!$E:$E,$A18,movements!$D:$D,"OPENING",movements!$C:$C,"&lt;"&amp;R$1+1)+SUMIFS(movements!$H:$H,movements!$E:$E,$A18,movements!$D:$D,"RECEIPT",movements!$C:$C,"&lt;"&amp;R$1+1)-SUMIFS(movements!$H:$H,movements!$E:$E,$A18,movements!$D:$D,"ISSUE",movements!$C:$C,"&lt;"&amp;R$1+1)</f>
        <v>101</v>
      </c>
      <c r="S18">
        <f>SUMIFS(movements!$H:$H,movements!$E:$E,$A18,movements!$D:$D,"OPENING",movements!$C:$C,"&lt;"&amp;S$1+1)+SUMIFS(movements!$H:$H,movements!$E:$E,$A18,movements!$D:$D,"RECEIPT",movements!$C:$C,"&lt;"&amp;S$1+1)-SUMIFS(movements!$H:$H,movements!$E:$E,$A18,movements!$D:$D,"ISSUE",movements!$C:$C,"&lt;"&amp;S$1+1)</f>
        <v>94</v>
      </c>
      <c r="T18">
        <f>SUMIFS(movements!$H:$H,movements!$E:$E,$A18,movements!$D:$D,"OPENING",movements!$C:$C,"&lt;"&amp;T$1+1)+SUMIFS(movements!$H:$H,movements!$E:$E,$A18,movements!$D:$D,"RECEIPT",movements!$C:$C,"&lt;"&amp;T$1+1)-SUMIFS(movements!$H:$H,movements!$E:$E,$A18,movements!$D:$D,"ISSUE",movements!$C:$C,"&lt;"&amp;T$1+1)</f>
        <v>81</v>
      </c>
      <c r="U18">
        <f>SUMIFS(movements!$H:$H,movements!$E:$E,$A18,movements!$D:$D,"OPENING",movements!$C:$C,"&lt;"&amp;U$1+1)+SUMIFS(movements!$H:$H,movements!$E:$E,$A18,movements!$D:$D,"RECEIPT",movements!$C:$C,"&lt;"&amp;U$1+1)-SUMIFS(movements!$H:$H,movements!$E:$E,$A18,movements!$D:$D,"ISSUE",movements!$C:$C,"&lt;"&amp;U$1+1)</f>
        <v>71</v>
      </c>
      <c r="V18">
        <f>SUMIFS(movements!$H:$H,movements!$E:$E,$A18,movements!$D:$D,"OPENING",movements!$C:$C,"&lt;"&amp;V$1+1)+SUMIFS(movements!$H:$H,movements!$E:$E,$A18,movements!$D:$D,"RECEIPT",movements!$C:$C,"&lt;"&amp;V$1+1)-SUMIFS(movements!$H:$H,movements!$E:$E,$A18,movements!$D:$D,"ISSUE",movements!$C:$C,"&lt;"&amp;V$1+1)</f>
        <v>67</v>
      </c>
      <c r="W18">
        <f>SUMIFS(movements!$H:$H,movements!$E:$E,$A18,movements!$D:$D,"OPENING",movements!$C:$C,"&lt;"&amp;W$1+1)+SUMIFS(movements!$H:$H,movements!$E:$E,$A18,movements!$D:$D,"RECEIPT",movements!$C:$C,"&lt;"&amp;W$1+1)-SUMIFS(movements!$H:$H,movements!$E:$E,$A18,movements!$D:$D,"ISSUE",movements!$C:$C,"&lt;"&amp;W$1+1)</f>
        <v>162</v>
      </c>
      <c r="X18">
        <f>SUMIFS(movements!$H:$H,movements!$E:$E,$A18,movements!$D:$D,"OPENING",movements!$C:$C,"&lt;"&amp;X$1+1)+SUMIFS(movements!$H:$H,movements!$E:$E,$A18,movements!$D:$D,"RECEIPT",movements!$C:$C,"&lt;"&amp;X$1+1)-SUMIFS(movements!$H:$H,movements!$E:$E,$A18,movements!$D:$D,"ISSUE",movements!$C:$C,"&lt;"&amp;X$1+1)</f>
        <v>149</v>
      </c>
      <c r="Y18">
        <f>SUMIFS(movements!$H:$H,movements!$E:$E,$A18,movements!$D:$D,"OPENING",movements!$C:$C,"&lt;"&amp;Y$1+1)+SUMIFS(movements!$H:$H,movements!$E:$E,$A18,movements!$D:$D,"RECEIPT",movements!$C:$C,"&lt;"&amp;Y$1+1)-SUMIFS(movements!$H:$H,movements!$E:$E,$A18,movements!$D:$D,"ISSUE",movements!$C:$C,"&lt;"&amp;Y$1+1)</f>
        <v>147</v>
      </c>
      <c r="Z18">
        <f>SUMIFS(movements!$H:$H,movements!$E:$E,$A18,movements!$D:$D,"OPENING",movements!$C:$C,"&lt;"&amp;Z$1+1)+SUMIFS(movements!$H:$H,movements!$E:$E,$A18,movements!$D:$D,"RECEIPT",movements!$C:$C,"&lt;"&amp;Z$1+1)-SUMIFS(movements!$H:$H,movements!$E:$E,$A18,movements!$D:$D,"ISSUE",movements!$C:$C,"&lt;"&amp;Z$1+1)</f>
        <v>147</v>
      </c>
      <c r="AA18">
        <f>SUMIFS(movements!$H:$H,movements!$E:$E,$A18,movements!$D:$D,"OPENING",movements!$C:$C,"&lt;"&amp;AA$1+1)+SUMIFS(movements!$H:$H,movements!$E:$E,$A18,movements!$D:$D,"RECEIPT",movements!$C:$C,"&lt;"&amp;AA$1+1)-SUMIFS(movements!$H:$H,movements!$E:$E,$A18,movements!$D:$D,"ISSUE",movements!$C:$C,"&lt;"&amp;AA$1+1)</f>
        <v>147</v>
      </c>
      <c r="AB18">
        <f>SUMIFS(movements!$H:$H,movements!$E:$E,$A18,movements!$D:$D,"OPENING",movements!$C:$C,"&lt;"&amp;AB$1+1)+SUMIFS(movements!$H:$H,movements!$E:$E,$A18,movements!$D:$D,"RECEIPT",movements!$C:$C,"&lt;"&amp;AB$1+1)-SUMIFS(movements!$H:$H,movements!$E:$E,$A18,movements!$D:$D,"ISSUE",movements!$C:$C,"&lt;"&amp;AB$1+1)</f>
        <v>143</v>
      </c>
      <c r="AC18">
        <f>SUMIFS(movements!$H:$H,movements!$E:$E,$A18,movements!$D:$D,"OPENING",movements!$C:$C,"&lt;"&amp;AC$1+1)+SUMIFS(movements!$H:$H,movements!$E:$E,$A18,movements!$D:$D,"RECEIPT",movements!$C:$C,"&lt;"&amp;AC$1+1)-SUMIFS(movements!$H:$H,movements!$E:$E,$A18,movements!$D:$D,"ISSUE",movements!$C:$C,"&lt;"&amp;AC$1+1)</f>
        <v>141</v>
      </c>
      <c r="AD18">
        <f>SUMIFS(movements!$H:$H,movements!$E:$E,$A18,movements!$D:$D,"OPENING",movements!$C:$C,"&lt;"&amp;AD$1+1)+SUMIFS(movements!$H:$H,movements!$E:$E,$A18,movements!$D:$D,"RECEIPT",movements!$C:$C,"&lt;"&amp;AD$1+1)-SUMIFS(movements!$H:$H,movements!$E:$E,$A18,movements!$D:$D,"ISSUE",movements!$C:$C,"&lt;"&amp;AD$1+1)</f>
        <v>141</v>
      </c>
      <c r="AE18">
        <f>SUMIFS(movements!$H:$H,movements!$E:$E,$A18,movements!$D:$D,"OPENING",movements!$C:$C,"&lt;"&amp;AE$1+1)+SUMIFS(movements!$H:$H,movements!$E:$E,$A18,movements!$D:$D,"RECEIPT",movements!$C:$C,"&lt;"&amp;AE$1+1)-SUMIFS(movements!$H:$H,movements!$E:$E,$A18,movements!$D:$D,"ISSUE",movements!$C:$C,"&lt;"&amp;AE$1+1)</f>
        <v>141</v>
      </c>
      <c r="AF18">
        <f>SUMIFS(movements!$H:$H,movements!$E:$E,$A18,movements!$D:$D,"OPENING",movements!$C:$C,"&lt;"&amp;AF$1+1)+SUMIFS(movements!$H:$H,movements!$E:$E,$A18,movements!$D:$D,"RECEIPT",movements!$C:$C,"&lt;"&amp;AF$1+1)-SUMIFS(movements!$H:$H,movements!$E:$E,$A18,movements!$D:$D,"ISSUE",movements!$C:$C,"&lt;"&amp;AF$1+1)</f>
        <v>141</v>
      </c>
      <c r="AG18">
        <f>SUMIFS(movements!$H:$H,movements!$E:$E,$A18,movements!$D:$D,"OPENING",movements!$C:$C,"&lt;"&amp;AG$1+1)+SUMIFS(movements!$H:$H,movements!$E:$E,$A18,movements!$D:$D,"RECEIPT",movements!$C:$C,"&lt;"&amp;AG$1+1)-SUMIFS(movements!$H:$H,movements!$E:$E,$A18,movements!$D:$D,"ISSUE",movements!$C:$C,"&lt;"&amp;AG$1+1)</f>
        <v>135</v>
      </c>
      <c r="AH18">
        <f>SUMIFS(movements!$H:$H,movements!$E:$E,$A18,movements!$D:$D,"OPENING",movements!$C:$C,"&lt;"&amp;AH$1+1)+SUMIFS(movements!$H:$H,movements!$E:$E,$A18,movements!$D:$D,"RECEIPT",movements!$C:$C,"&lt;"&amp;AH$1+1)-SUMIFS(movements!$H:$H,movements!$E:$E,$A18,movements!$D:$D,"ISSUE",movements!$C:$C,"&lt;"&amp;AH$1+1)</f>
        <v>125</v>
      </c>
      <c r="AI18">
        <f>SUMIFS(movements!$H:$H,movements!$E:$E,$A18,movements!$D:$D,"OPENING",movements!$C:$C,"&lt;"&amp;AI$1+1)+SUMIFS(movements!$H:$H,movements!$E:$E,$A18,movements!$D:$D,"RECEIPT",movements!$C:$C,"&lt;"&amp;AI$1+1)-SUMIFS(movements!$H:$H,movements!$E:$E,$A18,movements!$D:$D,"ISSUE",movements!$C:$C,"&lt;"&amp;AI$1+1)</f>
        <v>121</v>
      </c>
      <c r="AJ18">
        <f>SUMIFS(movements!$H:$H,movements!$E:$E,$A18,movements!$D:$D,"OPENING",movements!$C:$C,"&lt;"&amp;AJ$1+1)+SUMIFS(movements!$H:$H,movements!$E:$E,$A18,movements!$D:$D,"RECEIPT",movements!$C:$C,"&lt;"&amp;AJ$1+1)-SUMIFS(movements!$H:$H,movements!$E:$E,$A18,movements!$D:$D,"ISSUE",movements!$C:$C,"&lt;"&amp;AJ$1+1)</f>
        <v>121</v>
      </c>
      <c r="AK18">
        <f>SUMIFS(movements!$H:$H,movements!$E:$E,$A18,movements!$D:$D,"OPENING",movements!$C:$C,"&lt;"&amp;AK$1+1)+SUMIFS(movements!$H:$H,movements!$E:$E,$A18,movements!$D:$D,"RECEIPT",movements!$C:$C,"&lt;"&amp;AK$1+1)-SUMIFS(movements!$H:$H,movements!$E:$E,$A18,movements!$D:$D,"ISSUE",movements!$C:$C,"&lt;"&amp;AK$1+1)</f>
        <v>119</v>
      </c>
      <c r="AL18">
        <f>SUMIFS(movements!$H:$H,movements!$E:$E,$A18,movements!$D:$D,"OPENING",movements!$C:$C,"&lt;"&amp;AL$1+1)+SUMIFS(movements!$H:$H,movements!$E:$E,$A18,movements!$D:$D,"RECEIPT",movements!$C:$C,"&lt;"&amp;AL$1+1)-SUMIFS(movements!$H:$H,movements!$E:$E,$A18,movements!$D:$D,"ISSUE",movements!$C:$C,"&lt;"&amp;AL$1+1)</f>
        <v>119</v>
      </c>
      <c r="AM18">
        <f>SUMIFS(movements!$H:$H,movements!$E:$E,$A18,movements!$D:$D,"OPENING",movements!$C:$C,"&lt;"&amp;AM$1+1)+SUMIFS(movements!$H:$H,movements!$E:$E,$A18,movements!$D:$D,"RECEIPT",movements!$C:$C,"&lt;"&amp;AM$1+1)-SUMIFS(movements!$H:$H,movements!$E:$E,$A18,movements!$D:$D,"ISSUE",movements!$C:$C,"&lt;"&amp;AM$1+1)</f>
        <v>117</v>
      </c>
      <c r="AN18">
        <f>SUMIFS(movements!$H:$H,movements!$E:$E,$A18,movements!$D:$D,"OPENING",movements!$C:$C,"&lt;"&amp;AN$1+1)+SUMIFS(movements!$H:$H,movements!$E:$E,$A18,movements!$D:$D,"RECEIPT",movements!$C:$C,"&lt;"&amp;AN$1+1)-SUMIFS(movements!$H:$H,movements!$E:$E,$A18,movements!$D:$D,"ISSUE",movements!$C:$C,"&lt;"&amp;AN$1+1)</f>
        <v>111</v>
      </c>
      <c r="AO18">
        <f>SUMIFS(movements!$H:$H,movements!$E:$E,$A18,movements!$D:$D,"OPENING",movements!$C:$C,"&lt;"&amp;AO$1+1)+SUMIFS(movements!$H:$H,movements!$E:$E,$A18,movements!$D:$D,"RECEIPT",movements!$C:$C,"&lt;"&amp;AO$1+1)-SUMIFS(movements!$H:$H,movements!$E:$E,$A18,movements!$D:$D,"ISSUE",movements!$C:$C,"&lt;"&amp;AO$1+1)</f>
        <v>100</v>
      </c>
      <c r="AP18">
        <f>SUMIFS(movements!$H:$H,movements!$E:$E,$A18,movements!$D:$D,"OPENING",movements!$C:$C,"&lt;"&amp;AP$1+1)+SUMIFS(movements!$H:$H,movements!$E:$E,$A18,movements!$D:$D,"RECEIPT",movements!$C:$C,"&lt;"&amp;AP$1+1)-SUMIFS(movements!$H:$H,movements!$E:$E,$A18,movements!$D:$D,"ISSUE",movements!$C:$C,"&lt;"&amp;AP$1+1)</f>
        <v>96</v>
      </c>
      <c r="AQ18">
        <f>SUMIFS(movements!$H:$H,movements!$E:$E,$A18,movements!$D:$D,"OPENING",movements!$C:$C,"&lt;"&amp;AQ$1+1)+SUMIFS(movements!$H:$H,movements!$E:$E,$A18,movements!$D:$D,"RECEIPT",movements!$C:$C,"&lt;"&amp;AQ$1+1)-SUMIFS(movements!$H:$H,movements!$E:$E,$A18,movements!$D:$D,"ISSUE",movements!$C:$C,"&lt;"&amp;AQ$1+1)</f>
        <v>91</v>
      </c>
      <c r="AR18">
        <f>SUMIFS(movements!$H:$H,movements!$E:$E,$A18,movements!$D:$D,"OPENING",movements!$C:$C,"&lt;"&amp;AR$1+1)+SUMIFS(movements!$H:$H,movements!$E:$E,$A18,movements!$D:$D,"RECEIPT",movements!$C:$C,"&lt;"&amp;AR$1+1)-SUMIFS(movements!$H:$H,movements!$E:$E,$A18,movements!$D:$D,"ISSUE",movements!$C:$C,"&lt;"&amp;AR$1+1)</f>
        <v>187</v>
      </c>
      <c r="AS18">
        <f>SUMIFS(movements!$H:$H,movements!$E:$E,$A18,movements!$D:$D,"OPENING",movements!$C:$C,"&lt;"&amp;AS$1+1)+SUMIFS(movements!$H:$H,movements!$E:$E,$A18,movements!$D:$D,"RECEIPT",movements!$C:$C,"&lt;"&amp;AS$1+1)-SUMIFS(movements!$H:$H,movements!$E:$E,$A18,movements!$D:$D,"ISSUE",movements!$C:$C,"&lt;"&amp;AS$1+1)</f>
        <v>181</v>
      </c>
      <c r="AT18">
        <f>SUMIFS(movements!$H:$H,movements!$E:$E,$A18,movements!$D:$D,"OPENING",movements!$C:$C,"&lt;"&amp;AT$1+1)+SUMIFS(movements!$H:$H,movements!$E:$E,$A18,movements!$D:$D,"RECEIPT",movements!$C:$C,"&lt;"&amp;AT$1+1)-SUMIFS(movements!$H:$H,movements!$E:$E,$A18,movements!$D:$D,"ISSUE",movements!$C:$C,"&lt;"&amp;AT$1+1)</f>
        <v>181</v>
      </c>
      <c r="AU18">
        <f>SUMIFS(movements!$H:$H,movements!$E:$E,$A18,movements!$D:$D,"OPENING",movements!$C:$C,"&lt;"&amp;AU$1+1)+SUMIFS(movements!$H:$H,movements!$E:$E,$A18,movements!$D:$D,"RECEIPT",movements!$C:$C,"&lt;"&amp;AU$1+1)-SUMIFS(movements!$H:$H,movements!$E:$E,$A18,movements!$D:$D,"ISSUE",movements!$C:$C,"&lt;"&amp;AU$1+1)</f>
        <v>181</v>
      </c>
      <c r="AV18">
        <f>SUMIFS(movements!$H:$H,movements!$E:$E,$A18,movements!$D:$D,"OPENING",movements!$C:$C,"&lt;"&amp;AV$1+1)+SUMIFS(movements!$H:$H,movements!$E:$E,$A18,movements!$D:$D,"RECEIPT",movements!$C:$C,"&lt;"&amp;AV$1+1)-SUMIFS(movements!$H:$H,movements!$E:$E,$A18,movements!$D:$D,"ISSUE",movements!$C:$C,"&lt;"&amp;AV$1+1)</f>
        <v>176</v>
      </c>
      <c r="AW18">
        <f>SUMIFS(movements!$H:$H,movements!$E:$E,$A18,movements!$D:$D,"OPENING",movements!$C:$C,"&lt;"&amp;AW$1+1)+SUMIFS(movements!$H:$H,movements!$E:$E,$A18,movements!$D:$D,"RECEIPT",movements!$C:$C,"&lt;"&amp;AW$1+1)-SUMIFS(movements!$H:$H,movements!$E:$E,$A18,movements!$D:$D,"ISSUE",movements!$C:$C,"&lt;"&amp;AW$1+1)</f>
        <v>170</v>
      </c>
      <c r="AX18">
        <f>SUMIFS(movements!$H:$H,movements!$E:$E,$A18,movements!$D:$D,"OPENING",movements!$C:$C,"&lt;"&amp;AX$1+1)+SUMIFS(movements!$H:$H,movements!$E:$E,$A18,movements!$D:$D,"RECEIPT",movements!$C:$C,"&lt;"&amp;AX$1+1)-SUMIFS(movements!$H:$H,movements!$E:$E,$A18,movements!$D:$D,"ISSUE",movements!$C:$C,"&lt;"&amp;AX$1+1)</f>
        <v>166</v>
      </c>
      <c r="AY18">
        <f>SUMIFS(movements!$H:$H,movements!$E:$E,$A18,movements!$D:$D,"OPENING",movements!$C:$C,"&lt;"&amp;AY$1+1)+SUMIFS(movements!$H:$H,movements!$E:$E,$A18,movements!$D:$D,"RECEIPT",movements!$C:$C,"&lt;"&amp;AY$1+1)-SUMIFS(movements!$H:$H,movements!$E:$E,$A18,movements!$D:$D,"ISSUE",movements!$C:$C,"&lt;"&amp;AY$1+1)</f>
        <v>161</v>
      </c>
      <c r="AZ18">
        <f>SUMIFS(movements!$H:$H,movements!$E:$E,$A18,movements!$D:$D,"OPENING",movements!$C:$C,"&lt;"&amp;AZ$1+1)+SUMIFS(movements!$H:$H,movements!$E:$E,$A18,movements!$D:$D,"RECEIPT",movements!$C:$C,"&lt;"&amp;AZ$1+1)-SUMIFS(movements!$H:$H,movements!$E:$E,$A18,movements!$D:$D,"ISSUE",movements!$C:$C,"&lt;"&amp;AZ$1+1)</f>
        <v>152</v>
      </c>
      <c r="BA18">
        <f>SUMIFS(movements!$H:$H,movements!$E:$E,$A18,movements!$D:$D,"OPENING",movements!$C:$C,"&lt;"&amp;BA$1+1)+SUMIFS(movements!$H:$H,movements!$E:$E,$A18,movements!$D:$D,"RECEIPT",movements!$C:$C,"&lt;"&amp;BA$1+1)-SUMIFS(movements!$H:$H,movements!$E:$E,$A18,movements!$D:$D,"ISSUE",movements!$C:$C,"&lt;"&amp;BA$1+1)</f>
        <v>150</v>
      </c>
      <c r="BB18">
        <f>SUMIFS(movements!$H:$H,movements!$E:$E,$A18,movements!$D:$D,"OPENING",movements!$C:$C,"&lt;"&amp;BB$1+1)+SUMIFS(movements!$H:$H,movements!$E:$E,$A18,movements!$D:$D,"RECEIPT",movements!$C:$C,"&lt;"&amp;BB$1+1)-SUMIFS(movements!$H:$H,movements!$E:$E,$A18,movements!$D:$D,"ISSUE",movements!$C:$C,"&lt;"&amp;BB$1+1)</f>
        <v>144</v>
      </c>
      <c r="BC18">
        <f>SUMIFS(movements!$H:$H,movements!$E:$E,$A18,movements!$D:$D,"OPENING",movements!$C:$C,"&lt;"&amp;BC$1+1)+SUMIFS(movements!$H:$H,movements!$E:$E,$A18,movements!$D:$D,"RECEIPT",movements!$C:$C,"&lt;"&amp;BC$1+1)-SUMIFS(movements!$H:$H,movements!$E:$E,$A18,movements!$D:$D,"ISSUE",movements!$C:$C,"&lt;"&amp;BC$1+1)</f>
        <v>139</v>
      </c>
      <c r="BD18">
        <f>SUMIFS(movements!$H:$H,movements!$E:$E,$A18,movements!$D:$D,"OPENING",movements!$C:$C,"&lt;"&amp;BD$1+1)+SUMIFS(movements!$H:$H,movements!$E:$E,$A18,movements!$D:$D,"RECEIPT",movements!$C:$C,"&lt;"&amp;BD$1+1)-SUMIFS(movements!$H:$H,movements!$E:$E,$A18,movements!$D:$D,"ISSUE",movements!$C:$C,"&lt;"&amp;BD$1+1)</f>
        <v>130</v>
      </c>
      <c r="BE18">
        <f>SUMIFS(movements!$H:$H,movements!$E:$E,$A18,movements!$D:$D,"OPENING",movements!$C:$C,"&lt;"&amp;BE$1+1)+SUMIFS(movements!$H:$H,movements!$E:$E,$A18,movements!$D:$D,"RECEIPT",movements!$C:$C,"&lt;"&amp;BE$1+1)-SUMIFS(movements!$H:$H,movements!$E:$E,$A18,movements!$D:$D,"ISSUE",movements!$C:$C,"&lt;"&amp;BE$1+1)</f>
        <v>122</v>
      </c>
      <c r="BF18">
        <f>SUMIFS(movements!$H:$H,movements!$E:$E,$A18,movements!$D:$D,"OPENING",movements!$C:$C,"&lt;"&amp;BF$1+1)+SUMIFS(movements!$H:$H,movements!$E:$E,$A18,movements!$D:$D,"RECEIPT",movements!$C:$C,"&lt;"&amp;BF$1+1)-SUMIFS(movements!$H:$H,movements!$E:$E,$A18,movements!$D:$D,"ISSUE",movements!$C:$C,"&lt;"&amp;BF$1+1)</f>
        <v>117</v>
      </c>
      <c r="BG18">
        <f>SUMIFS(movements!$H:$H,movements!$E:$E,$A18,movements!$D:$D,"OPENING",movements!$C:$C,"&lt;"&amp;BG$1+1)+SUMIFS(movements!$H:$H,movements!$E:$E,$A18,movements!$D:$D,"RECEIPT",movements!$C:$C,"&lt;"&amp;BG$1+1)-SUMIFS(movements!$H:$H,movements!$E:$E,$A18,movements!$D:$D,"ISSUE",movements!$C:$C,"&lt;"&amp;BG$1+1)</f>
        <v>112</v>
      </c>
      <c r="BH18">
        <f>SUMIFS(movements!$H:$H,movements!$E:$E,$A18,movements!$D:$D,"OPENING",movements!$C:$C,"&lt;"&amp;BH$1+1)+SUMIFS(movements!$H:$H,movements!$E:$E,$A18,movements!$D:$D,"RECEIPT",movements!$C:$C,"&lt;"&amp;BH$1+1)-SUMIFS(movements!$H:$H,movements!$E:$E,$A18,movements!$D:$D,"ISSUE",movements!$C:$C,"&lt;"&amp;BH$1+1)</f>
        <v>110</v>
      </c>
      <c r="BI18">
        <f>SUMIFS(movements!$H:$H,movements!$E:$E,$A18,movements!$D:$D,"OPENING",movements!$C:$C,"&lt;"&amp;BI$1+1)+SUMIFS(movements!$H:$H,movements!$E:$E,$A18,movements!$D:$D,"RECEIPT",movements!$C:$C,"&lt;"&amp;BI$1+1)-SUMIFS(movements!$H:$H,movements!$E:$E,$A18,movements!$D:$D,"ISSUE",movements!$C:$C,"&lt;"&amp;BI$1+1)</f>
        <v>106</v>
      </c>
      <c r="BJ18">
        <f>SUMIFS(movements!$H:$H,movements!$E:$E,$A18,movements!$D:$D,"OPENING",movements!$C:$C,"&lt;"&amp;BJ$1+1)+SUMIFS(movements!$H:$H,movements!$E:$E,$A18,movements!$D:$D,"RECEIPT",movements!$C:$C,"&lt;"&amp;BJ$1+1)-SUMIFS(movements!$H:$H,movements!$E:$E,$A18,movements!$D:$D,"ISSUE",movements!$C:$C,"&lt;"&amp;BJ$1+1)</f>
        <v>103</v>
      </c>
      <c r="BK18">
        <f>SUMIFS(movements!$H:$H,movements!$E:$E,$A18,movements!$D:$D,"OPENING",movements!$C:$C,"&lt;"&amp;BK$1+1)+SUMIFS(movements!$H:$H,movements!$E:$E,$A18,movements!$D:$D,"RECEIPT",movements!$C:$C,"&lt;"&amp;BK$1+1)-SUMIFS(movements!$H:$H,movements!$E:$E,$A18,movements!$D:$D,"ISSUE",movements!$C:$C,"&lt;"&amp;BK$1+1)</f>
        <v>103</v>
      </c>
      <c r="BL18">
        <f>SUMIFS(movements!$H:$H,movements!$E:$E,$A18,movements!$D:$D,"OPENING",movements!$C:$C,"&lt;"&amp;BL$1+1)+SUMIFS(movements!$H:$H,movements!$E:$E,$A18,movements!$D:$D,"RECEIPT",movements!$C:$C,"&lt;"&amp;BL$1+1)-SUMIFS(movements!$H:$H,movements!$E:$E,$A18,movements!$D:$D,"ISSUE",movements!$C:$C,"&lt;"&amp;BL$1+1)</f>
        <v>96</v>
      </c>
      <c r="BM18">
        <f>SUMIFS(movements!$H:$H,movements!$E:$E,$A18,movements!$D:$D,"OPENING",movements!$C:$C,"&lt;"&amp;BM$1+1)+SUMIFS(movements!$H:$H,movements!$E:$E,$A18,movements!$D:$D,"RECEIPT",movements!$C:$C,"&lt;"&amp;BM$1+1)-SUMIFS(movements!$H:$H,movements!$E:$E,$A18,movements!$D:$D,"ISSUE",movements!$C:$C,"&lt;"&amp;BM$1+1)</f>
        <v>164</v>
      </c>
      <c r="BN18">
        <f>SUMIFS(movements!$H:$H,movements!$E:$E,$A18,movements!$D:$D,"OPENING",movements!$C:$C,"&lt;"&amp;BN$1+1)+SUMIFS(movements!$H:$H,movements!$E:$E,$A18,movements!$D:$D,"RECEIPT",movements!$C:$C,"&lt;"&amp;BN$1+1)-SUMIFS(movements!$H:$H,movements!$E:$E,$A18,movements!$D:$D,"ISSUE",movements!$C:$C,"&lt;"&amp;BN$1+1)</f>
        <v>164</v>
      </c>
      <c r="BO18">
        <f>SUMIFS(movements!$H:$H,movements!$E:$E,$A18,movements!$D:$D,"OPENING",movements!$C:$C,"&lt;"&amp;BO$1+1)+SUMIFS(movements!$H:$H,movements!$E:$E,$A18,movements!$D:$D,"RECEIPT",movements!$C:$C,"&lt;"&amp;BO$1+1)-SUMIFS(movements!$H:$H,movements!$E:$E,$A18,movements!$D:$D,"ISSUE",movements!$C:$C,"&lt;"&amp;BO$1+1)</f>
        <v>159</v>
      </c>
      <c r="BP18">
        <f>SUMIFS(movements!$H:$H,movements!$E:$E,$A18,movements!$D:$D,"OPENING",movements!$C:$C,"&lt;"&amp;BP$1+1)+SUMIFS(movements!$H:$H,movements!$E:$E,$A18,movements!$D:$D,"RECEIPT",movements!$C:$C,"&lt;"&amp;BP$1+1)-SUMIFS(movements!$H:$H,movements!$E:$E,$A18,movements!$D:$D,"ISSUE",movements!$C:$C,"&lt;"&amp;BP$1+1)</f>
        <v>155</v>
      </c>
      <c r="BQ18">
        <f>SUMIFS(movements!$H:$H,movements!$E:$E,$A18,movements!$D:$D,"OPENING",movements!$C:$C,"&lt;"&amp;BQ$1+1)+SUMIFS(movements!$H:$H,movements!$E:$E,$A18,movements!$D:$D,"RECEIPT",movements!$C:$C,"&lt;"&amp;BQ$1+1)-SUMIFS(movements!$H:$H,movements!$E:$E,$A18,movements!$D:$D,"ISSUE",movements!$C:$C,"&lt;"&amp;BQ$1+1)</f>
        <v>154</v>
      </c>
      <c r="BR18">
        <f>SUMIFS(movements!$H:$H,movements!$E:$E,$A18,movements!$D:$D,"OPENING",movements!$C:$C,"&lt;"&amp;BR$1+1)+SUMIFS(movements!$H:$H,movements!$E:$E,$A18,movements!$D:$D,"RECEIPT",movements!$C:$C,"&lt;"&amp;BR$1+1)-SUMIFS(movements!$H:$H,movements!$E:$E,$A18,movements!$D:$D,"ISSUE",movements!$C:$C,"&lt;"&amp;BR$1+1)</f>
        <v>151</v>
      </c>
      <c r="BS18">
        <f>SUMIFS(movements!$H:$H,movements!$E:$E,$A18,movements!$D:$D,"OPENING",movements!$C:$C,"&lt;"&amp;BS$1+1)+SUMIFS(movements!$H:$H,movements!$E:$E,$A18,movements!$D:$D,"RECEIPT",movements!$C:$C,"&lt;"&amp;BS$1+1)-SUMIFS(movements!$H:$H,movements!$E:$E,$A18,movements!$D:$D,"ISSUE",movements!$C:$C,"&lt;"&amp;BS$1+1)</f>
        <v>142</v>
      </c>
      <c r="BT18">
        <f>SUMIFS(movements!$H:$H,movements!$E:$E,$A18,movements!$D:$D,"OPENING",movements!$C:$C,"&lt;"&amp;BT$1+1)+SUMIFS(movements!$H:$H,movements!$E:$E,$A18,movements!$D:$D,"RECEIPT",movements!$C:$C,"&lt;"&amp;BT$1+1)-SUMIFS(movements!$H:$H,movements!$E:$E,$A18,movements!$D:$D,"ISSUE",movements!$C:$C,"&lt;"&amp;BT$1+1)</f>
        <v>142</v>
      </c>
      <c r="BU18">
        <f>SUMIFS(movements!$H:$H,movements!$E:$E,$A18,movements!$D:$D,"OPENING",movements!$C:$C,"&lt;"&amp;BU$1+1)+SUMIFS(movements!$H:$H,movements!$E:$E,$A18,movements!$D:$D,"RECEIPT",movements!$C:$C,"&lt;"&amp;BU$1+1)-SUMIFS(movements!$H:$H,movements!$E:$E,$A18,movements!$D:$D,"ISSUE",movements!$C:$C,"&lt;"&amp;BU$1+1)</f>
        <v>132</v>
      </c>
      <c r="BV18">
        <f>SUMIFS(movements!$H:$H,movements!$E:$E,$A18,movements!$D:$D,"OPENING",movements!$C:$C,"&lt;"&amp;BV$1+1)+SUMIFS(movements!$H:$H,movements!$E:$E,$A18,movements!$D:$D,"RECEIPT",movements!$C:$C,"&lt;"&amp;BV$1+1)-SUMIFS(movements!$H:$H,movements!$E:$E,$A18,movements!$D:$D,"ISSUE",movements!$C:$C,"&lt;"&amp;BV$1+1)</f>
        <v>129</v>
      </c>
      <c r="BW18">
        <f>SUMIFS(movements!$H:$H,movements!$E:$E,$A18,movements!$D:$D,"OPENING",movements!$C:$C,"&lt;"&amp;BW$1+1)+SUMIFS(movements!$H:$H,movements!$E:$E,$A18,movements!$D:$D,"RECEIPT",movements!$C:$C,"&lt;"&amp;BW$1+1)-SUMIFS(movements!$H:$H,movements!$E:$E,$A18,movements!$D:$D,"ISSUE",movements!$C:$C,"&lt;"&amp;BW$1+1)</f>
        <v>124</v>
      </c>
      <c r="BX18">
        <f>SUMIFS(movements!$H:$H,movements!$E:$E,$A18,movements!$D:$D,"OPENING",movements!$C:$C,"&lt;"&amp;BX$1+1)+SUMIFS(movements!$H:$H,movements!$E:$E,$A18,movements!$D:$D,"RECEIPT",movements!$C:$C,"&lt;"&amp;BX$1+1)-SUMIFS(movements!$H:$H,movements!$E:$E,$A18,movements!$D:$D,"ISSUE",movements!$C:$C,"&lt;"&amp;BX$1+1)</f>
        <v>124</v>
      </c>
      <c r="BY18">
        <f>SUMIFS(movements!$H:$H,movements!$E:$E,$A18,movements!$D:$D,"OPENING",movements!$C:$C,"&lt;"&amp;BY$1+1)+SUMIFS(movements!$H:$H,movements!$E:$E,$A18,movements!$D:$D,"RECEIPT",movements!$C:$C,"&lt;"&amp;BY$1+1)-SUMIFS(movements!$H:$H,movements!$E:$E,$A18,movements!$D:$D,"ISSUE",movements!$C:$C,"&lt;"&amp;BY$1+1)</f>
        <v>105</v>
      </c>
      <c r="BZ18">
        <f>SUMIFS(movements!$H:$H,movements!$E:$E,$A18,movements!$D:$D,"OPENING",movements!$C:$C,"&lt;"&amp;BZ$1+1)+SUMIFS(movements!$H:$H,movements!$E:$E,$A18,movements!$D:$D,"RECEIPT",movements!$C:$C,"&lt;"&amp;BZ$1+1)-SUMIFS(movements!$H:$H,movements!$E:$E,$A18,movements!$D:$D,"ISSUE",movements!$C:$C,"&lt;"&amp;BZ$1+1)</f>
        <v>104</v>
      </c>
      <c r="CA18">
        <f>SUMIFS(movements!$H:$H,movements!$E:$E,$A18,movements!$D:$D,"OPENING",movements!$C:$C,"&lt;"&amp;CA$1+1)+SUMIFS(movements!$H:$H,movements!$E:$E,$A18,movements!$D:$D,"RECEIPT",movements!$C:$C,"&lt;"&amp;CA$1+1)-SUMIFS(movements!$H:$H,movements!$E:$E,$A18,movements!$D:$D,"ISSUE",movements!$C:$C,"&lt;"&amp;CA$1+1)</f>
        <v>156</v>
      </c>
      <c r="CB18">
        <f>SUMIFS(movements!$H:$H,movements!$E:$E,$A18,movements!$D:$D,"OPENING",movements!$C:$C,"&lt;"&amp;CB$1+1)+SUMIFS(movements!$H:$H,movements!$E:$E,$A18,movements!$D:$D,"RECEIPT",movements!$C:$C,"&lt;"&amp;CB$1+1)-SUMIFS(movements!$H:$H,movements!$E:$E,$A18,movements!$D:$D,"ISSUE",movements!$C:$C,"&lt;"&amp;CB$1+1)</f>
        <v>155</v>
      </c>
      <c r="CC18">
        <f>SUMIFS(movements!$H:$H,movements!$E:$E,$A18,movements!$D:$D,"OPENING",movements!$C:$C,"&lt;"&amp;CC$1+1)+SUMIFS(movements!$H:$H,movements!$E:$E,$A18,movements!$D:$D,"RECEIPT",movements!$C:$C,"&lt;"&amp;CC$1+1)-SUMIFS(movements!$H:$H,movements!$E:$E,$A18,movements!$D:$D,"ISSUE",movements!$C:$C,"&lt;"&amp;CC$1+1)</f>
        <v>149</v>
      </c>
      <c r="CD18">
        <f>SUMIFS(movements!$H:$H,movements!$E:$E,$A18,movements!$D:$D,"OPENING",movements!$C:$C,"&lt;"&amp;CD$1+1)+SUMIFS(movements!$H:$H,movements!$E:$E,$A18,movements!$D:$D,"RECEIPT",movements!$C:$C,"&lt;"&amp;CD$1+1)-SUMIFS(movements!$H:$H,movements!$E:$E,$A18,movements!$D:$D,"ISSUE",movements!$C:$C,"&lt;"&amp;CD$1+1)</f>
        <v>146</v>
      </c>
      <c r="CE18">
        <f>SUMIFS(movements!$H:$H,movements!$E:$E,$A18,movements!$D:$D,"OPENING",movements!$C:$C,"&lt;"&amp;CE$1+1)+SUMIFS(movements!$H:$H,movements!$E:$E,$A18,movements!$D:$D,"RECEIPT",movements!$C:$C,"&lt;"&amp;CE$1+1)-SUMIFS(movements!$H:$H,movements!$E:$E,$A18,movements!$D:$D,"ISSUE",movements!$C:$C,"&lt;"&amp;CE$1+1)</f>
        <v>146</v>
      </c>
      <c r="CF18">
        <f>SUMIFS(movements!$H:$H,movements!$E:$E,$A18,movements!$D:$D,"OPENING",movements!$C:$C,"&lt;"&amp;CF$1+1)+SUMIFS(movements!$H:$H,movements!$E:$E,$A18,movements!$D:$D,"RECEIPT",movements!$C:$C,"&lt;"&amp;CF$1+1)-SUMIFS(movements!$H:$H,movements!$E:$E,$A18,movements!$D:$D,"ISSUE",movements!$C:$C,"&lt;"&amp;CF$1+1)</f>
        <v>139</v>
      </c>
      <c r="CG18">
        <f>SUMIFS(movements!$H:$H,movements!$E:$E,$A18,movements!$D:$D,"OPENING",movements!$C:$C,"&lt;"&amp;CG$1+1)+SUMIFS(movements!$H:$H,movements!$E:$E,$A18,movements!$D:$D,"RECEIPT",movements!$C:$C,"&lt;"&amp;CG$1+1)-SUMIFS(movements!$H:$H,movements!$E:$E,$A18,movements!$D:$D,"ISSUE",movements!$C:$C,"&lt;"&amp;CG$1+1)</f>
        <v>127</v>
      </c>
      <c r="CH18">
        <f>SUMIFS(movements!$H:$H,movements!$E:$E,$A18,movements!$D:$D,"OPENING",movements!$C:$C,"&lt;"&amp;CH$1+1)+SUMIFS(movements!$H:$H,movements!$E:$E,$A18,movements!$D:$D,"RECEIPT",movements!$C:$C,"&lt;"&amp;CH$1+1)-SUMIFS(movements!$H:$H,movements!$E:$E,$A18,movements!$D:$D,"ISSUE",movements!$C:$C,"&lt;"&amp;CH$1+1)</f>
        <v>123</v>
      </c>
      <c r="CI18">
        <f>SUMIFS(movements!$H:$H,movements!$E:$E,$A18,movements!$D:$D,"OPENING",movements!$C:$C,"&lt;"&amp;CI$1+1)+SUMIFS(movements!$H:$H,movements!$E:$E,$A18,movements!$D:$D,"RECEIPT",movements!$C:$C,"&lt;"&amp;CI$1+1)-SUMIFS(movements!$H:$H,movements!$E:$E,$A18,movements!$D:$D,"ISSUE",movements!$C:$C,"&lt;"&amp;CI$1+1)</f>
        <v>118</v>
      </c>
      <c r="CJ18">
        <f>SUMIFS(movements!$H:$H,movements!$E:$E,$A18,movements!$D:$D,"OPENING",movements!$C:$C,"&lt;"&amp;CJ$1+1)+SUMIFS(movements!$H:$H,movements!$E:$E,$A18,movements!$D:$D,"RECEIPT",movements!$C:$C,"&lt;"&amp;CJ$1+1)-SUMIFS(movements!$H:$H,movements!$E:$E,$A18,movements!$D:$D,"ISSUE",movements!$C:$C,"&lt;"&amp;CJ$1+1)</f>
        <v>114</v>
      </c>
      <c r="CK18">
        <f>SUMIFS(movements!$H:$H,movements!$E:$E,$A18,movements!$D:$D,"OPENING",movements!$C:$C,"&lt;"&amp;CK$1+1)+SUMIFS(movements!$H:$H,movements!$E:$E,$A18,movements!$D:$D,"RECEIPT",movements!$C:$C,"&lt;"&amp;CK$1+1)-SUMIFS(movements!$H:$H,movements!$E:$E,$A18,movements!$D:$D,"ISSUE",movements!$C:$C,"&lt;"&amp;CK$1+1)</f>
        <v>103</v>
      </c>
      <c r="CL18">
        <f>SUMIFS(movements!$H:$H,movements!$E:$E,$A18,movements!$D:$D,"OPENING",movements!$C:$C,"&lt;"&amp;CL$1+1)+SUMIFS(movements!$H:$H,movements!$E:$E,$A18,movements!$D:$D,"RECEIPT",movements!$C:$C,"&lt;"&amp;CL$1+1)-SUMIFS(movements!$H:$H,movements!$E:$E,$A18,movements!$D:$D,"ISSUE",movements!$C:$C,"&lt;"&amp;CL$1+1)</f>
        <v>98</v>
      </c>
      <c r="CM18">
        <f>SUMIFS(movements!$H:$H,movements!$E:$E,$A18,movements!$D:$D,"OPENING",movements!$C:$C,"&lt;"&amp;CM$1+1)+SUMIFS(movements!$H:$H,movements!$E:$E,$A18,movements!$D:$D,"RECEIPT",movements!$C:$C,"&lt;"&amp;CM$1+1)-SUMIFS(movements!$H:$H,movements!$E:$E,$A18,movements!$D:$D,"ISSUE",movements!$C:$C,"&lt;"&amp;CM$1+1)</f>
        <v>85</v>
      </c>
      <c r="CN18">
        <f t="shared" si="2"/>
        <v>125.26666666666667</v>
      </c>
      <c r="CO18">
        <f>SUMIFS(movements!$H:$H,movements!$E:$E,$A18,movements!$D:$D,"ISSUE",movements!$C:$C,"&gt;="&amp;$B$1,movements!$C:$C,"&lt;"&amp;($CM$1+1))</f>
        <v>413</v>
      </c>
      <c r="CP18">
        <f t="shared" si="3"/>
        <v>3.2969664715274081</v>
      </c>
      <c r="CQ18">
        <f t="shared" si="4"/>
        <v>27.297820823244553</v>
      </c>
    </row>
    <row r="19" spans="1:95" x14ac:dyDescent="0.25">
      <c r="A19" t="s">
        <v>53</v>
      </c>
      <c r="B19">
        <f>SUMIFS(movements!$H:$H,movements!$E:$E,$A19,movements!$D:$D,"OPENING",movements!$C:$C,"&lt;"&amp;B$1+1)+SUMIFS(movements!$H:$H,movements!$E:$E,$A19,movements!$D:$D,"RECEIPT",movements!$C:$C,"&lt;"&amp;B$1+1)-SUMIFS(movements!$H:$H,movements!$E:$E,$A19,movements!$D:$D,"ISSUE",movements!$C:$C,"&lt;"&amp;B$1+1)</f>
        <v>79</v>
      </c>
      <c r="C19">
        <f>SUMIFS(movements!$H:$H,movements!$E:$E,$A19,movements!$D:$D,"OPENING",movements!$C:$C,"&lt;"&amp;C$1+1)+SUMIFS(movements!$H:$H,movements!$E:$E,$A19,movements!$D:$D,"RECEIPT",movements!$C:$C,"&lt;"&amp;C$1+1)-SUMIFS(movements!$H:$H,movements!$E:$E,$A19,movements!$D:$D,"ISSUE",movements!$C:$C,"&lt;"&amp;C$1+1)</f>
        <v>76</v>
      </c>
      <c r="D19">
        <f>SUMIFS(movements!$H:$H,movements!$E:$E,$A19,movements!$D:$D,"OPENING",movements!$C:$C,"&lt;"&amp;D$1+1)+SUMIFS(movements!$H:$H,movements!$E:$E,$A19,movements!$D:$D,"RECEIPT",movements!$C:$C,"&lt;"&amp;D$1+1)-SUMIFS(movements!$H:$H,movements!$E:$E,$A19,movements!$D:$D,"ISSUE",movements!$C:$C,"&lt;"&amp;D$1+1)</f>
        <v>75</v>
      </c>
      <c r="E19">
        <f>SUMIFS(movements!$H:$H,movements!$E:$E,$A19,movements!$D:$D,"OPENING",movements!$C:$C,"&lt;"&amp;E$1+1)+SUMIFS(movements!$H:$H,movements!$E:$E,$A19,movements!$D:$D,"RECEIPT",movements!$C:$C,"&lt;"&amp;E$1+1)-SUMIFS(movements!$H:$H,movements!$E:$E,$A19,movements!$D:$D,"ISSUE",movements!$C:$C,"&lt;"&amp;E$1+1)</f>
        <v>75</v>
      </c>
      <c r="F19">
        <f>SUMIFS(movements!$H:$H,movements!$E:$E,$A19,movements!$D:$D,"OPENING",movements!$C:$C,"&lt;"&amp;F$1+1)+SUMIFS(movements!$H:$H,movements!$E:$E,$A19,movements!$D:$D,"RECEIPT",movements!$C:$C,"&lt;"&amp;F$1+1)-SUMIFS(movements!$H:$H,movements!$E:$E,$A19,movements!$D:$D,"ISSUE",movements!$C:$C,"&lt;"&amp;F$1+1)</f>
        <v>67</v>
      </c>
      <c r="G19">
        <f>SUMIFS(movements!$H:$H,movements!$E:$E,$A19,movements!$D:$D,"OPENING",movements!$C:$C,"&lt;"&amp;G$1+1)+SUMIFS(movements!$H:$H,movements!$E:$E,$A19,movements!$D:$D,"RECEIPT",movements!$C:$C,"&lt;"&amp;G$1+1)-SUMIFS(movements!$H:$H,movements!$E:$E,$A19,movements!$D:$D,"ISSUE",movements!$C:$C,"&lt;"&amp;G$1+1)</f>
        <v>67</v>
      </c>
      <c r="H19">
        <f>SUMIFS(movements!$H:$H,movements!$E:$E,$A19,movements!$D:$D,"OPENING",movements!$C:$C,"&lt;"&amp;H$1+1)+SUMIFS(movements!$H:$H,movements!$E:$E,$A19,movements!$D:$D,"RECEIPT",movements!$C:$C,"&lt;"&amp;H$1+1)-SUMIFS(movements!$H:$H,movements!$E:$E,$A19,movements!$D:$D,"ISSUE",movements!$C:$C,"&lt;"&amp;H$1+1)</f>
        <v>56</v>
      </c>
      <c r="I19">
        <f>SUMIFS(movements!$H:$H,movements!$E:$E,$A19,movements!$D:$D,"OPENING",movements!$C:$C,"&lt;"&amp;I$1+1)+SUMIFS(movements!$H:$H,movements!$E:$E,$A19,movements!$D:$D,"RECEIPT",movements!$C:$C,"&lt;"&amp;I$1+1)-SUMIFS(movements!$H:$H,movements!$E:$E,$A19,movements!$D:$D,"ISSUE",movements!$C:$C,"&lt;"&amp;I$1+1)</f>
        <v>130</v>
      </c>
      <c r="J19">
        <f>SUMIFS(movements!$H:$H,movements!$E:$E,$A19,movements!$D:$D,"OPENING",movements!$C:$C,"&lt;"&amp;J$1+1)+SUMIFS(movements!$H:$H,movements!$E:$E,$A19,movements!$D:$D,"RECEIPT",movements!$C:$C,"&lt;"&amp;J$1+1)-SUMIFS(movements!$H:$H,movements!$E:$E,$A19,movements!$D:$D,"ISSUE",movements!$C:$C,"&lt;"&amp;J$1+1)</f>
        <v>130</v>
      </c>
      <c r="K19">
        <f>SUMIFS(movements!$H:$H,movements!$E:$E,$A19,movements!$D:$D,"OPENING",movements!$C:$C,"&lt;"&amp;K$1+1)+SUMIFS(movements!$H:$H,movements!$E:$E,$A19,movements!$D:$D,"RECEIPT",movements!$C:$C,"&lt;"&amp;K$1+1)-SUMIFS(movements!$H:$H,movements!$E:$E,$A19,movements!$D:$D,"ISSUE",movements!$C:$C,"&lt;"&amp;K$1+1)</f>
        <v>125</v>
      </c>
      <c r="L19">
        <f>SUMIFS(movements!$H:$H,movements!$E:$E,$A19,movements!$D:$D,"OPENING",movements!$C:$C,"&lt;"&amp;L$1+1)+SUMIFS(movements!$H:$H,movements!$E:$E,$A19,movements!$D:$D,"RECEIPT",movements!$C:$C,"&lt;"&amp;L$1+1)-SUMIFS(movements!$H:$H,movements!$E:$E,$A19,movements!$D:$D,"ISSUE",movements!$C:$C,"&lt;"&amp;L$1+1)</f>
        <v>125</v>
      </c>
      <c r="M19">
        <f>SUMIFS(movements!$H:$H,movements!$E:$E,$A19,movements!$D:$D,"OPENING",movements!$C:$C,"&lt;"&amp;M$1+1)+SUMIFS(movements!$H:$H,movements!$E:$E,$A19,movements!$D:$D,"RECEIPT",movements!$C:$C,"&lt;"&amp;M$1+1)-SUMIFS(movements!$H:$H,movements!$E:$E,$A19,movements!$D:$D,"ISSUE",movements!$C:$C,"&lt;"&amp;M$1+1)</f>
        <v>125</v>
      </c>
      <c r="N19">
        <f>SUMIFS(movements!$H:$H,movements!$E:$E,$A19,movements!$D:$D,"OPENING",movements!$C:$C,"&lt;"&amp;N$1+1)+SUMIFS(movements!$H:$H,movements!$E:$E,$A19,movements!$D:$D,"RECEIPT",movements!$C:$C,"&lt;"&amp;N$1+1)-SUMIFS(movements!$H:$H,movements!$E:$E,$A19,movements!$D:$D,"ISSUE",movements!$C:$C,"&lt;"&amp;N$1+1)</f>
        <v>114</v>
      </c>
      <c r="O19">
        <f>SUMIFS(movements!$H:$H,movements!$E:$E,$A19,movements!$D:$D,"OPENING",movements!$C:$C,"&lt;"&amp;O$1+1)+SUMIFS(movements!$H:$H,movements!$E:$E,$A19,movements!$D:$D,"RECEIPT",movements!$C:$C,"&lt;"&amp;O$1+1)-SUMIFS(movements!$H:$H,movements!$E:$E,$A19,movements!$D:$D,"ISSUE",movements!$C:$C,"&lt;"&amp;O$1+1)</f>
        <v>114</v>
      </c>
      <c r="P19">
        <f>SUMIFS(movements!$H:$H,movements!$E:$E,$A19,movements!$D:$D,"OPENING",movements!$C:$C,"&lt;"&amp;P$1+1)+SUMIFS(movements!$H:$H,movements!$E:$E,$A19,movements!$D:$D,"RECEIPT",movements!$C:$C,"&lt;"&amp;P$1+1)-SUMIFS(movements!$H:$H,movements!$E:$E,$A19,movements!$D:$D,"ISSUE",movements!$C:$C,"&lt;"&amp;P$1+1)</f>
        <v>110</v>
      </c>
      <c r="Q19">
        <f>SUMIFS(movements!$H:$H,movements!$E:$E,$A19,movements!$D:$D,"OPENING",movements!$C:$C,"&lt;"&amp;Q$1+1)+SUMIFS(movements!$H:$H,movements!$E:$E,$A19,movements!$D:$D,"RECEIPT",movements!$C:$C,"&lt;"&amp;Q$1+1)-SUMIFS(movements!$H:$H,movements!$E:$E,$A19,movements!$D:$D,"ISSUE",movements!$C:$C,"&lt;"&amp;Q$1+1)</f>
        <v>104</v>
      </c>
      <c r="R19">
        <f>SUMIFS(movements!$H:$H,movements!$E:$E,$A19,movements!$D:$D,"OPENING",movements!$C:$C,"&lt;"&amp;R$1+1)+SUMIFS(movements!$H:$H,movements!$E:$E,$A19,movements!$D:$D,"RECEIPT",movements!$C:$C,"&lt;"&amp;R$1+1)-SUMIFS(movements!$H:$H,movements!$E:$E,$A19,movements!$D:$D,"ISSUE",movements!$C:$C,"&lt;"&amp;R$1+1)</f>
        <v>103</v>
      </c>
      <c r="S19">
        <f>SUMIFS(movements!$H:$H,movements!$E:$E,$A19,movements!$D:$D,"OPENING",movements!$C:$C,"&lt;"&amp;S$1+1)+SUMIFS(movements!$H:$H,movements!$E:$E,$A19,movements!$D:$D,"RECEIPT",movements!$C:$C,"&lt;"&amp;S$1+1)-SUMIFS(movements!$H:$H,movements!$E:$E,$A19,movements!$D:$D,"ISSUE",movements!$C:$C,"&lt;"&amp;S$1+1)</f>
        <v>97</v>
      </c>
      <c r="T19">
        <f>SUMIFS(movements!$H:$H,movements!$E:$E,$A19,movements!$D:$D,"OPENING",movements!$C:$C,"&lt;"&amp;T$1+1)+SUMIFS(movements!$H:$H,movements!$E:$E,$A19,movements!$D:$D,"RECEIPT",movements!$C:$C,"&lt;"&amp;T$1+1)-SUMIFS(movements!$H:$H,movements!$E:$E,$A19,movements!$D:$D,"ISSUE",movements!$C:$C,"&lt;"&amp;T$1+1)</f>
        <v>86</v>
      </c>
      <c r="U19">
        <f>SUMIFS(movements!$H:$H,movements!$E:$E,$A19,movements!$D:$D,"OPENING",movements!$C:$C,"&lt;"&amp;U$1+1)+SUMIFS(movements!$H:$H,movements!$E:$E,$A19,movements!$D:$D,"RECEIPT",movements!$C:$C,"&lt;"&amp;U$1+1)-SUMIFS(movements!$H:$H,movements!$E:$E,$A19,movements!$D:$D,"ISSUE",movements!$C:$C,"&lt;"&amp;U$1+1)</f>
        <v>83</v>
      </c>
      <c r="V19">
        <f>SUMIFS(movements!$H:$H,movements!$E:$E,$A19,movements!$D:$D,"OPENING",movements!$C:$C,"&lt;"&amp;V$1+1)+SUMIFS(movements!$H:$H,movements!$E:$E,$A19,movements!$D:$D,"RECEIPT",movements!$C:$C,"&lt;"&amp;V$1+1)-SUMIFS(movements!$H:$H,movements!$E:$E,$A19,movements!$D:$D,"ISSUE",movements!$C:$C,"&lt;"&amp;V$1+1)</f>
        <v>80</v>
      </c>
      <c r="W19">
        <f>SUMIFS(movements!$H:$H,movements!$E:$E,$A19,movements!$D:$D,"OPENING",movements!$C:$C,"&lt;"&amp;W$1+1)+SUMIFS(movements!$H:$H,movements!$E:$E,$A19,movements!$D:$D,"RECEIPT",movements!$C:$C,"&lt;"&amp;W$1+1)-SUMIFS(movements!$H:$H,movements!$E:$E,$A19,movements!$D:$D,"ISSUE",movements!$C:$C,"&lt;"&amp;W$1+1)</f>
        <v>156</v>
      </c>
      <c r="X19">
        <f>SUMIFS(movements!$H:$H,movements!$E:$E,$A19,movements!$D:$D,"OPENING",movements!$C:$C,"&lt;"&amp;X$1+1)+SUMIFS(movements!$H:$H,movements!$E:$E,$A19,movements!$D:$D,"RECEIPT",movements!$C:$C,"&lt;"&amp;X$1+1)-SUMIFS(movements!$H:$H,movements!$E:$E,$A19,movements!$D:$D,"ISSUE",movements!$C:$C,"&lt;"&amp;X$1+1)</f>
        <v>152</v>
      </c>
      <c r="Y19">
        <f>SUMIFS(movements!$H:$H,movements!$E:$E,$A19,movements!$D:$D,"OPENING",movements!$C:$C,"&lt;"&amp;Y$1+1)+SUMIFS(movements!$H:$H,movements!$E:$E,$A19,movements!$D:$D,"RECEIPT",movements!$C:$C,"&lt;"&amp;Y$1+1)-SUMIFS(movements!$H:$H,movements!$E:$E,$A19,movements!$D:$D,"ISSUE",movements!$C:$C,"&lt;"&amp;Y$1+1)</f>
        <v>151</v>
      </c>
      <c r="Z19">
        <f>SUMIFS(movements!$H:$H,movements!$E:$E,$A19,movements!$D:$D,"OPENING",movements!$C:$C,"&lt;"&amp;Z$1+1)+SUMIFS(movements!$H:$H,movements!$E:$E,$A19,movements!$D:$D,"RECEIPT",movements!$C:$C,"&lt;"&amp;Z$1+1)-SUMIFS(movements!$H:$H,movements!$E:$E,$A19,movements!$D:$D,"ISSUE",movements!$C:$C,"&lt;"&amp;Z$1+1)</f>
        <v>151</v>
      </c>
      <c r="AA19">
        <f>SUMIFS(movements!$H:$H,movements!$E:$E,$A19,movements!$D:$D,"OPENING",movements!$C:$C,"&lt;"&amp;AA$1+1)+SUMIFS(movements!$H:$H,movements!$E:$E,$A19,movements!$D:$D,"RECEIPT",movements!$C:$C,"&lt;"&amp;AA$1+1)-SUMIFS(movements!$H:$H,movements!$E:$E,$A19,movements!$D:$D,"ISSUE",movements!$C:$C,"&lt;"&amp;AA$1+1)</f>
        <v>146</v>
      </c>
      <c r="AB19">
        <f>SUMIFS(movements!$H:$H,movements!$E:$E,$A19,movements!$D:$D,"OPENING",movements!$C:$C,"&lt;"&amp;AB$1+1)+SUMIFS(movements!$H:$H,movements!$E:$E,$A19,movements!$D:$D,"RECEIPT",movements!$C:$C,"&lt;"&amp;AB$1+1)-SUMIFS(movements!$H:$H,movements!$E:$E,$A19,movements!$D:$D,"ISSUE",movements!$C:$C,"&lt;"&amp;AB$1+1)</f>
        <v>139</v>
      </c>
      <c r="AC19">
        <f>SUMIFS(movements!$H:$H,movements!$E:$E,$A19,movements!$D:$D,"OPENING",movements!$C:$C,"&lt;"&amp;AC$1+1)+SUMIFS(movements!$H:$H,movements!$E:$E,$A19,movements!$D:$D,"RECEIPT",movements!$C:$C,"&lt;"&amp;AC$1+1)-SUMIFS(movements!$H:$H,movements!$E:$E,$A19,movements!$D:$D,"ISSUE",movements!$C:$C,"&lt;"&amp;AC$1+1)</f>
        <v>130</v>
      </c>
      <c r="AD19">
        <f>SUMIFS(movements!$H:$H,movements!$E:$E,$A19,movements!$D:$D,"OPENING",movements!$C:$C,"&lt;"&amp;AD$1+1)+SUMIFS(movements!$H:$H,movements!$E:$E,$A19,movements!$D:$D,"RECEIPT",movements!$C:$C,"&lt;"&amp;AD$1+1)-SUMIFS(movements!$H:$H,movements!$E:$E,$A19,movements!$D:$D,"ISSUE",movements!$C:$C,"&lt;"&amp;AD$1+1)</f>
        <v>128</v>
      </c>
      <c r="AE19">
        <f>SUMIFS(movements!$H:$H,movements!$E:$E,$A19,movements!$D:$D,"OPENING",movements!$C:$C,"&lt;"&amp;AE$1+1)+SUMIFS(movements!$H:$H,movements!$E:$E,$A19,movements!$D:$D,"RECEIPT",movements!$C:$C,"&lt;"&amp;AE$1+1)-SUMIFS(movements!$H:$H,movements!$E:$E,$A19,movements!$D:$D,"ISSUE",movements!$C:$C,"&lt;"&amp;AE$1+1)</f>
        <v>123</v>
      </c>
      <c r="AF19">
        <f>SUMIFS(movements!$H:$H,movements!$E:$E,$A19,movements!$D:$D,"OPENING",movements!$C:$C,"&lt;"&amp;AF$1+1)+SUMIFS(movements!$H:$H,movements!$E:$E,$A19,movements!$D:$D,"RECEIPT",movements!$C:$C,"&lt;"&amp;AF$1+1)-SUMIFS(movements!$H:$H,movements!$E:$E,$A19,movements!$D:$D,"ISSUE",movements!$C:$C,"&lt;"&amp;AF$1+1)</f>
        <v>123</v>
      </c>
      <c r="AG19">
        <f>SUMIFS(movements!$H:$H,movements!$E:$E,$A19,movements!$D:$D,"OPENING",movements!$C:$C,"&lt;"&amp;AG$1+1)+SUMIFS(movements!$H:$H,movements!$E:$E,$A19,movements!$D:$D,"RECEIPT",movements!$C:$C,"&lt;"&amp;AG$1+1)-SUMIFS(movements!$H:$H,movements!$E:$E,$A19,movements!$D:$D,"ISSUE",movements!$C:$C,"&lt;"&amp;AG$1+1)</f>
        <v>118</v>
      </c>
      <c r="AH19">
        <f>SUMIFS(movements!$H:$H,movements!$E:$E,$A19,movements!$D:$D,"OPENING",movements!$C:$C,"&lt;"&amp;AH$1+1)+SUMIFS(movements!$H:$H,movements!$E:$E,$A19,movements!$D:$D,"RECEIPT",movements!$C:$C,"&lt;"&amp;AH$1+1)-SUMIFS(movements!$H:$H,movements!$E:$E,$A19,movements!$D:$D,"ISSUE",movements!$C:$C,"&lt;"&amp;AH$1+1)</f>
        <v>118</v>
      </c>
      <c r="AI19">
        <f>SUMIFS(movements!$H:$H,movements!$E:$E,$A19,movements!$D:$D,"OPENING",movements!$C:$C,"&lt;"&amp;AI$1+1)+SUMIFS(movements!$H:$H,movements!$E:$E,$A19,movements!$D:$D,"RECEIPT",movements!$C:$C,"&lt;"&amp;AI$1+1)-SUMIFS(movements!$H:$H,movements!$E:$E,$A19,movements!$D:$D,"ISSUE",movements!$C:$C,"&lt;"&amp;AI$1+1)</f>
        <v>108</v>
      </c>
      <c r="AJ19">
        <f>SUMIFS(movements!$H:$H,movements!$E:$E,$A19,movements!$D:$D,"OPENING",movements!$C:$C,"&lt;"&amp;AJ$1+1)+SUMIFS(movements!$H:$H,movements!$E:$E,$A19,movements!$D:$D,"RECEIPT",movements!$C:$C,"&lt;"&amp;AJ$1+1)-SUMIFS(movements!$H:$H,movements!$E:$E,$A19,movements!$D:$D,"ISSUE",movements!$C:$C,"&lt;"&amp;AJ$1+1)</f>
        <v>104</v>
      </c>
      <c r="AK19">
        <f>SUMIFS(movements!$H:$H,movements!$E:$E,$A19,movements!$D:$D,"OPENING",movements!$C:$C,"&lt;"&amp;AK$1+1)+SUMIFS(movements!$H:$H,movements!$E:$E,$A19,movements!$D:$D,"RECEIPT",movements!$C:$C,"&lt;"&amp;AK$1+1)-SUMIFS(movements!$H:$H,movements!$E:$E,$A19,movements!$D:$D,"ISSUE",movements!$C:$C,"&lt;"&amp;AK$1+1)</f>
        <v>180</v>
      </c>
      <c r="AL19">
        <f>SUMIFS(movements!$H:$H,movements!$E:$E,$A19,movements!$D:$D,"OPENING",movements!$C:$C,"&lt;"&amp;AL$1+1)+SUMIFS(movements!$H:$H,movements!$E:$E,$A19,movements!$D:$D,"RECEIPT",movements!$C:$C,"&lt;"&amp;AL$1+1)-SUMIFS(movements!$H:$H,movements!$E:$E,$A19,movements!$D:$D,"ISSUE",movements!$C:$C,"&lt;"&amp;AL$1+1)</f>
        <v>176</v>
      </c>
      <c r="AM19">
        <f>SUMIFS(movements!$H:$H,movements!$E:$E,$A19,movements!$D:$D,"OPENING",movements!$C:$C,"&lt;"&amp;AM$1+1)+SUMIFS(movements!$H:$H,movements!$E:$E,$A19,movements!$D:$D,"RECEIPT",movements!$C:$C,"&lt;"&amp;AM$1+1)-SUMIFS(movements!$H:$H,movements!$E:$E,$A19,movements!$D:$D,"ISSUE",movements!$C:$C,"&lt;"&amp;AM$1+1)</f>
        <v>176</v>
      </c>
      <c r="AN19">
        <f>SUMIFS(movements!$H:$H,movements!$E:$E,$A19,movements!$D:$D,"OPENING",movements!$C:$C,"&lt;"&amp;AN$1+1)+SUMIFS(movements!$H:$H,movements!$E:$E,$A19,movements!$D:$D,"RECEIPT",movements!$C:$C,"&lt;"&amp;AN$1+1)-SUMIFS(movements!$H:$H,movements!$E:$E,$A19,movements!$D:$D,"ISSUE",movements!$C:$C,"&lt;"&amp;AN$1+1)</f>
        <v>174</v>
      </c>
      <c r="AO19">
        <f>SUMIFS(movements!$H:$H,movements!$E:$E,$A19,movements!$D:$D,"OPENING",movements!$C:$C,"&lt;"&amp;AO$1+1)+SUMIFS(movements!$H:$H,movements!$E:$E,$A19,movements!$D:$D,"RECEIPT",movements!$C:$C,"&lt;"&amp;AO$1+1)-SUMIFS(movements!$H:$H,movements!$E:$E,$A19,movements!$D:$D,"ISSUE",movements!$C:$C,"&lt;"&amp;AO$1+1)</f>
        <v>171</v>
      </c>
      <c r="AP19">
        <f>SUMIFS(movements!$H:$H,movements!$E:$E,$A19,movements!$D:$D,"OPENING",movements!$C:$C,"&lt;"&amp;AP$1+1)+SUMIFS(movements!$H:$H,movements!$E:$E,$A19,movements!$D:$D,"RECEIPT",movements!$C:$C,"&lt;"&amp;AP$1+1)-SUMIFS(movements!$H:$H,movements!$E:$E,$A19,movements!$D:$D,"ISSUE",movements!$C:$C,"&lt;"&amp;AP$1+1)</f>
        <v>171</v>
      </c>
      <c r="AQ19">
        <f>SUMIFS(movements!$H:$H,movements!$E:$E,$A19,movements!$D:$D,"OPENING",movements!$C:$C,"&lt;"&amp;AQ$1+1)+SUMIFS(movements!$H:$H,movements!$E:$E,$A19,movements!$D:$D,"RECEIPT",movements!$C:$C,"&lt;"&amp;AQ$1+1)-SUMIFS(movements!$H:$H,movements!$E:$E,$A19,movements!$D:$D,"ISSUE",movements!$C:$C,"&lt;"&amp;AQ$1+1)</f>
        <v>165</v>
      </c>
      <c r="AR19">
        <f>SUMIFS(movements!$H:$H,movements!$E:$E,$A19,movements!$D:$D,"OPENING",movements!$C:$C,"&lt;"&amp;AR$1+1)+SUMIFS(movements!$H:$H,movements!$E:$E,$A19,movements!$D:$D,"RECEIPT",movements!$C:$C,"&lt;"&amp;AR$1+1)-SUMIFS(movements!$H:$H,movements!$E:$E,$A19,movements!$D:$D,"ISSUE",movements!$C:$C,"&lt;"&amp;AR$1+1)</f>
        <v>165</v>
      </c>
      <c r="AS19">
        <f>SUMIFS(movements!$H:$H,movements!$E:$E,$A19,movements!$D:$D,"OPENING",movements!$C:$C,"&lt;"&amp;AS$1+1)+SUMIFS(movements!$H:$H,movements!$E:$E,$A19,movements!$D:$D,"RECEIPT",movements!$C:$C,"&lt;"&amp;AS$1+1)-SUMIFS(movements!$H:$H,movements!$E:$E,$A19,movements!$D:$D,"ISSUE",movements!$C:$C,"&lt;"&amp;AS$1+1)</f>
        <v>163</v>
      </c>
      <c r="AT19">
        <f>SUMIFS(movements!$H:$H,movements!$E:$E,$A19,movements!$D:$D,"OPENING",movements!$C:$C,"&lt;"&amp;AT$1+1)+SUMIFS(movements!$H:$H,movements!$E:$E,$A19,movements!$D:$D,"RECEIPT",movements!$C:$C,"&lt;"&amp;AT$1+1)-SUMIFS(movements!$H:$H,movements!$E:$E,$A19,movements!$D:$D,"ISSUE",movements!$C:$C,"&lt;"&amp;AT$1+1)</f>
        <v>159</v>
      </c>
      <c r="AU19">
        <f>SUMIFS(movements!$H:$H,movements!$E:$E,$A19,movements!$D:$D,"OPENING",movements!$C:$C,"&lt;"&amp;AU$1+1)+SUMIFS(movements!$H:$H,movements!$E:$E,$A19,movements!$D:$D,"RECEIPT",movements!$C:$C,"&lt;"&amp;AU$1+1)-SUMIFS(movements!$H:$H,movements!$E:$E,$A19,movements!$D:$D,"ISSUE",movements!$C:$C,"&lt;"&amp;AU$1+1)</f>
        <v>156</v>
      </c>
      <c r="AV19">
        <f>SUMIFS(movements!$H:$H,movements!$E:$E,$A19,movements!$D:$D,"OPENING",movements!$C:$C,"&lt;"&amp;AV$1+1)+SUMIFS(movements!$H:$H,movements!$E:$E,$A19,movements!$D:$D,"RECEIPT",movements!$C:$C,"&lt;"&amp;AV$1+1)-SUMIFS(movements!$H:$H,movements!$E:$E,$A19,movements!$D:$D,"ISSUE",movements!$C:$C,"&lt;"&amp;AV$1+1)</f>
        <v>152</v>
      </c>
      <c r="AW19">
        <f>SUMIFS(movements!$H:$H,movements!$E:$E,$A19,movements!$D:$D,"OPENING",movements!$C:$C,"&lt;"&amp;AW$1+1)+SUMIFS(movements!$H:$H,movements!$E:$E,$A19,movements!$D:$D,"RECEIPT",movements!$C:$C,"&lt;"&amp;AW$1+1)-SUMIFS(movements!$H:$H,movements!$E:$E,$A19,movements!$D:$D,"ISSUE",movements!$C:$C,"&lt;"&amp;AW$1+1)</f>
        <v>152</v>
      </c>
      <c r="AX19">
        <f>SUMIFS(movements!$H:$H,movements!$E:$E,$A19,movements!$D:$D,"OPENING",movements!$C:$C,"&lt;"&amp;AX$1+1)+SUMIFS(movements!$H:$H,movements!$E:$E,$A19,movements!$D:$D,"RECEIPT",movements!$C:$C,"&lt;"&amp;AX$1+1)-SUMIFS(movements!$H:$H,movements!$E:$E,$A19,movements!$D:$D,"ISSUE",movements!$C:$C,"&lt;"&amp;AX$1+1)</f>
        <v>152</v>
      </c>
      <c r="AY19">
        <f>SUMIFS(movements!$H:$H,movements!$E:$E,$A19,movements!$D:$D,"OPENING",movements!$C:$C,"&lt;"&amp;AY$1+1)+SUMIFS(movements!$H:$H,movements!$E:$E,$A19,movements!$D:$D,"RECEIPT",movements!$C:$C,"&lt;"&amp;AY$1+1)-SUMIFS(movements!$H:$H,movements!$E:$E,$A19,movements!$D:$D,"ISSUE",movements!$C:$C,"&lt;"&amp;AY$1+1)</f>
        <v>152</v>
      </c>
      <c r="AZ19">
        <f>SUMIFS(movements!$H:$H,movements!$E:$E,$A19,movements!$D:$D,"OPENING",movements!$C:$C,"&lt;"&amp;AZ$1+1)+SUMIFS(movements!$H:$H,movements!$E:$E,$A19,movements!$D:$D,"RECEIPT",movements!$C:$C,"&lt;"&amp;AZ$1+1)-SUMIFS(movements!$H:$H,movements!$E:$E,$A19,movements!$D:$D,"ISSUE",movements!$C:$C,"&lt;"&amp;AZ$1+1)</f>
        <v>152</v>
      </c>
      <c r="BA19">
        <f>SUMIFS(movements!$H:$H,movements!$E:$E,$A19,movements!$D:$D,"OPENING",movements!$C:$C,"&lt;"&amp;BA$1+1)+SUMIFS(movements!$H:$H,movements!$E:$E,$A19,movements!$D:$D,"RECEIPT",movements!$C:$C,"&lt;"&amp;BA$1+1)-SUMIFS(movements!$H:$H,movements!$E:$E,$A19,movements!$D:$D,"ISSUE",movements!$C:$C,"&lt;"&amp;BA$1+1)</f>
        <v>150</v>
      </c>
      <c r="BB19">
        <f>SUMIFS(movements!$H:$H,movements!$E:$E,$A19,movements!$D:$D,"OPENING",movements!$C:$C,"&lt;"&amp;BB$1+1)+SUMIFS(movements!$H:$H,movements!$E:$E,$A19,movements!$D:$D,"RECEIPT",movements!$C:$C,"&lt;"&amp;BB$1+1)-SUMIFS(movements!$H:$H,movements!$E:$E,$A19,movements!$D:$D,"ISSUE",movements!$C:$C,"&lt;"&amp;BB$1+1)</f>
        <v>141</v>
      </c>
      <c r="BC19">
        <f>SUMIFS(movements!$H:$H,movements!$E:$E,$A19,movements!$D:$D,"OPENING",movements!$C:$C,"&lt;"&amp;BC$1+1)+SUMIFS(movements!$H:$H,movements!$E:$E,$A19,movements!$D:$D,"RECEIPT",movements!$C:$C,"&lt;"&amp;BC$1+1)-SUMIFS(movements!$H:$H,movements!$E:$E,$A19,movements!$D:$D,"ISSUE",movements!$C:$C,"&lt;"&amp;BC$1+1)</f>
        <v>128</v>
      </c>
      <c r="BD19">
        <f>SUMIFS(movements!$H:$H,movements!$E:$E,$A19,movements!$D:$D,"OPENING",movements!$C:$C,"&lt;"&amp;BD$1+1)+SUMIFS(movements!$H:$H,movements!$E:$E,$A19,movements!$D:$D,"RECEIPT",movements!$C:$C,"&lt;"&amp;BD$1+1)-SUMIFS(movements!$H:$H,movements!$E:$E,$A19,movements!$D:$D,"ISSUE",movements!$C:$C,"&lt;"&amp;BD$1+1)</f>
        <v>128</v>
      </c>
      <c r="BE19">
        <f>SUMIFS(movements!$H:$H,movements!$E:$E,$A19,movements!$D:$D,"OPENING",movements!$C:$C,"&lt;"&amp;BE$1+1)+SUMIFS(movements!$H:$H,movements!$E:$E,$A19,movements!$D:$D,"RECEIPT",movements!$C:$C,"&lt;"&amp;BE$1+1)-SUMIFS(movements!$H:$H,movements!$E:$E,$A19,movements!$D:$D,"ISSUE",movements!$C:$C,"&lt;"&amp;BE$1+1)</f>
        <v>126</v>
      </c>
      <c r="BF19">
        <f>SUMIFS(movements!$H:$H,movements!$E:$E,$A19,movements!$D:$D,"OPENING",movements!$C:$C,"&lt;"&amp;BF$1+1)+SUMIFS(movements!$H:$H,movements!$E:$E,$A19,movements!$D:$D,"RECEIPT",movements!$C:$C,"&lt;"&amp;BF$1+1)-SUMIFS(movements!$H:$H,movements!$E:$E,$A19,movements!$D:$D,"ISSUE",movements!$C:$C,"&lt;"&amp;BF$1+1)</f>
        <v>121</v>
      </c>
      <c r="BG19">
        <f>SUMIFS(movements!$H:$H,movements!$E:$E,$A19,movements!$D:$D,"OPENING",movements!$C:$C,"&lt;"&amp;BG$1+1)+SUMIFS(movements!$H:$H,movements!$E:$E,$A19,movements!$D:$D,"RECEIPT",movements!$C:$C,"&lt;"&amp;BG$1+1)-SUMIFS(movements!$H:$H,movements!$E:$E,$A19,movements!$D:$D,"ISSUE",movements!$C:$C,"&lt;"&amp;BG$1+1)</f>
        <v>115</v>
      </c>
      <c r="BH19">
        <f>SUMIFS(movements!$H:$H,movements!$E:$E,$A19,movements!$D:$D,"OPENING",movements!$C:$C,"&lt;"&amp;BH$1+1)+SUMIFS(movements!$H:$H,movements!$E:$E,$A19,movements!$D:$D,"RECEIPT",movements!$C:$C,"&lt;"&amp;BH$1+1)-SUMIFS(movements!$H:$H,movements!$E:$E,$A19,movements!$D:$D,"ISSUE",movements!$C:$C,"&lt;"&amp;BH$1+1)</f>
        <v>107</v>
      </c>
      <c r="BI19">
        <f>SUMIFS(movements!$H:$H,movements!$E:$E,$A19,movements!$D:$D,"OPENING",movements!$C:$C,"&lt;"&amp;BI$1+1)+SUMIFS(movements!$H:$H,movements!$E:$E,$A19,movements!$D:$D,"RECEIPT",movements!$C:$C,"&lt;"&amp;BI$1+1)-SUMIFS(movements!$H:$H,movements!$E:$E,$A19,movements!$D:$D,"ISSUE",movements!$C:$C,"&lt;"&amp;BI$1+1)</f>
        <v>101</v>
      </c>
      <c r="BJ19">
        <f>SUMIFS(movements!$H:$H,movements!$E:$E,$A19,movements!$D:$D,"OPENING",movements!$C:$C,"&lt;"&amp;BJ$1+1)+SUMIFS(movements!$H:$H,movements!$E:$E,$A19,movements!$D:$D,"RECEIPT",movements!$C:$C,"&lt;"&amp;BJ$1+1)-SUMIFS(movements!$H:$H,movements!$E:$E,$A19,movements!$D:$D,"ISSUE",movements!$C:$C,"&lt;"&amp;BJ$1+1)</f>
        <v>97</v>
      </c>
      <c r="BK19">
        <f>SUMIFS(movements!$H:$H,movements!$E:$E,$A19,movements!$D:$D,"OPENING",movements!$C:$C,"&lt;"&amp;BK$1+1)+SUMIFS(movements!$H:$H,movements!$E:$E,$A19,movements!$D:$D,"RECEIPT",movements!$C:$C,"&lt;"&amp;BK$1+1)-SUMIFS(movements!$H:$H,movements!$E:$E,$A19,movements!$D:$D,"ISSUE",movements!$C:$C,"&lt;"&amp;BK$1+1)</f>
        <v>81</v>
      </c>
      <c r="BL19">
        <f>SUMIFS(movements!$H:$H,movements!$E:$E,$A19,movements!$D:$D,"OPENING",movements!$C:$C,"&lt;"&amp;BL$1+1)+SUMIFS(movements!$H:$H,movements!$E:$E,$A19,movements!$D:$D,"RECEIPT",movements!$C:$C,"&lt;"&amp;BL$1+1)-SUMIFS(movements!$H:$H,movements!$E:$E,$A19,movements!$D:$D,"ISSUE",movements!$C:$C,"&lt;"&amp;BL$1+1)</f>
        <v>76</v>
      </c>
      <c r="BM19">
        <f>SUMIFS(movements!$H:$H,movements!$E:$E,$A19,movements!$D:$D,"OPENING",movements!$C:$C,"&lt;"&amp;BM$1+1)+SUMIFS(movements!$H:$H,movements!$E:$E,$A19,movements!$D:$D,"RECEIPT",movements!$C:$C,"&lt;"&amp;BM$1+1)-SUMIFS(movements!$H:$H,movements!$E:$E,$A19,movements!$D:$D,"ISSUE",movements!$C:$C,"&lt;"&amp;BM$1+1)</f>
        <v>130</v>
      </c>
      <c r="BN19">
        <f>SUMIFS(movements!$H:$H,movements!$E:$E,$A19,movements!$D:$D,"OPENING",movements!$C:$C,"&lt;"&amp;BN$1+1)+SUMIFS(movements!$H:$H,movements!$E:$E,$A19,movements!$D:$D,"RECEIPT",movements!$C:$C,"&lt;"&amp;BN$1+1)-SUMIFS(movements!$H:$H,movements!$E:$E,$A19,movements!$D:$D,"ISSUE",movements!$C:$C,"&lt;"&amp;BN$1+1)</f>
        <v>124</v>
      </c>
      <c r="BO19">
        <f>SUMIFS(movements!$H:$H,movements!$E:$E,$A19,movements!$D:$D,"OPENING",movements!$C:$C,"&lt;"&amp;BO$1+1)+SUMIFS(movements!$H:$H,movements!$E:$E,$A19,movements!$D:$D,"RECEIPT",movements!$C:$C,"&lt;"&amp;BO$1+1)-SUMIFS(movements!$H:$H,movements!$E:$E,$A19,movements!$D:$D,"ISSUE",movements!$C:$C,"&lt;"&amp;BO$1+1)</f>
        <v>123</v>
      </c>
      <c r="BP19">
        <f>SUMIFS(movements!$H:$H,movements!$E:$E,$A19,movements!$D:$D,"OPENING",movements!$C:$C,"&lt;"&amp;BP$1+1)+SUMIFS(movements!$H:$H,movements!$E:$E,$A19,movements!$D:$D,"RECEIPT",movements!$C:$C,"&lt;"&amp;BP$1+1)-SUMIFS(movements!$H:$H,movements!$E:$E,$A19,movements!$D:$D,"ISSUE",movements!$C:$C,"&lt;"&amp;BP$1+1)</f>
        <v>120</v>
      </c>
      <c r="BQ19">
        <f>SUMIFS(movements!$H:$H,movements!$E:$E,$A19,movements!$D:$D,"OPENING",movements!$C:$C,"&lt;"&amp;BQ$1+1)+SUMIFS(movements!$H:$H,movements!$E:$E,$A19,movements!$D:$D,"RECEIPT",movements!$C:$C,"&lt;"&amp;BQ$1+1)-SUMIFS(movements!$H:$H,movements!$E:$E,$A19,movements!$D:$D,"ISSUE",movements!$C:$C,"&lt;"&amp;BQ$1+1)</f>
        <v>120</v>
      </c>
      <c r="BR19">
        <f>SUMIFS(movements!$H:$H,movements!$E:$E,$A19,movements!$D:$D,"OPENING",movements!$C:$C,"&lt;"&amp;BR$1+1)+SUMIFS(movements!$H:$H,movements!$E:$E,$A19,movements!$D:$D,"RECEIPT",movements!$C:$C,"&lt;"&amp;BR$1+1)-SUMIFS(movements!$H:$H,movements!$E:$E,$A19,movements!$D:$D,"ISSUE",movements!$C:$C,"&lt;"&amp;BR$1+1)</f>
        <v>120</v>
      </c>
      <c r="BS19">
        <f>SUMIFS(movements!$H:$H,movements!$E:$E,$A19,movements!$D:$D,"OPENING",movements!$C:$C,"&lt;"&amp;BS$1+1)+SUMIFS(movements!$H:$H,movements!$E:$E,$A19,movements!$D:$D,"RECEIPT",movements!$C:$C,"&lt;"&amp;BS$1+1)-SUMIFS(movements!$H:$H,movements!$E:$E,$A19,movements!$D:$D,"ISSUE",movements!$C:$C,"&lt;"&amp;BS$1+1)</f>
        <v>115</v>
      </c>
      <c r="BT19">
        <f>SUMIFS(movements!$H:$H,movements!$E:$E,$A19,movements!$D:$D,"OPENING",movements!$C:$C,"&lt;"&amp;BT$1+1)+SUMIFS(movements!$H:$H,movements!$E:$E,$A19,movements!$D:$D,"RECEIPT",movements!$C:$C,"&lt;"&amp;BT$1+1)-SUMIFS(movements!$H:$H,movements!$E:$E,$A19,movements!$D:$D,"ISSUE",movements!$C:$C,"&lt;"&amp;BT$1+1)</f>
        <v>114</v>
      </c>
      <c r="BU19">
        <f>SUMIFS(movements!$H:$H,movements!$E:$E,$A19,movements!$D:$D,"OPENING",movements!$C:$C,"&lt;"&amp;BU$1+1)+SUMIFS(movements!$H:$H,movements!$E:$E,$A19,movements!$D:$D,"RECEIPT",movements!$C:$C,"&lt;"&amp;BU$1+1)-SUMIFS(movements!$H:$H,movements!$E:$E,$A19,movements!$D:$D,"ISSUE",movements!$C:$C,"&lt;"&amp;BU$1+1)</f>
        <v>109</v>
      </c>
      <c r="BV19">
        <f>SUMIFS(movements!$H:$H,movements!$E:$E,$A19,movements!$D:$D,"OPENING",movements!$C:$C,"&lt;"&amp;BV$1+1)+SUMIFS(movements!$H:$H,movements!$E:$E,$A19,movements!$D:$D,"RECEIPT",movements!$C:$C,"&lt;"&amp;BV$1+1)-SUMIFS(movements!$H:$H,movements!$E:$E,$A19,movements!$D:$D,"ISSUE",movements!$C:$C,"&lt;"&amp;BV$1+1)</f>
        <v>107</v>
      </c>
      <c r="BW19">
        <f>SUMIFS(movements!$H:$H,movements!$E:$E,$A19,movements!$D:$D,"OPENING",movements!$C:$C,"&lt;"&amp;BW$1+1)+SUMIFS(movements!$H:$H,movements!$E:$E,$A19,movements!$D:$D,"RECEIPT",movements!$C:$C,"&lt;"&amp;BW$1+1)-SUMIFS(movements!$H:$H,movements!$E:$E,$A19,movements!$D:$D,"ISSUE",movements!$C:$C,"&lt;"&amp;BW$1+1)</f>
        <v>94</v>
      </c>
      <c r="BX19">
        <f>SUMIFS(movements!$H:$H,movements!$E:$E,$A19,movements!$D:$D,"OPENING",movements!$C:$C,"&lt;"&amp;BX$1+1)+SUMIFS(movements!$H:$H,movements!$E:$E,$A19,movements!$D:$D,"RECEIPT",movements!$C:$C,"&lt;"&amp;BX$1+1)-SUMIFS(movements!$H:$H,movements!$E:$E,$A19,movements!$D:$D,"ISSUE",movements!$C:$C,"&lt;"&amp;BX$1+1)</f>
        <v>83</v>
      </c>
      <c r="BY19">
        <f>SUMIFS(movements!$H:$H,movements!$E:$E,$A19,movements!$D:$D,"OPENING",movements!$C:$C,"&lt;"&amp;BY$1+1)+SUMIFS(movements!$H:$H,movements!$E:$E,$A19,movements!$D:$D,"RECEIPT",movements!$C:$C,"&lt;"&amp;BY$1+1)-SUMIFS(movements!$H:$H,movements!$E:$E,$A19,movements!$D:$D,"ISSUE",movements!$C:$C,"&lt;"&amp;BY$1+1)</f>
        <v>83</v>
      </c>
      <c r="BZ19">
        <f>SUMIFS(movements!$H:$H,movements!$E:$E,$A19,movements!$D:$D,"OPENING",movements!$C:$C,"&lt;"&amp;BZ$1+1)+SUMIFS(movements!$H:$H,movements!$E:$E,$A19,movements!$D:$D,"RECEIPT",movements!$C:$C,"&lt;"&amp;BZ$1+1)-SUMIFS(movements!$H:$H,movements!$E:$E,$A19,movements!$D:$D,"ISSUE",movements!$C:$C,"&lt;"&amp;BZ$1+1)</f>
        <v>83</v>
      </c>
      <c r="CA19">
        <f>SUMIFS(movements!$H:$H,movements!$E:$E,$A19,movements!$D:$D,"OPENING",movements!$C:$C,"&lt;"&amp;CA$1+1)+SUMIFS(movements!$H:$H,movements!$E:$E,$A19,movements!$D:$D,"RECEIPT",movements!$C:$C,"&lt;"&amp;CA$1+1)-SUMIFS(movements!$H:$H,movements!$E:$E,$A19,movements!$D:$D,"ISSUE",movements!$C:$C,"&lt;"&amp;CA$1+1)</f>
        <v>167</v>
      </c>
      <c r="CB19">
        <f>SUMIFS(movements!$H:$H,movements!$E:$E,$A19,movements!$D:$D,"OPENING",movements!$C:$C,"&lt;"&amp;CB$1+1)+SUMIFS(movements!$H:$H,movements!$E:$E,$A19,movements!$D:$D,"RECEIPT",movements!$C:$C,"&lt;"&amp;CB$1+1)-SUMIFS(movements!$H:$H,movements!$E:$E,$A19,movements!$D:$D,"ISSUE",movements!$C:$C,"&lt;"&amp;CB$1+1)</f>
        <v>163</v>
      </c>
      <c r="CC19">
        <f>SUMIFS(movements!$H:$H,movements!$E:$E,$A19,movements!$D:$D,"OPENING",movements!$C:$C,"&lt;"&amp;CC$1+1)+SUMIFS(movements!$H:$H,movements!$E:$E,$A19,movements!$D:$D,"RECEIPT",movements!$C:$C,"&lt;"&amp;CC$1+1)-SUMIFS(movements!$H:$H,movements!$E:$E,$A19,movements!$D:$D,"ISSUE",movements!$C:$C,"&lt;"&amp;CC$1+1)</f>
        <v>160</v>
      </c>
      <c r="CD19">
        <f>SUMIFS(movements!$H:$H,movements!$E:$E,$A19,movements!$D:$D,"OPENING",movements!$C:$C,"&lt;"&amp;CD$1+1)+SUMIFS(movements!$H:$H,movements!$E:$E,$A19,movements!$D:$D,"RECEIPT",movements!$C:$C,"&lt;"&amp;CD$1+1)-SUMIFS(movements!$H:$H,movements!$E:$E,$A19,movements!$D:$D,"ISSUE",movements!$C:$C,"&lt;"&amp;CD$1+1)</f>
        <v>152</v>
      </c>
      <c r="CE19">
        <f>SUMIFS(movements!$H:$H,movements!$E:$E,$A19,movements!$D:$D,"OPENING",movements!$C:$C,"&lt;"&amp;CE$1+1)+SUMIFS(movements!$H:$H,movements!$E:$E,$A19,movements!$D:$D,"RECEIPT",movements!$C:$C,"&lt;"&amp;CE$1+1)-SUMIFS(movements!$H:$H,movements!$E:$E,$A19,movements!$D:$D,"ISSUE",movements!$C:$C,"&lt;"&amp;CE$1+1)</f>
        <v>152</v>
      </c>
      <c r="CF19">
        <f>SUMIFS(movements!$H:$H,movements!$E:$E,$A19,movements!$D:$D,"OPENING",movements!$C:$C,"&lt;"&amp;CF$1+1)+SUMIFS(movements!$H:$H,movements!$E:$E,$A19,movements!$D:$D,"RECEIPT",movements!$C:$C,"&lt;"&amp;CF$1+1)-SUMIFS(movements!$H:$H,movements!$E:$E,$A19,movements!$D:$D,"ISSUE",movements!$C:$C,"&lt;"&amp;CF$1+1)</f>
        <v>152</v>
      </c>
      <c r="CG19">
        <f>SUMIFS(movements!$H:$H,movements!$E:$E,$A19,movements!$D:$D,"OPENING",movements!$C:$C,"&lt;"&amp;CG$1+1)+SUMIFS(movements!$H:$H,movements!$E:$E,$A19,movements!$D:$D,"RECEIPT",movements!$C:$C,"&lt;"&amp;CG$1+1)-SUMIFS(movements!$H:$H,movements!$E:$E,$A19,movements!$D:$D,"ISSUE",movements!$C:$C,"&lt;"&amp;CG$1+1)</f>
        <v>140</v>
      </c>
      <c r="CH19">
        <f>SUMIFS(movements!$H:$H,movements!$E:$E,$A19,movements!$D:$D,"OPENING",movements!$C:$C,"&lt;"&amp;CH$1+1)+SUMIFS(movements!$H:$H,movements!$E:$E,$A19,movements!$D:$D,"RECEIPT",movements!$C:$C,"&lt;"&amp;CH$1+1)-SUMIFS(movements!$H:$H,movements!$E:$E,$A19,movements!$D:$D,"ISSUE",movements!$C:$C,"&lt;"&amp;CH$1+1)</f>
        <v>135</v>
      </c>
      <c r="CI19">
        <f>SUMIFS(movements!$H:$H,movements!$E:$E,$A19,movements!$D:$D,"OPENING",movements!$C:$C,"&lt;"&amp;CI$1+1)+SUMIFS(movements!$H:$H,movements!$E:$E,$A19,movements!$D:$D,"RECEIPT",movements!$C:$C,"&lt;"&amp;CI$1+1)-SUMIFS(movements!$H:$H,movements!$E:$E,$A19,movements!$D:$D,"ISSUE",movements!$C:$C,"&lt;"&amp;CI$1+1)</f>
        <v>130</v>
      </c>
      <c r="CJ19">
        <f>SUMIFS(movements!$H:$H,movements!$E:$E,$A19,movements!$D:$D,"OPENING",movements!$C:$C,"&lt;"&amp;CJ$1+1)+SUMIFS(movements!$H:$H,movements!$E:$E,$A19,movements!$D:$D,"RECEIPT",movements!$C:$C,"&lt;"&amp;CJ$1+1)-SUMIFS(movements!$H:$H,movements!$E:$E,$A19,movements!$D:$D,"ISSUE",movements!$C:$C,"&lt;"&amp;CJ$1+1)</f>
        <v>121</v>
      </c>
      <c r="CK19">
        <f>SUMIFS(movements!$H:$H,movements!$E:$E,$A19,movements!$D:$D,"OPENING",movements!$C:$C,"&lt;"&amp;CK$1+1)+SUMIFS(movements!$H:$H,movements!$E:$E,$A19,movements!$D:$D,"RECEIPT",movements!$C:$C,"&lt;"&amp;CK$1+1)-SUMIFS(movements!$H:$H,movements!$E:$E,$A19,movements!$D:$D,"ISSUE",movements!$C:$C,"&lt;"&amp;CK$1+1)</f>
        <v>121</v>
      </c>
      <c r="CL19">
        <f>SUMIFS(movements!$H:$H,movements!$E:$E,$A19,movements!$D:$D,"OPENING",movements!$C:$C,"&lt;"&amp;CL$1+1)+SUMIFS(movements!$H:$H,movements!$E:$E,$A19,movements!$D:$D,"RECEIPT",movements!$C:$C,"&lt;"&amp;CL$1+1)-SUMIFS(movements!$H:$H,movements!$E:$E,$A19,movements!$D:$D,"ISSUE",movements!$C:$C,"&lt;"&amp;CL$1+1)</f>
        <v>107</v>
      </c>
      <c r="CM19">
        <f>SUMIFS(movements!$H:$H,movements!$E:$E,$A19,movements!$D:$D,"OPENING",movements!$C:$C,"&lt;"&amp;CM$1+1)+SUMIFS(movements!$H:$H,movements!$E:$E,$A19,movements!$D:$D,"RECEIPT",movements!$C:$C,"&lt;"&amp;CM$1+1)-SUMIFS(movements!$H:$H,movements!$E:$E,$A19,movements!$D:$D,"ISSUE",movements!$C:$C,"&lt;"&amp;CM$1+1)</f>
        <v>107</v>
      </c>
      <c r="CN19">
        <f t="shared" si="2"/>
        <v>124.3</v>
      </c>
      <c r="CO19">
        <f>SUMIFS(movements!$H:$H,movements!$E:$E,$A19,movements!$D:$D,"ISSUE",movements!$C:$C,"&gt;="&amp;$B$1,movements!$C:$C,"&lt;"&amp;($CM$1+1))</f>
        <v>355</v>
      </c>
      <c r="CP19">
        <f t="shared" si="3"/>
        <v>2.8559935639581657</v>
      </c>
      <c r="CQ19">
        <f t="shared" si="4"/>
        <v>31.512676056338027</v>
      </c>
    </row>
    <row r="20" spans="1:95" x14ac:dyDescent="0.25">
      <c r="A20" t="s">
        <v>55</v>
      </c>
      <c r="B20">
        <f>SUMIFS(movements!$H:$H,movements!$E:$E,$A20,movements!$D:$D,"OPENING",movements!$C:$C,"&lt;"&amp;B$1+1)+SUMIFS(movements!$H:$H,movements!$E:$E,$A20,movements!$D:$D,"RECEIPT",movements!$C:$C,"&lt;"&amp;B$1+1)-SUMIFS(movements!$H:$H,movements!$E:$E,$A20,movements!$D:$D,"ISSUE",movements!$C:$C,"&lt;"&amp;B$1+1)</f>
        <v>68</v>
      </c>
      <c r="C20">
        <f>SUMIFS(movements!$H:$H,movements!$E:$E,$A20,movements!$D:$D,"OPENING",movements!$C:$C,"&lt;"&amp;C$1+1)+SUMIFS(movements!$H:$H,movements!$E:$E,$A20,movements!$D:$D,"RECEIPT",movements!$C:$C,"&lt;"&amp;C$1+1)-SUMIFS(movements!$H:$H,movements!$E:$E,$A20,movements!$D:$D,"ISSUE",movements!$C:$C,"&lt;"&amp;C$1+1)</f>
        <v>59</v>
      </c>
      <c r="D20">
        <f>SUMIFS(movements!$H:$H,movements!$E:$E,$A20,movements!$D:$D,"OPENING",movements!$C:$C,"&lt;"&amp;D$1+1)+SUMIFS(movements!$H:$H,movements!$E:$E,$A20,movements!$D:$D,"RECEIPT",movements!$C:$C,"&lt;"&amp;D$1+1)-SUMIFS(movements!$H:$H,movements!$E:$E,$A20,movements!$D:$D,"ISSUE",movements!$C:$C,"&lt;"&amp;D$1+1)</f>
        <v>48</v>
      </c>
      <c r="E20">
        <f>SUMIFS(movements!$H:$H,movements!$E:$E,$A20,movements!$D:$D,"OPENING",movements!$C:$C,"&lt;"&amp;E$1+1)+SUMIFS(movements!$H:$H,movements!$E:$E,$A20,movements!$D:$D,"RECEIPT",movements!$C:$C,"&lt;"&amp;E$1+1)-SUMIFS(movements!$H:$H,movements!$E:$E,$A20,movements!$D:$D,"ISSUE",movements!$C:$C,"&lt;"&amp;E$1+1)</f>
        <v>48</v>
      </c>
      <c r="F20">
        <f>SUMIFS(movements!$H:$H,movements!$E:$E,$A20,movements!$D:$D,"OPENING",movements!$C:$C,"&lt;"&amp;F$1+1)+SUMIFS(movements!$H:$H,movements!$E:$E,$A20,movements!$D:$D,"RECEIPT",movements!$C:$C,"&lt;"&amp;F$1+1)-SUMIFS(movements!$H:$H,movements!$E:$E,$A20,movements!$D:$D,"ISSUE",movements!$C:$C,"&lt;"&amp;F$1+1)</f>
        <v>48</v>
      </c>
      <c r="G20">
        <f>SUMIFS(movements!$H:$H,movements!$E:$E,$A20,movements!$D:$D,"OPENING",movements!$C:$C,"&lt;"&amp;G$1+1)+SUMIFS(movements!$H:$H,movements!$E:$E,$A20,movements!$D:$D,"RECEIPT",movements!$C:$C,"&lt;"&amp;G$1+1)-SUMIFS(movements!$H:$H,movements!$E:$E,$A20,movements!$D:$D,"ISSUE",movements!$C:$C,"&lt;"&amp;G$1+1)</f>
        <v>47</v>
      </c>
      <c r="H20">
        <f>SUMIFS(movements!$H:$H,movements!$E:$E,$A20,movements!$D:$D,"OPENING",movements!$C:$C,"&lt;"&amp;H$1+1)+SUMIFS(movements!$H:$H,movements!$E:$E,$A20,movements!$D:$D,"RECEIPT",movements!$C:$C,"&lt;"&amp;H$1+1)-SUMIFS(movements!$H:$H,movements!$E:$E,$A20,movements!$D:$D,"ISSUE",movements!$C:$C,"&lt;"&amp;H$1+1)</f>
        <v>47</v>
      </c>
      <c r="I20">
        <f>SUMIFS(movements!$H:$H,movements!$E:$E,$A20,movements!$D:$D,"OPENING",movements!$C:$C,"&lt;"&amp;I$1+1)+SUMIFS(movements!$H:$H,movements!$E:$E,$A20,movements!$D:$D,"RECEIPT",movements!$C:$C,"&lt;"&amp;I$1+1)-SUMIFS(movements!$H:$H,movements!$E:$E,$A20,movements!$D:$D,"ISSUE",movements!$C:$C,"&lt;"&amp;I$1+1)</f>
        <v>146</v>
      </c>
      <c r="J20">
        <f>SUMIFS(movements!$H:$H,movements!$E:$E,$A20,movements!$D:$D,"OPENING",movements!$C:$C,"&lt;"&amp;J$1+1)+SUMIFS(movements!$H:$H,movements!$E:$E,$A20,movements!$D:$D,"RECEIPT",movements!$C:$C,"&lt;"&amp;J$1+1)-SUMIFS(movements!$H:$H,movements!$E:$E,$A20,movements!$D:$D,"ISSUE",movements!$C:$C,"&lt;"&amp;J$1+1)</f>
        <v>139</v>
      </c>
      <c r="K20">
        <f>SUMIFS(movements!$H:$H,movements!$E:$E,$A20,movements!$D:$D,"OPENING",movements!$C:$C,"&lt;"&amp;K$1+1)+SUMIFS(movements!$H:$H,movements!$E:$E,$A20,movements!$D:$D,"RECEIPT",movements!$C:$C,"&lt;"&amp;K$1+1)-SUMIFS(movements!$H:$H,movements!$E:$E,$A20,movements!$D:$D,"ISSUE",movements!$C:$C,"&lt;"&amp;K$1+1)</f>
        <v>137</v>
      </c>
      <c r="L20">
        <f>SUMIFS(movements!$H:$H,movements!$E:$E,$A20,movements!$D:$D,"OPENING",movements!$C:$C,"&lt;"&amp;L$1+1)+SUMIFS(movements!$H:$H,movements!$E:$E,$A20,movements!$D:$D,"RECEIPT",movements!$C:$C,"&lt;"&amp;L$1+1)-SUMIFS(movements!$H:$H,movements!$E:$E,$A20,movements!$D:$D,"ISSUE",movements!$C:$C,"&lt;"&amp;L$1+1)</f>
        <v>133</v>
      </c>
      <c r="M20">
        <f>SUMIFS(movements!$H:$H,movements!$E:$E,$A20,movements!$D:$D,"OPENING",movements!$C:$C,"&lt;"&amp;M$1+1)+SUMIFS(movements!$H:$H,movements!$E:$E,$A20,movements!$D:$D,"RECEIPT",movements!$C:$C,"&lt;"&amp;M$1+1)-SUMIFS(movements!$H:$H,movements!$E:$E,$A20,movements!$D:$D,"ISSUE",movements!$C:$C,"&lt;"&amp;M$1+1)</f>
        <v>113</v>
      </c>
      <c r="N20">
        <f>SUMIFS(movements!$H:$H,movements!$E:$E,$A20,movements!$D:$D,"OPENING",movements!$C:$C,"&lt;"&amp;N$1+1)+SUMIFS(movements!$H:$H,movements!$E:$E,$A20,movements!$D:$D,"RECEIPT",movements!$C:$C,"&lt;"&amp;N$1+1)-SUMIFS(movements!$H:$H,movements!$E:$E,$A20,movements!$D:$D,"ISSUE",movements!$C:$C,"&lt;"&amp;N$1+1)</f>
        <v>105</v>
      </c>
      <c r="O20">
        <f>SUMIFS(movements!$H:$H,movements!$E:$E,$A20,movements!$D:$D,"OPENING",movements!$C:$C,"&lt;"&amp;O$1+1)+SUMIFS(movements!$H:$H,movements!$E:$E,$A20,movements!$D:$D,"RECEIPT",movements!$C:$C,"&lt;"&amp;O$1+1)-SUMIFS(movements!$H:$H,movements!$E:$E,$A20,movements!$D:$D,"ISSUE",movements!$C:$C,"&lt;"&amp;O$1+1)</f>
        <v>102</v>
      </c>
      <c r="P20">
        <f>SUMIFS(movements!$H:$H,movements!$E:$E,$A20,movements!$D:$D,"OPENING",movements!$C:$C,"&lt;"&amp;P$1+1)+SUMIFS(movements!$H:$H,movements!$E:$E,$A20,movements!$D:$D,"RECEIPT",movements!$C:$C,"&lt;"&amp;P$1+1)-SUMIFS(movements!$H:$H,movements!$E:$E,$A20,movements!$D:$D,"ISSUE",movements!$C:$C,"&lt;"&amp;P$1+1)</f>
        <v>167</v>
      </c>
      <c r="Q20">
        <f>SUMIFS(movements!$H:$H,movements!$E:$E,$A20,movements!$D:$D,"OPENING",movements!$C:$C,"&lt;"&amp;Q$1+1)+SUMIFS(movements!$H:$H,movements!$E:$E,$A20,movements!$D:$D,"RECEIPT",movements!$C:$C,"&lt;"&amp;Q$1+1)-SUMIFS(movements!$H:$H,movements!$E:$E,$A20,movements!$D:$D,"ISSUE",movements!$C:$C,"&lt;"&amp;Q$1+1)</f>
        <v>165</v>
      </c>
      <c r="R20">
        <f>SUMIFS(movements!$H:$H,movements!$E:$E,$A20,movements!$D:$D,"OPENING",movements!$C:$C,"&lt;"&amp;R$1+1)+SUMIFS(movements!$H:$H,movements!$E:$E,$A20,movements!$D:$D,"RECEIPT",movements!$C:$C,"&lt;"&amp;R$1+1)-SUMIFS(movements!$H:$H,movements!$E:$E,$A20,movements!$D:$D,"ISSUE",movements!$C:$C,"&lt;"&amp;R$1+1)</f>
        <v>160</v>
      </c>
      <c r="S20">
        <f>SUMIFS(movements!$H:$H,movements!$E:$E,$A20,movements!$D:$D,"OPENING",movements!$C:$C,"&lt;"&amp;S$1+1)+SUMIFS(movements!$H:$H,movements!$E:$E,$A20,movements!$D:$D,"RECEIPT",movements!$C:$C,"&lt;"&amp;S$1+1)-SUMIFS(movements!$H:$H,movements!$E:$E,$A20,movements!$D:$D,"ISSUE",movements!$C:$C,"&lt;"&amp;S$1+1)</f>
        <v>157</v>
      </c>
      <c r="T20">
        <f>SUMIFS(movements!$H:$H,movements!$E:$E,$A20,movements!$D:$D,"OPENING",movements!$C:$C,"&lt;"&amp;T$1+1)+SUMIFS(movements!$H:$H,movements!$E:$E,$A20,movements!$D:$D,"RECEIPT",movements!$C:$C,"&lt;"&amp;T$1+1)-SUMIFS(movements!$H:$H,movements!$E:$E,$A20,movements!$D:$D,"ISSUE",movements!$C:$C,"&lt;"&amp;T$1+1)</f>
        <v>151</v>
      </c>
      <c r="U20">
        <f>SUMIFS(movements!$H:$H,movements!$E:$E,$A20,movements!$D:$D,"OPENING",movements!$C:$C,"&lt;"&amp;U$1+1)+SUMIFS(movements!$H:$H,movements!$E:$E,$A20,movements!$D:$D,"RECEIPT",movements!$C:$C,"&lt;"&amp;U$1+1)-SUMIFS(movements!$H:$H,movements!$E:$E,$A20,movements!$D:$D,"ISSUE",movements!$C:$C,"&lt;"&amp;U$1+1)</f>
        <v>148</v>
      </c>
      <c r="V20">
        <f>SUMIFS(movements!$H:$H,movements!$E:$E,$A20,movements!$D:$D,"OPENING",movements!$C:$C,"&lt;"&amp;V$1+1)+SUMIFS(movements!$H:$H,movements!$E:$E,$A20,movements!$D:$D,"RECEIPT",movements!$C:$C,"&lt;"&amp;V$1+1)-SUMIFS(movements!$H:$H,movements!$E:$E,$A20,movements!$D:$D,"ISSUE",movements!$C:$C,"&lt;"&amp;V$1+1)</f>
        <v>144</v>
      </c>
      <c r="W20">
        <f>SUMIFS(movements!$H:$H,movements!$E:$E,$A20,movements!$D:$D,"OPENING",movements!$C:$C,"&lt;"&amp;W$1+1)+SUMIFS(movements!$H:$H,movements!$E:$E,$A20,movements!$D:$D,"RECEIPT",movements!$C:$C,"&lt;"&amp;W$1+1)-SUMIFS(movements!$H:$H,movements!$E:$E,$A20,movements!$D:$D,"ISSUE",movements!$C:$C,"&lt;"&amp;W$1+1)</f>
        <v>143</v>
      </c>
      <c r="X20">
        <f>SUMIFS(movements!$H:$H,movements!$E:$E,$A20,movements!$D:$D,"OPENING",movements!$C:$C,"&lt;"&amp;X$1+1)+SUMIFS(movements!$H:$H,movements!$E:$E,$A20,movements!$D:$D,"RECEIPT",movements!$C:$C,"&lt;"&amp;X$1+1)-SUMIFS(movements!$H:$H,movements!$E:$E,$A20,movements!$D:$D,"ISSUE",movements!$C:$C,"&lt;"&amp;X$1+1)</f>
        <v>140</v>
      </c>
      <c r="Y20">
        <f>SUMIFS(movements!$H:$H,movements!$E:$E,$A20,movements!$D:$D,"OPENING",movements!$C:$C,"&lt;"&amp;Y$1+1)+SUMIFS(movements!$H:$H,movements!$E:$E,$A20,movements!$D:$D,"RECEIPT",movements!$C:$C,"&lt;"&amp;Y$1+1)-SUMIFS(movements!$H:$H,movements!$E:$E,$A20,movements!$D:$D,"ISSUE",movements!$C:$C,"&lt;"&amp;Y$1+1)</f>
        <v>134</v>
      </c>
      <c r="Z20">
        <f>SUMIFS(movements!$H:$H,movements!$E:$E,$A20,movements!$D:$D,"OPENING",movements!$C:$C,"&lt;"&amp;Z$1+1)+SUMIFS(movements!$H:$H,movements!$E:$E,$A20,movements!$D:$D,"RECEIPT",movements!$C:$C,"&lt;"&amp;Z$1+1)-SUMIFS(movements!$H:$H,movements!$E:$E,$A20,movements!$D:$D,"ISSUE",movements!$C:$C,"&lt;"&amp;Z$1+1)</f>
        <v>129</v>
      </c>
      <c r="AA20">
        <f>SUMIFS(movements!$H:$H,movements!$E:$E,$A20,movements!$D:$D,"OPENING",movements!$C:$C,"&lt;"&amp;AA$1+1)+SUMIFS(movements!$H:$H,movements!$E:$E,$A20,movements!$D:$D,"RECEIPT",movements!$C:$C,"&lt;"&amp;AA$1+1)-SUMIFS(movements!$H:$H,movements!$E:$E,$A20,movements!$D:$D,"ISSUE",movements!$C:$C,"&lt;"&amp;AA$1+1)</f>
        <v>126</v>
      </c>
      <c r="AB20">
        <f>SUMIFS(movements!$H:$H,movements!$E:$E,$A20,movements!$D:$D,"OPENING",movements!$C:$C,"&lt;"&amp;AB$1+1)+SUMIFS(movements!$H:$H,movements!$E:$E,$A20,movements!$D:$D,"RECEIPT",movements!$C:$C,"&lt;"&amp;AB$1+1)-SUMIFS(movements!$H:$H,movements!$E:$E,$A20,movements!$D:$D,"ISSUE",movements!$C:$C,"&lt;"&amp;AB$1+1)</f>
        <v>124</v>
      </c>
      <c r="AC20">
        <f>SUMIFS(movements!$H:$H,movements!$E:$E,$A20,movements!$D:$D,"OPENING",movements!$C:$C,"&lt;"&amp;AC$1+1)+SUMIFS(movements!$H:$H,movements!$E:$E,$A20,movements!$D:$D,"RECEIPT",movements!$C:$C,"&lt;"&amp;AC$1+1)-SUMIFS(movements!$H:$H,movements!$E:$E,$A20,movements!$D:$D,"ISSUE",movements!$C:$C,"&lt;"&amp;AC$1+1)</f>
        <v>117</v>
      </c>
      <c r="AD20">
        <f>SUMIFS(movements!$H:$H,movements!$E:$E,$A20,movements!$D:$D,"OPENING",movements!$C:$C,"&lt;"&amp;AD$1+1)+SUMIFS(movements!$H:$H,movements!$E:$E,$A20,movements!$D:$D,"RECEIPT",movements!$C:$C,"&lt;"&amp;AD$1+1)-SUMIFS(movements!$H:$H,movements!$E:$E,$A20,movements!$D:$D,"ISSUE",movements!$C:$C,"&lt;"&amp;AD$1+1)</f>
        <v>115</v>
      </c>
      <c r="AE20">
        <f>SUMIFS(movements!$H:$H,movements!$E:$E,$A20,movements!$D:$D,"OPENING",movements!$C:$C,"&lt;"&amp;AE$1+1)+SUMIFS(movements!$H:$H,movements!$E:$E,$A20,movements!$D:$D,"RECEIPT",movements!$C:$C,"&lt;"&amp;AE$1+1)-SUMIFS(movements!$H:$H,movements!$E:$E,$A20,movements!$D:$D,"ISSUE",movements!$C:$C,"&lt;"&amp;AE$1+1)</f>
        <v>115</v>
      </c>
      <c r="AF20">
        <f>SUMIFS(movements!$H:$H,movements!$E:$E,$A20,movements!$D:$D,"OPENING",movements!$C:$C,"&lt;"&amp;AF$1+1)+SUMIFS(movements!$H:$H,movements!$E:$E,$A20,movements!$D:$D,"RECEIPT",movements!$C:$C,"&lt;"&amp;AF$1+1)-SUMIFS(movements!$H:$H,movements!$E:$E,$A20,movements!$D:$D,"ISSUE",movements!$C:$C,"&lt;"&amp;AF$1+1)</f>
        <v>115</v>
      </c>
      <c r="AG20">
        <f>SUMIFS(movements!$H:$H,movements!$E:$E,$A20,movements!$D:$D,"OPENING",movements!$C:$C,"&lt;"&amp;AG$1+1)+SUMIFS(movements!$H:$H,movements!$E:$E,$A20,movements!$D:$D,"RECEIPT",movements!$C:$C,"&lt;"&amp;AG$1+1)-SUMIFS(movements!$H:$H,movements!$E:$E,$A20,movements!$D:$D,"ISSUE",movements!$C:$C,"&lt;"&amp;AG$1+1)</f>
        <v>112</v>
      </c>
      <c r="AH20">
        <f>SUMIFS(movements!$H:$H,movements!$E:$E,$A20,movements!$D:$D,"OPENING",movements!$C:$C,"&lt;"&amp;AH$1+1)+SUMIFS(movements!$H:$H,movements!$E:$E,$A20,movements!$D:$D,"RECEIPT",movements!$C:$C,"&lt;"&amp;AH$1+1)-SUMIFS(movements!$H:$H,movements!$E:$E,$A20,movements!$D:$D,"ISSUE",movements!$C:$C,"&lt;"&amp;AH$1+1)</f>
        <v>108</v>
      </c>
      <c r="AI20">
        <f>SUMIFS(movements!$H:$H,movements!$E:$E,$A20,movements!$D:$D,"OPENING",movements!$C:$C,"&lt;"&amp;AI$1+1)+SUMIFS(movements!$H:$H,movements!$E:$E,$A20,movements!$D:$D,"RECEIPT",movements!$C:$C,"&lt;"&amp;AI$1+1)-SUMIFS(movements!$H:$H,movements!$E:$E,$A20,movements!$D:$D,"ISSUE",movements!$C:$C,"&lt;"&amp;AI$1+1)</f>
        <v>98</v>
      </c>
      <c r="AJ20">
        <f>SUMIFS(movements!$H:$H,movements!$E:$E,$A20,movements!$D:$D,"OPENING",movements!$C:$C,"&lt;"&amp;AJ$1+1)+SUMIFS(movements!$H:$H,movements!$E:$E,$A20,movements!$D:$D,"RECEIPT",movements!$C:$C,"&lt;"&amp;AJ$1+1)-SUMIFS(movements!$H:$H,movements!$E:$E,$A20,movements!$D:$D,"ISSUE",movements!$C:$C,"&lt;"&amp;AJ$1+1)</f>
        <v>95</v>
      </c>
      <c r="AK20">
        <f>SUMIFS(movements!$H:$H,movements!$E:$E,$A20,movements!$D:$D,"OPENING",movements!$C:$C,"&lt;"&amp;AK$1+1)+SUMIFS(movements!$H:$H,movements!$E:$E,$A20,movements!$D:$D,"RECEIPT",movements!$C:$C,"&lt;"&amp;AK$1+1)-SUMIFS(movements!$H:$H,movements!$E:$E,$A20,movements!$D:$D,"ISSUE",movements!$C:$C,"&lt;"&amp;AK$1+1)</f>
        <v>157</v>
      </c>
      <c r="AL20">
        <f>SUMIFS(movements!$H:$H,movements!$E:$E,$A20,movements!$D:$D,"OPENING",movements!$C:$C,"&lt;"&amp;AL$1+1)+SUMIFS(movements!$H:$H,movements!$E:$E,$A20,movements!$D:$D,"RECEIPT",movements!$C:$C,"&lt;"&amp;AL$1+1)-SUMIFS(movements!$H:$H,movements!$E:$E,$A20,movements!$D:$D,"ISSUE",movements!$C:$C,"&lt;"&amp;AL$1+1)</f>
        <v>146</v>
      </c>
      <c r="AM20">
        <f>SUMIFS(movements!$H:$H,movements!$E:$E,$A20,movements!$D:$D,"OPENING",movements!$C:$C,"&lt;"&amp;AM$1+1)+SUMIFS(movements!$H:$H,movements!$E:$E,$A20,movements!$D:$D,"RECEIPT",movements!$C:$C,"&lt;"&amp;AM$1+1)-SUMIFS(movements!$H:$H,movements!$E:$E,$A20,movements!$D:$D,"ISSUE",movements!$C:$C,"&lt;"&amp;AM$1+1)</f>
        <v>146</v>
      </c>
      <c r="AN20">
        <f>SUMIFS(movements!$H:$H,movements!$E:$E,$A20,movements!$D:$D,"OPENING",movements!$C:$C,"&lt;"&amp;AN$1+1)+SUMIFS(movements!$H:$H,movements!$E:$E,$A20,movements!$D:$D,"RECEIPT",movements!$C:$C,"&lt;"&amp;AN$1+1)-SUMIFS(movements!$H:$H,movements!$E:$E,$A20,movements!$D:$D,"ISSUE",movements!$C:$C,"&lt;"&amp;AN$1+1)</f>
        <v>141</v>
      </c>
      <c r="AO20">
        <f>SUMIFS(movements!$H:$H,movements!$E:$E,$A20,movements!$D:$D,"OPENING",movements!$C:$C,"&lt;"&amp;AO$1+1)+SUMIFS(movements!$H:$H,movements!$E:$E,$A20,movements!$D:$D,"RECEIPT",movements!$C:$C,"&lt;"&amp;AO$1+1)-SUMIFS(movements!$H:$H,movements!$E:$E,$A20,movements!$D:$D,"ISSUE",movements!$C:$C,"&lt;"&amp;AO$1+1)</f>
        <v>137</v>
      </c>
      <c r="AP20">
        <f>SUMIFS(movements!$H:$H,movements!$E:$E,$A20,movements!$D:$D,"OPENING",movements!$C:$C,"&lt;"&amp;AP$1+1)+SUMIFS(movements!$H:$H,movements!$E:$E,$A20,movements!$D:$D,"RECEIPT",movements!$C:$C,"&lt;"&amp;AP$1+1)-SUMIFS(movements!$H:$H,movements!$E:$E,$A20,movements!$D:$D,"ISSUE",movements!$C:$C,"&lt;"&amp;AP$1+1)</f>
        <v>128</v>
      </c>
      <c r="AQ20">
        <f>SUMIFS(movements!$H:$H,movements!$E:$E,$A20,movements!$D:$D,"OPENING",movements!$C:$C,"&lt;"&amp;AQ$1+1)+SUMIFS(movements!$H:$H,movements!$E:$E,$A20,movements!$D:$D,"RECEIPT",movements!$C:$C,"&lt;"&amp;AQ$1+1)-SUMIFS(movements!$H:$H,movements!$E:$E,$A20,movements!$D:$D,"ISSUE",movements!$C:$C,"&lt;"&amp;AQ$1+1)</f>
        <v>122</v>
      </c>
      <c r="AR20">
        <f>SUMIFS(movements!$H:$H,movements!$E:$E,$A20,movements!$D:$D,"OPENING",movements!$C:$C,"&lt;"&amp;AR$1+1)+SUMIFS(movements!$H:$H,movements!$E:$E,$A20,movements!$D:$D,"RECEIPT",movements!$C:$C,"&lt;"&amp;AR$1+1)-SUMIFS(movements!$H:$H,movements!$E:$E,$A20,movements!$D:$D,"ISSUE",movements!$C:$C,"&lt;"&amp;AR$1+1)</f>
        <v>119</v>
      </c>
      <c r="AS20">
        <f>SUMIFS(movements!$H:$H,movements!$E:$E,$A20,movements!$D:$D,"OPENING",movements!$C:$C,"&lt;"&amp;AS$1+1)+SUMIFS(movements!$H:$H,movements!$E:$E,$A20,movements!$D:$D,"RECEIPT",movements!$C:$C,"&lt;"&amp;AS$1+1)-SUMIFS(movements!$H:$H,movements!$E:$E,$A20,movements!$D:$D,"ISSUE",movements!$C:$C,"&lt;"&amp;AS$1+1)</f>
        <v>115</v>
      </c>
      <c r="AT20">
        <f>SUMIFS(movements!$H:$H,movements!$E:$E,$A20,movements!$D:$D,"OPENING",movements!$C:$C,"&lt;"&amp;AT$1+1)+SUMIFS(movements!$H:$H,movements!$E:$E,$A20,movements!$D:$D,"RECEIPT",movements!$C:$C,"&lt;"&amp;AT$1+1)-SUMIFS(movements!$H:$H,movements!$E:$E,$A20,movements!$D:$D,"ISSUE",movements!$C:$C,"&lt;"&amp;AT$1+1)</f>
        <v>111</v>
      </c>
      <c r="AU20">
        <f>SUMIFS(movements!$H:$H,movements!$E:$E,$A20,movements!$D:$D,"OPENING",movements!$C:$C,"&lt;"&amp;AU$1+1)+SUMIFS(movements!$H:$H,movements!$E:$E,$A20,movements!$D:$D,"RECEIPT",movements!$C:$C,"&lt;"&amp;AU$1+1)-SUMIFS(movements!$H:$H,movements!$E:$E,$A20,movements!$D:$D,"ISSUE",movements!$C:$C,"&lt;"&amp;AU$1+1)</f>
        <v>105</v>
      </c>
      <c r="AV20">
        <f>SUMIFS(movements!$H:$H,movements!$E:$E,$A20,movements!$D:$D,"OPENING",movements!$C:$C,"&lt;"&amp;AV$1+1)+SUMIFS(movements!$H:$H,movements!$E:$E,$A20,movements!$D:$D,"RECEIPT",movements!$C:$C,"&lt;"&amp;AV$1+1)-SUMIFS(movements!$H:$H,movements!$E:$E,$A20,movements!$D:$D,"ISSUE",movements!$C:$C,"&lt;"&amp;AV$1+1)</f>
        <v>87</v>
      </c>
      <c r="AW20">
        <f>SUMIFS(movements!$H:$H,movements!$E:$E,$A20,movements!$D:$D,"OPENING",movements!$C:$C,"&lt;"&amp;AW$1+1)+SUMIFS(movements!$H:$H,movements!$E:$E,$A20,movements!$D:$D,"RECEIPT",movements!$C:$C,"&lt;"&amp;AW$1+1)-SUMIFS(movements!$H:$H,movements!$E:$E,$A20,movements!$D:$D,"ISSUE",movements!$C:$C,"&lt;"&amp;AW$1+1)</f>
        <v>87</v>
      </c>
      <c r="AX20">
        <f>SUMIFS(movements!$H:$H,movements!$E:$E,$A20,movements!$D:$D,"OPENING",movements!$C:$C,"&lt;"&amp;AX$1+1)+SUMIFS(movements!$H:$H,movements!$E:$E,$A20,movements!$D:$D,"RECEIPT",movements!$C:$C,"&lt;"&amp;AX$1+1)-SUMIFS(movements!$H:$H,movements!$E:$E,$A20,movements!$D:$D,"ISSUE",movements!$C:$C,"&lt;"&amp;AX$1+1)</f>
        <v>83</v>
      </c>
      <c r="AY20">
        <f>SUMIFS(movements!$H:$H,movements!$E:$E,$A20,movements!$D:$D,"OPENING",movements!$C:$C,"&lt;"&amp;AY$1+1)+SUMIFS(movements!$H:$H,movements!$E:$E,$A20,movements!$D:$D,"RECEIPT",movements!$C:$C,"&lt;"&amp;AY$1+1)-SUMIFS(movements!$H:$H,movements!$E:$E,$A20,movements!$D:$D,"ISSUE",movements!$C:$C,"&lt;"&amp;AY$1+1)</f>
        <v>168</v>
      </c>
      <c r="AZ20">
        <f>SUMIFS(movements!$H:$H,movements!$E:$E,$A20,movements!$D:$D,"OPENING",movements!$C:$C,"&lt;"&amp;AZ$1+1)+SUMIFS(movements!$H:$H,movements!$E:$E,$A20,movements!$D:$D,"RECEIPT",movements!$C:$C,"&lt;"&amp;AZ$1+1)-SUMIFS(movements!$H:$H,movements!$E:$E,$A20,movements!$D:$D,"ISSUE",movements!$C:$C,"&lt;"&amp;AZ$1+1)</f>
        <v>168</v>
      </c>
      <c r="BA20">
        <f>SUMIFS(movements!$H:$H,movements!$E:$E,$A20,movements!$D:$D,"OPENING",movements!$C:$C,"&lt;"&amp;BA$1+1)+SUMIFS(movements!$H:$H,movements!$E:$E,$A20,movements!$D:$D,"RECEIPT",movements!$C:$C,"&lt;"&amp;BA$1+1)-SUMIFS(movements!$H:$H,movements!$E:$E,$A20,movements!$D:$D,"ISSUE",movements!$C:$C,"&lt;"&amp;BA$1+1)</f>
        <v>156</v>
      </c>
      <c r="BB20">
        <f>SUMIFS(movements!$H:$H,movements!$E:$E,$A20,movements!$D:$D,"OPENING",movements!$C:$C,"&lt;"&amp;BB$1+1)+SUMIFS(movements!$H:$H,movements!$E:$E,$A20,movements!$D:$D,"RECEIPT",movements!$C:$C,"&lt;"&amp;BB$1+1)-SUMIFS(movements!$H:$H,movements!$E:$E,$A20,movements!$D:$D,"ISSUE",movements!$C:$C,"&lt;"&amp;BB$1+1)</f>
        <v>152</v>
      </c>
      <c r="BC20">
        <f>SUMIFS(movements!$H:$H,movements!$E:$E,$A20,movements!$D:$D,"OPENING",movements!$C:$C,"&lt;"&amp;BC$1+1)+SUMIFS(movements!$H:$H,movements!$E:$E,$A20,movements!$D:$D,"RECEIPT",movements!$C:$C,"&lt;"&amp;BC$1+1)-SUMIFS(movements!$H:$H,movements!$E:$E,$A20,movements!$D:$D,"ISSUE",movements!$C:$C,"&lt;"&amp;BC$1+1)</f>
        <v>141</v>
      </c>
      <c r="BD20">
        <f>SUMIFS(movements!$H:$H,movements!$E:$E,$A20,movements!$D:$D,"OPENING",movements!$C:$C,"&lt;"&amp;BD$1+1)+SUMIFS(movements!$H:$H,movements!$E:$E,$A20,movements!$D:$D,"RECEIPT",movements!$C:$C,"&lt;"&amp;BD$1+1)-SUMIFS(movements!$H:$H,movements!$E:$E,$A20,movements!$D:$D,"ISSUE",movements!$C:$C,"&lt;"&amp;BD$1+1)</f>
        <v>132</v>
      </c>
      <c r="BE20">
        <f>SUMIFS(movements!$H:$H,movements!$E:$E,$A20,movements!$D:$D,"OPENING",movements!$C:$C,"&lt;"&amp;BE$1+1)+SUMIFS(movements!$H:$H,movements!$E:$E,$A20,movements!$D:$D,"RECEIPT",movements!$C:$C,"&lt;"&amp;BE$1+1)-SUMIFS(movements!$H:$H,movements!$E:$E,$A20,movements!$D:$D,"ISSUE",movements!$C:$C,"&lt;"&amp;BE$1+1)</f>
        <v>117</v>
      </c>
      <c r="BF20">
        <f>SUMIFS(movements!$H:$H,movements!$E:$E,$A20,movements!$D:$D,"OPENING",movements!$C:$C,"&lt;"&amp;BF$1+1)+SUMIFS(movements!$H:$H,movements!$E:$E,$A20,movements!$D:$D,"RECEIPT",movements!$C:$C,"&lt;"&amp;BF$1+1)-SUMIFS(movements!$H:$H,movements!$E:$E,$A20,movements!$D:$D,"ISSUE",movements!$C:$C,"&lt;"&amp;BF$1+1)</f>
        <v>116</v>
      </c>
      <c r="BG20">
        <f>SUMIFS(movements!$H:$H,movements!$E:$E,$A20,movements!$D:$D,"OPENING",movements!$C:$C,"&lt;"&amp;BG$1+1)+SUMIFS(movements!$H:$H,movements!$E:$E,$A20,movements!$D:$D,"RECEIPT",movements!$C:$C,"&lt;"&amp;BG$1+1)-SUMIFS(movements!$H:$H,movements!$E:$E,$A20,movements!$D:$D,"ISSUE",movements!$C:$C,"&lt;"&amp;BG$1+1)</f>
        <v>114</v>
      </c>
      <c r="BH20">
        <f>SUMIFS(movements!$H:$H,movements!$E:$E,$A20,movements!$D:$D,"OPENING",movements!$C:$C,"&lt;"&amp;BH$1+1)+SUMIFS(movements!$H:$H,movements!$E:$E,$A20,movements!$D:$D,"RECEIPT",movements!$C:$C,"&lt;"&amp;BH$1+1)-SUMIFS(movements!$H:$H,movements!$E:$E,$A20,movements!$D:$D,"ISSUE",movements!$C:$C,"&lt;"&amp;BH$1+1)</f>
        <v>109</v>
      </c>
      <c r="BI20">
        <f>SUMIFS(movements!$H:$H,movements!$E:$E,$A20,movements!$D:$D,"OPENING",movements!$C:$C,"&lt;"&amp;BI$1+1)+SUMIFS(movements!$H:$H,movements!$E:$E,$A20,movements!$D:$D,"RECEIPT",movements!$C:$C,"&lt;"&amp;BI$1+1)-SUMIFS(movements!$H:$H,movements!$E:$E,$A20,movements!$D:$D,"ISSUE",movements!$C:$C,"&lt;"&amp;BI$1+1)</f>
        <v>108</v>
      </c>
      <c r="BJ20">
        <f>SUMIFS(movements!$H:$H,movements!$E:$E,$A20,movements!$D:$D,"OPENING",movements!$C:$C,"&lt;"&amp;BJ$1+1)+SUMIFS(movements!$H:$H,movements!$E:$E,$A20,movements!$D:$D,"RECEIPT",movements!$C:$C,"&lt;"&amp;BJ$1+1)-SUMIFS(movements!$H:$H,movements!$E:$E,$A20,movements!$D:$D,"ISSUE",movements!$C:$C,"&lt;"&amp;BJ$1+1)</f>
        <v>99</v>
      </c>
      <c r="BK20">
        <f>SUMIFS(movements!$H:$H,movements!$E:$E,$A20,movements!$D:$D,"OPENING",movements!$C:$C,"&lt;"&amp;BK$1+1)+SUMIFS(movements!$H:$H,movements!$E:$E,$A20,movements!$D:$D,"RECEIPT",movements!$C:$C,"&lt;"&amp;BK$1+1)-SUMIFS(movements!$H:$H,movements!$E:$E,$A20,movements!$D:$D,"ISSUE",movements!$C:$C,"&lt;"&amp;BK$1+1)</f>
        <v>99</v>
      </c>
      <c r="BL20">
        <f>SUMIFS(movements!$H:$H,movements!$E:$E,$A20,movements!$D:$D,"OPENING",movements!$C:$C,"&lt;"&amp;BL$1+1)+SUMIFS(movements!$H:$H,movements!$E:$E,$A20,movements!$D:$D,"RECEIPT",movements!$C:$C,"&lt;"&amp;BL$1+1)-SUMIFS(movements!$H:$H,movements!$E:$E,$A20,movements!$D:$D,"ISSUE",movements!$C:$C,"&lt;"&amp;BL$1+1)</f>
        <v>99</v>
      </c>
      <c r="BM20">
        <f>SUMIFS(movements!$H:$H,movements!$E:$E,$A20,movements!$D:$D,"OPENING",movements!$C:$C,"&lt;"&amp;BM$1+1)+SUMIFS(movements!$H:$H,movements!$E:$E,$A20,movements!$D:$D,"RECEIPT",movements!$C:$C,"&lt;"&amp;BM$1+1)-SUMIFS(movements!$H:$H,movements!$E:$E,$A20,movements!$D:$D,"ISSUE",movements!$C:$C,"&lt;"&amp;BM$1+1)</f>
        <v>166</v>
      </c>
      <c r="BN20">
        <f>SUMIFS(movements!$H:$H,movements!$E:$E,$A20,movements!$D:$D,"OPENING",movements!$C:$C,"&lt;"&amp;BN$1+1)+SUMIFS(movements!$H:$H,movements!$E:$E,$A20,movements!$D:$D,"RECEIPT",movements!$C:$C,"&lt;"&amp;BN$1+1)-SUMIFS(movements!$H:$H,movements!$E:$E,$A20,movements!$D:$D,"ISSUE",movements!$C:$C,"&lt;"&amp;BN$1+1)</f>
        <v>164</v>
      </c>
      <c r="BO20">
        <f>SUMIFS(movements!$H:$H,movements!$E:$E,$A20,movements!$D:$D,"OPENING",movements!$C:$C,"&lt;"&amp;BO$1+1)+SUMIFS(movements!$H:$H,movements!$E:$E,$A20,movements!$D:$D,"RECEIPT",movements!$C:$C,"&lt;"&amp;BO$1+1)-SUMIFS(movements!$H:$H,movements!$E:$E,$A20,movements!$D:$D,"ISSUE",movements!$C:$C,"&lt;"&amp;BO$1+1)</f>
        <v>161</v>
      </c>
      <c r="BP20">
        <f>SUMIFS(movements!$H:$H,movements!$E:$E,$A20,movements!$D:$D,"OPENING",movements!$C:$C,"&lt;"&amp;BP$1+1)+SUMIFS(movements!$H:$H,movements!$E:$E,$A20,movements!$D:$D,"RECEIPT",movements!$C:$C,"&lt;"&amp;BP$1+1)-SUMIFS(movements!$H:$H,movements!$E:$E,$A20,movements!$D:$D,"ISSUE",movements!$C:$C,"&lt;"&amp;BP$1+1)</f>
        <v>151</v>
      </c>
      <c r="BQ20">
        <f>SUMIFS(movements!$H:$H,movements!$E:$E,$A20,movements!$D:$D,"OPENING",movements!$C:$C,"&lt;"&amp;BQ$1+1)+SUMIFS(movements!$H:$H,movements!$E:$E,$A20,movements!$D:$D,"RECEIPT",movements!$C:$C,"&lt;"&amp;BQ$1+1)-SUMIFS(movements!$H:$H,movements!$E:$E,$A20,movements!$D:$D,"ISSUE",movements!$C:$C,"&lt;"&amp;BQ$1+1)</f>
        <v>145</v>
      </c>
      <c r="BR20">
        <f>SUMIFS(movements!$H:$H,movements!$E:$E,$A20,movements!$D:$D,"OPENING",movements!$C:$C,"&lt;"&amp;BR$1+1)+SUMIFS(movements!$H:$H,movements!$E:$E,$A20,movements!$D:$D,"RECEIPT",movements!$C:$C,"&lt;"&amp;BR$1+1)-SUMIFS(movements!$H:$H,movements!$E:$E,$A20,movements!$D:$D,"ISSUE",movements!$C:$C,"&lt;"&amp;BR$1+1)</f>
        <v>137</v>
      </c>
      <c r="BS20">
        <f>SUMIFS(movements!$H:$H,movements!$E:$E,$A20,movements!$D:$D,"OPENING",movements!$C:$C,"&lt;"&amp;BS$1+1)+SUMIFS(movements!$H:$H,movements!$E:$E,$A20,movements!$D:$D,"RECEIPT",movements!$C:$C,"&lt;"&amp;BS$1+1)-SUMIFS(movements!$H:$H,movements!$E:$E,$A20,movements!$D:$D,"ISSUE",movements!$C:$C,"&lt;"&amp;BS$1+1)</f>
        <v>129</v>
      </c>
      <c r="BT20">
        <f>SUMIFS(movements!$H:$H,movements!$E:$E,$A20,movements!$D:$D,"OPENING",movements!$C:$C,"&lt;"&amp;BT$1+1)+SUMIFS(movements!$H:$H,movements!$E:$E,$A20,movements!$D:$D,"RECEIPT",movements!$C:$C,"&lt;"&amp;BT$1+1)-SUMIFS(movements!$H:$H,movements!$E:$E,$A20,movements!$D:$D,"ISSUE",movements!$C:$C,"&lt;"&amp;BT$1+1)</f>
        <v>125</v>
      </c>
      <c r="BU20">
        <f>SUMIFS(movements!$H:$H,movements!$E:$E,$A20,movements!$D:$D,"OPENING",movements!$C:$C,"&lt;"&amp;BU$1+1)+SUMIFS(movements!$H:$H,movements!$E:$E,$A20,movements!$D:$D,"RECEIPT",movements!$C:$C,"&lt;"&amp;BU$1+1)-SUMIFS(movements!$H:$H,movements!$E:$E,$A20,movements!$D:$D,"ISSUE",movements!$C:$C,"&lt;"&amp;BU$1+1)</f>
        <v>113</v>
      </c>
      <c r="BV20">
        <f>SUMIFS(movements!$H:$H,movements!$E:$E,$A20,movements!$D:$D,"OPENING",movements!$C:$C,"&lt;"&amp;BV$1+1)+SUMIFS(movements!$H:$H,movements!$E:$E,$A20,movements!$D:$D,"RECEIPT",movements!$C:$C,"&lt;"&amp;BV$1+1)-SUMIFS(movements!$H:$H,movements!$E:$E,$A20,movements!$D:$D,"ISSUE",movements!$C:$C,"&lt;"&amp;BV$1+1)</f>
        <v>110</v>
      </c>
      <c r="BW20">
        <f>SUMIFS(movements!$H:$H,movements!$E:$E,$A20,movements!$D:$D,"OPENING",movements!$C:$C,"&lt;"&amp;BW$1+1)+SUMIFS(movements!$H:$H,movements!$E:$E,$A20,movements!$D:$D,"RECEIPT",movements!$C:$C,"&lt;"&amp;BW$1+1)-SUMIFS(movements!$H:$H,movements!$E:$E,$A20,movements!$D:$D,"ISSUE",movements!$C:$C,"&lt;"&amp;BW$1+1)</f>
        <v>110</v>
      </c>
      <c r="BX20">
        <f>SUMIFS(movements!$H:$H,movements!$E:$E,$A20,movements!$D:$D,"OPENING",movements!$C:$C,"&lt;"&amp;BX$1+1)+SUMIFS(movements!$H:$H,movements!$E:$E,$A20,movements!$D:$D,"RECEIPT",movements!$C:$C,"&lt;"&amp;BX$1+1)-SUMIFS(movements!$H:$H,movements!$E:$E,$A20,movements!$D:$D,"ISSUE",movements!$C:$C,"&lt;"&amp;BX$1+1)</f>
        <v>110</v>
      </c>
      <c r="BY20">
        <f>SUMIFS(movements!$H:$H,movements!$E:$E,$A20,movements!$D:$D,"OPENING",movements!$C:$C,"&lt;"&amp;BY$1+1)+SUMIFS(movements!$H:$H,movements!$E:$E,$A20,movements!$D:$D,"RECEIPT",movements!$C:$C,"&lt;"&amp;BY$1+1)-SUMIFS(movements!$H:$H,movements!$E:$E,$A20,movements!$D:$D,"ISSUE",movements!$C:$C,"&lt;"&amp;BY$1+1)</f>
        <v>105</v>
      </c>
      <c r="BZ20">
        <f>SUMIFS(movements!$H:$H,movements!$E:$E,$A20,movements!$D:$D,"OPENING",movements!$C:$C,"&lt;"&amp;BZ$1+1)+SUMIFS(movements!$H:$H,movements!$E:$E,$A20,movements!$D:$D,"RECEIPT",movements!$C:$C,"&lt;"&amp;BZ$1+1)-SUMIFS(movements!$H:$H,movements!$E:$E,$A20,movements!$D:$D,"ISSUE",movements!$C:$C,"&lt;"&amp;BZ$1+1)</f>
        <v>101</v>
      </c>
      <c r="CA20">
        <f>SUMIFS(movements!$H:$H,movements!$E:$E,$A20,movements!$D:$D,"OPENING",movements!$C:$C,"&lt;"&amp;CA$1+1)+SUMIFS(movements!$H:$H,movements!$E:$E,$A20,movements!$D:$D,"RECEIPT",movements!$C:$C,"&lt;"&amp;CA$1+1)-SUMIFS(movements!$H:$H,movements!$E:$E,$A20,movements!$D:$D,"ISSUE",movements!$C:$C,"&lt;"&amp;CA$1+1)</f>
        <v>161</v>
      </c>
      <c r="CB20">
        <f>SUMIFS(movements!$H:$H,movements!$E:$E,$A20,movements!$D:$D,"OPENING",movements!$C:$C,"&lt;"&amp;CB$1+1)+SUMIFS(movements!$H:$H,movements!$E:$E,$A20,movements!$D:$D,"RECEIPT",movements!$C:$C,"&lt;"&amp;CB$1+1)-SUMIFS(movements!$H:$H,movements!$E:$E,$A20,movements!$D:$D,"ISSUE",movements!$C:$C,"&lt;"&amp;CB$1+1)</f>
        <v>155</v>
      </c>
      <c r="CC20">
        <f>SUMIFS(movements!$H:$H,movements!$E:$E,$A20,movements!$D:$D,"OPENING",movements!$C:$C,"&lt;"&amp;CC$1+1)+SUMIFS(movements!$H:$H,movements!$E:$E,$A20,movements!$D:$D,"RECEIPT",movements!$C:$C,"&lt;"&amp;CC$1+1)-SUMIFS(movements!$H:$H,movements!$E:$E,$A20,movements!$D:$D,"ISSUE",movements!$C:$C,"&lt;"&amp;CC$1+1)</f>
        <v>155</v>
      </c>
      <c r="CD20">
        <f>SUMIFS(movements!$H:$H,movements!$E:$E,$A20,movements!$D:$D,"OPENING",movements!$C:$C,"&lt;"&amp;CD$1+1)+SUMIFS(movements!$H:$H,movements!$E:$E,$A20,movements!$D:$D,"RECEIPT",movements!$C:$C,"&lt;"&amp;CD$1+1)-SUMIFS(movements!$H:$H,movements!$E:$E,$A20,movements!$D:$D,"ISSUE",movements!$C:$C,"&lt;"&amp;CD$1+1)</f>
        <v>148</v>
      </c>
      <c r="CE20">
        <f>SUMIFS(movements!$H:$H,movements!$E:$E,$A20,movements!$D:$D,"OPENING",movements!$C:$C,"&lt;"&amp;CE$1+1)+SUMIFS(movements!$H:$H,movements!$E:$E,$A20,movements!$D:$D,"RECEIPT",movements!$C:$C,"&lt;"&amp;CE$1+1)-SUMIFS(movements!$H:$H,movements!$E:$E,$A20,movements!$D:$D,"ISSUE",movements!$C:$C,"&lt;"&amp;CE$1+1)</f>
        <v>148</v>
      </c>
      <c r="CF20">
        <f>SUMIFS(movements!$H:$H,movements!$E:$E,$A20,movements!$D:$D,"OPENING",movements!$C:$C,"&lt;"&amp;CF$1+1)+SUMIFS(movements!$H:$H,movements!$E:$E,$A20,movements!$D:$D,"RECEIPT",movements!$C:$C,"&lt;"&amp;CF$1+1)-SUMIFS(movements!$H:$H,movements!$E:$E,$A20,movements!$D:$D,"ISSUE",movements!$C:$C,"&lt;"&amp;CF$1+1)</f>
        <v>141</v>
      </c>
      <c r="CG20">
        <f>SUMIFS(movements!$H:$H,movements!$E:$E,$A20,movements!$D:$D,"OPENING",movements!$C:$C,"&lt;"&amp;CG$1+1)+SUMIFS(movements!$H:$H,movements!$E:$E,$A20,movements!$D:$D,"RECEIPT",movements!$C:$C,"&lt;"&amp;CG$1+1)-SUMIFS(movements!$H:$H,movements!$E:$E,$A20,movements!$D:$D,"ISSUE",movements!$C:$C,"&lt;"&amp;CG$1+1)</f>
        <v>138</v>
      </c>
      <c r="CH20">
        <f>SUMIFS(movements!$H:$H,movements!$E:$E,$A20,movements!$D:$D,"OPENING",movements!$C:$C,"&lt;"&amp;CH$1+1)+SUMIFS(movements!$H:$H,movements!$E:$E,$A20,movements!$D:$D,"RECEIPT",movements!$C:$C,"&lt;"&amp;CH$1+1)-SUMIFS(movements!$H:$H,movements!$E:$E,$A20,movements!$D:$D,"ISSUE",movements!$C:$C,"&lt;"&amp;CH$1+1)</f>
        <v>134</v>
      </c>
      <c r="CI20">
        <f>SUMIFS(movements!$H:$H,movements!$E:$E,$A20,movements!$D:$D,"OPENING",movements!$C:$C,"&lt;"&amp;CI$1+1)+SUMIFS(movements!$H:$H,movements!$E:$E,$A20,movements!$D:$D,"RECEIPT",movements!$C:$C,"&lt;"&amp;CI$1+1)-SUMIFS(movements!$H:$H,movements!$E:$E,$A20,movements!$D:$D,"ISSUE",movements!$C:$C,"&lt;"&amp;CI$1+1)</f>
        <v>128</v>
      </c>
      <c r="CJ20">
        <f>SUMIFS(movements!$H:$H,movements!$E:$E,$A20,movements!$D:$D,"OPENING",movements!$C:$C,"&lt;"&amp;CJ$1+1)+SUMIFS(movements!$H:$H,movements!$E:$E,$A20,movements!$D:$D,"RECEIPT",movements!$C:$C,"&lt;"&amp;CJ$1+1)-SUMIFS(movements!$H:$H,movements!$E:$E,$A20,movements!$D:$D,"ISSUE",movements!$C:$C,"&lt;"&amp;CJ$1+1)</f>
        <v>123</v>
      </c>
      <c r="CK20">
        <f>SUMIFS(movements!$H:$H,movements!$E:$E,$A20,movements!$D:$D,"OPENING",movements!$C:$C,"&lt;"&amp;CK$1+1)+SUMIFS(movements!$H:$H,movements!$E:$E,$A20,movements!$D:$D,"RECEIPT",movements!$C:$C,"&lt;"&amp;CK$1+1)-SUMIFS(movements!$H:$H,movements!$E:$E,$A20,movements!$D:$D,"ISSUE",movements!$C:$C,"&lt;"&amp;CK$1+1)</f>
        <v>123</v>
      </c>
      <c r="CL20">
        <f>SUMIFS(movements!$H:$H,movements!$E:$E,$A20,movements!$D:$D,"OPENING",movements!$C:$C,"&lt;"&amp;CL$1+1)+SUMIFS(movements!$H:$H,movements!$E:$E,$A20,movements!$D:$D,"RECEIPT",movements!$C:$C,"&lt;"&amp;CL$1+1)-SUMIFS(movements!$H:$H,movements!$E:$E,$A20,movements!$D:$D,"ISSUE",movements!$C:$C,"&lt;"&amp;CL$1+1)</f>
        <v>108</v>
      </c>
      <c r="CM20">
        <f>SUMIFS(movements!$H:$H,movements!$E:$E,$A20,movements!$D:$D,"OPENING",movements!$C:$C,"&lt;"&amp;CM$1+1)+SUMIFS(movements!$H:$H,movements!$E:$E,$A20,movements!$D:$D,"RECEIPT",movements!$C:$C,"&lt;"&amp;CM$1+1)-SUMIFS(movements!$H:$H,movements!$E:$E,$A20,movements!$D:$D,"ISSUE",movements!$C:$C,"&lt;"&amp;CM$1+1)</f>
        <v>108</v>
      </c>
      <c r="CN20">
        <f t="shared" si="2"/>
        <v>122.91111111111111</v>
      </c>
      <c r="CO20">
        <f>SUMIFS(movements!$H:$H,movements!$E:$E,$A20,movements!$D:$D,"ISSUE",movements!$C:$C,"&gt;="&amp;$B$1,movements!$C:$C,"&lt;"&amp;($CM$1+1))</f>
        <v>429</v>
      </c>
      <c r="CP20">
        <f t="shared" si="3"/>
        <v>3.4903272464292172</v>
      </c>
      <c r="CQ20">
        <f t="shared" si="4"/>
        <v>25.785547785547784</v>
      </c>
    </row>
    <row r="21" spans="1:95" x14ac:dyDescent="0.25">
      <c r="A21" t="s">
        <v>57</v>
      </c>
      <c r="B21">
        <f>SUMIFS(movements!$H:$H,movements!$E:$E,$A21,movements!$D:$D,"OPENING",movements!$C:$C,"&lt;"&amp;B$1+1)+SUMIFS(movements!$H:$H,movements!$E:$E,$A21,movements!$D:$D,"RECEIPT",movements!$C:$C,"&lt;"&amp;B$1+1)-SUMIFS(movements!$H:$H,movements!$E:$E,$A21,movements!$D:$D,"ISSUE",movements!$C:$C,"&lt;"&amp;B$1+1)</f>
        <v>80</v>
      </c>
      <c r="C21">
        <f>SUMIFS(movements!$H:$H,movements!$E:$E,$A21,movements!$D:$D,"OPENING",movements!$C:$C,"&lt;"&amp;C$1+1)+SUMIFS(movements!$H:$H,movements!$E:$E,$A21,movements!$D:$D,"RECEIPT",movements!$C:$C,"&lt;"&amp;C$1+1)-SUMIFS(movements!$H:$H,movements!$E:$E,$A21,movements!$D:$D,"ISSUE",movements!$C:$C,"&lt;"&amp;C$1+1)</f>
        <v>75</v>
      </c>
      <c r="D21">
        <f>SUMIFS(movements!$H:$H,movements!$E:$E,$A21,movements!$D:$D,"OPENING",movements!$C:$C,"&lt;"&amp;D$1+1)+SUMIFS(movements!$H:$H,movements!$E:$E,$A21,movements!$D:$D,"RECEIPT",movements!$C:$C,"&lt;"&amp;D$1+1)-SUMIFS(movements!$H:$H,movements!$E:$E,$A21,movements!$D:$D,"ISSUE",movements!$C:$C,"&lt;"&amp;D$1+1)</f>
        <v>70</v>
      </c>
      <c r="E21">
        <f>SUMIFS(movements!$H:$H,movements!$E:$E,$A21,movements!$D:$D,"OPENING",movements!$C:$C,"&lt;"&amp;E$1+1)+SUMIFS(movements!$H:$H,movements!$E:$E,$A21,movements!$D:$D,"RECEIPT",movements!$C:$C,"&lt;"&amp;E$1+1)-SUMIFS(movements!$H:$H,movements!$E:$E,$A21,movements!$D:$D,"ISSUE",movements!$C:$C,"&lt;"&amp;E$1+1)</f>
        <v>68</v>
      </c>
      <c r="F21">
        <f>SUMIFS(movements!$H:$H,movements!$E:$E,$A21,movements!$D:$D,"OPENING",movements!$C:$C,"&lt;"&amp;F$1+1)+SUMIFS(movements!$H:$H,movements!$E:$E,$A21,movements!$D:$D,"RECEIPT",movements!$C:$C,"&lt;"&amp;F$1+1)-SUMIFS(movements!$H:$H,movements!$E:$E,$A21,movements!$D:$D,"ISSUE",movements!$C:$C,"&lt;"&amp;F$1+1)</f>
        <v>53</v>
      </c>
      <c r="G21">
        <f>SUMIFS(movements!$H:$H,movements!$E:$E,$A21,movements!$D:$D,"OPENING",movements!$C:$C,"&lt;"&amp;G$1+1)+SUMIFS(movements!$H:$H,movements!$E:$E,$A21,movements!$D:$D,"RECEIPT",movements!$C:$C,"&lt;"&amp;G$1+1)-SUMIFS(movements!$H:$H,movements!$E:$E,$A21,movements!$D:$D,"ISSUE",movements!$C:$C,"&lt;"&amp;G$1+1)</f>
        <v>53</v>
      </c>
      <c r="H21">
        <f>SUMIFS(movements!$H:$H,movements!$E:$E,$A21,movements!$D:$D,"OPENING",movements!$C:$C,"&lt;"&amp;H$1+1)+SUMIFS(movements!$H:$H,movements!$E:$E,$A21,movements!$D:$D,"RECEIPT",movements!$C:$C,"&lt;"&amp;H$1+1)-SUMIFS(movements!$H:$H,movements!$E:$E,$A21,movements!$D:$D,"ISSUE",movements!$C:$C,"&lt;"&amp;H$1+1)</f>
        <v>43</v>
      </c>
      <c r="I21">
        <f>SUMIFS(movements!$H:$H,movements!$E:$E,$A21,movements!$D:$D,"OPENING",movements!$C:$C,"&lt;"&amp;I$1+1)+SUMIFS(movements!$H:$H,movements!$E:$E,$A21,movements!$D:$D,"RECEIPT",movements!$C:$C,"&lt;"&amp;I$1+1)-SUMIFS(movements!$H:$H,movements!$E:$E,$A21,movements!$D:$D,"ISSUE",movements!$C:$C,"&lt;"&amp;I$1+1)</f>
        <v>99</v>
      </c>
      <c r="J21">
        <f>SUMIFS(movements!$H:$H,movements!$E:$E,$A21,movements!$D:$D,"OPENING",movements!$C:$C,"&lt;"&amp;J$1+1)+SUMIFS(movements!$H:$H,movements!$E:$E,$A21,movements!$D:$D,"RECEIPT",movements!$C:$C,"&lt;"&amp;J$1+1)-SUMIFS(movements!$H:$H,movements!$E:$E,$A21,movements!$D:$D,"ISSUE",movements!$C:$C,"&lt;"&amp;J$1+1)</f>
        <v>81</v>
      </c>
      <c r="K21">
        <f>SUMIFS(movements!$H:$H,movements!$E:$E,$A21,movements!$D:$D,"OPENING",movements!$C:$C,"&lt;"&amp;K$1+1)+SUMIFS(movements!$H:$H,movements!$E:$E,$A21,movements!$D:$D,"RECEIPT",movements!$C:$C,"&lt;"&amp;K$1+1)-SUMIFS(movements!$H:$H,movements!$E:$E,$A21,movements!$D:$D,"ISSUE",movements!$C:$C,"&lt;"&amp;K$1+1)</f>
        <v>74</v>
      </c>
      <c r="L21">
        <f>SUMIFS(movements!$H:$H,movements!$E:$E,$A21,movements!$D:$D,"OPENING",movements!$C:$C,"&lt;"&amp;L$1+1)+SUMIFS(movements!$H:$H,movements!$E:$E,$A21,movements!$D:$D,"RECEIPT",movements!$C:$C,"&lt;"&amp;L$1+1)-SUMIFS(movements!$H:$H,movements!$E:$E,$A21,movements!$D:$D,"ISSUE",movements!$C:$C,"&lt;"&amp;L$1+1)</f>
        <v>73</v>
      </c>
      <c r="M21">
        <f>SUMIFS(movements!$H:$H,movements!$E:$E,$A21,movements!$D:$D,"OPENING",movements!$C:$C,"&lt;"&amp;M$1+1)+SUMIFS(movements!$H:$H,movements!$E:$E,$A21,movements!$D:$D,"RECEIPT",movements!$C:$C,"&lt;"&amp;M$1+1)-SUMIFS(movements!$H:$H,movements!$E:$E,$A21,movements!$D:$D,"ISSUE",movements!$C:$C,"&lt;"&amp;M$1+1)</f>
        <v>56</v>
      </c>
      <c r="N21">
        <f>SUMIFS(movements!$H:$H,movements!$E:$E,$A21,movements!$D:$D,"OPENING",movements!$C:$C,"&lt;"&amp;N$1+1)+SUMIFS(movements!$H:$H,movements!$E:$E,$A21,movements!$D:$D,"RECEIPT",movements!$C:$C,"&lt;"&amp;N$1+1)-SUMIFS(movements!$H:$H,movements!$E:$E,$A21,movements!$D:$D,"ISSUE",movements!$C:$C,"&lt;"&amp;N$1+1)</f>
        <v>50</v>
      </c>
      <c r="O21">
        <f>SUMIFS(movements!$H:$H,movements!$E:$E,$A21,movements!$D:$D,"OPENING",movements!$C:$C,"&lt;"&amp;O$1+1)+SUMIFS(movements!$H:$H,movements!$E:$E,$A21,movements!$D:$D,"RECEIPT",movements!$C:$C,"&lt;"&amp;O$1+1)-SUMIFS(movements!$H:$H,movements!$E:$E,$A21,movements!$D:$D,"ISSUE",movements!$C:$C,"&lt;"&amp;O$1+1)</f>
        <v>45</v>
      </c>
      <c r="P21">
        <f>SUMIFS(movements!$H:$H,movements!$E:$E,$A21,movements!$D:$D,"OPENING",movements!$C:$C,"&lt;"&amp;P$1+1)+SUMIFS(movements!$H:$H,movements!$E:$E,$A21,movements!$D:$D,"RECEIPT",movements!$C:$C,"&lt;"&amp;P$1+1)-SUMIFS(movements!$H:$H,movements!$E:$E,$A21,movements!$D:$D,"ISSUE",movements!$C:$C,"&lt;"&amp;P$1+1)</f>
        <v>117</v>
      </c>
      <c r="Q21">
        <f>SUMIFS(movements!$H:$H,movements!$E:$E,$A21,movements!$D:$D,"OPENING",movements!$C:$C,"&lt;"&amp;Q$1+1)+SUMIFS(movements!$H:$H,movements!$E:$E,$A21,movements!$D:$D,"RECEIPT",movements!$C:$C,"&lt;"&amp;Q$1+1)-SUMIFS(movements!$H:$H,movements!$E:$E,$A21,movements!$D:$D,"ISSUE",movements!$C:$C,"&lt;"&amp;Q$1+1)</f>
        <v>113</v>
      </c>
      <c r="R21">
        <f>SUMIFS(movements!$H:$H,movements!$E:$E,$A21,movements!$D:$D,"OPENING",movements!$C:$C,"&lt;"&amp;R$1+1)+SUMIFS(movements!$H:$H,movements!$E:$E,$A21,movements!$D:$D,"RECEIPT",movements!$C:$C,"&lt;"&amp;R$1+1)-SUMIFS(movements!$H:$H,movements!$E:$E,$A21,movements!$D:$D,"ISSUE",movements!$C:$C,"&lt;"&amp;R$1+1)</f>
        <v>104</v>
      </c>
      <c r="S21">
        <f>SUMIFS(movements!$H:$H,movements!$E:$E,$A21,movements!$D:$D,"OPENING",movements!$C:$C,"&lt;"&amp;S$1+1)+SUMIFS(movements!$H:$H,movements!$E:$E,$A21,movements!$D:$D,"RECEIPT",movements!$C:$C,"&lt;"&amp;S$1+1)-SUMIFS(movements!$H:$H,movements!$E:$E,$A21,movements!$D:$D,"ISSUE",movements!$C:$C,"&lt;"&amp;S$1+1)</f>
        <v>103</v>
      </c>
      <c r="T21">
        <f>SUMIFS(movements!$H:$H,movements!$E:$E,$A21,movements!$D:$D,"OPENING",movements!$C:$C,"&lt;"&amp;T$1+1)+SUMIFS(movements!$H:$H,movements!$E:$E,$A21,movements!$D:$D,"RECEIPT",movements!$C:$C,"&lt;"&amp;T$1+1)-SUMIFS(movements!$H:$H,movements!$E:$E,$A21,movements!$D:$D,"ISSUE",movements!$C:$C,"&lt;"&amp;T$1+1)</f>
        <v>95</v>
      </c>
      <c r="U21">
        <f>SUMIFS(movements!$H:$H,movements!$E:$E,$A21,movements!$D:$D,"OPENING",movements!$C:$C,"&lt;"&amp;U$1+1)+SUMIFS(movements!$H:$H,movements!$E:$E,$A21,movements!$D:$D,"RECEIPT",movements!$C:$C,"&lt;"&amp;U$1+1)-SUMIFS(movements!$H:$H,movements!$E:$E,$A21,movements!$D:$D,"ISSUE",movements!$C:$C,"&lt;"&amp;U$1+1)</f>
        <v>95</v>
      </c>
      <c r="V21">
        <f>SUMIFS(movements!$H:$H,movements!$E:$E,$A21,movements!$D:$D,"OPENING",movements!$C:$C,"&lt;"&amp;V$1+1)+SUMIFS(movements!$H:$H,movements!$E:$E,$A21,movements!$D:$D,"RECEIPT",movements!$C:$C,"&lt;"&amp;V$1+1)-SUMIFS(movements!$H:$H,movements!$E:$E,$A21,movements!$D:$D,"ISSUE",movements!$C:$C,"&lt;"&amp;V$1+1)</f>
        <v>90</v>
      </c>
      <c r="W21">
        <f>SUMIFS(movements!$H:$H,movements!$E:$E,$A21,movements!$D:$D,"OPENING",movements!$C:$C,"&lt;"&amp;W$1+1)+SUMIFS(movements!$H:$H,movements!$E:$E,$A21,movements!$D:$D,"RECEIPT",movements!$C:$C,"&lt;"&amp;W$1+1)-SUMIFS(movements!$H:$H,movements!$E:$E,$A21,movements!$D:$D,"ISSUE",movements!$C:$C,"&lt;"&amp;W$1+1)</f>
        <v>177</v>
      </c>
      <c r="X21">
        <f>SUMIFS(movements!$H:$H,movements!$E:$E,$A21,movements!$D:$D,"OPENING",movements!$C:$C,"&lt;"&amp;X$1+1)+SUMIFS(movements!$H:$H,movements!$E:$E,$A21,movements!$D:$D,"RECEIPT",movements!$C:$C,"&lt;"&amp;X$1+1)-SUMIFS(movements!$H:$H,movements!$E:$E,$A21,movements!$D:$D,"ISSUE",movements!$C:$C,"&lt;"&amp;X$1+1)</f>
        <v>171</v>
      </c>
      <c r="Y21">
        <f>SUMIFS(movements!$H:$H,movements!$E:$E,$A21,movements!$D:$D,"OPENING",movements!$C:$C,"&lt;"&amp;Y$1+1)+SUMIFS(movements!$H:$H,movements!$E:$E,$A21,movements!$D:$D,"RECEIPT",movements!$C:$C,"&lt;"&amp;Y$1+1)-SUMIFS(movements!$H:$H,movements!$E:$E,$A21,movements!$D:$D,"ISSUE",movements!$C:$C,"&lt;"&amp;Y$1+1)</f>
        <v>165</v>
      </c>
      <c r="Z21">
        <f>SUMIFS(movements!$H:$H,movements!$E:$E,$A21,movements!$D:$D,"OPENING",movements!$C:$C,"&lt;"&amp;Z$1+1)+SUMIFS(movements!$H:$H,movements!$E:$E,$A21,movements!$D:$D,"RECEIPT",movements!$C:$C,"&lt;"&amp;Z$1+1)-SUMIFS(movements!$H:$H,movements!$E:$E,$A21,movements!$D:$D,"ISSUE",movements!$C:$C,"&lt;"&amp;Z$1+1)</f>
        <v>164</v>
      </c>
      <c r="AA21">
        <f>SUMIFS(movements!$H:$H,movements!$E:$E,$A21,movements!$D:$D,"OPENING",movements!$C:$C,"&lt;"&amp;AA$1+1)+SUMIFS(movements!$H:$H,movements!$E:$E,$A21,movements!$D:$D,"RECEIPT",movements!$C:$C,"&lt;"&amp;AA$1+1)-SUMIFS(movements!$H:$H,movements!$E:$E,$A21,movements!$D:$D,"ISSUE",movements!$C:$C,"&lt;"&amp;AA$1+1)</f>
        <v>164</v>
      </c>
      <c r="AB21">
        <f>SUMIFS(movements!$H:$H,movements!$E:$E,$A21,movements!$D:$D,"OPENING",movements!$C:$C,"&lt;"&amp;AB$1+1)+SUMIFS(movements!$H:$H,movements!$E:$E,$A21,movements!$D:$D,"RECEIPT",movements!$C:$C,"&lt;"&amp;AB$1+1)-SUMIFS(movements!$H:$H,movements!$E:$E,$A21,movements!$D:$D,"ISSUE",movements!$C:$C,"&lt;"&amp;AB$1+1)</f>
        <v>153</v>
      </c>
      <c r="AC21">
        <f>SUMIFS(movements!$H:$H,movements!$E:$E,$A21,movements!$D:$D,"OPENING",movements!$C:$C,"&lt;"&amp;AC$1+1)+SUMIFS(movements!$H:$H,movements!$E:$E,$A21,movements!$D:$D,"RECEIPT",movements!$C:$C,"&lt;"&amp;AC$1+1)-SUMIFS(movements!$H:$H,movements!$E:$E,$A21,movements!$D:$D,"ISSUE",movements!$C:$C,"&lt;"&amp;AC$1+1)</f>
        <v>151</v>
      </c>
      <c r="AD21">
        <f>SUMIFS(movements!$H:$H,movements!$E:$E,$A21,movements!$D:$D,"OPENING",movements!$C:$C,"&lt;"&amp;AD$1+1)+SUMIFS(movements!$H:$H,movements!$E:$E,$A21,movements!$D:$D,"RECEIPT",movements!$C:$C,"&lt;"&amp;AD$1+1)-SUMIFS(movements!$H:$H,movements!$E:$E,$A21,movements!$D:$D,"ISSUE",movements!$C:$C,"&lt;"&amp;AD$1+1)</f>
        <v>145</v>
      </c>
      <c r="AE21">
        <f>SUMIFS(movements!$H:$H,movements!$E:$E,$A21,movements!$D:$D,"OPENING",movements!$C:$C,"&lt;"&amp;AE$1+1)+SUMIFS(movements!$H:$H,movements!$E:$E,$A21,movements!$D:$D,"RECEIPT",movements!$C:$C,"&lt;"&amp;AE$1+1)-SUMIFS(movements!$H:$H,movements!$E:$E,$A21,movements!$D:$D,"ISSUE",movements!$C:$C,"&lt;"&amp;AE$1+1)</f>
        <v>145</v>
      </c>
      <c r="AF21">
        <f>SUMIFS(movements!$H:$H,movements!$E:$E,$A21,movements!$D:$D,"OPENING",movements!$C:$C,"&lt;"&amp;AF$1+1)+SUMIFS(movements!$H:$H,movements!$E:$E,$A21,movements!$D:$D,"RECEIPT",movements!$C:$C,"&lt;"&amp;AF$1+1)-SUMIFS(movements!$H:$H,movements!$E:$E,$A21,movements!$D:$D,"ISSUE",movements!$C:$C,"&lt;"&amp;AF$1+1)</f>
        <v>139</v>
      </c>
      <c r="AG21">
        <f>SUMIFS(movements!$H:$H,movements!$E:$E,$A21,movements!$D:$D,"OPENING",movements!$C:$C,"&lt;"&amp;AG$1+1)+SUMIFS(movements!$H:$H,movements!$E:$E,$A21,movements!$D:$D,"RECEIPT",movements!$C:$C,"&lt;"&amp;AG$1+1)-SUMIFS(movements!$H:$H,movements!$E:$E,$A21,movements!$D:$D,"ISSUE",movements!$C:$C,"&lt;"&amp;AG$1+1)</f>
        <v>138</v>
      </c>
      <c r="AH21">
        <f>SUMIFS(movements!$H:$H,movements!$E:$E,$A21,movements!$D:$D,"OPENING",movements!$C:$C,"&lt;"&amp;AH$1+1)+SUMIFS(movements!$H:$H,movements!$E:$E,$A21,movements!$D:$D,"RECEIPT",movements!$C:$C,"&lt;"&amp;AH$1+1)-SUMIFS(movements!$H:$H,movements!$E:$E,$A21,movements!$D:$D,"ISSUE",movements!$C:$C,"&lt;"&amp;AH$1+1)</f>
        <v>129</v>
      </c>
      <c r="AI21">
        <f>SUMIFS(movements!$H:$H,movements!$E:$E,$A21,movements!$D:$D,"OPENING",movements!$C:$C,"&lt;"&amp;AI$1+1)+SUMIFS(movements!$H:$H,movements!$E:$E,$A21,movements!$D:$D,"RECEIPT",movements!$C:$C,"&lt;"&amp;AI$1+1)-SUMIFS(movements!$H:$H,movements!$E:$E,$A21,movements!$D:$D,"ISSUE",movements!$C:$C,"&lt;"&amp;AI$1+1)</f>
        <v>129</v>
      </c>
      <c r="AJ21">
        <f>SUMIFS(movements!$H:$H,movements!$E:$E,$A21,movements!$D:$D,"OPENING",movements!$C:$C,"&lt;"&amp;AJ$1+1)+SUMIFS(movements!$H:$H,movements!$E:$E,$A21,movements!$D:$D,"RECEIPT",movements!$C:$C,"&lt;"&amp;AJ$1+1)-SUMIFS(movements!$H:$H,movements!$E:$E,$A21,movements!$D:$D,"ISSUE",movements!$C:$C,"&lt;"&amp;AJ$1+1)</f>
        <v>127</v>
      </c>
      <c r="AK21">
        <f>SUMIFS(movements!$H:$H,movements!$E:$E,$A21,movements!$D:$D,"OPENING",movements!$C:$C,"&lt;"&amp;AK$1+1)+SUMIFS(movements!$H:$H,movements!$E:$E,$A21,movements!$D:$D,"RECEIPT",movements!$C:$C,"&lt;"&amp;AK$1+1)-SUMIFS(movements!$H:$H,movements!$E:$E,$A21,movements!$D:$D,"ISSUE",movements!$C:$C,"&lt;"&amp;AK$1+1)</f>
        <v>126</v>
      </c>
      <c r="AL21">
        <f>SUMIFS(movements!$H:$H,movements!$E:$E,$A21,movements!$D:$D,"OPENING",movements!$C:$C,"&lt;"&amp;AL$1+1)+SUMIFS(movements!$H:$H,movements!$E:$E,$A21,movements!$D:$D,"RECEIPT",movements!$C:$C,"&lt;"&amp;AL$1+1)-SUMIFS(movements!$H:$H,movements!$E:$E,$A21,movements!$D:$D,"ISSUE",movements!$C:$C,"&lt;"&amp;AL$1+1)</f>
        <v>126</v>
      </c>
      <c r="AM21">
        <f>SUMIFS(movements!$H:$H,movements!$E:$E,$A21,movements!$D:$D,"OPENING",movements!$C:$C,"&lt;"&amp;AM$1+1)+SUMIFS(movements!$H:$H,movements!$E:$E,$A21,movements!$D:$D,"RECEIPT",movements!$C:$C,"&lt;"&amp;AM$1+1)-SUMIFS(movements!$H:$H,movements!$E:$E,$A21,movements!$D:$D,"ISSUE",movements!$C:$C,"&lt;"&amp;AM$1+1)</f>
        <v>126</v>
      </c>
      <c r="AN21">
        <f>SUMIFS(movements!$H:$H,movements!$E:$E,$A21,movements!$D:$D,"OPENING",movements!$C:$C,"&lt;"&amp;AN$1+1)+SUMIFS(movements!$H:$H,movements!$E:$E,$A21,movements!$D:$D,"RECEIPT",movements!$C:$C,"&lt;"&amp;AN$1+1)-SUMIFS(movements!$H:$H,movements!$E:$E,$A21,movements!$D:$D,"ISSUE",movements!$C:$C,"&lt;"&amp;AN$1+1)</f>
        <v>117</v>
      </c>
      <c r="AO21">
        <f>SUMIFS(movements!$H:$H,movements!$E:$E,$A21,movements!$D:$D,"OPENING",movements!$C:$C,"&lt;"&amp;AO$1+1)+SUMIFS(movements!$H:$H,movements!$E:$E,$A21,movements!$D:$D,"RECEIPT",movements!$C:$C,"&lt;"&amp;AO$1+1)-SUMIFS(movements!$H:$H,movements!$E:$E,$A21,movements!$D:$D,"ISSUE",movements!$C:$C,"&lt;"&amp;AO$1+1)</f>
        <v>115</v>
      </c>
      <c r="AP21">
        <f>SUMIFS(movements!$H:$H,movements!$E:$E,$A21,movements!$D:$D,"OPENING",movements!$C:$C,"&lt;"&amp;AP$1+1)+SUMIFS(movements!$H:$H,movements!$E:$E,$A21,movements!$D:$D,"RECEIPT",movements!$C:$C,"&lt;"&amp;AP$1+1)-SUMIFS(movements!$H:$H,movements!$E:$E,$A21,movements!$D:$D,"ISSUE",movements!$C:$C,"&lt;"&amp;AP$1+1)</f>
        <v>105</v>
      </c>
      <c r="AQ21">
        <f>SUMIFS(movements!$H:$H,movements!$E:$E,$A21,movements!$D:$D,"OPENING",movements!$C:$C,"&lt;"&amp;AQ$1+1)+SUMIFS(movements!$H:$H,movements!$E:$E,$A21,movements!$D:$D,"RECEIPT",movements!$C:$C,"&lt;"&amp;AQ$1+1)-SUMIFS(movements!$H:$H,movements!$E:$E,$A21,movements!$D:$D,"ISSUE",movements!$C:$C,"&lt;"&amp;AQ$1+1)</f>
        <v>92</v>
      </c>
      <c r="AR21">
        <f>SUMIFS(movements!$H:$H,movements!$E:$E,$A21,movements!$D:$D,"OPENING",movements!$C:$C,"&lt;"&amp;AR$1+1)+SUMIFS(movements!$H:$H,movements!$E:$E,$A21,movements!$D:$D,"RECEIPT",movements!$C:$C,"&lt;"&amp;AR$1+1)-SUMIFS(movements!$H:$H,movements!$E:$E,$A21,movements!$D:$D,"ISSUE",movements!$C:$C,"&lt;"&amp;AR$1+1)</f>
        <v>184</v>
      </c>
      <c r="AS21">
        <f>SUMIFS(movements!$H:$H,movements!$E:$E,$A21,movements!$D:$D,"OPENING",movements!$C:$C,"&lt;"&amp;AS$1+1)+SUMIFS(movements!$H:$H,movements!$E:$E,$A21,movements!$D:$D,"RECEIPT",movements!$C:$C,"&lt;"&amp;AS$1+1)-SUMIFS(movements!$H:$H,movements!$E:$E,$A21,movements!$D:$D,"ISSUE",movements!$C:$C,"&lt;"&amp;AS$1+1)</f>
        <v>184</v>
      </c>
      <c r="AT21">
        <f>SUMIFS(movements!$H:$H,movements!$E:$E,$A21,movements!$D:$D,"OPENING",movements!$C:$C,"&lt;"&amp;AT$1+1)+SUMIFS(movements!$H:$H,movements!$E:$E,$A21,movements!$D:$D,"RECEIPT",movements!$C:$C,"&lt;"&amp;AT$1+1)-SUMIFS(movements!$H:$H,movements!$E:$E,$A21,movements!$D:$D,"ISSUE",movements!$C:$C,"&lt;"&amp;AT$1+1)</f>
        <v>184</v>
      </c>
      <c r="AU21">
        <f>SUMIFS(movements!$H:$H,movements!$E:$E,$A21,movements!$D:$D,"OPENING",movements!$C:$C,"&lt;"&amp;AU$1+1)+SUMIFS(movements!$H:$H,movements!$E:$E,$A21,movements!$D:$D,"RECEIPT",movements!$C:$C,"&lt;"&amp;AU$1+1)-SUMIFS(movements!$H:$H,movements!$E:$E,$A21,movements!$D:$D,"ISSUE",movements!$C:$C,"&lt;"&amp;AU$1+1)</f>
        <v>183</v>
      </c>
      <c r="AV21">
        <f>SUMIFS(movements!$H:$H,movements!$E:$E,$A21,movements!$D:$D,"OPENING",movements!$C:$C,"&lt;"&amp;AV$1+1)+SUMIFS(movements!$H:$H,movements!$E:$E,$A21,movements!$D:$D,"RECEIPT",movements!$C:$C,"&lt;"&amp;AV$1+1)-SUMIFS(movements!$H:$H,movements!$E:$E,$A21,movements!$D:$D,"ISSUE",movements!$C:$C,"&lt;"&amp;AV$1+1)</f>
        <v>165</v>
      </c>
      <c r="AW21">
        <f>SUMIFS(movements!$H:$H,movements!$E:$E,$A21,movements!$D:$D,"OPENING",movements!$C:$C,"&lt;"&amp;AW$1+1)+SUMIFS(movements!$H:$H,movements!$E:$E,$A21,movements!$D:$D,"RECEIPT",movements!$C:$C,"&lt;"&amp;AW$1+1)-SUMIFS(movements!$H:$H,movements!$E:$E,$A21,movements!$D:$D,"ISSUE",movements!$C:$C,"&lt;"&amp;AW$1+1)</f>
        <v>159</v>
      </c>
      <c r="AX21">
        <f>SUMIFS(movements!$H:$H,movements!$E:$E,$A21,movements!$D:$D,"OPENING",movements!$C:$C,"&lt;"&amp;AX$1+1)+SUMIFS(movements!$H:$H,movements!$E:$E,$A21,movements!$D:$D,"RECEIPT",movements!$C:$C,"&lt;"&amp;AX$1+1)-SUMIFS(movements!$H:$H,movements!$E:$E,$A21,movements!$D:$D,"ISSUE",movements!$C:$C,"&lt;"&amp;AX$1+1)</f>
        <v>153</v>
      </c>
      <c r="AY21">
        <f>SUMIFS(movements!$H:$H,movements!$E:$E,$A21,movements!$D:$D,"OPENING",movements!$C:$C,"&lt;"&amp;AY$1+1)+SUMIFS(movements!$H:$H,movements!$E:$E,$A21,movements!$D:$D,"RECEIPT",movements!$C:$C,"&lt;"&amp;AY$1+1)-SUMIFS(movements!$H:$H,movements!$E:$E,$A21,movements!$D:$D,"ISSUE",movements!$C:$C,"&lt;"&amp;AY$1+1)</f>
        <v>152</v>
      </c>
      <c r="AZ21">
        <f>SUMIFS(movements!$H:$H,movements!$E:$E,$A21,movements!$D:$D,"OPENING",movements!$C:$C,"&lt;"&amp;AZ$1+1)+SUMIFS(movements!$H:$H,movements!$E:$E,$A21,movements!$D:$D,"RECEIPT",movements!$C:$C,"&lt;"&amp;AZ$1+1)-SUMIFS(movements!$H:$H,movements!$E:$E,$A21,movements!$D:$D,"ISSUE",movements!$C:$C,"&lt;"&amp;AZ$1+1)</f>
        <v>144</v>
      </c>
      <c r="BA21">
        <f>SUMIFS(movements!$H:$H,movements!$E:$E,$A21,movements!$D:$D,"OPENING",movements!$C:$C,"&lt;"&amp;BA$1+1)+SUMIFS(movements!$H:$H,movements!$E:$E,$A21,movements!$D:$D,"RECEIPT",movements!$C:$C,"&lt;"&amp;BA$1+1)-SUMIFS(movements!$H:$H,movements!$E:$E,$A21,movements!$D:$D,"ISSUE",movements!$C:$C,"&lt;"&amp;BA$1+1)</f>
        <v>136</v>
      </c>
      <c r="BB21">
        <f>SUMIFS(movements!$H:$H,movements!$E:$E,$A21,movements!$D:$D,"OPENING",movements!$C:$C,"&lt;"&amp;BB$1+1)+SUMIFS(movements!$H:$H,movements!$E:$E,$A21,movements!$D:$D,"RECEIPT",movements!$C:$C,"&lt;"&amp;BB$1+1)-SUMIFS(movements!$H:$H,movements!$E:$E,$A21,movements!$D:$D,"ISSUE",movements!$C:$C,"&lt;"&amp;BB$1+1)</f>
        <v>132</v>
      </c>
      <c r="BC21">
        <f>SUMIFS(movements!$H:$H,movements!$E:$E,$A21,movements!$D:$D,"OPENING",movements!$C:$C,"&lt;"&amp;BC$1+1)+SUMIFS(movements!$H:$H,movements!$E:$E,$A21,movements!$D:$D,"RECEIPT",movements!$C:$C,"&lt;"&amp;BC$1+1)-SUMIFS(movements!$H:$H,movements!$E:$E,$A21,movements!$D:$D,"ISSUE",movements!$C:$C,"&lt;"&amp;BC$1+1)</f>
        <v>124</v>
      </c>
      <c r="BD21">
        <f>SUMIFS(movements!$H:$H,movements!$E:$E,$A21,movements!$D:$D,"OPENING",movements!$C:$C,"&lt;"&amp;BD$1+1)+SUMIFS(movements!$H:$H,movements!$E:$E,$A21,movements!$D:$D,"RECEIPT",movements!$C:$C,"&lt;"&amp;BD$1+1)-SUMIFS(movements!$H:$H,movements!$E:$E,$A21,movements!$D:$D,"ISSUE",movements!$C:$C,"&lt;"&amp;BD$1+1)</f>
        <v>119</v>
      </c>
      <c r="BE21">
        <f>SUMIFS(movements!$H:$H,movements!$E:$E,$A21,movements!$D:$D,"OPENING",movements!$C:$C,"&lt;"&amp;BE$1+1)+SUMIFS(movements!$H:$H,movements!$E:$E,$A21,movements!$D:$D,"RECEIPT",movements!$C:$C,"&lt;"&amp;BE$1+1)-SUMIFS(movements!$H:$H,movements!$E:$E,$A21,movements!$D:$D,"ISSUE",movements!$C:$C,"&lt;"&amp;BE$1+1)</f>
        <v>112</v>
      </c>
      <c r="BF21">
        <f>SUMIFS(movements!$H:$H,movements!$E:$E,$A21,movements!$D:$D,"OPENING",movements!$C:$C,"&lt;"&amp;BF$1+1)+SUMIFS(movements!$H:$H,movements!$E:$E,$A21,movements!$D:$D,"RECEIPT",movements!$C:$C,"&lt;"&amp;BF$1+1)-SUMIFS(movements!$H:$H,movements!$E:$E,$A21,movements!$D:$D,"ISSUE",movements!$C:$C,"&lt;"&amp;BF$1+1)</f>
        <v>106</v>
      </c>
      <c r="BG21">
        <f>SUMIFS(movements!$H:$H,movements!$E:$E,$A21,movements!$D:$D,"OPENING",movements!$C:$C,"&lt;"&amp;BG$1+1)+SUMIFS(movements!$H:$H,movements!$E:$E,$A21,movements!$D:$D,"RECEIPT",movements!$C:$C,"&lt;"&amp;BG$1+1)-SUMIFS(movements!$H:$H,movements!$E:$E,$A21,movements!$D:$D,"ISSUE",movements!$C:$C,"&lt;"&amp;BG$1+1)</f>
        <v>106</v>
      </c>
      <c r="BH21">
        <f>SUMIFS(movements!$H:$H,movements!$E:$E,$A21,movements!$D:$D,"OPENING",movements!$C:$C,"&lt;"&amp;BH$1+1)+SUMIFS(movements!$H:$H,movements!$E:$E,$A21,movements!$D:$D,"RECEIPT",movements!$C:$C,"&lt;"&amp;BH$1+1)-SUMIFS(movements!$H:$H,movements!$E:$E,$A21,movements!$D:$D,"ISSUE",movements!$C:$C,"&lt;"&amp;BH$1+1)</f>
        <v>102</v>
      </c>
      <c r="BI21">
        <f>SUMIFS(movements!$H:$H,movements!$E:$E,$A21,movements!$D:$D,"OPENING",movements!$C:$C,"&lt;"&amp;BI$1+1)+SUMIFS(movements!$H:$H,movements!$E:$E,$A21,movements!$D:$D,"RECEIPT",movements!$C:$C,"&lt;"&amp;BI$1+1)-SUMIFS(movements!$H:$H,movements!$E:$E,$A21,movements!$D:$D,"ISSUE",movements!$C:$C,"&lt;"&amp;BI$1+1)</f>
        <v>102</v>
      </c>
      <c r="BJ21">
        <f>SUMIFS(movements!$H:$H,movements!$E:$E,$A21,movements!$D:$D,"OPENING",movements!$C:$C,"&lt;"&amp;BJ$1+1)+SUMIFS(movements!$H:$H,movements!$E:$E,$A21,movements!$D:$D,"RECEIPT",movements!$C:$C,"&lt;"&amp;BJ$1+1)-SUMIFS(movements!$H:$H,movements!$E:$E,$A21,movements!$D:$D,"ISSUE",movements!$C:$C,"&lt;"&amp;BJ$1+1)</f>
        <v>99</v>
      </c>
      <c r="BK21">
        <f>SUMIFS(movements!$H:$H,movements!$E:$E,$A21,movements!$D:$D,"OPENING",movements!$C:$C,"&lt;"&amp;BK$1+1)+SUMIFS(movements!$H:$H,movements!$E:$E,$A21,movements!$D:$D,"RECEIPT",movements!$C:$C,"&lt;"&amp;BK$1+1)-SUMIFS(movements!$H:$H,movements!$E:$E,$A21,movements!$D:$D,"ISSUE",movements!$C:$C,"&lt;"&amp;BK$1+1)</f>
        <v>92</v>
      </c>
      <c r="BL21">
        <f>SUMIFS(movements!$H:$H,movements!$E:$E,$A21,movements!$D:$D,"OPENING",movements!$C:$C,"&lt;"&amp;BL$1+1)+SUMIFS(movements!$H:$H,movements!$E:$E,$A21,movements!$D:$D,"RECEIPT",movements!$C:$C,"&lt;"&amp;BL$1+1)-SUMIFS(movements!$H:$H,movements!$E:$E,$A21,movements!$D:$D,"ISSUE",movements!$C:$C,"&lt;"&amp;BL$1+1)</f>
        <v>92</v>
      </c>
      <c r="BM21">
        <f>SUMIFS(movements!$H:$H,movements!$E:$E,$A21,movements!$D:$D,"OPENING",movements!$C:$C,"&lt;"&amp;BM$1+1)+SUMIFS(movements!$H:$H,movements!$E:$E,$A21,movements!$D:$D,"RECEIPT",movements!$C:$C,"&lt;"&amp;BM$1+1)-SUMIFS(movements!$H:$H,movements!$E:$E,$A21,movements!$D:$D,"ISSUE",movements!$C:$C,"&lt;"&amp;BM$1+1)</f>
        <v>179</v>
      </c>
      <c r="BN21">
        <f>SUMIFS(movements!$H:$H,movements!$E:$E,$A21,movements!$D:$D,"OPENING",movements!$C:$C,"&lt;"&amp;BN$1+1)+SUMIFS(movements!$H:$H,movements!$E:$E,$A21,movements!$D:$D,"RECEIPT",movements!$C:$C,"&lt;"&amp;BN$1+1)-SUMIFS(movements!$H:$H,movements!$E:$E,$A21,movements!$D:$D,"ISSUE",movements!$C:$C,"&lt;"&amp;BN$1+1)</f>
        <v>175</v>
      </c>
      <c r="BO21">
        <f>SUMIFS(movements!$H:$H,movements!$E:$E,$A21,movements!$D:$D,"OPENING",movements!$C:$C,"&lt;"&amp;BO$1+1)+SUMIFS(movements!$H:$H,movements!$E:$E,$A21,movements!$D:$D,"RECEIPT",movements!$C:$C,"&lt;"&amp;BO$1+1)-SUMIFS(movements!$H:$H,movements!$E:$E,$A21,movements!$D:$D,"ISSUE",movements!$C:$C,"&lt;"&amp;BO$1+1)</f>
        <v>171</v>
      </c>
      <c r="BP21">
        <f>SUMIFS(movements!$H:$H,movements!$E:$E,$A21,movements!$D:$D,"OPENING",movements!$C:$C,"&lt;"&amp;BP$1+1)+SUMIFS(movements!$H:$H,movements!$E:$E,$A21,movements!$D:$D,"RECEIPT",movements!$C:$C,"&lt;"&amp;BP$1+1)-SUMIFS(movements!$H:$H,movements!$E:$E,$A21,movements!$D:$D,"ISSUE",movements!$C:$C,"&lt;"&amp;BP$1+1)</f>
        <v>171</v>
      </c>
      <c r="BQ21">
        <f>SUMIFS(movements!$H:$H,movements!$E:$E,$A21,movements!$D:$D,"OPENING",movements!$C:$C,"&lt;"&amp;BQ$1+1)+SUMIFS(movements!$H:$H,movements!$E:$E,$A21,movements!$D:$D,"RECEIPT",movements!$C:$C,"&lt;"&amp;BQ$1+1)-SUMIFS(movements!$H:$H,movements!$E:$E,$A21,movements!$D:$D,"ISSUE",movements!$C:$C,"&lt;"&amp;BQ$1+1)</f>
        <v>171</v>
      </c>
      <c r="BR21">
        <f>SUMIFS(movements!$H:$H,movements!$E:$E,$A21,movements!$D:$D,"OPENING",movements!$C:$C,"&lt;"&amp;BR$1+1)+SUMIFS(movements!$H:$H,movements!$E:$E,$A21,movements!$D:$D,"RECEIPT",movements!$C:$C,"&lt;"&amp;BR$1+1)-SUMIFS(movements!$H:$H,movements!$E:$E,$A21,movements!$D:$D,"ISSUE",movements!$C:$C,"&lt;"&amp;BR$1+1)</f>
        <v>171</v>
      </c>
      <c r="BS21">
        <f>SUMIFS(movements!$H:$H,movements!$E:$E,$A21,movements!$D:$D,"OPENING",movements!$C:$C,"&lt;"&amp;BS$1+1)+SUMIFS(movements!$H:$H,movements!$E:$E,$A21,movements!$D:$D,"RECEIPT",movements!$C:$C,"&lt;"&amp;BS$1+1)-SUMIFS(movements!$H:$H,movements!$E:$E,$A21,movements!$D:$D,"ISSUE",movements!$C:$C,"&lt;"&amp;BS$1+1)</f>
        <v>171</v>
      </c>
      <c r="BT21">
        <f>SUMIFS(movements!$H:$H,movements!$E:$E,$A21,movements!$D:$D,"OPENING",movements!$C:$C,"&lt;"&amp;BT$1+1)+SUMIFS(movements!$H:$H,movements!$E:$E,$A21,movements!$D:$D,"RECEIPT",movements!$C:$C,"&lt;"&amp;BT$1+1)-SUMIFS(movements!$H:$H,movements!$E:$E,$A21,movements!$D:$D,"ISSUE",movements!$C:$C,"&lt;"&amp;BT$1+1)</f>
        <v>169</v>
      </c>
      <c r="BU21">
        <f>SUMIFS(movements!$H:$H,movements!$E:$E,$A21,movements!$D:$D,"OPENING",movements!$C:$C,"&lt;"&amp;BU$1+1)+SUMIFS(movements!$H:$H,movements!$E:$E,$A21,movements!$D:$D,"RECEIPT",movements!$C:$C,"&lt;"&amp;BU$1+1)-SUMIFS(movements!$H:$H,movements!$E:$E,$A21,movements!$D:$D,"ISSUE",movements!$C:$C,"&lt;"&amp;BU$1+1)</f>
        <v>166</v>
      </c>
      <c r="BV21">
        <f>SUMIFS(movements!$H:$H,movements!$E:$E,$A21,movements!$D:$D,"OPENING",movements!$C:$C,"&lt;"&amp;BV$1+1)+SUMIFS(movements!$H:$H,movements!$E:$E,$A21,movements!$D:$D,"RECEIPT",movements!$C:$C,"&lt;"&amp;BV$1+1)-SUMIFS(movements!$H:$H,movements!$E:$E,$A21,movements!$D:$D,"ISSUE",movements!$C:$C,"&lt;"&amp;BV$1+1)</f>
        <v>166</v>
      </c>
      <c r="BW21">
        <f>SUMIFS(movements!$H:$H,movements!$E:$E,$A21,movements!$D:$D,"OPENING",movements!$C:$C,"&lt;"&amp;BW$1+1)+SUMIFS(movements!$H:$H,movements!$E:$E,$A21,movements!$D:$D,"RECEIPT",movements!$C:$C,"&lt;"&amp;BW$1+1)-SUMIFS(movements!$H:$H,movements!$E:$E,$A21,movements!$D:$D,"ISSUE",movements!$C:$C,"&lt;"&amp;BW$1+1)</f>
        <v>166</v>
      </c>
      <c r="BX21">
        <f>SUMIFS(movements!$H:$H,movements!$E:$E,$A21,movements!$D:$D,"OPENING",movements!$C:$C,"&lt;"&amp;BX$1+1)+SUMIFS(movements!$H:$H,movements!$E:$E,$A21,movements!$D:$D,"RECEIPT",movements!$C:$C,"&lt;"&amp;BX$1+1)-SUMIFS(movements!$H:$H,movements!$E:$E,$A21,movements!$D:$D,"ISSUE",movements!$C:$C,"&lt;"&amp;BX$1+1)</f>
        <v>162</v>
      </c>
      <c r="BY21">
        <f>SUMIFS(movements!$H:$H,movements!$E:$E,$A21,movements!$D:$D,"OPENING",movements!$C:$C,"&lt;"&amp;BY$1+1)+SUMIFS(movements!$H:$H,movements!$E:$E,$A21,movements!$D:$D,"RECEIPT",movements!$C:$C,"&lt;"&amp;BY$1+1)-SUMIFS(movements!$H:$H,movements!$E:$E,$A21,movements!$D:$D,"ISSUE",movements!$C:$C,"&lt;"&amp;BY$1+1)</f>
        <v>160</v>
      </c>
      <c r="BZ21">
        <f>SUMIFS(movements!$H:$H,movements!$E:$E,$A21,movements!$D:$D,"OPENING",movements!$C:$C,"&lt;"&amp;BZ$1+1)+SUMIFS(movements!$H:$H,movements!$E:$E,$A21,movements!$D:$D,"RECEIPT",movements!$C:$C,"&lt;"&amp;BZ$1+1)-SUMIFS(movements!$H:$H,movements!$E:$E,$A21,movements!$D:$D,"ISSUE",movements!$C:$C,"&lt;"&amp;BZ$1+1)</f>
        <v>154</v>
      </c>
      <c r="CA21">
        <f>SUMIFS(movements!$H:$H,movements!$E:$E,$A21,movements!$D:$D,"OPENING",movements!$C:$C,"&lt;"&amp;CA$1+1)+SUMIFS(movements!$H:$H,movements!$E:$E,$A21,movements!$D:$D,"RECEIPT",movements!$C:$C,"&lt;"&amp;CA$1+1)-SUMIFS(movements!$H:$H,movements!$E:$E,$A21,movements!$D:$D,"ISSUE",movements!$C:$C,"&lt;"&amp;CA$1+1)</f>
        <v>154</v>
      </c>
      <c r="CB21">
        <f>SUMIFS(movements!$H:$H,movements!$E:$E,$A21,movements!$D:$D,"OPENING",movements!$C:$C,"&lt;"&amp;CB$1+1)+SUMIFS(movements!$H:$H,movements!$E:$E,$A21,movements!$D:$D,"RECEIPT",movements!$C:$C,"&lt;"&amp;CB$1+1)-SUMIFS(movements!$H:$H,movements!$E:$E,$A21,movements!$D:$D,"ISSUE",movements!$C:$C,"&lt;"&amp;CB$1+1)</f>
        <v>149</v>
      </c>
      <c r="CC21">
        <f>SUMIFS(movements!$H:$H,movements!$E:$E,$A21,movements!$D:$D,"OPENING",movements!$C:$C,"&lt;"&amp;CC$1+1)+SUMIFS(movements!$H:$H,movements!$E:$E,$A21,movements!$D:$D,"RECEIPT",movements!$C:$C,"&lt;"&amp;CC$1+1)-SUMIFS(movements!$H:$H,movements!$E:$E,$A21,movements!$D:$D,"ISSUE",movements!$C:$C,"&lt;"&amp;CC$1+1)</f>
        <v>143</v>
      </c>
      <c r="CD21">
        <f>SUMIFS(movements!$H:$H,movements!$E:$E,$A21,movements!$D:$D,"OPENING",movements!$C:$C,"&lt;"&amp;CD$1+1)+SUMIFS(movements!$H:$H,movements!$E:$E,$A21,movements!$D:$D,"RECEIPT",movements!$C:$C,"&lt;"&amp;CD$1+1)-SUMIFS(movements!$H:$H,movements!$E:$E,$A21,movements!$D:$D,"ISSUE",movements!$C:$C,"&lt;"&amp;CD$1+1)</f>
        <v>132</v>
      </c>
      <c r="CE21">
        <f>SUMIFS(movements!$H:$H,movements!$E:$E,$A21,movements!$D:$D,"OPENING",movements!$C:$C,"&lt;"&amp;CE$1+1)+SUMIFS(movements!$H:$H,movements!$E:$E,$A21,movements!$D:$D,"RECEIPT",movements!$C:$C,"&lt;"&amp;CE$1+1)-SUMIFS(movements!$H:$H,movements!$E:$E,$A21,movements!$D:$D,"ISSUE",movements!$C:$C,"&lt;"&amp;CE$1+1)</f>
        <v>121</v>
      </c>
      <c r="CF21">
        <f>SUMIFS(movements!$H:$H,movements!$E:$E,$A21,movements!$D:$D,"OPENING",movements!$C:$C,"&lt;"&amp;CF$1+1)+SUMIFS(movements!$H:$H,movements!$E:$E,$A21,movements!$D:$D,"RECEIPT",movements!$C:$C,"&lt;"&amp;CF$1+1)-SUMIFS(movements!$H:$H,movements!$E:$E,$A21,movements!$D:$D,"ISSUE",movements!$C:$C,"&lt;"&amp;CF$1+1)</f>
        <v>121</v>
      </c>
      <c r="CG21">
        <f>SUMIFS(movements!$H:$H,movements!$E:$E,$A21,movements!$D:$D,"OPENING",movements!$C:$C,"&lt;"&amp;CG$1+1)+SUMIFS(movements!$H:$H,movements!$E:$E,$A21,movements!$D:$D,"RECEIPT",movements!$C:$C,"&lt;"&amp;CG$1+1)-SUMIFS(movements!$H:$H,movements!$E:$E,$A21,movements!$D:$D,"ISSUE",movements!$C:$C,"&lt;"&amp;CG$1+1)</f>
        <v>114</v>
      </c>
      <c r="CH21">
        <f>SUMIFS(movements!$H:$H,movements!$E:$E,$A21,movements!$D:$D,"OPENING",movements!$C:$C,"&lt;"&amp;CH$1+1)+SUMIFS(movements!$H:$H,movements!$E:$E,$A21,movements!$D:$D,"RECEIPT",movements!$C:$C,"&lt;"&amp;CH$1+1)-SUMIFS(movements!$H:$H,movements!$E:$E,$A21,movements!$D:$D,"ISSUE",movements!$C:$C,"&lt;"&amp;CH$1+1)</f>
        <v>108</v>
      </c>
      <c r="CI21">
        <f>SUMIFS(movements!$H:$H,movements!$E:$E,$A21,movements!$D:$D,"OPENING",movements!$C:$C,"&lt;"&amp;CI$1+1)+SUMIFS(movements!$H:$H,movements!$E:$E,$A21,movements!$D:$D,"RECEIPT",movements!$C:$C,"&lt;"&amp;CI$1+1)-SUMIFS(movements!$H:$H,movements!$E:$E,$A21,movements!$D:$D,"ISSUE",movements!$C:$C,"&lt;"&amp;CI$1+1)</f>
        <v>105</v>
      </c>
      <c r="CJ21">
        <f>SUMIFS(movements!$H:$H,movements!$E:$E,$A21,movements!$D:$D,"OPENING",movements!$C:$C,"&lt;"&amp;CJ$1+1)+SUMIFS(movements!$H:$H,movements!$E:$E,$A21,movements!$D:$D,"RECEIPT",movements!$C:$C,"&lt;"&amp;CJ$1+1)-SUMIFS(movements!$H:$H,movements!$E:$E,$A21,movements!$D:$D,"ISSUE",movements!$C:$C,"&lt;"&amp;CJ$1+1)</f>
        <v>105</v>
      </c>
      <c r="CK21">
        <f>SUMIFS(movements!$H:$H,movements!$E:$E,$A21,movements!$D:$D,"OPENING",movements!$C:$C,"&lt;"&amp;CK$1+1)+SUMIFS(movements!$H:$H,movements!$E:$E,$A21,movements!$D:$D,"RECEIPT",movements!$C:$C,"&lt;"&amp;CK$1+1)-SUMIFS(movements!$H:$H,movements!$E:$E,$A21,movements!$D:$D,"ISSUE",movements!$C:$C,"&lt;"&amp;CK$1+1)</f>
        <v>98</v>
      </c>
      <c r="CL21">
        <f>SUMIFS(movements!$H:$H,movements!$E:$E,$A21,movements!$D:$D,"OPENING",movements!$C:$C,"&lt;"&amp;CL$1+1)+SUMIFS(movements!$H:$H,movements!$E:$E,$A21,movements!$D:$D,"RECEIPT",movements!$C:$C,"&lt;"&amp;CL$1+1)-SUMIFS(movements!$H:$H,movements!$E:$E,$A21,movements!$D:$D,"ISSUE",movements!$C:$C,"&lt;"&amp;CL$1+1)</f>
        <v>92</v>
      </c>
      <c r="CM21">
        <f>SUMIFS(movements!$H:$H,movements!$E:$E,$A21,movements!$D:$D,"OPENING",movements!$C:$C,"&lt;"&amp;CM$1+1)+SUMIFS(movements!$H:$H,movements!$E:$E,$A21,movements!$D:$D,"RECEIPT",movements!$C:$C,"&lt;"&amp;CM$1+1)-SUMIFS(movements!$H:$H,movements!$E:$E,$A21,movements!$D:$D,"ISSUE",movements!$C:$C,"&lt;"&amp;CM$1+1)</f>
        <v>89</v>
      </c>
      <c r="CN21">
        <f t="shared" si="2"/>
        <v>125.04444444444445</v>
      </c>
      <c r="CO21">
        <f>SUMIFS(movements!$H:$H,movements!$E:$E,$A21,movements!$D:$D,"ISSUE",movements!$C:$C,"&gt;="&amp;$B$1,movements!$C:$C,"&lt;"&amp;($CM$1+1))</f>
        <v>423</v>
      </c>
      <c r="CP21">
        <f t="shared" si="3"/>
        <v>3.3827972276523899</v>
      </c>
      <c r="CQ21">
        <f t="shared" si="4"/>
        <v>26.605200945626482</v>
      </c>
    </row>
    <row r="22" spans="1:95" x14ac:dyDescent="0.25">
      <c r="A22" t="s">
        <v>59</v>
      </c>
      <c r="B22">
        <f>SUMIFS(movements!$H:$H,movements!$E:$E,$A22,movements!$D:$D,"OPENING",movements!$C:$C,"&lt;"&amp;B$1+1)+SUMIFS(movements!$H:$H,movements!$E:$E,$A22,movements!$D:$D,"RECEIPT",movements!$C:$C,"&lt;"&amp;B$1+1)-SUMIFS(movements!$H:$H,movements!$E:$E,$A22,movements!$D:$D,"ISSUE",movements!$C:$C,"&lt;"&amp;B$1+1)</f>
        <v>80</v>
      </c>
      <c r="C22">
        <f>SUMIFS(movements!$H:$H,movements!$E:$E,$A22,movements!$D:$D,"OPENING",movements!$C:$C,"&lt;"&amp;C$1+1)+SUMIFS(movements!$H:$H,movements!$E:$E,$A22,movements!$D:$D,"RECEIPT",movements!$C:$C,"&lt;"&amp;C$1+1)-SUMIFS(movements!$H:$H,movements!$E:$E,$A22,movements!$D:$D,"ISSUE",movements!$C:$C,"&lt;"&amp;C$1+1)</f>
        <v>79</v>
      </c>
      <c r="D22">
        <f>SUMIFS(movements!$H:$H,movements!$E:$E,$A22,movements!$D:$D,"OPENING",movements!$C:$C,"&lt;"&amp;D$1+1)+SUMIFS(movements!$H:$H,movements!$E:$E,$A22,movements!$D:$D,"RECEIPT",movements!$C:$C,"&lt;"&amp;D$1+1)-SUMIFS(movements!$H:$H,movements!$E:$E,$A22,movements!$D:$D,"ISSUE",movements!$C:$C,"&lt;"&amp;D$1+1)</f>
        <v>67</v>
      </c>
      <c r="E22">
        <f>SUMIFS(movements!$H:$H,movements!$E:$E,$A22,movements!$D:$D,"OPENING",movements!$C:$C,"&lt;"&amp;E$1+1)+SUMIFS(movements!$H:$H,movements!$E:$E,$A22,movements!$D:$D,"RECEIPT",movements!$C:$C,"&lt;"&amp;E$1+1)-SUMIFS(movements!$H:$H,movements!$E:$E,$A22,movements!$D:$D,"ISSUE",movements!$C:$C,"&lt;"&amp;E$1+1)</f>
        <v>60</v>
      </c>
      <c r="F22">
        <f>SUMIFS(movements!$H:$H,movements!$E:$E,$A22,movements!$D:$D,"OPENING",movements!$C:$C,"&lt;"&amp;F$1+1)+SUMIFS(movements!$H:$H,movements!$E:$E,$A22,movements!$D:$D,"RECEIPT",movements!$C:$C,"&lt;"&amp;F$1+1)-SUMIFS(movements!$H:$H,movements!$E:$E,$A22,movements!$D:$D,"ISSUE",movements!$C:$C,"&lt;"&amp;F$1+1)</f>
        <v>60</v>
      </c>
      <c r="G22">
        <f>SUMIFS(movements!$H:$H,movements!$E:$E,$A22,movements!$D:$D,"OPENING",movements!$C:$C,"&lt;"&amp;G$1+1)+SUMIFS(movements!$H:$H,movements!$E:$E,$A22,movements!$D:$D,"RECEIPT",movements!$C:$C,"&lt;"&amp;G$1+1)-SUMIFS(movements!$H:$H,movements!$E:$E,$A22,movements!$D:$D,"ISSUE",movements!$C:$C,"&lt;"&amp;G$1+1)</f>
        <v>46</v>
      </c>
      <c r="H22">
        <f>SUMIFS(movements!$H:$H,movements!$E:$E,$A22,movements!$D:$D,"OPENING",movements!$C:$C,"&lt;"&amp;H$1+1)+SUMIFS(movements!$H:$H,movements!$E:$E,$A22,movements!$D:$D,"RECEIPT",movements!$C:$C,"&lt;"&amp;H$1+1)-SUMIFS(movements!$H:$H,movements!$E:$E,$A22,movements!$D:$D,"ISSUE",movements!$C:$C,"&lt;"&amp;H$1+1)</f>
        <v>42</v>
      </c>
      <c r="I22">
        <f>SUMIFS(movements!$H:$H,movements!$E:$E,$A22,movements!$D:$D,"OPENING",movements!$C:$C,"&lt;"&amp;I$1+1)+SUMIFS(movements!$H:$H,movements!$E:$E,$A22,movements!$D:$D,"RECEIPT",movements!$C:$C,"&lt;"&amp;I$1+1)-SUMIFS(movements!$H:$H,movements!$E:$E,$A22,movements!$D:$D,"ISSUE",movements!$C:$C,"&lt;"&amp;I$1+1)</f>
        <v>127</v>
      </c>
      <c r="J22">
        <f>SUMIFS(movements!$H:$H,movements!$E:$E,$A22,movements!$D:$D,"OPENING",movements!$C:$C,"&lt;"&amp;J$1+1)+SUMIFS(movements!$H:$H,movements!$E:$E,$A22,movements!$D:$D,"RECEIPT",movements!$C:$C,"&lt;"&amp;J$1+1)-SUMIFS(movements!$H:$H,movements!$E:$E,$A22,movements!$D:$D,"ISSUE",movements!$C:$C,"&lt;"&amp;J$1+1)</f>
        <v>122</v>
      </c>
      <c r="K22">
        <f>SUMIFS(movements!$H:$H,movements!$E:$E,$A22,movements!$D:$D,"OPENING",movements!$C:$C,"&lt;"&amp;K$1+1)+SUMIFS(movements!$H:$H,movements!$E:$E,$A22,movements!$D:$D,"RECEIPT",movements!$C:$C,"&lt;"&amp;K$1+1)-SUMIFS(movements!$H:$H,movements!$E:$E,$A22,movements!$D:$D,"ISSUE",movements!$C:$C,"&lt;"&amp;K$1+1)</f>
        <v>118</v>
      </c>
      <c r="L22">
        <f>SUMIFS(movements!$H:$H,movements!$E:$E,$A22,movements!$D:$D,"OPENING",movements!$C:$C,"&lt;"&amp;L$1+1)+SUMIFS(movements!$H:$H,movements!$E:$E,$A22,movements!$D:$D,"RECEIPT",movements!$C:$C,"&lt;"&amp;L$1+1)-SUMIFS(movements!$H:$H,movements!$E:$E,$A22,movements!$D:$D,"ISSUE",movements!$C:$C,"&lt;"&amp;L$1+1)</f>
        <v>111</v>
      </c>
      <c r="M22">
        <f>SUMIFS(movements!$H:$H,movements!$E:$E,$A22,movements!$D:$D,"OPENING",movements!$C:$C,"&lt;"&amp;M$1+1)+SUMIFS(movements!$H:$H,movements!$E:$E,$A22,movements!$D:$D,"RECEIPT",movements!$C:$C,"&lt;"&amp;M$1+1)-SUMIFS(movements!$H:$H,movements!$E:$E,$A22,movements!$D:$D,"ISSUE",movements!$C:$C,"&lt;"&amp;M$1+1)</f>
        <v>109</v>
      </c>
      <c r="N22">
        <f>SUMIFS(movements!$H:$H,movements!$E:$E,$A22,movements!$D:$D,"OPENING",movements!$C:$C,"&lt;"&amp;N$1+1)+SUMIFS(movements!$H:$H,movements!$E:$E,$A22,movements!$D:$D,"RECEIPT",movements!$C:$C,"&lt;"&amp;N$1+1)-SUMIFS(movements!$H:$H,movements!$E:$E,$A22,movements!$D:$D,"ISSUE",movements!$C:$C,"&lt;"&amp;N$1+1)</f>
        <v>99</v>
      </c>
      <c r="O22">
        <f>SUMIFS(movements!$H:$H,movements!$E:$E,$A22,movements!$D:$D,"OPENING",movements!$C:$C,"&lt;"&amp;O$1+1)+SUMIFS(movements!$H:$H,movements!$E:$E,$A22,movements!$D:$D,"RECEIPT",movements!$C:$C,"&lt;"&amp;O$1+1)-SUMIFS(movements!$H:$H,movements!$E:$E,$A22,movements!$D:$D,"ISSUE",movements!$C:$C,"&lt;"&amp;O$1+1)</f>
        <v>96</v>
      </c>
      <c r="P22">
        <f>SUMIFS(movements!$H:$H,movements!$E:$E,$A22,movements!$D:$D,"OPENING",movements!$C:$C,"&lt;"&amp;P$1+1)+SUMIFS(movements!$H:$H,movements!$E:$E,$A22,movements!$D:$D,"RECEIPT",movements!$C:$C,"&lt;"&amp;P$1+1)-SUMIFS(movements!$H:$H,movements!$E:$E,$A22,movements!$D:$D,"ISSUE",movements!$C:$C,"&lt;"&amp;P$1+1)</f>
        <v>155</v>
      </c>
      <c r="Q22">
        <f>SUMIFS(movements!$H:$H,movements!$E:$E,$A22,movements!$D:$D,"OPENING",movements!$C:$C,"&lt;"&amp;Q$1+1)+SUMIFS(movements!$H:$H,movements!$E:$E,$A22,movements!$D:$D,"RECEIPT",movements!$C:$C,"&lt;"&amp;Q$1+1)-SUMIFS(movements!$H:$H,movements!$E:$E,$A22,movements!$D:$D,"ISSUE",movements!$C:$C,"&lt;"&amp;Q$1+1)</f>
        <v>142</v>
      </c>
      <c r="R22">
        <f>SUMIFS(movements!$H:$H,movements!$E:$E,$A22,movements!$D:$D,"OPENING",movements!$C:$C,"&lt;"&amp;R$1+1)+SUMIFS(movements!$H:$H,movements!$E:$E,$A22,movements!$D:$D,"RECEIPT",movements!$C:$C,"&lt;"&amp;R$1+1)-SUMIFS(movements!$H:$H,movements!$E:$E,$A22,movements!$D:$D,"ISSUE",movements!$C:$C,"&lt;"&amp;R$1+1)</f>
        <v>139</v>
      </c>
      <c r="S22">
        <f>SUMIFS(movements!$H:$H,movements!$E:$E,$A22,movements!$D:$D,"OPENING",movements!$C:$C,"&lt;"&amp;S$1+1)+SUMIFS(movements!$H:$H,movements!$E:$E,$A22,movements!$D:$D,"RECEIPT",movements!$C:$C,"&lt;"&amp;S$1+1)-SUMIFS(movements!$H:$H,movements!$E:$E,$A22,movements!$D:$D,"ISSUE",movements!$C:$C,"&lt;"&amp;S$1+1)</f>
        <v>139</v>
      </c>
      <c r="T22">
        <f>SUMIFS(movements!$H:$H,movements!$E:$E,$A22,movements!$D:$D,"OPENING",movements!$C:$C,"&lt;"&amp;T$1+1)+SUMIFS(movements!$H:$H,movements!$E:$E,$A22,movements!$D:$D,"RECEIPT",movements!$C:$C,"&lt;"&amp;T$1+1)-SUMIFS(movements!$H:$H,movements!$E:$E,$A22,movements!$D:$D,"ISSUE",movements!$C:$C,"&lt;"&amp;T$1+1)</f>
        <v>132</v>
      </c>
      <c r="U22">
        <f>SUMIFS(movements!$H:$H,movements!$E:$E,$A22,movements!$D:$D,"OPENING",movements!$C:$C,"&lt;"&amp;U$1+1)+SUMIFS(movements!$H:$H,movements!$E:$E,$A22,movements!$D:$D,"RECEIPT",movements!$C:$C,"&lt;"&amp;U$1+1)-SUMIFS(movements!$H:$H,movements!$E:$E,$A22,movements!$D:$D,"ISSUE",movements!$C:$C,"&lt;"&amp;U$1+1)</f>
        <v>129</v>
      </c>
      <c r="V22">
        <f>SUMIFS(movements!$H:$H,movements!$E:$E,$A22,movements!$D:$D,"OPENING",movements!$C:$C,"&lt;"&amp;V$1+1)+SUMIFS(movements!$H:$H,movements!$E:$E,$A22,movements!$D:$D,"RECEIPT",movements!$C:$C,"&lt;"&amp;V$1+1)-SUMIFS(movements!$H:$H,movements!$E:$E,$A22,movements!$D:$D,"ISSUE",movements!$C:$C,"&lt;"&amp;V$1+1)</f>
        <v>123</v>
      </c>
      <c r="W22">
        <f>SUMIFS(movements!$H:$H,movements!$E:$E,$A22,movements!$D:$D,"OPENING",movements!$C:$C,"&lt;"&amp;W$1+1)+SUMIFS(movements!$H:$H,movements!$E:$E,$A22,movements!$D:$D,"RECEIPT",movements!$C:$C,"&lt;"&amp;W$1+1)-SUMIFS(movements!$H:$H,movements!$E:$E,$A22,movements!$D:$D,"ISSUE",movements!$C:$C,"&lt;"&amp;W$1+1)</f>
        <v>123</v>
      </c>
      <c r="X22">
        <f>SUMIFS(movements!$H:$H,movements!$E:$E,$A22,movements!$D:$D,"OPENING",movements!$C:$C,"&lt;"&amp;X$1+1)+SUMIFS(movements!$H:$H,movements!$E:$E,$A22,movements!$D:$D,"RECEIPT",movements!$C:$C,"&lt;"&amp;X$1+1)-SUMIFS(movements!$H:$H,movements!$E:$E,$A22,movements!$D:$D,"ISSUE",movements!$C:$C,"&lt;"&amp;X$1+1)</f>
        <v>106</v>
      </c>
      <c r="Y22">
        <f>SUMIFS(movements!$H:$H,movements!$E:$E,$A22,movements!$D:$D,"OPENING",movements!$C:$C,"&lt;"&amp;Y$1+1)+SUMIFS(movements!$H:$H,movements!$E:$E,$A22,movements!$D:$D,"RECEIPT",movements!$C:$C,"&lt;"&amp;Y$1+1)-SUMIFS(movements!$H:$H,movements!$E:$E,$A22,movements!$D:$D,"ISSUE",movements!$C:$C,"&lt;"&amp;Y$1+1)</f>
        <v>105</v>
      </c>
      <c r="Z22">
        <f>SUMIFS(movements!$H:$H,movements!$E:$E,$A22,movements!$D:$D,"OPENING",movements!$C:$C,"&lt;"&amp;Z$1+1)+SUMIFS(movements!$H:$H,movements!$E:$E,$A22,movements!$D:$D,"RECEIPT",movements!$C:$C,"&lt;"&amp;Z$1+1)-SUMIFS(movements!$H:$H,movements!$E:$E,$A22,movements!$D:$D,"ISSUE",movements!$C:$C,"&lt;"&amp;Z$1+1)</f>
        <v>93</v>
      </c>
      <c r="AA22">
        <f>SUMIFS(movements!$H:$H,movements!$E:$E,$A22,movements!$D:$D,"OPENING",movements!$C:$C,"&lt;"&amp;AA$1+1)+SUMIFS(movements!$H:$H,movements!$E:$E,$A22,movements!$D:$D,"RECEIPT",movements!$C:$C,"&lt;"&amp;AA$1+1)-SUMIFS(movements!$H:$H,movements!$E:$E,$A22,movements!$D:$D,"ISSUE",movements!$C:$C,"&lt;"&amp;AA$1+1)</f>
        <v>93</v>
      </c>
      <c r="AB22">
        <f>SUMIFS(movements!$H:$H,movements!$E:$E,$A22,movements!$D:$D,"OPENING",movements!$C:$C,"&lt;"&amp;AB$1+1)+SUMIFS(movements!$H:$H,movements!$E:$E,$A22,movements!$D:$D,"RECEIPT",movements!$C:$C,"&lt;"&amp;AB$1+1)-SUMIFS(movements!$H:$H,movements!$E:$E,$A22,movements!$D:$D,"ISSUE",movements!$C:$C,"&lt;"&amp;AB$1+1)</f>
        <v>82</v>
      </c>
      <c r="AC22">
        <f>SUMIFS(movements!$H:$H,movements!$E:$E,$A22,movements!$D:$D,"OPENING",movements!$C:$C,"&lt;"&amp;AC$1+1)+SUMIFS(movements!$H:$H,movements!$E:$E,$A22,movements!$D:$D,"RECEIPT",movements!$C:$C,"&lt;"&amp;AC$1+1)-SUMIFS(movements!$H:$H,movements!$E:$E,$A22,movements!$D:$D,"ISSUE",movements!$C:$C,"&lt;"&amp;AC$1+1)</f>
        <v>79</v>
      </c>
      <c r="AD22">
        <f>SUMIFS(movements!$H:$H,movements!$E:$E,$A22,movements!$D:$D,"OPENING",movements!$C:$C,"&lt;"&amp;AD$1+1)+SUMIFS(movements!$H:$H,movements!$E:$E,$A22,movements!$D:$D,"RECEIPT",movements!$C:$C,"&lt;"&amp;AD$1+1)-SUMIFS(movements!$H:$H,movements!$E:$E,$A22,movements!$D:$D,"ISSUE",movements!$C:$C,"&lt;"&amp;AD$1+1)</f>
        <v>166</v>
      </c>
      <c r="AE22">
        <f>SUMIFS(movements!$H:$H,movements!$E:$E,$A22,movements!$D:$D,"OPENING",movements!$C:$C,"&lt;"&amp;AE$1+1)+SUMIFS(movements!$H:$H,movements!$E:$E,$A22,movements!$D:$D,"RECEIPT",movements!$C:$C,"&lt;"&amp;AE$1+1)-SUMIFS(movements!$H:$H,movements!$E:$E,$A22,movements!$D:$D,"ISSUE",movements!$C:$C,"&lt;"&amp;AE$1+1)</f>
        <v>165</v>
      </c>
      <c r="AF22">
        <f>SUMIFS(movements!$H:$H,movements!$E:$E,$A22,movements!$D:$D,"OPENING",movements!$C:$C,"&lt;"&amp;AF$1+1)+SUMIFS(movements!$H:$H,movements!$E:$E,$A22,movements!$D:$D,"RECEIPT",movements!$C:$C,"&lt;"&amp;AF$1+1)-SUMIFS(movements!$H:$H,movements!$E:$E,$A22,movements!$D:$D,"ISSUE",movements!$C:$C,"&lt;"&amp;AF$1+1)</f>
        <v>162</v>
      </c>
      <c r="AG22">
        <f>SUMIFS(movements!$H:$H,movements!$E:$E,$A22,movements!$D:$D,"OPENING",movements!$C:$C,"&lt;"&amp;AG$1+1)+SUMIFS(movements!$H:$H,movements!$E:$E,$A22,movements!$D:$D,"RECEIPT",movements!$C:$C,"&lt;"&amp;AG$1+1)-SUMIFS(movements!$H:$H,movements!$E:$E,$A22,movements!$D:$D,"ISSUE",movements!$C:$C,"&lt;"&amp;AG$1+1)</f>
        <v>160</v>
      </c>
      <c r="AH22">
        <f>SUMIFS(movements!$H:$H,movements!$E:$E,$A22,movements!$D:$D,"OPENING",movements!$C:$C,"&lt;"&amp;AH$1+1)+SUMIFS(movements!$H:$H,movements!$E:$E,$A22,movements!$D:$D,"RECEIPT",movements!$C:$C,"&lt;"&amp;AH$1+1)-SUMIFS(movements!$H:$H,movements!$E:$E,$A22,movements!$D:$D,"ISSUE",movements!$C:$C,"&lt;"&amp;AH$1+1)</f>
        <v>160</v>
      </c>
      <c r="AI22">
        <f>SUMIFS(movements!$H:$H,movements!$E:$E,$A22,movements!$D:$D,"OPENING",movements!$C:$C,"&lt;"&amp;AI$1+1)+SUMIFS(movements!$H:$H,movements!$E:$E,$A22,movements!$D:$D,"RECEIPT",movements!$C:$C,"&lt;"&amp;AI$1+1)-SUMIFS(movements!$H:$H,movements!$E:$E,$A22,movements!$D:$D,"ISSUE",movements!$C:$C,"&lt;"&amp;AI$1+1)</f>
        <v>150</v>
      </c>
      <c r="AJ22">
        <f>SUMIFS(movements!$H:$H,movements!$E:$E,$A22,movements!$D:$D,"OPENING",movements!$C:$C,"&lt;"&amp;AJ$1+1)+SUMIFS(movements!$H:$H,movements!$E:$E,$A22,movements!$D:$D,"RECEIPT",movements!$C:$C,"&lt;"&amp;AJ$1+1)-SUMIFS(movements!$H:$H,movements!$E:$E,$A22,movements!$D:$D,"ISSUE",movements!$C:$C,"&lt;"&amp;AJ$1+1)</f>
        <v>147</v>
      </c>
      <c r="AK22">
        <f>SUMIFS(movements!$H:$H,movements!$E:$E,$A22,movements!$D:$D,"OPENING",movements!$C:$C,"&lt;"&amp;AK$1+1)+SUMIFS(movements!$H:$H,movements!$E:$E,$A22,movements!$D:$D,"RECEIPT",movements!$C:$C,"&lt;"&amp;AK$1+1)-SUMIFS(movements!$H:$H,movements!$E:$E,$A22,movements!$D:$D,"ISSUE",movements!$C:$C,"&lt;"&amp;AK$1+1)</f>
        <v>135</v>
      </c>
      <c r="AL22">
        <f>SUMIFS(movements!$H:$H,movements!$E:$E,$A22,movements!$D:$D,"OPENING",movements!$C:$C,"&lt;"&amp;AL$1+1)+SUMIFS(movements!$H:$H,movements!$E:$E,$A22,movements!$D:$D,"RECEIPT",movements!$C:$C,"&lt;"&amp;AL$1+1)-SUMIFS(movements!$H:$H,movements!$E:$E,$A22,movements!$D:$D,"ISSUE",movements!$C:$C,"&lt;"&amp;AL$1+1)</f>
        <v>126</v>
      </c>
      <c r="AM22">
        <f>SUMIFS(movements!$H:$H,movements!$E:$E,$A22,movements!$D:$D,"OPENING",movements!$C:$C,"&lt;"&amp;AM$1+1)+SUMIFS(movements!$H:$H,movements!$E:$E,$A22,movements!$D:$D,"RECEIPT",movements!$C:$C,"&lt;"&amp;AM$1+1)-SUMIFS(movements!$H:$H,movements!$E:$E,$A22,movements!$D:$D,"ISSUE",movements!$C:$C,"&lt;"&amp;AM$1+1)</f>
        <v>126</v>
      </c>
      <c r="AN22">
        <f>SUMIFS(movements!$H:$H,movements!$E:$E,$A22,movements!$D:$D,"OPENING",movements!$C:$C,"&lt;"&amp;AN$1+1)+SUMIFS(movements!$H:$H,movements!$E:$E,$A22,movements!$D:$D,"RECEIPT",movements!$C:$C,"&lt;"&amp;AN$1+1)-SUMIFS(movements!$H:$H,movements!$E:$E,$A22,movements!$D:$D,"ISSUE",movements!$C:$C,"&lt;"&amp;AN$1+1)</f>
        <v>122</v>
      </c>
      <c r="AO22">
        <f>SUMIFS(movements!$H:$H,movements!$E:$E,$A22,movements!$D:$D,"OPENING",movements!$C:$C,"&lt;"&amp;AO$1+1)+SUMIFS(movements!$H:$H,movements!$E:$E,$A22,movements!$D:$D,"RECEIPT",movements!$C:$C,"&lt;"&amp;AO$1+1)-SUMIFS(movements!$H:$H,movements!$E:$E,$A22,movements!$D:$D,"ISSUE",movements!$C:$C,"&lt;"&amp;AO$1+1)</f>
        <v>117</v>
      </c>
      <c r="AP22">
        <f>SUMIFS(movements!$H:$H,movements!$E:$E,$A22,movements!$D:$D,"OPENING",movements!$C:$C,"&lt;"&amp;AP$1+1)+SUMIFS(movements!$H:$H,movements!$E:$E,$A22,movements!$D:$D,"RECEIPT",movements!$C:$C,"&lt;"&amp;AP$1+1)-SUMIFS(movements!$H:$H,movements!$E:$E,$A22,movements!$D:$D,"ISSUE",movements!$C:$C,"&lt;"&amp;AP$1+1)</f>
        <v>112</v>
      </c>
      <c r="AQ22">
        <f>SUMIFS(movements!$H:$H,movements!$E:$E,$A22,movements!$D:$D,"OPENING",movements!$C:$C,"&lt;"&amp;AQ$1+1)+SUMIFS(movements!$H:$H,movements!$E:$E,$A22,movements!$D:$D,"RECEIPT",movements!$C:$C,"&lt;"&amp;AQ$1+1)-SUMIFS(movements!$H:$H,movements!$E:$E,$A22,movements!$D:$D,"ISSUE",movements!$C:$C,"&lt;"&amp;AQ$1+1)</f>
        <v>111</v>
      </c>
      <c r="AR22">
        <f>SUMIFS(movements!$H:$H,movements!$E:$E,$A22,movements!$D:$D,"OPENING",movements!$C:$C,"&lt;"&amp;AR$1+1)+SUMIFS(movements!$H:$H,movements!$E:$E,$A22,movements!$D:$D,"RECEIPT",movements!$C:$C,"&lt;"&amp;AR$1+1)-SUMIFS(movements!$H:$H,movements!$E:$E,$A22,movements!$D:$D,"ISSUE",movements!$C:$C,"&lt;"&amp;AR$1+1)</f>
        <v>103</v>
      </c>
      <c r="AS22">
        <f>SUMIFS(movements!$H:$H,movements!$E:$E,$A22,movements!$D:$D,"OPENING",movements!$C:$C,"&lt;"&amp;AS$1+1)+SUMIFS(movements!$H:$H,movements!$E:$E,$A22,movements!$D:$D,"RECEIPT",movements!$C:$C,"&lt;"&amp;AS$1+1)-SUMIFS(movements!$H:$H,movements!$E:$E,$A22,movements!$D:$D,"ISSUE",movements!$C:$C,"&lt;"&amp;AS$1+1)</f>
        <v>99</v>
      </c>
      <c r="AT22">
        <f>SUMIFS(movements!$H:$H,movements!$E:$E,$A22,movements!$D:$D,"OPENING",movements!$C:$C,"&lt;"&amp;AT$1+1)+SUMIFS(movements!$H:$H,movements!$E:$E,$A22,movements!$D:$D,"RECEIPT",movements!$C:$C,"&lt;"&amp;AT$1+1)-SUMIFS(movements!$H:$H,movements!$E:$E,$A22,movements!$D:$D,"ISSUE",movements!$C:$C,"&lt;"&amp;AT$1+1)</f>
        <v>92</v>
      </c>
      <c r="AU22">
        <f>SUMIFS(movements!$H:$H,movements!$E:$E,$A22,movements!$D:$D,"OPENING",movements!$C:$C,"&lt;"&amp;AU$1+1)+SUMIFS(movements!$H:$H,movements!$E:$E,$A22,movements!$D:$D,"RECEIPT",movements!$C:$C,"&lt;"&amp;AU$1+1)-SUMIFS(movements!$H:$H,movements!$E:$E,$A22,movements!$D:$D,"ISSUE",movements!$C:$C,"&lt;"&amp;AU$1+1)</f>
        <v>89</v>
      </c>
      <c r="AV22">
        <f>SUMIFS(movements!$H:$H,movements!$E:$E,$A22,movements!$D:$D,"OPENING",movements!$C:$C,"&lt;"&amp;AV$1+1)+SUMIFS(movements!$H:$H,movements!$E:$E,$A22,movements!$D:$D,"RECEIPT",movements!$C:$C,"&lt;"&amp;AV$1+1)-SUMIFS(movements!$H:$H,movements!$E:$E,$A22,movements!$D:$D,"ISSUE",movements!$C:$C,"&lt;"&amp;AV$1+1)</f>
        <v>89</v>
      </c>
      <c r="AW22">
        <f>SUMIFS(movements!$H:$H,movements!$E:$E,$A22,movements!$D:$D,"OPENING",movements!$C:$C,"&lt;"&amp;AW$1+1)+SUMIFS(movements!$H:$H,movements!$E:$E,$A22,movements!$D:$D,"RECEIPT",movements!$C:$C,"&lt;"&amp;AW$1+1)-SUMIFS(movements!$H:$H,movements!$E:$E,$A22,movements!$D:$D,"ISSUE",movements!$C:$C,"&lt;"&amp;AW$1+1)</f>
        <v>88</v>
      </c>
      <c r="AX22">
        <f>SUMIFS(movements!$H:$H,movements!$E:$E,$A22,movements!$D:$D,"OPENING",movements!$C:$C,"&lt;"&amp;AX$1+1)+SUMIFS(movements!$H:$H,movements!$E:$E,$A22,movements!$D:$D,"RECEIPT",movements!$C:$C,"&lt;"&amp;AX$1+1)-SUMIFS(movements!$H:$H,movements!$E:$E,$A22,movements!$D:$D,"ISSUE",movements!$C:$C,"&lt;"&amp;AX$1+1)</f>
        <v>79</v>
      </c>
      <c r="AY22">
        <f>SUMIFS(movements!$H:$H,movements!$E:$E,$A22,movements!$D:$D,"OPENING",movements!$C:$C,"&lt;"&amp;AY$1+1)+SUMIFS(movements!$H:$H,movements!$E:$E,$A22,movements!$D:$D,"RECEIPT",movements!$C:$C,"&lt;"&amp;AY$1+1)-SUMIFS(movements!$H:$H,movements!$E:$E,$A22,movements!$D:$D,"ISSUE",movements!$C:$C,"&lt;"&amp;AY$1+1)</f>
        <v>139</v>
      </c>
      <c r="AZ22">
        <f>SUMIFS(movements!$H:$H,movements!$E:$E,$A22,movements!$D:$D,"OPENING",movements!$C:$C,"&lt;"&amp;AZ$1+1)+SUMIFS(movements!$H:$H,movements!$E:$E,$A22,movements!$D:$D,"RECEIPT",movements!$C:$C,"&lt;"&amp;AZ$1+1)-SUMIFS(movements!$H:$H,movements!$E:$E,$A22,movements!$D:$D,"ISSUE",movements!$C:$C,"&lt;"&amp;AZ$1+1)</f>
        <v>134</v>
      </c>
      <c r="BA22">
        <f>SUMIFS(movements!$H:$H,movements!$E:$E,$A22,movements!$D:$D,"OPENING",movements!$C:$C,"&lt;"&amp;BA$1+1)+SUMIFS(movements!$H:$H,movements!$E:$E,$A22,movements!$D:$D,"RECEIPT",movements!$C:$C,"&lt;"&amp;BA$1+1)-SUMIFS(movements!$H:$H,movements!$E:$E,$A22,movements!$D:$D,"ISSUE",movements!$C:$C,"&lt;"&amp;BA$1+1)</f>
        <v>128</v>
      </c>
      <c r="BB22">
        <f>SUMIFS(movements!$H:$H,movements!$E:$E,$A22,movements!$D:$D,"OPENING",movements!$C:$C,"&lt;"&amp;BB$1+1)+SUMIFS(movements!$H:$H,movements!$E:$E,$A22,movements!$D:$D,"RECEIPT",movements!$C:$C,"&lt;"&amp;BB$1+1)-SUMIFS(movements!$H:$H,movements!$E:$E,$A22,movements!$D:$D,"ISSUE",movements!$C:$C,"&lt;"&amp;BB$1+1)</f>
        <v>124</v>
      </c>
      <c r="BC22">
        <f>SUMIFS(movements!$H:$H,movements!$E:$E,$A22,movements!$D:$D,"OPENING",movements!$C:$C,"&lt;"&amp;BC$1+1)+SUMIFS(movements!$H:$H,movements!$E:$E,$A22,movements!$D:$D,"RECEIPT",movements!$C:$C,"&lt;"&amp;BC$1+1)-SUMIFS(movements!$H:$H,movements!$E:$E,$A22,movements!$D:$D,"ISSUE",movements!$C:$C,"&lt;"&amp;BC$1+1)</f>
        <v>113</v>
      </c>
      <c r="BD22">
        <f>SUMIFS(movements!$H:$H,movements!$E:$E,$A22,movements!$D:$D,"OPENING",movements!$C:$C,"&lt;"&amp;BD$1+1)+SUMIFS(movements!$H:$H,movements!$E:$E,$A22,movements!$D:$D,"RECEIPT",movements!$C:$C,"&lt;"&amp;BD$1+1)-SUMIFS(movements!$H:$H,movements!$E:$E,$A22,movements!$D:$D,"ISSUE",movements!$C:$C,"&lt;"&amp;BD$1+1)</f>
        <v>108</v>
      </c>
      <c r="BE22">
        <f>SUMIFS(movements!$H:$H,movements!$E:$E,$A22,movements!$D:$D,"OPENING",movements!$C:$C,"&lt;"&amp;BE$1+1)+SUMIFS(movements!$H:$H,movements!$E:$E,$A22,movements!$D:$D,"RECEIPT",movements!$C:$C,"&lt;"&amp;BE$1+1)-SUMIFS(movements!$H:$H,movements!$E:$E,$A22,movements!$D:$D,"ISSUE",movements!$C:$C,"&lt;"&amp;BE$1+1)</f>
        <v>105</v>
      </c>
      <c r="BF22">
        <f>SUMIFS(movements!$H:$H,movements!$E:$E,$A22,movements!$D:$D,"OPENING",movements!$C:$C,"&lt;"&amp;BF$1+1)+SUMIFS(movements!$H:$H,movements!$E:$E,$A22,movements!$D:$D,"RECEIPT",movements!$C:$C,"&lt;"&amp;BF$1+1)-SUMIFS(movements!$H:$H,movements!$E:$E,$A22,movements!$D:$D,"ISSUE",movements!$C:$C,"&lt;"&amp;BF$1+1)</f>
        <v>196</v>
      </c>
      <c r="BG22">
        <f>SUMIFS(movements!$H:$H,movements!$E:$E,$A22,movements!$D:$D,"OPENING",movements!$C:$C,"&lt;"&amp;BG$1+1)+SUMIFS(movements!$H:$H,movements!$E:$E,$A22,movements!$D:$D,"RECEIPT",movements!$C:$C,"&lt;"&amp;BG$1+1)-SUMIFS(movements!$H:$H,movements!$E:$E,$A22,movements!$D:$D,"ISSUE",movements!$C:$C,"&lt;"&amp;BG$1+1)</f>
        <v>195</v>
      </c>
      <c r="BH22">
        <f>SUMIFS(movements!$H:$H,movements!$E:$E,$A22,movements!$D:$D,"OPENING",movements!$C:$C,"&lt;"&amp;BH$1+1)+SUMIFS(movements!$H:$H,movements!$E:$E,$A22,movements!$D:$D,"RECEIPT",movements!$C:$C,"&lt;"&amp;BH$1+1)-SUMIFS(movements!$H:$H,movements!$E:$E,$A22,movements!$D:$D,"ISSUE",movements!$C:$C,"&lt;"&amp;BH$1+1)</f>
        <v>195</v>
      </c>
      <c r="BI22">
        <f>SUMIFS(movements!$H:$H,movements!$E:$E,$A22,movements!$D:$D,"OPENING",movements!$C:$C,"&lt;"&amp;BI$1+1)+SUMIFS(movements!$H:$H,movements!$E:$E,$A22,movements!$D:$D,"RECEIPT",movements!$C:$C,"&lt;"&amp;BI$1+1)-SUMIFS(movements!$H:$H,movements!$E:$E,$A22,movements!$D:$D,"ISSUE",movements!$C:$C,"&lt;"&amp;BI$1+1)</f>
        <v>192</v>
      </c>
      <c r="BJ22">
        <f>SUMIFS(movements!$H:$H,movements!$E:$E,$A22,movements!$D:$D,"OPENING",movements!$C:$C,"&lt;"&amp;BJ$1+1)+SUMIFS(movements!$H:$H,movements!$E:$E,$A22,movements!$D:$D,"RECEIPT",movements!$C:$C,"&lt;"&amp;BJ$1+1)-SUMIFS(movements!$H:$H,movements!$E:$E,$A22,movements!$D:$D,"ISSUE",movements!$C:$C,"&lt;"&amp;BJ$1+1)</f>
        <v>175</v>
      </c>
      <c r="BK22">
        <f>SUMIFS(movements!$H:$H,movements!$E:$E,$A22,movements!$D:$D,"OPENING",movements!$C:$C,"&lt;"&amp;BK$1+1)+SUMIFS(movements!$H:$H,movements!$E:$E,$A22,movements!$D:$D,"RECEIPT",movements!$C:$C,"&lt;"&amp;BK$1+1)-SUMIFS(movements!$H:$H,movements!$E:$E,$A22,movements!$D:$D,"ISSUE",movements!$C:$C,"&lt;"&amp;BK$1+1)</f>
        <v>170</v>
      </c>
      <c r="BL22">
        <f>SUMIFS(movements!$H:$H,movements!$E:$E,$A22,movements!$D:$D,"OPENING",movements!$C:$C,"&lt;"&amp;BL$1+1)+SUMIFS(movements!$H:$H,movements!$E:$E,$A22,movements!$D:$D,"RECEIPT",movements!$C:$C,"&lt;"&amp;BL$1+1)-SUMIFS(movements!$H:$H,movements!$E:$E,$A22,movements!$D:$D,"ISSUE",movements!$C:$C,"&lt;"&amp;BL$1+1)</f>
        <v>166</v>
      </c>
      <c r="BM22">
        <f>SUMIFS(movements!$H:$H,movements!$E:$E,$A22,movements!$D:$D,"OPENING",movements!$C:$C,"&lt;"&amp;BM$1+1)+SUMIFS(movements!$H:$H,movements!$E:$E,$A22,movements!$D:$D,"RECEIPT",movements!$C:$C,"&lt;"&amp;BM$1+1)-SUMIFS(movements!$H:$H,movements!$E:$E,$A22,movements!$D:$D,"ISSUE",movements!$C:$C,"&lt;"&amp;BM$1+1)</f>
        <v>162</v>
      </c>
      <c r="BN22">
        <f>SUMIFS(movements!$H:$H,movements!$E:$E,$A22,movements!$D:$D,"OPENING",movements!$C:$C,"&lt;"&amp;BN$1+1)+SUMIFS(movements!$H:$H,movements!$E:$E,$A22,movements!$D:$D,"RECEIPT",movements!$C:$C,"&lt;"&amp;BN$1+1)-SUMIFS(movements!$H:$H,movements!$E:$E,$A22,movements!$D:$D,"ISSUE",movements!$C:$C,"&lt;"&amp;BN$1+1)</f>
        <v>156</v>
      </c>
      <c r="BO22">
        <f>SUMIFS(movements!$H:$H,movements!$E:$E,$A22,movements!$D:$D,"OPENING",movements!$C:$C,"&lt;"&amp;BO$1+1)+SUMIFS(movements!$H:$H,movements!$E:$E,$A22,movements!$D:$D,"RECEIPT",movements!$C:$C,"&lt;"&amp;BO$1+1)-SUMIFS(movements!$H:$H,movements!$E:$E,$A22,movements!$D:$D,"ISSUE",movements!$C:$C,"&lt;"&amp;BO$1+1)</f>
        <v>148</v>
      </c>
      <c r="BP22">
        <f>SUMIFS(movements!$H:$H,movements!$E:$E,$A22,movements!$D:$D,"OPENING",movements!$C:$C,"&lt;"&amp;BP$1+1)+SUMIFS(movements!$H:$H,movements!$E:$E,$A22,movements!$D:$D,"RECEIPT",movements!$C:$C,"&lt;"&amp;BP$1+1)-SUMIFS(movements!$H:$H,movements!$E:$E,$A22,movements!$D:$D,"ISSUE",movements!$C:$C,"&lt;"&amp;BP$1+1)</f>
        <v>146</v>
      </c>
      <c r="BQ22">
        <f>SUMIFS(movements!$H:$H,movements!$E:$E,$A22,movements!$D:$D,"OPENING",movements!$C:$C,"&lt;"&amp;BQ$1+1)+SUMIFS(movements!$H:$H,movements!$E:$E,$A22,movements!$D:$D,"RECEIPT",movements!$C:$C,"&lt;"&amp;BQ$1+1)-SUMIFS(movements!$H:$H,movements!$E:$E,$A22,movements!$D:$D,"ISSUE",movements!$C:$C,"&lt;"&amp;BQ$1+1)</f>
        <v>140</v>
      </c>
      <c r="BR22">
        <f>SUMIFS(movements!$H:$H,movements!$E:$E,$A22,movements!$D:$D,"OPENING",movements!$C:$C,"&lt;"&amp;BR$1+1)+SUMIFS(movements!$H:$H,movements!$E:$E,$A22,movements!$D:$D,"RECEIPT",movements!$C:$C,"&lt;"&amp;BR$1+1)-SUMIFS(movements!$H:$H,movements!$E:$E,$A22,movements!$D:$D,"ISSUE",movements!$C:$C,"&lt;"&amp;BR$1+1)</f>
        <v>135</v>
      </c>
      <c r="BS22">
        <f>SUMIFS(movements!$H:$H,movements!$E:$E,$A22,movements!$D:$D,"OPENING",movements!$C:$C,"&lt;"&amp;BS$1+1)+SUMIFS(movements!$H:$H,movements!$E:$E,$A22,movements!$D:$D,"RECEIPT",movements!$C:$C,"&lt;"&amp;BS$1+1)-SUMIFS(movements!$H:$H,movements!$E:$E,$A22,movements!$D:$D,"ISSUE",movements!$C:$C,"&lt;"&amp;BS$1+1)</f>
        <v>134</v>
      </c>
      <c r="BT22">
        <f>SUMIFS(movements!$H:$H,movements!$E:$E,$A22,movements!$D:$D,"OPENING",movements!$C:$C,"&lt;"&amp;BT$1+1)+SUMIFS(movements!$H:$H,movements!$E:$E,$A22,movements!$D:$D,"RECEIPT",movements!$C:$C,"&lt;"&amp;BT$1+1)-SUMIFS(movements!$H:$H,movements!$E:$E,$A22,movements!$D:$D,"ISSUE",movements!$C:$C,"&lt;"&amp;BT$1+1)</f>
        <v>134</v>
      </c>
      <c r="BU22">
        <f>SUMIFS(movements!$H:$H,movements!$E:$E,$A22,movements!$D:$D,"OPENING",movements!$C:$C,"&lt;"&amp;BU$1+1)+SUMIFS(movements!$H:$H,movements!$E:$E,$A22,movements!$D:$D,"RECEIPT",movements!$C:$C,"&lt;"&amp;BU$1+1)-SUMIFS(movements!$H:$H,movements!$E:$E,$A22,movements!$D:$D,"ISSUE",movements!$C:$C,"&lt;"&amp;BU$1+1)</f>
        <v>124</v>
      </c>
      <c r="BV22">
        <f>SUMIFS(movements!$H:$H,movements!$E:$E,$A22,movements!$D:$D,"OPENING",movements!$C:$C,"&lt;"&amp;BV$1+1)+SUMIFS(movements!$H:$H,movements!$E:$E,$A22,movements!$D:$D,"RECEIPT",movements!$C:$C,"&lt;"&amp;BV$1+1)-SUMIFS(movements!$H:$H,movements!$E:$E,$A22,movements!$D:$D,"ISSUE",movements!$C:$C,"&lt;"&amp;BV$1+1)</f>
        <v>116</v>
      </c>
      <c r="BW22">
        <f>SUMIFS(movements!$H:$H,movements!$E:$E,$A22,movements!$D:$D,"OPENING",movements!$C:$C,"&lt;"&amp;BW$1+1)+SUMIFS(movements!$H:$H,movements!$E:$E,$A22,movements!$D:$D,"RECEIPT",movements!$C:$C,"&lt;"&amp;BW$1+1)-SUMIFS(movements!$H:$H,movements!$E:$E,$A22,movements!$D:$D,"ISSUE",movements!$C:$C,"&lt;"&amp;BW$1+1)</f>
        <v>112</v>
      </c>
      <c r="BX22">
        <f>SUMIFS(movements!$H:$H,movements!$E:$E,$A22,movements!$D:$D,"OPENING",movements!$C:$C,"&lt;"&amp;BX$1+1)+SUMIFS(movements!$H:$H,movements!$E:$E,$A22,movements!$D:$D,"RECEIPT",movements!$C:$C,"&lt;"&amp;BX$1+1)-SUMIFS(movements!$H:$H,movements!$E:$E,$A22,movements!$D:$D,"ISSUE",movements!$C:$C,"&lt;"&amp;BX$1+1)</f>
        <v>105</v>
      </c>
      <c r="BY22">
        <f>SUMIFS(movements!$H:$H,movements!$E:$E,$A22,movements!$D:$D,"OPENING",movements!$C:$C,"&lt;"&amp;BY$1+1)+SUMIFS(movements!$H:$H,movements!$E:$E,$A22,movements!$D:$D,"RECEIPT",movements!$C:$C,"&lt;"&amp;BY$1+1)-SUMIFS(movements!$H:$H,movements!$E:$E,$A22,movements!$D:$D,"ISSUE",movements!$C:$C,"&lt;"&amp;BY$1+1)</f>
        <v>102</v>
      </c>
      <c r="BZ22">
        <f>SUMIFS(movements!$H:$H,movements!$E:$E,$A22,movements!$D:$D,"OPENING",movements!$C:$C,"&lt;"&amp;BZ$1+1)+SUMIFS(movements!$H:$H,movements!$E:$E,$A22,movements!$D:$D,"RECEIPT",movements!$C:$C,"&lt;"&amp;BZ$1+1)-SUMIFS(movements!$H:$H,movements!$E:$E,$A22,movements!$D:$D,"ISSUE",movements!$C:$C,"&lt;"&amp;BZ$1+1)</f>
        <v>96</v>
      </c>
      <c r="CA22">
        <f>SUMIFS(movements!$H:$H,movements!$E:$E,$A22,movements!$D:$D,"OPENING",movements!$C:$C,"&lt;"&amp;CA$1+1)+SUMIFS(movements!$H:$H,movements!$E:$E,$A22,movements!$D:$D,"RECEIPT",movements!$C:$C,"&lt;"&amp;CA$1+1)-SUMIFS(movements!$H:$H,movements!$E:$E,$A22,movements!$D:$D,"ISSUE",movements!$C:$C,"&lt;"&amp;CA$1+1)</f>
        <v>161</v>
      </c>
      <c r="CB22">
        <f>SUMIFS(movements!$H:$H,movements!$E:$E,$A22,movements!$D:$D,"OPENING",movements!$C:$C,"&lt;"&amp;CB$1+1)+SUMIFS(movements!$H:$H,movements!$E:$E,$A22,movements!$D:$D,"RECEIPT",movements!$C:$C,"&lt;"&amp;CB$1+1)-SUMIFS(movements!$H:$H,movements!$E:$E,$A22,movements!$D:$D,"ISSUE",movements!$C:$C,"&lt;"&amp;CB$1+1)</f>
        <v>158</v>
      </c>
      <c r="CC22">
        <f>SUMIFS(movements!$H:$H,movements!$E:$E,$A22,movements!$D:$D,"OPENING",movements!$C:$C,"&lt;"&amp;CC$1+1)+SUMIFS(movements!$H:$H,movements!$E:$E,$A22,movements!$D:$D,"RECEIPT",movements!$C:$C,"&lt;"&amp;CC$1+1)-SUMIFS(movements!$H:$H,movements!$E:$E,$A22,movements!$D:$D,"ISSUE",movements!$C:$C,"&lt;"&amp;CC$1+1)</f>
        <v>153</v>
      </c>
      <c r="CD22">
        <f>SUMIFS(movements!$H:$H,movements!$E:$E,$A22,movements!$D:$D,"OPENING",movements!$C:$C,"&lt;"&amp;CD$1+1)+SUMIFS(movements!$H:$H,movements!$E:$E,$A22,movements!$D:$D,"RECEIPT",movements!$C:$C,"&lt;"&amp;CD$1+1)-SUMIFS(movements!$H:$H,movements!$E:$E,$A22,movements!$D:$D,"ISSUE",movements!$C:$C,"&lt;"&amp;CD$1+1)</f>
        <v>153</v>
      </c>
      <c r="CE22">
        <f>SUMIFS(movements!$H:$H,movements!$E:$E,$A22,movements!$D:$D,"OPENING",movements!$C:$C,"&lt;"&amp;CE$1+1)+SUMIFS(movements!$H:$H,movements!$E:$E,$A22,movements!$D:$D,"RECEIPT",movements!$C:$C,"&lt;"&amp;CE$1+1)-SUMIFS(movements!$H:$H,movements!$E:$E,$A22,movements!$D:$D,"ISSUE",movements!$C:$C,"&lt;"&amp;CE$1+1)</f>
        <v>149</v>
      </c>
      <c r="CF22">
        <f>SUMIFS(movements!$H:$H,movements!$E:$E,$A22,movements!$D:$D,"OPENING",movements!$C:$C,"&lt;"&amp;CF$1+1)+SUMIFS(movements!$H:$H,movements!$E:$E,$A22,movements!$D:$D,"RECEIPT",movements!$C:$C,"&lt;"&amp;CF$1+1)-SUMIFS(movements!$H:$H,movements!$E:$E,$A22,movements!$D:$D,"ISSUE",movements!$C:$C,"&lt;"&amp;CF$1+1)</f>
        <v>147</v>
      </c>
      <c r="CG22">
        <f>SUMIFS(movements!$H:$H,movements!$E:$E,$A22,movements!$D:$D,"OPENING",movements!$C:$C,"&lt;"&amp;CG$1+1)+SUMIFS(movements!$H:$H,movements!$E:$E,$A22,movements!$D:$D,"RECEIPT",movements!$C:$C,"&lt;"&amp;CG$1+1)-SUMIFS(movements!$H:$H,movements!$E:$E,$A22,movements!$D:$D,"ISSUE",movements!$C:$C,"&lt;"&amp;CG$1+1)</f>
        <v>143</v>
      </c>
      <c r="CH22">
        <f>SUMIFS(movements!$H:$H,movements!$E:$E,$A22,movements!$D:$D,"OPENING",movements!$C:$C,"&lt;"&amp;CH$1+1)+SUMIFS(movements!$H:$H,movements!$E:$E,$A22,movements!$D:$D,"RECEIPT",movements!$C:$C,"&lt;"&amp;CH$1+1)-SUMIFS(movements!$H:$H,movements!$E:$E,$A22,movements!$D:$D,"ISSUE",movements!$C:$C,"&lt;"&amp;CH$1+1)</f>
        <v>143</v>
      </c>
      <c r="CI22">
        <f>SUMIFS(movements!$H:$H,movements!$E:$E,$A22,movements!$D:$D,"OPENING",movements!$C:$C,"&lt;"&amp;CI$1+1)+SUMIFS(movements!$H:$H,movements!$E:$E,$A22,movements!$D:$D,"RECEIPT",movements!$C:$C,"&lt;"&amp;CI$1+1)-SUMIFS(movements!$H:$H,movements!$E:$E,$A22,movements!$D:$D,"ISSUE",movements!$C:$C,"&lt;"&amp;CI$1+1)</f>
        <v>137</v>
      </c>
      <c r="CJ22">
        <f>SUMIFS(movements!$H:$H,movements!$E:$E,$A22,movements!$D:$D,"OPENING",movements!$C:$C,"&lt;"&amp;CJ$1+1)+SUMIFS(movements!$H:$H,movements!$E:$E,$A22,movements!$D:$D,"RECEIPT",movements!$C:$C,"&lt;"&amp;CJ$1+1)-SUMIFS(movements!$H:$H,movements!$E:$E,$A22,movements!$D:$D,"ISSUE",movements!$C:$C,"&lt;"&amp;CJ$1+1)</f>
        <v>128</v>
      </c>
      <c r="CK22">
        <f>SUMIFS(movements!$H:$H,movements!$E:$E,$A22,movements!$D:$D,"OPENING",movements!$C:$C,"&lt;"&amp;CK$1+1)+SUMIFS(movements!$H:$H,movements!$E:$E,$A22,movements!$D:$D,"RECEIPT",movements!$C:$C,"&lt;"&amp;CK$1+1)-SUMIFS(movements!$H:$H,movements!$E:$E,$A22,movements!$D:$D,"ISSUE",movements!$C:$C,"&lt;"&amp;CK$1+1)</f>
        <v>124</v>
      </c>
      <c r="CL22">
        <f>SUMIFS(movements!$H:$H,movements!$E:$E,$A22,movements!$D:$D,"OPENING",movements!$C:$C,"&lt;"&amp;CL$1+1)+SUMIFS(movements!$H:$H,movements!$E:$E,$A22,movements!$D:$D,"RECEIPT",movements!$C:$C,"&lt;"&amp;CL$1+1)-SUMIFS(movements!$H:$H,movements!$E:$E,$A22,movements!$D:$D,"ISSUE",movements!$C:$C,"&lt;"&amp;CL$1+1)</f>
        <v>109</v>
      </c>
      <c r="CM22">
        <f>SUMIFS(movements!$H:$H,movements!$E:$E,$A22,movements!$D:$D,"OPENING",movements!$C:$C,"&lt;"&amp;CM$1+1)+SUMIFS(movements!$H:$H,movements!$E:$E,$A22,movements!$D:$D,"RECEIPT",movements!$C:$C,"&lt;"&amp;CM$1+1)-SUMIFS(movements!$H:$H,movements!$E:$E,$A22,movements!$D:$D,"ISSUE",movements!$C:$C,"&lt;"&amp;CM$1+1)</f>
        <v>104</v>
      </c>
      <c r="CN22">
        <f t="shared" si="2"/>
        <v>124.58888888888889</v>
      </c>
      <c r="CO22">
        <f>SUMIFS(movements!$H:$H,movements!$E:$E,$A22,movements!$D:$D,"ISSUE",movements!$C:$C,"&gt;="&amp;$B$1,movements!$C:$C,"&lt;"&amp;($CM$1+1))</f>
        <v>443</v>
      </c>
      <c r="CP22">
        <f t="shared" si="3"/>
        <v>3.5556942834210292</v>
      </c>
      <c r="CQ22">
        <f t="shared" si="4"/>
        <v>25.311512415349888</v>
      </c>
    </row>
    <row r="23" spans="1:95" x14ac:dyDescent="0.25">
      <c r="A23" t="s">
        <v>65</v>
      </c>
      <c r="B23">
        <f>SUMIFS(movements!$H:$H,movements!$E:$E,$A23,movements!$D:$D,"OPENING",movements!$C:$C,"&lt;"&amp;B$1+1)+SUMIFS(movements!$H:$H,movements!$E:$E,$A23,movements!$D:$D,"RECEIPT",movements!$C:$C,"&lt;"&amp;B$1+1)-SUMIFS(movements!$H:$H,movements!$E:$E,$A23,movements!$D:$D,"ISSUE",movements!$C:$C,"&lt;"&amp;B$1+1)</f>
        <v>79</v>
      </c>
      <c r="C23">
        <f>SUMIFS(movements!$H:$H,movements!$E:$E,$A23,movements!$D:$D,"OPENING",movements!$C:$C,"&lt;"&amp;C$1+1)+SUMIFS(movements!$H:$H,movements!$E:$E,$A23,movements!$D:$D,"RECEIPT",movements!$C:$C,"&lt;"&amp;C$1+1)-SUMIFS(movements!$H:$H,movements!$E:$E,$A23,movements!$D:$D,"ISSUE",movements!$C:$C,"&lt;"&amp;C$1+1)</f>
        <v>73</v>
      </c>
      <c r="D23">
        <f>SUMIFS(movements!$H:$H,movements!$E:$E,$A23,movements!$D:$D,"OPENING",movements!$C:$C,"&lt;"&amp;D$1+1)+SUMIFS(movements!$H:$H,movements!$E:$E,$A23,movements!$D:$D,"RECEIPT",movements!$C:$C,"&lt;"&amp;D$1+1)-SUMIFS(movements!$H:$H,movements!$E:$E,$A23,movements!$D:$D,"ISSUE",movements!$C:$C,"&lt;"&amp;D$1+1)</f>
        <v>59</v>
      </c>
      <c r="E23">
        <f>SUMIFS(movements!$H:$H,movements!$E:$E,$A23,movements!$D:$D,"OPENING",movements!$C:$C,"&lt;"&amp;E$1+1)+SUMIFS(movements!$H:$H,movements!$E:$E,$A23,movements!$D:$D,"RECEIPT",movements!$C:$C,"&lt;"&amp;E$1+1)-SUMIFS(movements!$H:$H,movements!$E:$E,$A23,movements!$D:$D,"ISSUE",movements!$C:$C,"&lt;"&amp;E$1+1)</f>
        <v>47</v>
      </c>
      <c r="F23">
        <f>SUMIFS(movements!$H:$H,movements!$E:$E,$A23,movements!$D:$D,"OPENING",movements!$C:$C,"&lt;"&amp;F$1+1)+SUMIFS(movements!$H:$H,movements!$E:$E,$A23,movements!$D:$D,"RECEIPT",movements!$C:$C,"&lt;"&amp;F$1+1)-SUMIFS(movements!$H:$H,movements!$E:$E,$A23,movements!$D:$D,"ISSUE",movements!$C:$C,"&lt;"&amp;F$1+1)</f>
        <v>45</v>
      </c>
      <c r="G23">
        <f>SUMIFS(movements!$H:$H,movements!$E:$E,$A23,movements!$D:$D,"OPENING",movements!$C:$C,"&lt;"&amp;G$1+1)+SUMIFS(movements!$H:$H,movements!$E:$E,$A23,movements!$D:$D,"RECEIPT",movements!$C:$C,"&lt;"&amp;G$1+1)-SUMIFS(movements!$H:$H,movements!$E:$E,$A23,movements!$D:$D,"ISSUE",movements!$C:$C,"&lt;"&amp;G$1+1)</f>
        <v>45</v>
      </c>
      <c r="H23">
        <f>SUMIFS(movements!$H:$H,movements!$E:$E,$A23,movements!$D:$D,"OPENING",movements!$C:$C,"&lt;"&amp;H$1+1)+SUMIFS(movements!$H:$H,movements!$E:$E,$A23,movements!$D:$D,"RECEIPT",movements!$C:$C,"&lt;"&amp;H$1+1)-SUMIFS(movements!$H:$H,movements!$E:$E,$A23,movements!$D:$D,"ISSUE",movements!$C:$C,"&lt;"&amp;H$1+1)</f>
        <v>43</v>
      </c>
      <c r="I23">
        <f>SUMIFS(movements!$H:$H,movements!$E:$E,$A23,movements!$D:$D,"OPENING",movements!$C:$C,"&lt;"&amp;I$1+1)+SUMIFS(movements!$H:$H,movements!$E:$E,$A23,movements!$D:$D,"RECEIPT",movements!$C:$C,"&lt;"&amp;I$1+1)-SUMIFS(movements!$H:$H,movements!$E:$E,$A23,movements!$D:$D,"ISSUE",movements!$C:$C,"&lt;"&amp;I$1+1)</f>
        <v>113</v>
      </c>
      <c r="J23">
        <f>SUMIFS(movements!$H:$H,movements!$E:$E,$A23,movements!$D:$D,"OPENING",movements!$C:$C,"&lt;"&amp;J$1+1)+SUMIFS(movements!$H:$H,movements!$E:$E,$A23,movements!$D:$D,"RECEIPT",movements!$C:$C,"&lt;"&amp;J$1+1)-SUMIFS(movements!$H:$H,movements!$E:$E,$A23,movements!$D:$D,"ISSUE",movements!$C:$C,"&lt;"&amp;J$1+1)</f>
        <v>108</v>
      </c>
      <c r="K23">
        <f>SUMIFS(movements!$H:$H,movements!$E:$E,$A23,movements!$D:$D,"OPENING",movements!$C:$C,"&lt;"&amp;K$1+1)+SUMIFS(movements!$H:$H,movements!$E:$E,$A23,movements!$D:$D,"RECEIPT",movements!$C:$C,"&lt;"&amp;K$1+1)-SUMIFS(movements!$H:$H,movements!$E:$E,$A23,movements!$D:$D,"ISSUE",movements!$C:$C,"&lt;"&amp;K$1+1)</f>
        <v>99</v>
      </c>
      <c r="L23">
        <f>SUMIFS(movements!$H:$H,movements!$E:$E,$A23,movements!$D:$D,"OPENING",movements!$C:$C,"&lt;"&amp;L$1+1)+SUMIFS(movements!$H:$H,movements!$E:$E,$A23,movements!$D:$D,"RECEIPT",movements!$C:$C,"&lt;"&amp;L$1+1)-SUMIFS(movements!$H:$H,movements!$E:$E,$A23,movements!$D:$D,"ISSUE",movements!$C:$C,"&lt;"&amp;L$1+1)</f>
        <v>99</v>
      </c>
      <c r="M23">
        <f>SUMIFS(movements!$H:$H,movements!$E:$E,$A23,movements!$D:$D,"OPENING",movements!$C:$C,"&lt;"&amp;M$1+1)+SUMIFS(movements!$H:$H,movements!$E:$E,$A23,movements!$D:$D,"RECEIPT",movements!$C:$C,"&lt;"&amp;M$1+1)-SUMIFS(movements!$H:$H,movements!$E:$E,$A23,movements!$D:$D,"ISSUE",movements!$C:$C,"&lt;"&amp;M$1+1)</f>
        <v>99</v>
      </c>
      <c r="N23">
        <f>SUMIFS(movements!$H:$H,movements!$E:$E,$A23,movements!$D:$D,"OPENING",movements!$C:$C,"&lt;"&amp;N$1+1)+SUMIFS(movements!$H:$H,movements!$E:$E,$A23,movements!$D:$D,"RECEIPT",movements!$C:$C,"&lt;"&amp;N$1+1)-SUMIFS(movements!$H:$H,movements!$E:$E,$A23,movements!$D:$D,"ISSUE",movements!$C:$C,"&lt;"&amp;N$1+1)</f>
        <v>81</v>
      </c>
      <c r="O23">
        <f>SUMIFS(movements!$H:$H,movements!$E:$E,$A23,movements!$D:$D,"OPENING",movements!$C:$C,"&lt;"&amp;O$1+1)+SUMIFS(movements!$H:$H,movements!$E:$E,$A23,movements!$D:$D,"RECEIPT",movements!$C:$C,"&lt;"&amp;O$1+1)-SUMIFS(movements!$H:$H,movements!$E:$E,$A23,movements!$D:$D,"ISSUE",movements!$C:$C,"&lt;"&amp;O$1+1)</f>
        <v>75</v>
      </c>
      <c r="P23">
        <f>SUMIFS(movements!$H:$H,movements!$E:$E,$A23,movements!$D:$D,"OPENING",movements!$C:$C,"&lt;"&amp;P$1+1)+SUMIFS(movements!$H:$H,movements!$E:$E,$A23,movements!$D:$D,"RECEIPT",movements!$C:$C,"&lt;"&amp;P$1+1)-SUMIFS(movements!$H:$H,movements!$E:$E,$A23,movements!$D:$D,"ISSUE",movements!$C:$C,"&lt;"&amp;P$1+1)</f>
        <v>143</v>
      </c>
      <c r="Q23">
        <f>SUMIFS(movements!$H:$H,movements!$E:$E,$A23,movements!$D:$D,"OPENING",movements!$C:$C,"&lt;"&amp;Q$1+1)+SUMIFS(movements!$H:$H,movements!$E:$E,$A23,movements!$D:$D,"RECEIPT",movements!$C:$C,"&lt;"&amp;Q$1+1)-SUMIFS(movements!$H:$H,movements!$E:$E,$A23,movements!$D:$D,"ISSUE",movements!$C:$C,"&lt;"&amp;Q$1+1)</f>
        <v>136</v>
      </c>
      <c r="R23">
        <f>SUMIFS(movements!$H:$H,movements!$E:$E,$A23,movements!$D:$D,"OPENING",movements!$C:$C,"&lt;"&amp;R$1+1)+SUMIFS(movements!$H:$H,movements!$E:$E,$A23,movements!$D:$D,"RECEIPT",movements!$C:$C,"&lt;"&amp;R$1+1)-SUMIFS(movements!$H:$H,movements!$E:$E,$A23,movements!$D:$D,"ISSUE",movements!$C:$C,"&lt;"&amp;R$1+1)</f>
        <v>133</v>
      </c>
      <c r="S23">
        <f>SUMIFS(movements!$H:$H,movements!$E:$E,$A23,movements!$D:$D,"OPENING",movements!$C:$C,"&lt;"&amp;S$1+1)+SUMIFS(movements!$H:$H,movements!$E:$E,$A23,movements!$D:$D,"RECEIPT",movements!$C:$C,"&lt;"&amp;S$1+1)-SUMIFS(movements!$H:$H,movements!$E:$E,$A23,movements!$D:$D,"ISSUE",movements!$C:$C,"&lt;"&amp;S$1+1)</f>
        <v>133</v>
      </c>
      <c r="T23">
        <f>SUMIFS(movements!$H:$H,movements!$E:$E,$A23,movements!$D:$D,"OPENING",movements!$C:$C,"&lt;"&amp;T$1+1)+SUMIFS(movements!$H:$H,movements!$E:$E,$A23,movements!$D:$D,"RECEIPT",movements!$C:$C,"&lt;"&amp;T$1+1)-SUMIFS(movements!$H:$H,movements!$E:$E,$A23,movements!$D:$D,"ISSUE",movements!$C:$C,"&lt;"&amp;T$1+1)</f>
        <v>126</v>
      </c>
      <c r="U23">
        <f>SUMIFS(movements!$H:$H,movements!$E:$E,$A23,movements!$D:$D,"OPENING",movements!$C:$C,"&lt;"&amp;U$1+1)+SUMIFS(movements!$H:$H,movements!$E:$E,$A23,movements!$D:$D,"RECEIPT",movements!$C:$C,"&lt;"&amp;U$1+1)-SUMIFS(movements!$H:$H,movements!$E:$E,$A23,movements!$D:$D,"ISSUE",movements!$C:$C,"&lt;"&amp;U$1+1)</f>
        <v>120</v>
      </c>
      <c r="V23">
        <f>SUMIFS(movements!$H:$H,movements!$E:$E,$A23,movements!$D:$D,"OPENING",movements!$C:$C,"&lt;"&amp;V$1+1)+SUMIFS(movements!$H:$H,movements!$E:$E,$A23,movements!$D:$D,"RECEIPT",movements!$C:$C,"&lt;"&amp;V$1+1)-SUMIFS(movements!$H:$H,movements!$E:$E,$A23,movements!$D:$D,"ISSUE",movements!$C:$C,"&lt;"&amp;V$1+1)</f>
        <v>119</v>
      </c>
      <c r="W23">
        <f>SUMIFS(movements!$H:$H,movements!$E:$E,$A23,movements!$D:$D,"OPENING",movements!$C:$C,"&lt;"&amp;W$1+1)+SUMIFS(movements!$H:$H,movements!$E:$E,$A23,movements!$D:$D,"RECEIPT",movements!$C:$C,"&lt;"&amp;W$1+1)-SUMIFS(movements!$H:$H,movements!$E:$E,$A23,movements!$D:$D,"ISSUE",movements!$C:$C,"&lt;"&amp;W$1+1)</f>
        <v>114</v>
      </c>
      <c r="X23">
        <f>SUMIFS(movements!$H:$H,movements!$E:$E,$A23,movements!$D:$D,"OPENING",movements!$C:$C,"&lt;"&amp;X$1+1)+SUMIFS(movements!$H:$H,movements!$E:$E,$A23,movements!$D:$D,"RECEIPT",movements!$C:$C,"&lt;"&amp;X$1+1)-SUMIFS(movements!$H:$H,movements!$E:$E,$A23,movements!$D:$D,"ISSUE",movements!$C:$C,"&lt;"&amp;X$1+1)</f>
        <v>107</v>
      </c>
      <c r="Y23">
        <f>SUMIFS(movements!$H:$H,movements!$E:$E,$A23,movements!$D:$D,"OPENING",movements!$C:$C,"&lt;"&amp;Y$1+1)+SUMIFS(movements!$H:$H,movements!$E:$E,$A23,movements!$D:$D,"RECEIPT",movements!$C:$C,"&lt;"&amp;Y$1+1)-SUMIFS(movements!$H:$H,movements!$E:$E,$A23,movements!$D:$D,"ISSUE",movements!$C:$C,"&lt;"&amp;Y$1+1)</f>
        <v>107</v>
      </c>
      <c r="Z23">
        <f>SUMIFS(movements!$H:$H,movements!$E:$E,$A23,movements!$D:$D,"OPENING",movements!$C:$C,"&lt;"&amp;Z$1+1)+SUMIFS(movements!$H:$H,movements!$E:$E,$A23,movements!$D:$D,"RECEIPT",movements!$C:$C,"&lt;"&amp;Z$1+1)-SUMIFS(movements!$H:$H,movements!$E:$E,$A23,movements!$D:$D,"ISSUE",movements!$C:$C,"&lt;"&amp;Z$1+1)</f>
        <v>107</v>
      </c>
      <c r="AA23">
        <f>SUMIFS(movements!$H:$H,movements!$E:$E,$A23,movements!$D:$D,"OPENING",movements!$C:$C,"&lt;"&amp;AA$1+1)+SUMIFS(movements!$H:$H,movements!$E:$E,$A23,movements!$D:$D,"RECEIPT",movements!$C:$C,"&lt;"&amp;AA$1+1)-SUMIFS(movements!$H:$H,movements!$E:$E,$A23,movements!$D:$D,"ISSUE",movements!$C:$C,"&lt;"&amp;AA$1+1)</f>
        <v>96</v>
      </c>
      <c r="AB23">
        <f>SUMIFS(movements!$H:$H,movements!$E:$E,$A23,movements!$D:$D,"OPENING",movements!$C:$C,"&lt;"&amp;AB$1+1)+SUMIFS(movements!$H:$H,movements!$E:$E,$A23,movements!$D:$D,"RECEIPT",movements!$C:$C,"&lt;"&amp;AB$1+1)-SUMIFS(movements!$H:$H,movements!$E:$E,$A23,movements!$D:$D,"ISSUE",movements!$C:$C,"&lt;"&amp;AB$1+1)</f>
        <v>91</v>
      </c>
      <c r="AC23">
        <f>SUMIFS(movements!$H:$H,movements!$E:$E,$A23,movements!$D:$D,"OPENING",movements!$C:$C,"&lt;"&amp;AC$1+1)+SUMIFS(movements!$H:$H,movements!$E:$E,$A23,movements!$D:$D,"RECEIPT",movements!$C:$C,"&lt;"&amp;AC$1+1)-SUMIFS(movements!$H:$H,movements!$E:$E,$A23,movements!$D:$D,"ISSUE",movements!$C:$C,"&lt;"&amp;AC$1+1)</f>
        <v>89</v>
      </c>
      <c r="AD23">
        <f>SUMIFS(movements!$H:$H,movements!$E:$E,$A23,movements!$D:$D,"OPENING",movements!$C:$C,"&lt;"&amp;AD$1+1)+SUMIFS(movements!$H:$H,movements!$E:$E,$A23,movements!$D:$D,"RECEIPT",movements!$C:$C,"&lt;"&amp;AD$1+1)-SUMIFS(movements!$H:$H,movements!$E:$E,$A23,movements!$D:$D,"ISSUE",movements!$C:$C,"&lt;"&amp;AD$1+1)</f>
        <v>145</v>
      </c>
      <c r="AE23">
        <f>SUMIFS(movements!$H:$H,movements!$E:$E,$A23,movements!$D:$D,"OPENING",movements!$C:$C,"&lt;"&amp;AE$1+1)+SUMIFS(movements!$H:$H,movements!$E:$E,$A23,movements!$D:$D,"RECEIPT",movements!$C:$C,"&lt;"&amp;AE$1+1)-SUMIFS(movements!$H:$H,movements!$E:$E,$A23,movements!$D:$D,"ISSUE",movements!$C:$C,"&lt;"&amp;AE$1+1)</f>
        <v>130</v>
      </c>
      <c r="AF23">
        <f>SUMIFS(movements!$H:$H,movements!$E:$E,$A23,movements!$D:$D,"OPENING",movements!$C:$C,"&lt;"&amp;AF$1+1)+SUMIFS(movements!$H:$H,movements!$E:$E,$A23,movements!$D:$D,"RECEIPT",movements!$C:$C,"&lt;"&amp;AF$1+1)-SUMIFS(movements!$H:$H,movements!$E:$E,$A23,movements!$D:$D,"ISSUE",movements!$C:$C,"&lt;"&amp;AF$1+1)</f>
        <v>130</v>
      </c>
      <c r="AG23">
        <f>SUMIFS(movements!$H:$H,movements!$E:$E,$A23,movements!$D:$D,"OPENING",movements!$C:$C,"&lt;"&amp;AG$1+1)+SUMIFS(movements!$H:$H,movements!$E:$E,$A23,movements!$D:$D,"RECEIPT",movements!$C:$C,"&lt;"&amp;AG$1+1)-SUMIFS(movements!$H:$H,movements!$E:$E,$A23,movements!$D:$D,"ISSUE",movements!$C:$C,"&lt;"&amp;AG$1+1)</f>
        <v>124</v>
      </c>
      <c r="AH23">
        <f>SUMIFS(movements!$H:$H,movements!$E:$E,$A23,movements!$D:$D,"OPENING",movements!$C:$C,"&lt;"&amp;AH$1+1)+SUMIFS(movements!$H:$H,movements!$E:$E,$A23,movements!$D:$D,"RECEIPT",movements!$C:$C,"&lt;"&amp;AH$1+1)-SUMIFS(movements!$H:$H,movements!$E:$E,$A23,movements!$D:$D,"ISSUE",movements!$C:$C,"&lt;"&amp;AH$1+1)</f>
        <v>110</v>
      </c>
      <c r="AI23">
        <f>SUMIFS(movements!$H:$H,movements!$E:$E,$A23,movements!$D:$D,"OPENING",movements!$C:$C,"&lt;"&amp;AI$1+1)+SUMIFS(movements!$H:$H,movements!$E:$E,$A23,movements!$D:$D,"RECEIPT",movements!$C:$C,"&lt;"&amp;AI$1+1)-SUMIFS(movements!$H:$H,movements!$E:$E,$A23,movements!$D:$D,"ISSUE",movements!$C:$C,"&lt;"&amp;AI$1+1)</f>
        <v>91</v>
      </c>
      <c r="AJ23">
        <f>SUMIFS(movements!$H:$H,movements!$E:$E,$A23,movements!$D:$D,"OPENING",movements!$C:$C,"&lt;"&amp;AJ$1+1)+SUMIFS(movements!$H:$H,movements!$E:$E,$A23,movements!$D:$D,"RECEIPT",movements!$C:$C,"&lt;"&amp;AJ$1+1)-SUMIFS(movements!$H:$H,movements!$E:$E,$A23,movements!$D:$D,"ISSUE",movements!$C:$C,"&lt;"&amp;AJ$1+1)</f>
        <v>91</v>
      </c>
      <c r="AK23">
        <f>SUMIFS(movements!$H:$H,movements!$E:$E,$A23,movements!$D:$D,"OPENING",movements!$C:$C,"&lt;"&amp;AK$1+1)+SUMIFS(movements!$H:$H,movements!$E:$E,$A23,movements!$D:$D,"RECEIPT",movements!$C:$C,"&lt;"&amp;AK$1+1)-SUMIFS(movements!$H:$H,movements!$E:$E,$A23,movements!$D:$D,"ISSUE",movements!$C:$C,"&lt;"&amp;AK$1+1)</f>
        <v>179</v>
      </c>
      <c r="AL23">
        <f>SUMIFS(movements!$H:$H,movements!$E:$E,$A23,movements!$D:$D,"OPENING",movements!$C:$C,"&lt;"&amp;AL$1+1)+SUMIFS(movements!$H:$H,movements!$E:$E,$A23,movements!$D:$D,"RECEIPT",movements!$C:$C,"&lt;"&amp;AL$1+1)-SUMIFS(movements!$H:$H,movements!$E:$E,$A23,movements!$D:$D,"ISSUE",movements!$C:$C,"&lt;"&amp;AL$1+1)</f>
        <v>179</v>
      </c>
      <c r="AM23">
        <f>SUMIFS(movements!$H:$H,movements!$E:$E,$A23,movements!$D:$D,"OPENING",movements!$C:$C,"&lt;"&amp;AM$1+1)+SUMIFS(movements!$H:$H,movements!$E:$E,$A23,movements!$D:$D,"RECEIPT",movements!$C:$C,"&lt;"&amp;AM$1+1)-SUMIFS(movements!$H:$H,movements!$E:$E,$A23,movements!$D:$D,"ISSUE",movements!$C:$C,"&lt;"&amp;AM$1+1)</f>
        <v>170</v>
      </c>
      <c r="AN23">
        <f>SUMIFS(movements!$H:$H,movements!$E:$E,$A23,movements!$D:$D,"OPENING",movements!$C:$C,"&lt;"&amp;AN$1+1)+SUMIFS(movements!$H:$H,movements!$E:$E,$A23,movements!$D:$D,"RECEIPT",movements!$C:$C,"&lt;"&amp;AN$1+1)-SUMIFS(movements!$H:$H,movements!$E:$E,$A23,movements!$D:$D,"ISSUE",movements!$C:$C,"&lt;"&amp;AN$1+1)</f>
        <v>169</v>
      </c>
      <c r="AO23">
        <f>SUMIFS(movements!$H:$H,movements!$E:$E,$A23,movements!$D:$D,"OPENING",movements!$C:$C,"&lt;"&amp;AO$1+1)+SUMIFS(movements!$H:$H,movements!$E:$E,$A23,movements!$D:$D,"RECEIPT",movements!$C:$C,"&lt;"&amp;AO$1+1)-SUMIFS(movements!$H:$H,movements!$E:$E,$A23,movements!$D:$D,"ISSUE",movements!$C:$C,"&lt;"&amp;AO$1+1)</f>
        <v>169</v>
      </c>
      <c r="AP23">
        <f>SUMIFS(movements!$H:$H,movements!$E:$E,$A23,movements!$D:$D,"OPENING",movements!$C:$C,"&lt;"&amp;AP$1+1)+SUMIFS(movements!$H:$H,movements!$E:$E,$A23,movements!$D:$D,"RECEIPT",movements!$C:$C,"&lt;"&amp;AP$1+1)-SUMIFS(movements!$H:$H,movements!$E:$E,$A23,movements!$D:$D,"ISSUE",movements!$C:$C,"&lt;"&amp;AP$1+1)</f>
        <v>161</v>
      </c>
      <c r="AQ23">
        <f>SUMIFS(movements!$H:$H,movements!$E:$E,$A23,movements!$D:$D,"OPENING",movements!$C:$C,"&lt;"&amp;AQ$1+1)+SUMIFS(movements!$H:$H,movements!$E:$E,$A23,movements!$D:$D,"RECEIPT",movements!$C:$C,"&lt;"&amp;AQ$1+1)-SUMIFS(movements!$H:$H,movements!$E:$E,$A23,movements!$D:$D,"ISSUE",movements!$C:$C,"&lt;"&amp;AQ$1+1)</f>
        <v>154</v>
      </c>
      <c r="AR23">
        <f>SUMIFS(movements!$H:$H,movements!$E:$E,$A23,movements!$D:$D,"OPENING",movements!$C:$C,"&lt;"&amp;AR$1+1)+SUMIFS(movements!$H:$H,movements!$E:$E,$A23,movements!$D:$D,"RECEIPT",movements!$C:$C,"&lt;"&amp;AR$1+1)-SUMIFS(movements!$H:$H,movements!$E:$E,$A23,movements!$D:$D,"ISSUE",movements!$C:$C,"&lt;"&amp;AR$1+1)</f>
        <v>150</v>
      </c>
      <c r="AS23">
        <f>SUMIFS(movements!$H:$H,movements!$E:$E,$A23,movements!$D:$D,"OPENING",movements!$C:$C,"&lt;"&amp;AS$1+1)+SUMIFS(movements!$H:$H,movements!$E:$E,$A23,movements!$D:$D,"RECEIPT",movements!$C:$C,"&lt;"&amp;AS$1+1)-SUMIFS(movements!$H:$H,movements!$E:$E,$A23,movements!$D:$D,"ISSUE",movements!$C:$C,"&lt;"&amp;AS$1+1)</f>
        <v>143</v>
      </c>
      <c r="AT23">
        <f>SUMIFS(movements!$H:$H,movements!$E:$E,$A23,movements!$D:$D,"OPENING",movements!$C:$C,"&lt;"&amp;AT$1+1)+SUMIFS(movements!$H:$H,movements!$E:$E,$A23,movements!$D:$D,"RECEIPT",movements!$C:$C,"&lt;"&amp;AT$1+1)-SUMIFS(movements!$H:$H,movements!$E:$E,$A23,movements!$D:$D,"ISSUE",movements!$C:$C,"&lt;"&amp;AT$1+1)</f>
        <v>142</v>
      </c>
      <c r="AU23">
        <f>SUMIFS(movements!$H:$H,movements!$E:$E,$A23,movements!$D:$D,"OPENING",movements!$C:$C,"&lt;"&amp;AU$1+1)+SUMIFS(movements!$H:$H,movements!$E:$E,$A23,movements!$D:$D,"RECEIPT",movements!$C:$C,"&lt;"&amp;AU$1+1)-SUMIFS(movements!$H:$H,movements!$E:$E,$A23,movements!$D:$D,"ISSUE",movements!$C:$C,"&lt;"&amp;AU$1+1)</f>
        <v>138</v>
      </c>
      <c r="AV23">
        <f>SUMIFS(movements!$H:$H,movements!$E:$E,$A23,movements!$D:$D,"OPENING",movements!$C:$C,"&lt;"&amp;AV$1+1)+SUMIFS(movements!$H:$H,movements!$E:$E,$A23,movements!$D:$D,"RECEIPT",movements!$C:$C,"&lt;"&amp;AV$1+1)-SUMIFS(movements!$H:$H,movements!$E:$E,$A23,movements!$D:$D,"ISSUE",movements!$C:$C,"&lt;"&amp;AV$1+1)</f>
        <v>127</v>
      </c>
      <c r="AW23">
        <f>SUMIFS(movements!$H:$H,movements!$E:$E,$A23,movements!$D:$D,"OPENING",movements!$C:$C,"&lt;"&amp;AW$1+1)+SUMIFS(movements!$H:$H,movements!$E:$E,$A23,movements!$D:$D,"RECEIPT",movements!$C:$C,"&lt;"&amp;AW$1+1)-SUMIFS(movements!$H:$H,movements!$E:$E,$A23,movements!$D:$D,"ISSUE",movements!$C:$C,"&lt;"&amp;AW$1+1)</f>
        <v>118</v>
      </c>
      <c r="AX23">
        <f>SUMIFS(movements!$H:$H,movements!$E:$E,$A23,movements!$D:$D,"OPENING",movements!$C:$C,"&lt;"&amp;AX$1+1)+SUMIFS(movements!$H:$H,movements!$E:$E,$A23,movements!$D:$D,"RECEIPT",movements!$C:$C,"&lt;"&amp;AX$1+1)-SUMIFS(movements!$H:$H,movements!$E:$E,$A23,movements!$D:$D,"ISSUE",movements!$C:$C,"&lt;"&amp;AX$1+1)</f>
        <v>113</v>
      </c>
      <c r="AY23">
        <f>SUMIFS(movements!$H:$H,movements!$E:$E,$A23,movements!$D:$D,"OPENING",movements!$C:$C,"&lt;"&amp;AY$1+1)+SUMIFS(movements!$H:$H,movements!$E:$E,$A23,movements!$D:$D,"RECEIPT",movements!$C:$C,"&lt;"&amp;AY$1+1)-SUMIFS(movements!$H:$H,movements!$E:$E,$A23,movements!$D:$D,"ISSUE",movements!$C:$C,"&lt;"&amp;AY$1+1)</f>
        <v>113</v>
      </c>
      <c r="AZ23">
        <f>SUMIFS(movements!$H:$H,movements!$E:$E,$A23,movements!$D:$D,"OPENING",movements!$C:$C,"&lt;"&amp;AZ$1+1)+SUMIFS(movements!$H:$H,movements!$E:$E,$A23,movements!$D:$D,"RECEIPT",movements!$C:$C,"&lt;"&amp;AZ$1+1)-SUMIFS(movements!$H:$H,movements!$E:$E,$A23,movements!$D:$D,"ISSUE",movements!$C:$C,"&lt;"&amp;AZ$1+1)</f>
        <v>112</v>
      </c>
      <c r="BA23">
        <f>SUMIFS(movements!$H:$H,movements!$E:$E,$A23,movements!$D:$D,"OPENING",movements!$C:$C,"&lt;"&amp;BA$1+1)+SUMIFS(movements!$H:$H,movements!$E:$E,$A23,movements!$D:$D,"RECEIPT",movements!$C:$C,"&lt;"&amp;BA$1+1)-SUMIFS(movements!$H:$H,movements!$E:$E,$A23,movements!$D:$D,"ISSUE",movements!$C:$C,"&lt;"&amp;BA$1+1)</f>
        <v>105</v>
      </c>
      <c r="BB23">
        <f>SUMIFS(movements!$H:$H,movements!$E:$E,$A23,movements!$D:$D,"OPENING",movements!$C:$C,"&lt;"&amp;BB$1+1)+SUMIFS(movements!$H:$H,movements!$E:$E,$A23,movements!$D:$D,"RECEIPT",movements!$C:$C,"&lt;"&amp;BB$1+1)-SUMIFS(movements!$H:$H,movements!$E:$E,$A23,movements!$D:$D,"ISSUE",movements!$C:$C,"&lt;"&amp;BB$1+1)</f>
        <v>98</v>
      </c>
      <c r="BC23">
        <f>SUMIFS(movements!$H:$H,movements!$E:$E,$A23,movements!$D:$D,"OPENING",movements!$C:$C,"&lt;"&amp;BC$1+1)+SUMIFS(movements!$H:$H,movements!$E:$E,$A23,movements!$D:$D,"RECEIPT",movements!$C:$C,"&lt;"&amp;BC$1+1)-SUMIFS(movements!$H:$H,movements!$E:$E,$A23,movements!$D:$D,"ISSUE",movements!$C:$C,"&lt;"&amp;BC$1+1)</f>
        <v>90</v>
      </c>
      <c r="BD23">
        <f>SUMIFS(movements!$H:$H,movements!$E:$E,$A23,movements!$D:$D,"OPENING",movements!$C:$C,"&lt;"&amp;BD$1+1)+SUMIFS(movements!$H:$H,movements!$E:$E,$A23,movements!$D:$D,"RECEIPT",movements!$C:$C,"&lt;"&amp;BD$1+1)-SUMIFS(movements!$H:$H,movements!$E:$E,$A23,movements!$D:$D,"ISSUE",movements!$C:$C,"&lt;"&amp;BD$1+1)</f>
        <v>90</v>
      </c>
      <c r="BE23">
        <f>SUMIFS(movements!$H:$H,movements!$E:$E,$A23,movements!$D:$D,"OPENING",movements!$C:$C,"&lt;"&amp;BE$1+1)+SUMIFS(movements!$H:$H,movements!$E:$E,$A23,movements!$D:$D,"RECEIPT",movements!$C:$C,"&lt;"&amp;BE$1+1)-SUMIFS(movements!$H:$H,movements!$E:$E,$A23,movements!$D:$D,"ISSUE",movements!$C:$C,"&lt;"&amp;BE$1+1)</f>
        <v>81</v>
      </c>
      <c r="BF23">
        <f>SUMIFS(movements!$H:$H,movements!$E:$E,$A23,movements!$D:$D,"OPENING",movements!$C:$C,"&lt;"&amp;BF$1+1)+SUMIFS(movements!$H:$H,movements!$E:$E,$A23,movements!$D:$D,"RECEIPT",movements!$C:$C,"&lt;"&amp;BF$1+1)-SUMIFS(movements!$H:$H,movements!$E:$E,$A23,movements!$D:$D,"ISSUE",movements!$C:$C,"&lt;"&amp;BF$1+1)</f>
        <v>142</v>
      </c>
      <c r="BG23">
        <f>SUMIFS(movements!$H:$H,movements!$E:$E,$A23,movements!$D:$D,"OPENING",movements!$C:$C,"&lt;"&amp;BG$1+1)+SUMIFS(movements!$H:$H,movements!$E:$E,$A23,movements!$D:$D,"RECEIPT",movements!$C:$C,"&lt;"&amp;BG$1+1)-SUMIFS(movements!$H:$H,movements!$E:$E,$A23,movements!$D:$D,"ISSUE",movements!$C:$C,"&lt;"&amp;BG$1+1)</f>
        <v>138</v>
      </c>
      <c r="BH23">
        <f>SUMIFS(movements!$H:$H,movements!$E:$E,$A23,movements!$D:$D,"OPENING",movements!$C:$C,"&lt;"&amp;BH$1+1)+SUMIFS(movements!$H:$H,movements!$E:$E,$A23,movements!$D:$D,"RECEIPT",movements!$C:$C,"&lt;"&amp;BH$1+1)-SUMIFS(movements!$H:$H,movements!$E:$E,$A23,movements!$D:$D,"ISSUE",movements!$C:$C,"&lt;"&amp;BH$1+1)</f>
        <v>138</v>
      </c>
      <c r="BI23">
        <f>SUMIFS(movements!$H:$H,movements!$E:$E,$A23,movements!$D:$D,"OPENING",movements!$C:$C,"&lt;"&amp;BI$1+1)+SUMIFS(movements!$H:$H,movements!$E:$E,$A23,movements!$D:$D,"RECEIPT",movements!$C:$C,"&lt;"&amp;BI$1+1)-SUMIFS(movements!$H:$H,movements!$E:$E,$A23,movements!$D:$D,"ISSUE",movements!$C:$C,"&lt;"&amp;BI$1+1)</f>
        <v>135</v>
      </c>
      <c r="BJ23">
        <f>SUMIFS(movements!$H:$H,movements!$E:$E,$A23,movements!$D:$D,"OPENING",movements!$C:$C,"&lt;"&amp;BJ$1+1)+SUMIFS(movements!$H:$H,movements!$E:$E,$A23,movements!$D:$D,"RECEIPT",movements!$C:$C,"&lt;"&amp;BJ$1+1)-SUMIFS(movements!$H:$H,movements!$E:$E,$A23,movements!$D:$D,"ISSUE",movements!$C:$C,"&lt;"&amp;BJ$1+1)</f>
        <v>127</v>
      </c>
      <c r="BK23">
        <f>SUMIFS(movements!$H:$H,movements!$E:$E,$A23,movements!$D:$D,"OPENING",movements!$C:$C,"&lt;"&amp;BK$1+1)+SUMIFS(movements!$H:$H,movements!$E:$E,$A23,movements!$D:$D,"RECEIPT",movements!$C:$C,"&lt;"&amp;BK$1+1)-SUMIFS(movements!$H:$H,movements!$E:$E,$A23,movements!$D:$D,"ISSUE",movements!$C:$C,"&lt;"&amp;BK$1+1)</f>
        <v>127</v>
      </c>
      <c r="BL23">
        <f>SUMIFS(movements!$H:$H,movements!$E:$E,$A23,movements!$D:$D,"OPENING",movements!$C:$C,"&lt;"&amp;BL$1+1)+SUMIFS(movements!$H:$H,movements!$E:$E,$A23,movements!$D:$D,"RECEIPT",movements!$C:$C,"&lt;"&amp;BL$1+1)-SUMIFS(movements!$H:$H,movements!$E:$E,$A23,movements!$D:$D,"ISSUE",movements!$C:$C,"&lt;"&amp;BL$1+1)</f>
        <v>124</v>
      </c>
      <c r="BM23">
        <f>SUMIFS(movements!$H:$H,movements!$E:$E,$A23,movements!$D:$D,"OPENING",movements!$C:$C,"&lt;"&amp;BM$1+1)+SUMIFS(movements!$H:$H,movements!$E:$E,$A23,movements!$D:$D,"RECEIPT",movements!$C:$C,"&lt;"&amp;BM$1+1)-SUMIFS(movements!$H:$H,movements!$E:$E,$A23,movements!$D:$D,"ISSUE",movements!$C:$C,"&lt;"&amp;BM$1+1)</f>
        <v>112</v>
      </c>
      <c r="BN23">
        <f>SUMIFS(movements!$H:$H,movements!$E:$E,$A23,movements!$D:$D,"OPENING",movements!$C:$C,"&lt;"&amp;BN$1+1)+SUMIFS(movements!$H:$H,movements!$E:$E,$A23,movements!$D:$D,"RECEIPT",movements!$C:$C,"&lt;"&amp;BN$1+1)-SUMIFS(movements!$H:$H,movements!$E:$E,$A23,movements!$D:$D,"ISSUE",movements!$C:$C,"&lt;"&amp;BN$1+1)</f>
        <v>98</v>
      </c>
      <c r="BO23">
        <f>SUMIFS(movements!$H:$H,movements!$E:$E,$A23,movements!$D:$D,"OPENING",movements!$C:$C,"&lt;"&amp;BO$1+1)+SUMIFS(movements!$H:$H,movements!$E:$E,$A23,movements!$D:$D,"RECEIPT",movements!$C:$C,"&lt;"&amp;BO$1+1)-SUMIFS(movements!$H:$H,movements!$E:$E,$A23,movements!$D:$D,"ISSUE",movements!$C:$C,"&lt;"&amp;BO$1+1)</f>
        <v>98</v>
      </c>
      <c r="BP23">
        <f>SUMIFS(movements!$H:$H,movements!$E:$E,$A23,movements!$D:$D,"OPENING",movements!$C:$C,"&lt;"&amp;BP$1+1)+SUMIFS(movements!$H:$H,movements!$E:$E,$A23,movements!$D:$D,"RECEIPT",movements!$C:$C,"&lt;"&amp;BP$1+1)-SUMIFS(movements!$H:$H,movements!$E:$E,$A23,movements!$D:$D,"ISSUE",movements!$C:$C,"&lt;"&amp;BP$1+1)</f>
        <v>88</v>
      </c>
      <c r="BQ23">
        <f>SUMIFS(movements!$H:$H,movements!$E:$E,$A23,movements!$D:$D,"OPENING",movements!$C:$C,"&lt;"&amp;BQ$1+1)+SUMIFS(movements!$H:$H,movements!$E:$E,$A23,movements!$D:$D,"RECEIPT",movements!$C:$C,"&lt;"&amp;BQ$1+1)-SUMIFS(movements!$H:$H,movements!$E:$E,$A23,movements!$D:$D,"ISSUE",movements!$C:$C,"&lt;"&amp;BQ$1+1)</f>
        <v>87</v>
      </c>
      <c r="BR23">
        <f>SUMIFS(movements!$H:$H,movements!$E:$E,$A23,movements!$D:$D,"OPENING",movements!$C:$C,"&lt;"&amp;BR$1+1)+SUMIFS(movements!$H:$H,movements!$E:$E,$A23,movements!$D:$D,"RECEIPT",movements!$C:$C,"&lt;"&amp;BR$1+1)-SUMIFS(movements!$H:$H,movements!$E:$E,$A23,movements!$D:$D,"ISSUE",movements!$C:$C,"&lt;"&amp;BR$1+1)</f>
        <v>75</v>
      </c>
      <c r="BS23">
        <f>SUMIFS(movements!$H:$H,movements!$E:$E,$A23,movements!$D:$D,"OPENING",movements!$C:$C,"&lt;"&amp;BS$1+1)+SUMIFS(movements!$H:$H,movements!$E:$E,$A23,movements!$D:$D,"RECEIPT",movements!$C:$C,"&lt;"&amp;BS$1+1)-SUMIFS(movements!$H:$H,movements!$E:$E,$A23,movements!$D:$D,"ISSUE",movements!$C:$C,"&lt;"&amp;BS$1+1)</f>
        <v>68</v>
      </c>
      <c r="BT23">
        <f>SUMIFS(movements!$H:$H,movements!$E:$E,$A23,movements!$D:$D,"OPENING",movements!$C:$C,"&lt;"&amp;BT$1+1)+SUMIFS(movements!$H:$H,movements!$E:$E,$A23,movements!$D:$D,"RECEIPT",movements!$C:$C,"&lt;"&amp;BT$1+1)-SUMIFS(movements!$H:$H,movements!$E:$E,$A23,movements!$D:$D,"ISSUE",movements!$C:$C,"&lt;"&amp;BT$1+1)</f>
        <v>144</v>
      </c>
      <c r="BU23">
        <f>SUMIFS(movements!$H:$H,movements!$E:$E,$A23,movements!$D:$D,"OPENING",movements!$C:$C,"&lt;"&amp;BU$1+1)+SUMIFS(movements!$H:$H,movements!$E:$E,$A23,movements!$D:$D,"RECEIPT",movements!$C:$C,"&lt;"&amp;BU$1+1)-SUMIFS(movements!$H:$H,movements!$E:$E,$A23,movements!$D:$D,"ISSUE",movements!$C:$C,"&lt;"&amp;BU$1+1)</f>
        <v>142</v>
      </c>
      <c r="BV23">
        <f>SUMIFS(movements!$H:$H,movements!$E:$E,$A23,movements!$D:$D,"OPENING",movements!$C:$C,"&lt;"&amp;BV$1+1)+SUMIFS(movements!$H:$H,movements!$E:$E,$A23,movements!$D:$D,"RECEIPT",movements!$C:$C,"&lt;"&amp;BV$1+1)-SUMIFS(movements!$H:$H,movements!$E:$E,$A23,movements!$D:$D,"ISSUE",movements!$C:$C,"&lt;"&amp;BV$1+1)</f>
        <v>140</v>
      </c>
      <c r="BW23">
        <f>SUMIFS(movements!$H:$H,movements!$E:$E,$A23,movements!$D:$D,"OPENING",movements!$C:$C,"&lt;"&amp;BW$1+1)+SUMIFS(movements!$H:$H,movements!$E:$E,$A23,movements!$D:$D,"RECEIPT",movements!$C:$C,"&lt;"&amp;BW$1+1)-SUMIFS(movements!$H:$H,movements!$E:$E,$A23,movements!$D:$D,"ISSUE",movements!$C:$C,"&lt;"&amp;BW$1+1)</f>
        <v>137</v>
      </c>
      <c r="BX23">
        <f>SUMIFS(movements!$H:$H,movements!$E:$E,$A23,movements!$D:$D,"OPENING",movements!$C:$C,"&lt;"&amp;BX$1+1)+SUMIFS(movements!$H:$H,movements!$E:$E,$A23,movements!$D:$D,"RECEIPT",movements!$C:$C,"&lt;"&amp;BX$1+1)-SUMIFS(movements!$H:$H,movements!$E:$E,$A23,movements!$D:$D,"ISSUE",movements!$C:$C,"&lt;"&amp;BX$1+1)</f>
        <v>125</v>
      </c>
      <c r="BY23">
        <f>SUMIFS(movements!$H:$H,movements!$E:$E,$A23,movements!$D:$D,"OPENING",movements!$C:$C,"&lt;"&amp;BY$1+1)+SUMIFS(movements!$H:$H,movements!$E:$E,$A23,movements!$D:$D,"RECEIPT",movements!$C:$C,"&lt;"&amp;BY$1+1)-SUMIFS(movements!$H:$H,movements!$E:$E,$A23,movements!$D:$D,"ISSUE",movements!$C:$C,"&lt;"&amp;BY$1+1)</f>
        <v>113</v>
      </c>
      <c r="BZ23">
        <f>SUMIFS(movements!$H:$H,movements!$E:$E,$A23,movements!$D:$D,"OPENING",movements!$C:$C,"&lt;"&amp;BZ$1+1)+SUMIFS(movements!$H:$H,movements!$E:$E,$A23,movements!$D:$D,"RECEIPT",movements!$C:$C,"&lt;"&amp;BZ$1+1)-SUMIFS(movements!$H:$H,movements!$E:$E,$A23,movements!$D:$D,"ISSUE",movements!$C:$C,"&lt;"&amp;BZ$1+1)</f>
        <v>109</v>
      </c>
      <c r="CA23">
        <f>SUMIFS(movements!$H:$H,movements!$E:$E,$A23,movements!$D:$D,"OPENING",movements!$C:$C,"&lt;"&amp;CA$1+1)+SUMIFS(movements!$H:$H,movements!$E:$E,$A23,movements!$D:$D,"RECEIPT",movements!$C:$C,"&lt;"&amp;CA$1+1)-SUMIFS(movements!$H:$H,movements!$E:$E,$A23,movements!$D:$D,"ISSUE",movements!$C:$C,"&lt;"&amp;CA$1+1)</f>
        <v>203</v>
      </c>
      <c r="CB23">
        <f>SUMIFS(movements!$H:$H,movements!$E:$E,$A23,movements!$D:$D,"OPENING",movements!$C:$C,"&lt;"&amp;CB$1+1)+SUMIFS(movements!$H:$H,movements!$E:$E,$A23,movements!$D:$D,"RECEIPT",movements!$C:$C,"&lt;"&amp;CB$1+1)-SUMIFS(movements!$H:$H,movements!$E:$E,$A23,movements!$D:$D,"ISSUE",movements!$C:$C,"&lt;"&amp;CB$1+1)</f>
        <v>199</v>
      </c>
      <c r="CC23">
        <f>SUMIFS(movements!$H:$H,movements!$E:$E,$A23,movements!$D:$D,"OPENING",movements!$C:$C,"&lt;"&amp;CC$1+1)+SUMIFS(movements!$H:$H,movements!$E:$E,$A23,movements!$D:$D,"RECEIPT",movements!$C:$C,"&lt;"&amp;CC$1+1)-SUMIFS(movements!$H:$H,movements!$E:$E,$A23,movements!$D:$D,"ISSUE",movements!$C:$C,"&lt;"&amp;CC$1+1)</f>
        <v>197</v>
      </c>
      <c r="CD23">
        <f>SUMIFS(movements!$H:$H,movements!$E:$E,$A23,movements!$D:$D,"OPENING",movements!$C:$C,"&lt;"&amp;CD$1+1)+SUMIFS(movements!$H:$H,movements!$E:$E,$A23,movements!$D:$D,"RECEIPT",movements!$C:$C,"&lt;"&amp;CD$1+1)-SUMIFS(movements!$H:$H,movements!$E:$E,$A23,movements!$D:$D,"ISSUE",movements!$C:$C,"&lt;"&amp;CD$1+1)</f>
        <v>197</v>
      </c>
      <c r="CE23">
        <f>SUMIFS(movements!$H:$H,movements!$E:$E,$A23,movements!$D:$D,"OPENING",movements!$C:$C,"&lt;"&amp;CE$1+1)+SUMIFS(movements!$H:$H,movements!$E:$E,$A23,movements!$D:$D,"RECEIPT",movements!$C:$C,"&lt;"&amp;CE$1+1)-SUMIFS(movements!$H:$H,movements!$E:$E,$A23,movements!$D:$D,"ISSUE",movements!$C:$C,"&lt;"&amp;CE$1+1)</f>
        <v>197</v>
      </c>
      <c r="CF23">
        <f>SUMIFS(movements!$H:$H,movements!$E:$E,$A23,movements!$D:$D,"OPENING",movements!$C:$C,"&lt;"&amp;CF$1+1)+SUMIFS(movements!$H:$H,movements!$E:$E,$A23,movements!$D:$D,"RECEIPT",movements!$C:$C,"&lt;"&amp;CF$1+1)-SUMIFS(movements!$H:$H,movements!$E:$E,$A23,movements!$D:$D,"ISSUE",movements!$C:$C,"&lt;"&amp;CF$1+1)</f>
        <v>197</v>
      </c>
      <c r="CG23">
        <f>SUMIFS(movements!$H:$H,movements!$E:$E,$A23,movements!$D:$D,"OPENING",movements!$C:$C,"&lt;"&amp;CG$1+1)+SUMIFS(movements!$H:$H,movements!$E:$E,$A23,movements!$D:$D,"RECEIPT",movements!$C:$C,"&lt;"&amp;CG$1+1)-SUMIFS(movements!$H:$H,movements!$E:$E,$A23,movements!$D:$D,"ISSUE",movements!$C:$C,"&lt;"&amp;CG$1+1)</f>
        <v>187</v>
      </c>
      <c r="CH23">
        <f>SUMIFS(movements!$H:$H,movements!$E:$E,$A23,movements!$D:$D,"OPENING",movements!$C:$C,"&lt;"&amp;CH$1+1)+SUMIFS(movements!$H:$H,movements!$E:$E,$A23,movements!$D:$D,"RECEIPT",movements!$C:$C,"&lt;"&amp;CH$1+1)-SUMIFS(movements!$H:$H,movements!$E:$E,$A23,movements!$D:$D,"ISSUE",movements!$C:$C,"&lt;"&amp;CH$1+1)</f>
        <v>179</v>
      </c>
      <c r="CI23">
        <f>SUMIFS(movements!$H:$H,movements!$E:$E,$A23,movements!$D:$D,"OPENING",movements!$C:$C,"&lt;"&amp;CI$1+1)+SUMIFS(movements!$H:$H,movements!$E:$E,$A23,movements!$D:$D,"RECEIPT",movements!$C:$C,"&lt;"&amp;CI$1+1)-SUMIFS(movements!$H:$H,movements!$E:$E,$A23,movements!$D:$D,"ISSUE",movements!$C:$C,"&lt;"&amp;CI$1+1)</f>
        <v>175</v>
      </c>
      <c r="CJ23">
        <f>SUMIFS(movements!$H:$H,movements!$E:$E,$A23,movements!$D:$D,"OPENING",movements!$C:$C,"&lt;"&amp;CJ$1+1)+SUMIFS(movements!$H:$H,movements!$E:$E,$A23,movements!$D:$D,"RECEIPT",movements!$C:$C,"&lt;"&amp;CJ$1+1)-SUMIFS(movements!$H:$H,movements!$E:$E,$A23,movements!$D:$D,"ISSUE",movements!$C:$C,"&lt;"&amp;CJ$1+1)</f>
        <v>170</v>
      </c>
      <c r="CK23">
        <f>SUMIFS(movements!$H:$H,movements!$E:$E,$A23,movements!$D:$D,"OPENING",movements!$C:$C,"&lt;"&amp;CK$1+1)+SUMIFS(movements!$H:$H,movements!$E:$E,$A23,movements!$D:$D,"RECEIPT",movements!$C:$C,"&lt;"&amp;CK$1+1)-SUMIFS(movements!$H:$H,movements!$E:$E,$A23,movements!$D:$D,"ISSUE",movements!$C:$C,"&lt;"&amp;CK$1+1)</f>
        <v>160</v>
      </c>
      <c r="CL23">
        <f>SUMIFS(movements!$H:$H,movements!$E:$E,$A23,movements!$D:$D,"OPENING",movements!$C:$C,"&lt;"&amp;CL$1+1)+SUMIFS(movements!$H:$H,movements!$E:$E,$A23,movements!$D:$D,"RECEIPT",movements!$C:$C,"&lt;"&amp;CL$1+1)-SUMIFS(movements!$H:$H,movements!$E:$E,$A23,movements!$D:$D,"ISSUE",movements!$C:$C,"&lt;"&amp;CL$1+1)</f>
        <v>154</v>
      </c>
      <c r="CM23">
        <f>SUMIFS(movements!$H:$H,movements!$E:$E,$A23,movements!$D:$D,"OPENING",movements!$C:$C,"&lt;"&amp;CM$1+1)+SUMIFS(movements!$H:$H,movements!$E:$E,$A23,movements!$D:$D,"RECEIPT",movements!$C:$C,"&lt;"&amp;CM$1+1)-SUMIFS(movements!$H:$H,movements!$E:$E,$A23,movements!$D:$D,"ISSUE",movements!$C:$C,"&lt;"&amp;CM$1+1)</f>
        <v>153</v>
      </c>
      <c r="CN23">
        <f t="shared" si="2"/>
        <v>123.81111111111112</v>
      </c>
      <c r="CO23">
        <f>SUMIFS(movements!$H:$H,movements!$E:$E,$A23,movements!$D:$D,"ISSUE",movements!$C:$C,"&gt;="&amp;$B$1,movements!$C:$C,"&lt;"&amp;($CM$1+1))</f>
        <v>480</v>
      </c>
      <c r="CP23">
        <f t="shared" si="3"/>
        <v>3.8768733734182894</v>
      </c>
      <c r="CQ23">
        <f t="shared" si="4"/>
        <v>23.214583333333334</v>
      </c>
    </row>
    <row r="24" spans="1:95" x14ac:dyDescent="0.25">
      <c r="A24" t="s">
        <v>67</v>
      </c>
      <c r="B24">
        <f>SUMIFS(movements!$H:$H,movements!$E:$E,$A24,movements!$D:$D,"OPENING",movements!$C:$C,"&lt;"&amp;B$1+1)+SUMIFS(movements!$H:$H,movements!$E:$E,$A24,movements!$D:$D,"RECEIPT",movements!$C:$C,"&lt;"&amp;B$1+1)-SUMIFS(movements!$H:$H,movements!$E:$E,$A24,movements!$D:$D,"ISSUE",movements!$C:$C,"&lt;"&amp;B$1+1)</f>
        <v>76</v>
      </c>
      <c r="C24">
        <f>SUMIFS(movements!$H:$H,movements!$E:$E,$A24,movements!$D:$D,"OPENING",movements!$C:$C,"&lt;"&amp;C$1+1)+SUMIFS(movements!$H:$H,movements!$E:$E,$A24,movements!$D:$D,"RECEIPT",movements!$C:$C,"&lt;"&amp;C$1+1)-SUMIFS(movements!$H:$H,movements!$E:$E,$A24,movements!$D:$D,"ISSUE",movements!$C:$C,"&lt;"&amp;C$1+1)</f>
        <v>74</v>
      </c>
      <c r="D24">
        <f>SUMIFS(movements!$H:$H,movements!$E:$E,$A24,movements!$D:$D,"OPENING",movements!$C:$C,"&lt;"&amp;D$1+1)+SUMIFS(movements!$H:$H,movements!$E:$E,$A24,movements!$D:$D,"RECEIPT",movements!$C:$C,"&lt;"&amp;D$1+1)-SUMIFS(movements!$H:$H,movements!$E:$E,$A24,movements!$D:$D,"ISSUE",movements!$C:$C,"&lt;"&amp;D$1+1)</f>
        <v>68</v>
      </c>
      <c r="E24">
        <f>SUMIFS(movements!$H:$H,movements!$E:$E,$A24,movements!$D:$D,"OPENING",movements!$C:$C,"&lt;"&amp;E$1+1)+SUMIFS(movements!$H:$H,movements!$E:$E,$A24,movements!$D:$D,"RECEIPT",movements!$C:$C,"&lt;"&amp;E$1+1)-SUMIFS(movements!$H:$H,movements!$E:$E,$A24,movements!$D:$D,"ISSUE",movements!$C:$C,"&lt;"&amp;E$1+1)</f>
        <v>68</v>
      </c>
      <c r="F24">
        <f>SUMIFS(movements!$H:$H,movements!$E:$E,$A24,movements!$D:$D,"OPENING",movements!$C:$C,"&lt;"&amp;F$1+1)+SUMIFS(movements!$H:$H,movements!$E:$E,$A24,movements!$D:$D,"RECEIPT",movements!$C:$C,"&lt;"&amp;F$1+1)-SUMIFS(movements!$H:$H,movements!$E:$E,$A24,movements!$D:$D,"ISSUE",movements!$C:$C,"&lt;"&amp;F$1+1)</f>
        <v>59</v>
      </c>
      <c r="G24">
        <f>SUMIFS(movements!$H:$H,movements!$E:$E,$A24,movements!$D:$D,"OPENING",movements!$C:$C,"&lt;"&amp;G$1+1)+SUMIFS(movements!$H:$H,movements!$E:$E,$A24,movements!$D:$D,"RECEIPT",movements!$C:$C,"&lt;"&amp;G$1+1)-SUMIFS(movements!$H:$H,movements!$E:$E,$A24,movements!$D:$D,"ISSUE",movements!$C:$C,"&lt;"&amp;G$1+1)</f>
        <v>55</v>
      </c>
      <c r="H24">
        <f>SUMIFS(movements!$H:$H,movements!$E:$E,$A24,movements!$D:$D,"OPENING",movements!$C:$C,"&lt;"&amp;H$1+1)+SUMIFS(movements!$H:$H,movements!$E:$E,$A24,movements!$D:$D,"RECEIPT",movements!$C:$C,"&lt;"&amp;H$1+1)-SUMIFS(movements!$H:$H,movements!$E:$E,$A24,movements!$D:$D,"ISSUE",movements!$C:$C,"&lt;"&amp;H$1+1)</f>
        <v>49</v>
      </c>
      <c r="I24">
        <f>SUMIFS(movements!$H:$H,movements!$E:$E,$A24,movements!$D:$D,"OPENING",movements!$C:$C,"&lt;"&amp;I$1+1)+SUMIFS(movements!$H:$H,movements!$E:$E,$A24,movements!$D:$D,"RECEIPT",movements!$C:$C,"&lt;"&amp;I$1+1)-SUMIFS(movements!$H:$H,movements!$E:$E,$A24,movements!$D:$D,"ISSUE",movements!$C:$C,"&lt;"&amp;I$1+1)</f>
        <v>123</v>
      </c>
      <c r="J24">
        <f>SUMIFS(movements!$H:$H,movements!$E:$E,$A24,movements!$D:$D,"OPENING",movements!$C:$C,"&lt;"&amp;J$1+1)+SUMIFS(movements!$H:$H,movements!$E:$E,$A24,movements!$D:$D,"RECEIPT",movements!$C:$C,"&lt;"&amp;J$1+1)-SUMIFS(movements!$H:$H,movements!$E:$E,$A24,movements!$D:$D,"ISSUE",movements!$C:$C,"&lt;"&amp;J$1+1)</f>
        <v>116</v>
      </c>
      <c r="K24">
        <f>SUMIFS(movements!$H:$H,movements!$E:$E,$A24,movements!$D:$D,"OPENING",movements!$C:$C,"&lt;"&amp;K$1+1)+SUMIFS(movements!$H:$H,movements!$E:$E,$A24,movements!$D:$D,"RECEIPT",movements!$C:$C,"&lt;"&amp;K$1+1)-SUMIFS(movements!$H:$H,movements!$E:$E,$A24,movements!$D:$D,"ISSUE",movements!$C:$C,"&lt;"&amp;K$1+1)</f>
        <v>116</v>
      </c>
      <c r="L24">
        <f>SUMIFS(movements!$H:$H,movements!$E:$E,$A24,movements!$D:$D,"OPENING",movements!$C:$C,"&lt;"&amp;L$1+1)+SUMIFS(movements!$H:$H,movements!$E:$E,$A24,movements!$D:$D,"RECEIPT",movements!$C:$C,"&lt;"&amp;L$1+1)-SUMIFS(movements!$H:$H,movements!$E:$E,$A24,movements!$D:$D,"ISSUE",movements!$C:$C,"&lt;"&amp;L$1+1)</f>
        <v>113</v>
      </c>
      <c r="M24">
        <f>SUMIFS(movements!$H:$H,movements!$E:$E,$A24,movements!$D:$D,"OPENING",movements!$C:$C,"&lt;"&amp;M$1+1)+SUMIFS(movements!$H:$H,movements!$E:$E,$A24,movements!$D:$D,"RECEIPT",movements!$C:$C,"&lt;"&amp;M$1+1)-SUMIFS(movements!$H:$H,movements!$E:$E,$A24,movements!$D:$D,"ISSUE",movements!$C:$C,"&lt;"&amp;M$1+1)</f>
        <v>108</v>
      </c>
      <c r="N24">
        <f>SUMIFS(movements!$H:$H,movements!$E:$E,$A24,movements!$D:$D,"OPENING",movements!$C:$C,"&lt;"&amp;N$1+1)+SUMIFS(movements!$H:$H,movements!$E:$E,$A24,movements!$D:$D,"RECEIPT",movements!$C:$C,"&lt;"&amp;N$1+1)-SUMIFS(movements!$H:$H,movements!$E:$E,$A24,movements!$D:$D,"ISSUE",movements!$C:$C,"&lt;"&amp;N$1+1)</f>
        <v>103</v>
      </c>
      <c r="O24">
        <f>SUMIFS(movements!$H:$H,movements!$E:$E,$A24,movements!$D:$D,"OPENING",movements!$C:$C,"&lt;"&amp;O$1+1)+SUMIFS(movements!$H:$H,movements!$E:$E,$A24,movements!$D:$D,"RECEIPT",movements!$C:$C,"&lt;"&amp;O$1+1)-SUMIFS(movements!$H:$H,movements!$E:$E,$A24,movements!$D:$D,"ISSUE",movements!$C:$C,"&lt;"&amp;O$1+1)</f>
        <v>91</v>
      </c>
      <c r="P24">
        <f>SUMIFS(movements!$H:$H,movements!$E:$E,$A24,movements!$D:$D,"OPENING",movements!$C:$C,"&lt;"&amp;P$1+1)+SUMIFS(movements!$H:$H,movements!$E:$E,$A24,movements!$D:$D,"RECEIPT",movements!$C:$C,"&lt;"&amp;P$1+1)-SUMIFS(movements!$H:$H,movements!$E:$E,$A24,movements!$D:$D,"ISSUE",movements!$C:$C,"&lt;"&amp;P$1+1)</f>
        <v>173</v>
      </c>
      <c r="Q24">
        <f>SUMIFS(movements!$H:$H,movements!$E:$E,$A24,movements!$D:$D,"OPENING",movements!$C:$C,"&lt;"&amp;Q$1+1)+SUMIFS(movements!$H:$H,movements!$E:$E,$A24,movements!$D:$D,"RECEIPT",movements!$C:$C,"&lt;"&amp;Q$1+1)-SUMIFS(movements!$H:$H,movements!$E:$E,$A24,movements!$D:$D,"ISSUE",movements!$C:$C,"&lt;"&amp;Q$1+1)</f>
        <v>173</v>
      </c>
      <c r="R24">
        <f>SUMIFS(movements!$H:$H,movements!$E:$E,$A24,movements!$D:$D,"OPENING",movements!$C:$C,"&lt;"&amp;R$1+1)+SUMIFS(movements!$H:$H,movements!$E:$E,$A24,movements!$D:$D,"RECEIPT",movements!$C:$C,"&lt;"&amp;R$1+1)-SUMIFS(movements!$H:$H,movements!$E:$E,$A24,movements!$D:$D,"ISSUE",movements!$C:$C,"&lt;"&amp;R$1+1)</f>
        <v>173</v>
      </c>
      <c r="S24">
        <f>SUMIFS(movements!$H:$H,movements!$E:$E,$A24,movements!$D:$D,"OPENING",movements!$C:$C,"&lt;"&amp;S$1+1)+SUMIFS(movements!$H:$H,movements!$E:$E,$A24,movements!$D:$D,"RECEIPT",movements!$C:$C,"&lt;"&amp;S$1+1)-SUMIFS(movements!$H:$H,movements!$E:$E,$A24,movements!$D:$D,"ISSUE",movements!$C:$C,"&lt;"&amp;S$1+1)</f>
        <v>173</v>
      </c>
      <c r="T24">
        <f>SUMIFS(movements!$H:$H,movements!$E:$E,$A24,movements!$D:$D,"OPENING",movements!$C:$C,"&lt;"&amp;T$1+1)+SUMIFS(movements!$H:$H,movements!$E:$E,$A24,movements!$D:$D,"RECEIPT",movements!$C:$C,"&lt;"&amp;T$1+1)-SUMIFS(movements!$H:$H,movements!$E:$E,$A24,movements!$D:$D,"ISSUE",movements!$C:$C,"&lt;"&amp;T$1+1)</f>
        <v>169</v>
      </c>
      <c r="U24">
        <f>SUMIFS(movements!$H:$H,movements!$E:$E,$A24,movements!$D:$D,"OPENING",movements!$C:$C,"&lt;"&amp;U$1+1)+SUMIFS(movements!$H:$H,movements!$E:$E,$A24,movements!$D:$D,"RECEIPT",movements!$C:$C,"&lt;"&amp;U$1+1)-SUMIFS(movements!$H:$H,movements!$E:$E,$A24,movements!$D:$D,"ISSUE",movements!$C:$C,"&lt;"&amp;U$1+1)</f>
        <v>161</v>
      </c>
      <c r="V24">
        <f>SUMIFS(movements!$H:$H,movements!$E:$E,$A24,movements!$D:$D,"OPENING",movements!$C:$C,"&lt;"&amp;V$1+1)+SUMIFS(movements!$H:$H,movements!$E:$E,$A24,movements!$D:$D,"RECEIPT",movements!$C:$C,"&lt;"&amp;V$1+1)-SUMIFS(movements!$H:$H,movements!$E:$E,$A24,movements!$D:$D,"ISSUE",movements!$C:$C,"&lt;"&amp;V$1+1)</f>
        <v>160</v>
      </c>
      <c r="W24">
        <f>SUMIFS(movements!$H:$H,movements!$E:$E,$A24,movements!$D:$D,"OPENING",movements!$C:$C,"&lt;"&amp;W$1+1)+SUMIFS(movements!$H:$H,movements!$E:$E,$A24,movements!$D:$D,"RECEIPT",movements!$C:$C,"&lt;"&amp;W$1+1)-SUMIFS(movements!$H:$H,movements!$E:$E,$A24,movements!$D:$D,"ISSUE",movements!$C:$C,"&lt;"&amp;W$1+1)</f>
        <v>160</v>
      </c>
      <c r="X24">
        <f>SUMIFS(movements!$H:$H,movements!$E:$E,$A24,movements!$D:$D,"OPENING",movements!$C:$C,"&lt;"&amp;X$1+1)+SUMIFS(movements!$H:$H,movements!$E:$E,$A24,movements!$D:$D,"RECEIPT",movements!$C:$C,"&lt;"&amp;X$1+1)-SUMIFS(movements!$H:$H,movements!$E:$E,$A24,movements!$D:$D,"ISSUE",movements!$C:$C,"&lt;"&amp;X$1+1)</f>
        <v>154</v>
      </c>
      <c r="Y24">
        <f>SUMIFS(movements!$H:$H,movements!$E:$E,$A24,movements!$D:$D,"OPENING",movements!$C:$C,"&lt;"&amp;Y$1+1)+SUMIFS(movements!$H:$H,movements!$E:$E,$A24,movements!$D:$D,"RECEIPT",movements!$C:$C,"&lt;"&amp;Y$1+1)-SUMIFS(movements!$H:$H,movements!$E:$E,$A24,movements!$D:$D,"ISSUE",movements!$C:$C,"&lt;"&amp;Y$1+1)</f>
        <v>151</v>
      </c>
      <c r="Z24">
        <f>SUMIFS(movements!$H:$H,movements!$E:$E,$A24,movements!$D:$D,"OPENING",movements!$C:$C,"&lt;"&amp;Z$1+1)+SUMIFS(movements!$H:$H,movements!$E:$E,$A24,movements!$D:$D,"RECEIPT",movements!$C:$C,"&lt;"&amp;Z$1+1)-SUMIFS(movements!$H:$H,movements!$E:$E,$A24,movements!$D:$D,"ISSUE",movements!$C:$C,"&lt;"&amp;Z$1+1)</f>
        <v>151</v>
      </c>
      <c r="AA24">
        <f>SUMIFS(movements!$H:$H,movements!$E:$E,$A24,movements!$D:$D,"OPENING",movements!$C:$C,"&lt;"&amp;AA$1+1)+SUMIFS(movements!$H:$H,movements!$E:$E,$A24,movements!$D:$D,"RECEIPT",movements!$C:$C,"&lt;"&amp;AA$1+1)-SUMIFS(movements!$H:$H,movements!$E:$E,$A24,movements!$D:$D,"ISSUE",movements!$C:$C,"&lt;"&amp;AA$1+1)</f>
        <v>146</v>
      </c>
      <c r="AB24">
        <f>SUMIFS(movements!$H:$H,movements!$E:$E,$A24,movements!$D:$D,"OPENING",movements!$C:$C,"&lt;"&amp;AB$1+1)+SUMIFS(movements!$H:$H,movements!$E:$E,$A24,movements!$D:$D,"RECEIPT",movements!$C:$C,"&lt;"&amp;AB$1+1)-SUMIFS(movements!$H:$H,movements!$E:$E,$A24,movements!$D:$D,"ISSUE",movements!$C:$C,"&lt;"&amp;AB$1+1)</f>
        <v>137</v>
      </c>
      <c r="AC24">
        <f>SUMIFS(movements!$H:$H,movements!$E:$E,$A24,movements!$D:$D,"OPENING",movements!$C:$C,"&lt;"&amp;AC$1+1)+SUMIFS(movements!$H:$H,movements!$E:$E,$A24,movements!$D:$D,"RECEIPT",movements!$C:$C,"&lt;"&amp;AC$1+1)-SUMIFS(movements!$H:$H,movements!$E:$E,$A24,movements!$D:$D,"ISSUE",movements!$C:$C,"&lt;"&amp;AC$1+1)</f>
        <v>129</v>
      </c>
      <c r="AD24">
        <f>SUMIFS(movements!$H:$H,movements!$E:$E,$A24,movements!$D:$D,"OPENING",movements!$C:$C,"&lt;"&amp;AD$1+1)+SUMIFS(movements!$H:$H,movements!$E:$E,$A24,movements!$D:$D,"RECEIPT",movements!$C:$C,"&lt;"&amp;AD$1+1)-SUMIFS(movements!$H:$H,movements!$E:$E,$A24,movements!$D:$D,"ISSUE",movements!$C:$C,"&lt;"&amp;AD$1+1)</f>
        <v>129</v>
      </c>
      <c r="AE24">
        <f>SUMIFS(movements!$H:$H,movements!$E:$E,$A24,movements!$D:$D,"OPENING",movements!$C:$C,"&lt;"&amp;AE$1+1)+SUMIFS(movements!$H:$H,movements!$E:$E,$A24,movements!$D:$D,"RECEIPT",movements!$C:$C,"&lt;"&amp;AE$1+1)-SUMIFS(movements!$H:$H,movements!$E:$E,$A24,movements!$D:$D,"ISSUE",movements!$C:$C,"&lt;"&amp;AE$1+1)</f>
        <v>123</v>
      </c>
      <c r="AF24">
        <f>SUMIFS(movements!$H:$H,movements!$E:$E,$A24,movements!$D:$D,"OPENING",movements!$C:$C,"&lt;"&amp;AF$1+1)+SUMIFS(movements!$H:$H,movements!$E:$E,$A24,movements!$D:$D,"RECEIPT",movements!$C:$C,"&lt;"&amp;AF$1+1)-SUMIFS(movements!$H:$H,movements!$E:$E,$A24,movements!$D:$D,"ISSUE",movements!$C:$C,"&lt;"&amp;AF$1+1)</f>
        <v>119</v>
      </c>
      <c r="AG24">
        <f>SUMIFS(movements!$H:$H,movements!$E:$E,$A24,movements!$D:$D,"OPENING",movements!$C:$C,"&lt;"&amp;AG$1+1)+SUMIFS(movements!$H:$H,movements!$E:$E,$A24,movements!$D:$D,"RECEIPT",movements!$C:$C,"&lt;"&amp;AG$1+1)-SUMIFS(movements!$H:$H,movements!$E:$E,$A24,movements!$D:$D,"ISSUE",movements!$C:$C,"&lt;"&amp;AG$1+1)</f>
        <v>118</v>
      </c>
      <c r="AH24">
        <f>SUMIFS(movements!$H:$H,movements!$E:$E,$A24,movements!$D:$D,"OPENING",movements!$C:$C,"&lt;"&amp;AH$1+1)+SUMIFS(movements!$H:$H,movements!$E:$E,$A24,movements!$D:$D,"RECEIPT",movements!$C:$C,"&lt;"&amp;AH$1+1)-SUMIFS(movements!$H:$H,movements!$E:$E,$A24,movements!$D:$D,"ISSUE",movements!$C:$C,"&lt;"&amp;AH$1+1)</f>
        <v>114</v>
      </c>
      <c r="AI24">
        <f>SUMIFS(movements!$H:$H,movements!$E:$E,$A24,movements!$D:$D,"OPENING",movements!$C:$C,"&lt;"&amp;AI$1+1)+SUMIFS(movements!$H:$H,movements!$E:$E,$A24,movements!$D:$D,"RECEIPT",movements!$C:$C,"&lt;"&amp;AI$1+1)-SUMIFS(movements!$H:$H,movements!$E:$E,$A24,movements!$D:$D,"ISSUE",movements!$C:$C,"&lt;"&amp;AI$1+1)</f>
        <v>109</v>
      </c>
      <c r="AJ24">
        <f>SUMIFS(movements!$H:$H,movements!$E:$E,$A24,movements!$D:$D,"OPENING",movements!$C:$C,"&lt;"&amp;AJ$1+1)+SUMIFS(movements!$H:$H,movements!$E:$E,$A24,movements!$D:$D,"RECEIPT",movements!$C:$C,"&lt;"&amp;AJ$1+1)-SUMIFS(movements!$H:$H,movements!$E:$E,$A24,movements!$D:$D,"ISSUE",movements!$C:$C,"&lt;"&amp;AJ$1+1)</f>
        <v>105</v>
      </c>
      <c r="AK24">
        <f>SUMIFS(movements!$H:$H,movements!$E:$E,$A24,movements!$D:$D,"OPENING",movements!$C:$C,"&lt;"&amp;AK$1+1)+SUMIFS(movements!$H:$H,movements!$E:$E,$A24,movements!$D:$D,"RECEIPT",movements!$C:$C,"&lt;"&amp;AK$1+1)-SUMIFS(movements!$H:$H,movements!$E:$E,$A24,movements!$D:$D,"ISSUE",movements!$C:$C,"&lt;"&amp;AK$1+1)</f>
        <v>175</v>
      </c>
      <c r="AL24">
        <f>SUMIFS(movements!$H:$H,movements!$E:$E,$A24,movements!$D:$D,"OPENING",movements!$C:$C,"&lt;"&amp;AL$1+1)+SUMIFS(movements!$H:$H,movements!$E:$E,$A24,movements!$D:$D,"RECEIPT",movements!$C:$C,"&lt;"&amp;AL$1+1)-SUMIFS(movements!$H:$H,movements!$E:$E,$A24,movements!$D:$D,"ISSUE",movements!$C:$C,"&lt;"&amp;AL$1+1)</f>
        <v>175</v>
      </c>
      <c r="AM24">
        <f>SUMIFS(movements!$H:$H,movements!$E:$E,$A24,movements!$D:$D,"OPENING",movements!$C:$C,"&lt;"&amp;AM$1+1)+SUMIFS(movements!$H:$H,movements!$E:$E,$A24,movements!$D:$D,"RECEIPT",movements!$C:$C,"&lt;"&amp;AM$1+1)-SUMIFS(movements!$H:$H,movements!$E:$E,$A24,movements!$D:$D,"ISSUE",movements!$C:$C,"&lt;"&amp;AM$1+1)</f>
        <v>170</v>
      </c>
      <c r="AN24">
        <f>SUMIFS(movements!$H:$H,movements!$E:$E,$A24,movements!$D:$D,"OPENING",movements!$C:$C,"&lt;"&amp;AN$1+1)+SUMIFS(movements!$H:$H,movements!$E:$E,$A24,movements!$D:$D,"RECEIPT",movements!$C:$C,"&lt;"&amp;AN$1+1)-SUMIFS(movements!$H:$H,movements!$E:$E,$A24,movements!$D:$D,"ISSUE",movements!$C:$C,"&lt;"&amp;AN$1+1)</f>
        <v>167</v>
      </c>
      <c r="AO24">
        <f>SUMIFS(movements!$H:$H,movements!$E:$E,$A24,movements!$D:$D,"OPENING",movements!$C:$C,"&lt;"&amp;AO$1+1)+SUMIFS(movements!$H:$H,movements!$E:$E,$A24,movements!$D:$D,"RECEIPT",movements!$C:$C,"&lt;"&amp;AO$1+1)-SUMIFS(movements!$H:$H,movements!$E:$E,$A24,movements!$D:$D,"ISSUE",movements!$C:$C,"&lt;"&amp;AO$1+1)</f>
        <v>160</v>
      </c>
      <c r="AP24">
        <f>SUMIFS(movements!$H:$H,movements!$E:$E,$A24,movements!$D:$D,"OPENING",movements!$C:$C,"&lt;"&amp;AP$1+1)+SUMIFS(movements!$H:$H,movements!$E:$E,$A24,movements!$D:$D,"RECEIPT",movements!$C:$C,"&lt;"&amp;AP$1+1)-SUMIFS(movements!$H:$H,movements!$E:$E,$A24,movements!$D:$D,"ISSUE",movements!$C:$C,"&lt;"&amp;AP$1+1)</f>
        <v>154</v>
      </c>
      <c r="AQ24">
        <f>SUMIFS(movements!$H:$H,movements!$E:$E,$A24,movements!$D:$D,"OPENING",movements!$C:$C,"&lt;"&amp;AQ$1+1)+SUMIFS(movements!$H:$H,movements!$E:$E,$A24,movements!$D:$D,"RECEIPT",movements!$C:$C,"&lt;"&amp;AQ$1+1)-SUMIFS(movements!$H:$H,movements!$E:$E,$A24,movements!$D:$D,"ISSUE",movements!$C:$C,"&lt;"&amp;AQ$1+1)</f>
        <v>147</v>
      </c>
      <c r="AR24">
        <f>SUMIFS(movements!$H:$H,movements!$E:$E,$A24,movements!$D:$D,"OPENING",movements!$C:$C,"&lt;"&amp;AR$1+1)+SUMIFS(movements!$H:$H,movements!$E:$E,$A24,movements!$D:$D,"RECEIPT",movements!$C:$C,"&lt;"&amp;AR$1+1)-SUMIFS(movements!$H:$H,movements!$E:$E,$A24,movements!$D:$D,"ISSUE",movements!$C:$C,"&lt;"&amp;AR$1+1)</f>
        <v>142</v>
      </c>
      <c r="AS24">
        <f>SUMIFS(movements!$H:$H,movements!$E:$E,$A24,movements!$D:$D,"OPENING",movements!$C:$C,"&lt;"&amp;AS$1+1)+SUMIFS(movements!$H:$H,movements!$E:$E,$A24,movements!$D:$D,"RECEIPT",movements!$C:$C,"&lt;"&amp;AS$1+1)-SUMIFS(movements!$H:$H,movements!$E:$E,$A24,movements!$D:$D,"ISSUE",movements!$C:$C,"&lt;"&amp;AS$1+1)</f>
        <v>135</v>
      </c>
      <c r="AT24">
        <f>SUMIFS(movements!$H:$H,movements!$E:$E,$A24,movements!$D:$D,"OPENING",movements!$C:$C,"&lt;"&amp;AT$1+1)+SUMIFS(movements!$H:$H,movements!$E:$E,$A24,movements!$D:$D,"RECEIPT",movements!$C:$C,"&lt;"&amp;AT$1+1)-SUMIFS(movements!$H:$H,movements!$E:$E,$A24,movements!$D:$D,"ISSUE",movements!$C:$C,"&lt;"&amp;AT$1+1)</f>
        <v>132</v>
      </c>
      <c r="AU24">
        <f>SUMIFS(movements!$H:$H,movements!$E:$E,$A24,movements!$D:$D,"OPENING",movements!$C:$C,"&lt;"&amp;AU$1+1)+SUMIFS(movements!$H:$H,movements!$E:$E,$A24,movements!$D:$D,"RECEIPT",movements!$C:$C,"&lt;"&amp;AU$1+1)-SUMIFS(movements!$H:$H,movements!$E:$E,$A24,movements!$D:$D,"ISSUE",movements!$C:$C,"&lt;"&amp;AU$1+1)</f>
        <v>117</v>
      </c>
      <c r="AV24">
        <f>SUMIFS(movements!$H:$H,movements!$E:$E,$A24,movements!$D:$D,"OPENING",movements!$C:$C,"&lt;"&amp;AV$1+1)+SUMIFS(movements!$H:$H,movements!$E:$E,$A24,movements!$D:$D,"RECEIPT",movements!$C:$C,"&lt;"&amp;AV$1+1)-SUMIFS(movements!$H:$H,movements!$E:$E,$A24,movements!$D:$D,"ISSUE",movements!$C:$C,"&lt;"&amp;AV$1+1)</f>
        <v>116</v>
      </c>
      <c r="AW24">
        <f>SUMIFS(movements!$H:$H,movements!$E:$E,$A24,movements!$D:$D,"OPENING",movements!$C:$C,"&lt;"&amp;AW$1+1)+SUMIFS(movements!$H:$H,movements!$E:$E,$A24,movements!$D:$D,"RECEIPT",movements!$C:$C,"&lt;"&amp;AW$1+1)-SUMIFS(movements!$H:$H,movements!$E:$E,$A24,movements!$D:$D,"ISSUE",movements!$C:$C,"&lt;"&amp;AW$1+1)</f>
        <v>102</v>
      </c>
      <c r="AX24">
        <f>SUMIFS(movements!$H:$H,movements!$E:$E,$A24,movements!$D:$D,"OPENING",movements!$C:$C,"&lt;"&amp;AX$1+1)+SUMIFS(movements!$H:$H,movements!$E:$E,$A24,movements!$D:$D,"RECEIPT",movements!$C:$C,"&lt;"&amp;AX$1+1)-SUMIFS(movements!$H:$H,movements!$E:$E,$A24,movements!$D:$D,"ISSUE",movements!$C:$C,"&lt;"&amp;AX$1+1)</f>
        <v>92</v>
      </c>
      <c r="AY24">
        <f>SUMIFS(movements!$H:$H,movements!$E:$E,$A24,movements!$D:$D,"OPENING",movements!$C:$C,"&lt;"&amp;AY$1+1)+SUMIFS(movements!$H:$H,movements!$E:$E,$A24,movements!$D:$D,"RECEIPT",movements!$C:$C,"&lt;"&amp;AY$1+1)-SUMIFS(movements!$H:$H,movements!$E:$E,$A24,movements!$D:$D,"ISSUE",movements!$C:$C,"&lt;"&amp;AY$1+1)</f>
        <v>173</v>
      </c>
      <c r="AZ24">
        <f>SUMIFS(movements!$H:$H,movements!$E:$E,$A24,movements!$D:$D,"OPENING",movements!$C:$C,"&lt;"&amp;AZ$1+1)+SUMIFS(movements!$H:$H,movements!$E:$E,$A24,movements!$D:$D,"RECEIPT",movements!$C:$C,"&lt;"&amp;AZ$1+1)-SUMIFS(movements!$H:$H,movements!$E:$E,$A24,movements!$D:$D,"ISSUE",movements!$C:$C,"&lt;"&amp;AZ$1+1)</f>
        <v>165</v>
      </c>
      <c r="BA24">
        <f>SUMIFS(movements!$H:$H,movements!$E:$E,$A24,movements!$D:$D,"OPENING",movements!$C:$C,"&lt;"&amp;BA$1+1)+SUMIFS(movements!$H:$H,movements!$E:$E,$A24,movements!$D:$D,"RECEIPT",movements!$C:$C,"&lt;"&amp;BA$1+1)-SUMIFS(movements!$H:$H,movements!$E:$E,$A24,movements!$D:$D,"ISSUE",movements!$C:$C,"&lt;"&amp;BA$1+1)</f>
        <v>159</v>
      </c>
      <c r="BB24">
        <f>SUMIFS(movements!$H:$H,movements!$E:$E,$A24,movements!$D:$D,"OPENING",movements!$C:$C,"&lt;"&amp;BB$1+1)+SUMIFS(movements!$H:$H,movements!$E:$E,$A24,movements!$D:$D,"RECEIPT",movements!$C:$C,"&lt;"&amp;BB$1+1)-SUMIFS(movements!$H:$H,movements!$E:$E,$A24,movements!$D:$D,"ISSUE",movements!$C:$C,"&lt;"&amp;BB$1+1)</f>
        <v>155</v>
      </c>
      <c r="BC24">
        <f>SUMIFS(movements!$H:$H,movements!$E:$E,$A24,movements!$D:$D,"OPENING",movements!$C:$C,"&lt;"&amp;BC$1+1)+SUMIFS(movements!$H:$H,movements!$E:$E,$A24,movements!$D:$D,"RECEIPT",movements!$C:$C,"&lt;"&amp;BC$1+1)-SUMIFS(movements!$H:$H,movements!$E:$E,$A24,movements!$D:$D,"ISSUE",movements!$C:$C,"&lt;"&amp;BC$1+1)</f>
        <v>143</v>
      </c>
      <c r="BD24">
        <f>SUMIFS(movements!$H:$H,movements!$E:$E,$A24,movements!$D:$D,"OPENING",movements!$C:$C,"&lt;"&amp;BD$1+1)+SUMIFS(movements!$H:$H,movements!$E:$E,$A24,movements!$D:$D,"RECEIPT",movements!$C:$C,"&lt;"&amp;BD$1+1)-SUMIFS(movements!$H:$H,movements!$E:$E,$A24,movements!$D:$D,"ISSUE",movements!$C:$C,"&lt;"&amp;BD$1+1)</f>
        <v>139</v>
      </c>
      <c r="BE24">
        <f>SUMIFS(movements!$H:$H,movements!$E:$E,$A24,movements!$D:$D,"OPENING",movements!$C:$C,"&lt;"&amp;BE$1+1)+SUMIFS(movements!$H:$H,movements!$E:$E,$A24,movements!$D:$D,"RECEIPT",movements!$C:$C,"&lt;"&amp;BE$1+1)-SUMIFS(movements!$H:$H,movements!$E:$E,$A24,movements!$D:$D,"ISSUE",movements!$C:$C,"&lt;"&amp;BE$1+1)</f>
        <v>138</v>
      </c>
      <c r="BF24">
        <f>SUMIFS(movements!$H:$H,movements!$E:$E,$A24,movements!$D:$D,"OPENING",movements!$C:$C,"&lt;"&amp;BF$1+1)+SUMIFS(movements!$H:$H,movements!$E:$E,$A24,movements!$D:$D,"RECEIPT",movements!$C:$C,"&lt;"&amp;BF$1+1)-SUMIFS(movements!$H:$H,movements!$E:$E,$A24,movements!$D:$D,"ISSUE",movements!$C:$C,"&lt;"&amp;BF$1+1)</f>
        <v>137</v>
      </c>
      <c r="BG24">
        <f>SUMIFS(movements!$H:$H,movements!$E:$E,$A24,movements!$D:$D,"OPENING",movements!$C:$C,"&lt;"&amp;BG$1+1)+SUMIFS(movements!$H:$H,movements!$E:$E,$A24,movements!$D:$D,"RECEIPT",movements!$C:$C,"&lt;"&amp;BG$1+1)-SUMIFS(movements!$H:$H,movements!$E:$E,$A24,movements!$D:$D,"ISSUE",movements!$C:$C,"&lt;"&amp;BG$1+1)</f>
        <v>131</v>
      </c>
      <c r="BH24">
        <f>SUMIFS(movements!$H:$H,movements!$E:$E,$A24,movements!$D:$D,"OPENING",movements!$C:$C,"&lt;"&amp;BH$1+1)+SUMIFS(movements!$H:$H,movements!$E:$E,$A24,movements!$D:$D,"RECEIPT",movements!$C:$C,"&lt;"&amp;BH$1+1)-SUMIFS(movements!$H:$H,movements!$E:$E,$A24,movements!$D:$D,"ISSUE",movements!$C:$C,"&lt;"&amp;BH$1+1)</f>
        <v>126</v>
      </c>
      <c r="BI24">
        <f>SUMIFS(movements!$H:$H,movements!$E:$E,$A24,movements!$D:$D,"OPENING",movements!$C:$C,"&lt;"&amp;BI$1+1)+SUMIFS(movements!$H:$H,movements!$E:$E,$A24,movements!$D:$D,"RECEIPT",movements!$C:$C,"&lt;"&amp;BI$1+1)-SUMIFS(movements!$H:$H,movements!$E:$E,$A24,movements!$D:$D,"ISSUE",movements!$C:$C,"&lt;"&amp;BI$1+1)</f>
        <v>122</v>
      </c>
      <c r="BJ24">
        <f>SUMIFS(movements!$H:$H,movements!$E:$E,$A24,movements!$D:$D,"OPENING",movements!$C:$C,"&lt;"&amp;BJ$1+1)+SUMIFS(movements!$H:$H,movements!$E:$E,$A24,movements!$D:$D,"RECEIPT",movements!$C:$C,"&lt;"&amp;BJ$1+1)-SUMIFS(movements!$H:$H,movements!$E:$E,$A24,movements!$D:$D,"ISSUE",movements!$C:$C,"&lt;"&amp;BJ$1+1)</f>
        <v>112</v>
      </c>
      <c r="BK24">
        <f>SUMIFS(movements!$H:$H,movements!$E:$E,$A24,movements!$D:$D,"OPENING",movements!$C:$C,"&lt;"&amp;BK$1+1)+SUMIFS(movements!$H:$H,movements!$E:$E,$A24,movements!$D:$D,"RECEIPT",movements!$C:$C,"&lt;"&amp;BK$1+1)-SUMIFS(movements!$H:$H,movements!$E:$E,$A24,movements!$D:$D,"ISSUE",movements!$C:$C,"&lt;"&amp;BK$1+1)</f>
        <v>109</v>
      </c>
      <c r="BL24">
        <f>SUMIFS(movements!$H:$H,movements!$E:$E,$A24,movements!$D:$D,"OPENING",movements!$C:$C,"&lt;"&amp;BL$1+1)+SUMIFS(movements!$H:$H,movements!$E:$E,$A24,movements!$D:$D,"RECEIPT",movements!$C:$C,"&lt;"&amp;BL$1+1)-SUMIFS(movements!$H:$H,movements!$E:$E,$A24,movements!$D:$D,"ISSUE",movements!$C:$C,"&lt;"&amp;BL$1+1)</f>
        <v>109</v>
      </c>
      <c r="BM24">
        <f>SUMIFS(movements!$H:$H,movements!$E:$E,$A24,movements!$D:$D,"OPENING",movements!$C:$C,"&lt;"&amp;BM$1+1)+SUMIFS(movements!$H:$H,movements!$E:$E,$A24,movements!$D:$D,"RECEIPT",movements!$C:$C,"&lt;"&amp;BM$1+1)-SUMIFS(movements!$H:$H,movements!$E:$E,$A24,movements!$D:$D,"ISSUE",movements!$C:$C,"&lt;"&amp;BM$1+1)</f>
        <v>174</v>
      </c>
      <c r="BN24">
        <f>SUMIFS(movements!$H:$H,movements!$E:$E,$A24,movements!$D:$D,"OPENING",movements!$C:$C,"&lt;"&amp;BN$1+1)+SUMIFS(movements!$H:$H,movements!$E:$E,$A24,movements!$D:$D,"RECEIPT",movements!$C:$C,"&lt;"&amp;BN$1+1)-SUMIFS(movements!$H:$H,movements!$E:$E,$A24,movements!$D:$D,"ISSUE",movements!$C:$C,"&lt;"&amp;BN$1+1)</f>
        <v>171</v>
      </c>
      <c r="BO24">
        <f>SUMIFS(movements!$H:$H,movements!$E:$E,$A24,movements!$D:$D,"OPENING",movements!$C:$C,"&lt;"&amp;BO$1+1)+SUMIFS(movements!$H:$H,movements!$E:$E,$A24,movements!$D:$D,"RECEIPT",movements!$C:$C,"&lt;"&amp;BO$1+1)-SUMIFS(movements!$H:$H,movements!$E:$E,$A24,movements!$D:$D,"ISSUE",movements!$C:$C,"&lt;"&amp;BO$1+1)</f>
        <v>168</v>
      </c>
      <c r="BP24">
        <f>SUMIFS(movements!$H:$H,movements!$E:$E,$A24,movements!$D:$D,"OPENING",movements!$C:$C,"&lt;"&amp;BP$1+1)+SUMIFS(movements!$H:$H,movements!$E:$E,$A24,movements!$D:$D,"RECEIPT",movements!$C:$C,"&lt;"&amp;BP$1+1)-SUMIFS(movements!$H:$H,movements!$E:$E,$A24,movements!$D:$D,"ISSUE",movements!$C:$C,"&lt;"&amp;BP$1+1)</f>
        <v>157</v>
      </c>
      <c r="BQ24">
        <f>SUMIFS(movements!$H:$H,movements!$E:$E,$A24,movements!$D:$D,"OPENING",movements!$C:$C,"&lt;"&amp;BQ$1+1)+SUMIFS(movements!$H:$H,movements!$E:$E,$A24,movements!$D:$D,"RECEIPT",movements!$C:$C,"&lt;"&amp;BQ$1+1)-SUMIFS(movements!$H:$H,movements!$E:$E,$A24,movements!$D:$D,"ISSUE",movements!$C:$C,"&lt;"&amp;BQ$1+1)</f>
        <v>150</v>
      </c>
      <c r="BR24">
        <f>SUMIFS(movements!$H:$H,movements!$E:$E,$A24,movements!$D:$D,"OPENING",movements!$C:$C,"&lt;"&amp;BR$1+1)+SUMIFS(movements!$H:$H,movements!$E:$E,$A24,movements!$D:$D,"RECEIPT",movements!$C:$C,"&lt;"&amp;BR$1+1)-SUMIFS(movements!$H:$H,movements!$E:$E,$A24,movements!$D:$D,"ISSUE",movements!$C:$C,"&lt;"&amp;BR$1+1)</f>
        <v>143</v>
      </c>
      <c r="BS24">
        <f>SUMIFS(movements!$H:$H,movements!$E:$E,$A24,movements!$D:$D,"OPENING",movements!$C:$C,"&lt;"&amp;BS$1+1)+SUMIFS(movements!$H:$H,movements!$E:$E,$A24,movements!$D:$D,"RECEIPT",movements!$C:$C,"&lt;"&amp;BS$1+1)-SUMIFS(movements!$H:$H,movements!$E:$E,$A24,movements!$D:$D,"ISSUE",movements!$C:$C,"&lt;"&amp;BS$1+1)</f>
        <v>128</v>
      </c>
      <c r="BT24">
        <f>SUMIFS(movements!$H:$H,movements!$E:$E,$A24,movements!$D:$D,"OPENING",movements!$C:$C,"&lt;"&amp;BT$1+1)+SUMIFS(movements!$H:$H,movements!$E:$E,$A24,movements!$D:$D,"RECEIPT",movements!$C:$C,"&lt;"&amp;BT$1+1)-SUMIFS(movements!$H:$H,movements!$E:$E,$A24,movements!$D:$D,"ISSUE",movements!$C:$C,"&lt;"&amp;BT$1+1)</f>
        <v>128</v>
      </c>
      <c r="BU24">
        <f>SUMIFS(movements!$H:$H,movements!$E:$E,$A24,movements!$D:$D,"OPENING",movements!$C:$C,"&lt;"&amp;BU$1+1)+SUMIFS(movements!$H:$H,movements!$E:$E,$A24,movements!$D:$D,"RECEIPT",movements!$C:$C,"&lt;"&amp;BU$1+1)-SUMIFS(movements!$H:$H,movements!$E:$E,$A24,movements!$D:$D,"ISSUE",movements!$C:$C,"&lt;"&amp;BU$1+1)</f>
        <v>124</v>
      </c>
      <c r="BV24">
        <f>SUMIFS(movements!$H:$H,movements!$E:$E,$A24,movements!$D:$D,"OPENING",movements!$C:$C,"&lt;"&amp;BV$1+1)+SUMIFS(movements!$H:$H,movements!$E:$E,$A24,movements!$D:$D,"RECEIPT",movements!$C:$C,"&lt;"&amp;BV$1+1)-SUMIFS(movements!$H:$H,movements!$E:$E,$A24,movements!$D:$D,"ISSUE",movements!$C:$C,"&lt;"&amp;BV$1+1)</f>
        <v>118</v>
      </c>
      <c r="BW24">
        <f>SUMIFS(movements!$H:$H,movements!$E:$E,$A24,movements!$D:$D,"OPENING",movements!$C:$C,"&lt;"&amp;BW$1+1)+SUMIFS(movements!$H:$H,movements!$E:$E,$A24,movements!$D:$D,"RECEIPT",movements!$C:$C,"&lt;"&amp;BW$1+1)-SUMIFS(movements!$H:$H,movements!$E:$E,$A24,movements!$D:$D,"ISSUE",movements!$C:$C,"&lt;"&amp;BW$1+1)</f>
        <v>118</v>
      </c>
      <c r="BX24">
        <f>SUMIFS(movements!$H:$H,movements!$E:$E,$A24,movements!$D:$D,"OPENING",movements!$C:$C,"&lt;"&amp;BX$1+1)+SUMIFS(movements!$H:$H,movements!$E:$E,$A24,movements!$D:$D,"RECEIPT",movements!$C:$C,"&lt;"&amp;BX$1+1)-SUMIFS(movements!$H:$H,movements!$E:$E,$A24,movements!$D:$D,"ISSUE",movements!$C:$C,"&lt;"&amp;BX$1+1)</f>
        <v>111</v>
      </c>
      <c r="BY24">
        <f>SUMIFS(movements!$H:$H,movements!$E:$E,$A24,movements!$D:$D,"OPENING",movements!$C:$C,"&lt;"&amp;BY$1+1)+SUMIFS(movements!$H:$H,movements!$E:$E,$A24,movements!$D:$D,"RECEIPT",movements!$C:$C,"&lt;"&amp;BY$1+1)-SUMIFS(movements!$H:$H,movements!$E:$E,$A24,movements!$D:$D,"ISSUE",movements!$C:$C,"&lt;"&amp;BY$1+1)</f>
        <v>104</v>
      </c>
      <c r="BZ24">
        <f>SUMIFS(movements!$H:$H,movements!$E:$E,$A24,movements!$D:$D,"OPENING",movements!$C:$C,"&lt;"&amp;BZ$1+1)+SUMIFS(movements!$H:$H,movements!$E:$E,$A24,movements!$D:$D,"RECEIPT",movements!$C:$C,"&lt;"&amp;BZ$1+1)-SUMIFS(movements!$H:$H,movements!$E:$E,$A24,movements!$D:$D,"ISSUE",movements!$C:$C,"&lt;"&amp;BZ$1+1)</f>
        <v>104</v>
      </c>
      <c r="CA24">
        <f>SUMIFS(movements!$H:$H,movements!$E:$E,$A24,movements!$D:$D,"OPENING",movements!$C:$C,"&lt;"&amp;CA$1+1)+SUMIFS(movements!$H:$H,movements!$E:$E,$A24,movements!$D:$D,"RECEIPT",movements!$C:$C,"&lt;"&amp;CA$1+1)-SUMIFS(movements!$H:$H,movements!$E:$E,$A24,movements!$D:$D,"ISSUE",movements!$C:$C,"&lt;"&amp;CA$1+1)</f>
        <v>188</v>
      </c>
      <c r="CB24">
        <f>SUMIFS(movements!$H:$H,movements!$E:$E,$A24,movements!$D:$D,"OPENING",movements!$C:$C,"&lt;"&amp;CB$1+1)+SUMIFS(movements!$H:$H,movements!$E:$E,$A24,movements!$D:$D,"RECEIPT",movements!$C:$C,"&lt;"&amp;CB$1+1)-SUMIFS(movements!$H:$H,movements!$E:$E,$A24,movements!$D:$D,"ISSUE",movements!$C:$C,"&lt;"&amp;CB$1+1)</f>
        <v>185</v>
      </c>
      <c r="CC24">
        <f>SUMIFS(movements!$H:$H,movements!$E:$E,$A24,movements!$D:$D,"OPENING",movements!$C:$C,"&lt;"&amp;CC$1+1)+SUMIFS(movements!$H:$H,movements!$E:$E,$A24,movements!$D:$D,"RECEIPT",movements!$C:$C,"&lt;"&amp;CC$1+1)-SUMIFS(movements!$H:$H,movements!$E:$E,$A24,movements!$D:$D,"ISSUE",movements!$C:$C,"&lt;"&amp;CC$1+1)</f>
        <v>185</v>
      </c>
      <c r="CD24">
        <f>SUMIFS(movements!$H:$H,movements!$E:$E,$A24,movements!$D:$D,"OPENING",movements!$C:$C,"&lt;"&amp;CD$1+1)+SUMIFS(movements!$H:$H,movements!$E:$E,$A24,movements!$D:$D,"RECEIPT",movements!$C:$C,"&lt;"&amp;CD$1+1)-SUMIFS(movements!$H:$H,movements!$E:$E,$A24,movements!$D:$D,"ISSUE",movements!$C:$C,"&lt;"&amp;CD$1+1)</f>
        <v>185</v>
      </c>
      <c r="CE24">
        <f>SUMIFS(movements!$H:$H,movements!$E:$E,$A24,movements!$D:$D,"OPENING",movements!$C:$C,"&lt;"&amp;CE$1+1)+SUMIFS(movements!$H:$H,movements!$E:$E,$A24,movements!$D:$D,"RECEIPT",movements!$C:$C,"&lt;"&amp;CE$1+1)-SUMIFS(movements!$H:$H,movements!$E:$E,$A24,movements!$D:$D,"ISSUE",movements!$C:$C,"&lt;"&amp;CE$1+1)</f>
        <v>185</v>
      </c>
      <c r="CF24">
        <f>SUMIFS(movements!$H:$H,movements!$E:$E,$A24,movements!$D:$D,"OPENING",movements!$C:$C,"&lt;"&amp;CF$1+1)+SUMIFS(movements!$H:$H,movements!$E:$E,$A24,movements!$D:$D,"RECEIPT",movements!$C:$C,"&lt;"&amp;CF$1+1)-SUMIFS(movements!$H:$H,movements!$E:$E,$A24,movements!$D:$D,"ISSUE",movements!$C:$C,"&lt;"&amp;CF$1+1)</f>
        <v>168</v>
      </c>
      <c r="CG24">
        <f>SUMIFS(movements!$H:$H,movements!$E:$E,$A24,movements!$D:$D,"OPENING",movements!$C:$C,"&lt;"&amp;CG$1+1)+SUMIFS(movements!$H:$H,movements!$E:$E,$A24,movements!$D:$D,"RECEIPT",movements!$C:$C,"&lt;"&amp;CG$1+1)-SUMIFS(movements!$H:$H,movements!$E:$E,$A24,movements!$D:$D,"ISSUE",movements!$C:$C,"&lt;"&amp;CG$1+1)</f>
        <v>162</v>
      </c>
      <c r="CH24">
        <f>SUMIFS(movements!$H:$H,movements!$E:$E,$A24,movements!$D:$D,"OPENING",movements!$C:$C,"&lt;"&amp;CH$1+1)+SUMIFS(movements!$H:$H,movements!$E:$E,$A24,movements!$D:$D,"RECEIPT",movements!$C:$C,"&lt;"&amp;CH$1+1)-SUMIFS(movements!$H:$H,movements!$E:$E,$A24,movements!$D:$D,"ISSUE",movements!$C:$C,"&lt;"&amp;CH$1+1)</f>
        <v>161</v>
      </c>
      <c r="CI24">
        <f>SUMIFS(movements!$H:$H,movements!$E:$E,$A24,movements!$D:$D,"OPENING",movements!$C:$C,"&lt;"&amp;CI$1+1)+SUMIFS(movements!$H:$H,movements!$E:$E,$A24,movements!$D:$D,"RECEIPT",movements!$C:$C,"&lt;"&amp;CI$1+1)-SUMIFS(movements!$H:$H,movements!$E:$E,$A24,movements!$D:$D,"ISSUE",movements!$C:$C,"&lt;"&amp;CI$1+1)</f>
        <v>145</v>
      </c>
      <c r="CJ24">
        <f>SUMIFS(movements!$H:$H,movements!$E:$E,$A24,movements!$D:$D,"OPENING",movements!$C:$C,"&lt;"&amp;CJ$1+1)+SUMIFS(movements!$H:$H,movements!$E:$E,$A24,movements!$D:$D,"RECEIPT",movements!$C:$C,"&lt;"&amp;CJ$1+1)-SUMIFS(movements!$H:$H,movements!$E:$E,$A24,movements!$D:$D,"ISSUE",movements!$C:$C,"&lt;"&amp;CJ$1+1)</f>
        <v>138</v>
      </c>
      <c r="CK24">
        <f>SUMIFS(movements!$H:$H,movements!$E:$E,$A24,movements!$D:$D,"OPENING",movements!$C:$C,"&lt;"&amp;CK$1+1)+SUMIFS(movements!$H:$H,movements!$E:$E,$A24,movements!$D:$D,"RECEIPT",movements!$C:$C,"&lt;"&amp;CK$1+1)-SUMIFS(movements!$H:$H,movements!$E:$E,$A24,movements!$D:$D,"ISSUE",movements!$C:$C,"&lt;"&amp;CK$1+1)</f>
        <v>138</v>
      </c>
      <c r="CL24">
        <f>SUMIFS(movements!$H:$H,movements!$E:$E,$A24,movements!$D:$D,"OPENING",movements!$C:$C,"&lt;"&amp;CL$1+1)+SUMIFS(movements!$H:$H,movements!$E:$E,$A24,movements!$D:$D,"RECEIPT",movements!$C:$C,"&lt;"&amp;CL$1+1)-SUMIFS(movements!$H:$H,movements!$E:$E,$A24,movements!$D:$D,"ISSUE",movements!$C:$C,"&lt;"&amp;CL$1+1)</f>
        <v>131</v>
      </c>
      <c r="CM24">
        <f>SUMIFS(movements!$H:$H,movements!$E:$E,$A24,movements!$D:$D,"OPENING",movements!$C:$C,"&lt;"&amp;CM$1+1)+SUMIFS(movements!$H:$H,movements!$E:$E,$A24,movements!$D:$D,"RECEIPT",movements!$C:$C,"&lt;"&amp;CM$1+1)-SUMIFS(movements!$H:$H,movements!$E:$E,$A24,movements!$D:$D,"ISSUE",movements!$C:$C,"&lt;"&amp;CM$1+1)</f>
        <v>126</v>
      </c>
      <c r="CN24">
        <f t="shared" si="2"/>
        <v>134.92222222222222</v>
      </c>
      <c r="CO24">
        <f>SUMIFS(movements!$H:$H,movements!$E:$E,$A24,movements!$D:$D,"ISSUE",movements!$C:$C,"&gt;="&amp;$B$1,movements!$C:$C,"&lt;"&amp;($CM$1+1))</f>
        <v>446</v>
      </c>
      <c r="CP24">
        <f t="shared" si="3"/>
        <v>3.3056081693156552</v>
      </c>
      <c r="CQ24">
        <f t="shared" si="4"/>
        <v>27.22645739910314</v>
      </c>
    </row>
    <row r="25" spans="1:95" x14ac:dyDescent="0.25">
      <c r="A25" t="s">
        <v>69</v>
      </c>
      <c r="B25">
        <f>SUMIFS(movements!$H:$H,movements!$E:$E,$A25,movements!$D:$D,"OPENING",movements!$C:$C,"&lt;"&amp;B$1+1)+SUMIFS(movements!$H:$H,movements!$E:$E,$A25,movements!$D:$D,"RECEIPT",movements!$C:$C,"&lt;"&amp;B$1+1)-SUMIFS(movements!$H:$H,movements!$E:$E,$A25,movements!$D:$D,"ISSUE",movements!$C:$C,"&lt;"&amp;B$1+1)</f>
        <v>77</v>
      </c>
      <c r="C25">
        <f>SUMIFS(movements!$H:$H,movements!$E:$E,$A25,movements!$D:$D,"OPENING",movements!$C:$C,"&lt;"&amp;C$1+1)+SUMIFS(movements!$H:$H,movements!$E:$E,$A25,movements!$D:$D,"RECEIPT",movements!$C:$C,"&lt;"&amp;C$1+1)-SUMIFS(movements!$H:$H,movements!$E:$E,$A25,movements!$D:$D,"ISSUE",movements!$C:$C,"&lt;"&amp;C$1+1)</f>
        <v>67</v>
      </c>
      <c r="D25">
        <f>SUMIFS(movements!$H:$H,movements!$E:$E,$A25,movements!$D:$D,"OPENING",movements!$C:$C,"&lt;"&amp;D$1+1)+SUMIFS(movements!$H:$H,movements!$E:$E,$A25,movements!$D:$D,"RECEIPT",movements!$C:$C,"&lt;"&amp;D$1+1)-SUMIFS(movements!$H:$H,movements!$E:$E,$A25,movements!$D:$D,"ISSUE",movements!$C:$C,"&lt;"&amp;D$1+1)</f>
        <v>65</v>
      </c>
      <c r="E25">
        <f>SUMIFS(movements!$H:$H,movements!$E:$E,$A25,movements!$D:$D,"OPENING",movements!$C:$C,"&lt;"&amp;E$1+1)+SUMIFS(movements!$H:$H,movements!$E:$E,$A25,movements!$D:$D,"RECEIPT",movements!$C:$C,"&lt;"&amp;E$1+1)-SUMIFS(movements!$H:$H,movements!$E:$E,$A25,movements!$D:$D,"ISSUE",movements!$C:$C,"&lt;"&amp;E$1+1)</f>
        <v>64</v>
      </c>
      <c r="F25">
        <f>SUMIFS(movements!$H:$H,movements!$E:$E,$A25,movements!$D:$D,"OPENING",movements!$C:$C,"&lt;"&amp;F$1+1)+SUMIFS(movements!$H:$H,movements!$E:$E,$A25,movements!$D:$D,"RECEIPT",movements!$C:$C,"&lt;"&amp;F$1+1)-SUMIFS(movements!$H:$H,movements!$E:$E,$A25,movements!$D:$D,"ISSUE",movements!$C:$C,"&lt;"&amp;F$1+1)</f>
        <v>54</v>
      </c>
      <c r="G25">
        <f>SUMIFS(movements!$H:$H,movements!$E:$E,$A25,movements!$D:$D,"OPENING",movements!$C:$C,"&lt;"&amp;G$1+1)+SUMIFS(movements!$H:$H,movements!$E:$E,$A25,movements!$D:$D,"RECEIPT",movements!$C:$C,"&lt;"&amp;G$1+1)-SUMIFS(movements!$H:$H,movements!$E:$E,$A25,movements!$D:$D,"ISSUE",movements!$C:$C,"&lt;"&amp;G$1+1)</f>
        <v>54</v>
      </c>
      <c r="H25">
        <f>SUMIFS(movements!$H:$H,movements!$E:$E,$A25,movements!$D:$D,"OPENING",movements!$C:$C,"&lt;"&amp;H$1+1)+SUMIFS(movements!$H:$H,movements!$E:$E,$A25,movements!$D:$D,"RECEIPT",movements!$C:$C,"&lt;"&amp;H$1+1)-SUMIFS(movements!$H:$H,movements!$E:$E,$A25,movements!$D:$D,"ISSUE",movements!$C:$C,"&lt;"&amp;H$1+1)</f>
        <v>54</v>
      </c>
      <c r="I25">
        <f>SUMIFS(movements!$H:$H,movements!$E:$E,$A25,movements!$D:$D,"OPENING",movements!$C:$C,"&lt;"&amp;I$1+1)+SUMIFS(movements!$H:$H,movements!$E:$E,$A25,movements!$D:$D,"RECEIPT",movements!$C:$C,"&lt;"&amp;I$1+1)-SUMIFS(movements!$H:$H,movements!$E:$E,$A25,movements!$D:$D,"ISSUE",movements!$C:$C,"&lt;"&amp;I$1+1)</f>
        <v>121</v>
      </c>
      <c r="J25">
        <f>SUMIFS(movements!$H:$H,movements!$E:$E,$A25,movements!$D:$D,"OPENING",movements!$C:$C,"&lt;"&amp;J$1+1)+SUMIFS(movements!$H:$H,movements!$E:$E,$A25,movements!$D:$D,"RECEIPT",movements!$C:$C,"&lt;"&amp;J$1+1)-SUMIFS(movements!$H:$H,movements!$E:$E,$A25,movements!$D:$D,"ISSUE",movements!$C:$C,"&lt;"&amp;J$1+1)</f>
        <v>113</v>
      </c>
      <c r="K25">
        <f>SUMIFS(movements!$H:$H,movements!$E:$E,$A25,movements!$D:$D,"OPENING",movements!$C:$C,"&lt;"&amp;K$1+1)+SUMIFS(movements!$H:$H,movements!$E:$E,$A25,movements!$D:$D,"RECEIPT",movements!$C:$C,"&lt;"&amp;K$1+1)-SUMIFS(movements!$H:$H,movements!$E:$E,$A25,movements!$D:$D,"ISSUE",movements!$C:$C,"&lt;"&amp;K$1+1)</f>
        <v>113</v>
      </c>
      <c r="L25">
        <f>SUMIFS(movements!$H:$H,movements!$E:$E,$A25,movements!$D:$D,"OPENING",movements!$C:$C,"&lt;"&amp;L$1+1)+SUMIFS(movements!$H:$H,movements!$E:$E,$A25,movements!$D:$D,"RECEIPT",movements!$C:$C,"&lt;"&amp;L$1+1)-SUMIFS(movements!$H:$H,movements!$E:$E,$A25,movements!$D:$D,"ISSUE",movements!$C:$C,"&lt;"&amp;L$1+1)</f>
        <v>113</v>
      </c>
      <c r="M25">
        <f>SUMIFS(movements!$H:$H,movements!$E:$E,$A25,movements!$D:$D,"OPENING",movements!$C:$C,"&lt;"&amp;M$1+1)+SUMIFS(movements!$H:$H,movements!$E:$E,$A25,movements!$D:$D,"RECEIPT",movements!$C:$C,"&lt;"&amp;M$1+1)-SUMIFS(movements!$H:$H,movements!$E:$E,$A25,movements!$D:$D,"ISSUE",movements!$C:$C,"&lt;"&amp;M$1+1)</f>
        <v>110</v>
      </c>
      <c r="N25">
        <f>SUMIFS(movements!$H:$H,movements!$E:$E,$A25,movements!$D:$D,"OPENING",movements!$C:$C,"&lt;"&amp;N$1+1)+SUMIFS(movements!$H:$H,movements!$E:$E,$A25,movements!$D:$D,"RECEIPT",movements!$C:$C,"&lt;"&amp;N$1+1)-SUMIFS(movements!$H:$H,movements!$E:$E,$A25,movements!$D:$D,"ISSUE",movements!$C:$C,"&lt;"&amp;N$1+1)</f>
        <v>91</v>
      </c>
      <c r="O25">
        <f>SUMIFS(movements!$H:$H,movements!$E:$E,$A25,movements!$D:$D,"OPENING",movements!$C:$C,"&lt;"&amp;O$1+1)+SUMIFS(movements!$H:$H,movements!$E:$E,$A25,movements!$D:$D,"RECEIPT",movements!$C:$C,"&lt;"&amp;O$1+1)-SUMIFS(movements!$H:$H,movements!$E:$E,$A25,movements!$D:$D,"ISSUE",movements!$C:$C,"&lt;"&amp;O$1+1)</f>
        <v>89</v>
      </c>
      <c r="P25">
        <f>SUMIFS(movements!$H:$H,movements!$E:$E,$A25,movements!$D:$D,"OPENING",movements!$C:$C,"&lt;"&amp;P$1+1)+SUMIFS(movements!$H:$H,movements!$E:$E,$A25,movements!$D:$D,"RECEIPT",movements!$C:$C,"&lt;"&amp;P$1+1)-SUMIFS(movements!$H:$H,movements!$E:$E,$A25,movements!$D:$D,"ISSUE",movements!$C:$C,"&lt;"&amp;P$1+1)</f>
        <v>160</v>
      </c>
      <c r="Q25">
        <f>SUMIFS(movements!$H:$H,movements!$E:$E,$A25,movements!$D:$D,"OPENING",movements!$C:$C,"&lt;"&amp;Q$1+1)+SUMIFS(movements!$H:$H,movements!$E:$E,$A25,movements!$D:$D,"RECEIPT",movements!$C:$C,"&lt;"&amp;Q$1+1)-SUMIFS(movements!$H:$H,movements!$E:$E,$A25,movements!$D:$D,"ISSUE",movements!$C:$C,"&lt;"&amp;Q$1+1)</f>
        <v>154</v>
      </c>
      <c r="R25">
        <f>SUMIFS(movements!$H:$H,movements!$E:$E,$A25,movements!$D:$D,"OPENING",movements!$C:$C,"&lt;"&amp;R$1+1)+SUMIFS(movements!$H:$H,movements!$E:$E,$A25,movements!$D:$D,"RECEIPT",movements!$C:$C,"&lt;"&amp;R$1+1)-SUMIFS(movements!$H:$H,movements!$E:$E,$A25,movements!$D:$D,"ISSUE",movements!$C:$C,"&lt;"&amp;R$1+1)</f>
        <v>145</v>
      </c>
      <c r="S25">
        <f>SUMIFS(movements!$H:$H,movements!$E:$E,$A25,movements!$D:$D,"OPENING",movements!$C:$C,"&lt;"&amp;S$1+1)+SUMIFS(movements!$H:$H,movements!$E:$E,$A25,movements!$D:$D,"RECEIPT",movements!$C:$C,"&lt;"&amp;S$1+1)-SUMIFS(movements!$H:$H,movements!$E:$E,$A25,movements!$D:$D,"ISSUE",movements!$C:$C,"&lt;"&amp;S$1+1)</f>
        <v>144</v>
      </c>
      <c r="T25">
        <f>SUMIFS(movements!$H:$H,movements!$E:$E,$A25,movements!$D:$D,"OPENING",movements!$C:$C,"&lt;"&amp;T$1+1)+SUMIFS(movements!$H:$H,movements!$E:$E,$A25,movements!$D:$D,"RECEIPT",movements!$C:$C,"&lt;"&amp;T$1+1)-SUMIFS(movements!$H:$H,movements!$E:$E,$A25,movements!$D:$D,"ISSUE",movements!$C:$C,"&lt;"&amp;T$1+1)</f>
        <v>130</v>
      </c>
      <c r="U25">
        <f>SUMIFS(movements!$H:$H,movements!$E:$E,$A25,movements!$D:$D,"OPENING",movements!$C:$C,"&lt;"&amp;U$1+1)+SUMIFS(movements!$H:$H,movements!$E:$E,$A25,movements!$D:$D,"RECEIPT",movements!$C:$C,"&lt;"&amp;U$1+1)-SUMIFS(movements!$H:$H,movements!$E:$E,$A25,movements!$D:$D,"ISSUE",movements!$C:$C,"&lt;"&amp;U$1+1)</f>
        <v>129</v>
      </c>
      <c r="V25">
        <f>SUMIFS(movements!$H:$H,movements!$E:$E,$A25,movements!$D:$D,"OPENING",movements!$C:$C,"&lt;"&amp;V$1+1)+SUMIFS(movements!$H:$H,movements!$E:$E,$A25,movements!$D:$D,"RECEIPT",movements!$C:$C,"&lt;"&amp;V$1+1)-SUMIFS(movements!$H:$H,movements!$E:$E,$A25,movements!$D:$D,"ISSUE",movements!$C:$C,"&lt;"&amp;V$1+1)</f>
        <v>129</v>
      </c>
      <c r="W25">
        <f>SUMIFS(movements!$H:$H,movements!$E:$E,$A25,movements!$D:$D,"OPENING",movements!$C:$C,"&lt;"&amp;W$1+1)+SUMIFS(movements!$H:$H,movements!$E:$E,$A25,movements!$D:$D,"RECEIPT",movements!$C:$C,"&lt;"&amp;W$1+1)-SUMIFS(movements!$H:$H,movements!$E:$E,$A25,movements!$D:$D,"ISSUE",movements!$C:$C,"&lt;"&amp;W$1+1)</f>
        <v>129</v>
      </c>
      <c r="X25">
        <f>SUMIFS(movements!$H:$H,movements!$E:$E,$A25,movements!$D:$D,"OPENING",movements!$C:$C,"&lt;"&amp;X$1+1)+SUMIFS(movements!$H:$H,movements!$E:$E,$A25,movements!$D:$D,"RECEIPT",movements!$C:$C,"&lt;"&amp;X$1+1)-SUMIFS(movements!$H:$H,movements!$E:$E,$A25,movements!$D:$D,"ISSUE",movements!$C:$C,"&lt;"&amp;X$1+1)</f>
        <v>127</v>
      </c>
      <c r="Y25">
        <f>SUMIFS(movements!$H:$H,movements!$E:$E,$A25,movements!$D:$D,"OPENING",movements!$C:$C,"&lt;"&amp;Y$1+1)+SUMIFS(movements!$H:$H,movements!$E:$E,$A25,movements!$D:$D,"RECEIPT",movements!$C:$C,"&lt;"&amp;Y$1+1)-SUMIFS(movements!$H:$H,movements!$E:$E,$A25,movements!$D:$D,"ISSUE",movements!$C:$C,"&lt;"&amp;Y$1+1)</f>
        <v>124</v>
      </c>
      <c r="Z25">
        <f>SUMIFS(movements!$H:$H,movements!$E:$E,$A25,movements!$D:$D,"OPENING",movements!$C:$C,"&lt;"&amp;Z$1+1)+SUMIFS(movements!$H:$H,movements!$E:$E,$A25,movements!$D:$D,"RECEIPT",movements!$C:$C,"&lt;"&amp;Z$1+1)-SUMIFS(movements!$H:$H,movements!$E:$E,$A25,movements!$D:$D,"ISSUE",movements!$C:$C,"&lt;"&amp;Z$1+1)</f>
        <v>123</v>
      </c>
      <c r="AA25">
        <f>SUMIFS(movements!$H:$H,movements!$E:$E,$A25,movements!$D:$D,"OPENING",movements!$C:$C,"&lt;"&amp;AA$1+1)+SUMIFS(movements!$H:$H,movements!$E:$E,$A25,movements!$D:$D,"RECEIPT",movements!$C:$C,"&lt;"&amp;AA$1+1)-SUMIFS(movements!$H:$H,movements!$E:$E,$A25,movements!$D:$D,"ISSUE",movements!$C:$C,"&lt;"&amp;AA$1+1)</f>
        <v>120</v>
      </c>
      <c r="AB25">
        <f>SUMIFS(movements!$H:$H,movements!$E:$E,$A25,movements!$D:$D,"OPENING",movements!$C:$C,"&lt;"&amp;AB$1+1)+SUMIFS(movements!$H:$H,movements!$E:$E,$A25,movements!$D:$D,"RECEIPT",movements!$C:$C,"&lt;"&amp;AB$1+1)-SUMIFS(movements!$H:$H,movements!$E:$E,$A25,movements!$D:$D,"ISSUE",movements!$C:$C,"&lt;"&amp;AB$1+1)</f>
        <v>115</v>
      </c>
      <c r="AC25">
        <f>SUMIFS(movements!$H:$H,movements!$E:$E,$A25,movements!$D:$D,"OPENING",movements!$C:$C,"&lt;"&amp;AC$1+1)+SUMIFS(movements!$H:$H,movements!$E:$E,$A25,movements!$D:$D,"RECEIPT",movements!$C:$C,"&lt;"&amp;AC$1+1)-SUMIFS(movements!$H:$H,movements!$E:$E,$A25,movements!$D:$D,"ISSUE",movements!$C:$C,"&lt;"&amp;AC$1+1)</f>
        <v>104</v>
      </c>
      <c r="AD25">
        <f>SUMIFS(movements!$H:$H,movements!$E:$E,$A25,movements!$D:$D,"OPENING",movements!$C:$C,"&lt;"&amp;AD$1+1)+SUMIFS(movements!$H:$H,movements!$E:$E,$A25,movements!$D:$D,"RECEIPT",movements!$C:$C,"&lt;"&amp;AD$1+1)-SUMIFS(movements!$H:$H,movements!$E:$E,$A25,movements!$D:$D,"ISSUE",movements!$C:$C,"&lt;"&amp;AD$1+1)</f>
        <v>192</v>
      </c>
      <c r="AE25">
        <f>SUMIFS(movements!$H:$H,movements!$E:$E,$A25,movements!$D:$D,"OPENING",movements!$C:$C,"&lt;"&amp;AE$1+1)+SUMIFS(movements!$H:$H,movements!$E:$E,$A25,movements!$D:$D,"RECEIPT",movements!$C:$C,"&lt;"&amp;AE$1+1)-SUMIFS(movements!$H:$H,movements!$E:$E,$A25,movements!$D:$D,"ISSUE",movements!$C:$C,"&lt;"&amp;AE$1+1)</f>
        <v>186</v>
      </c>
      <c r="AF25">
        <f>SUMIFS(movements!$H:$H,movements!$E:$E,$A25,movements!$D:$D,"OPENING",movements!$C:$C,"&lt;"&amp;AF$1+1)+SUMIFS(movements!$H:$H,movements!$E:$E,$A25,movements!$D:$D,"RECEIPT",movements!$C:$C,"&lt;"&amp;AF$1+1)-SUMIFS(movements!$H:$H,movements!$E:$E,$A25,movements!$D:$D,"ISSUE",movements!$C:$C,"&lt;"&amp;AF$1+1)</f>
        <v>177</v>
      </c>
      <c r="AG25">
        <f>SUMIFS(movements!$H:$H,movements!$E:$E,$A25,movements!$D:$D,"OPENING",movements!$C:$C,"&lt;"&amp;AG$1+1)+SUMIFS(movements!$H:$H,movements!$E:$E,$A25,movements!$D:$D,"RECEIPT",movements!$C:$C,"&lt;"&amp;AG$1+1)-SUMIFS(movements!$H:$H,movements!$E:$E,$A25,movements!$D:$D,"ISSUE",movements!$C:$C,"&lt;"&amp;AG$1+1)</f>
        <v>166</v>
      </c>
      <c r="AH25">
        <f>SUMIFS(movements!$H:$H,movements!$E:$E,$A25,movements!$D:$D,"OPENING",movements!$C:$C,"&lt;"&amp;AH$1+1)+SUMIFS(movements!$H:$H,movements!$E:$E,$A25,movements!$D:$D,"RECEIPT",movements!$C:$C,"&lt;"&amp;AH$1+1)-SUMIFS(movements!$H:$H,movements!$E:$E,$A25,movements!$D:$D,"ISSUE",movements!$C:$C,"&lt;"&amp;AH$1+1)</f>
        <v>166</v>
      </c>
      <c r="AI25">
        <f>SUMIFS(movements!$H:$H,movements!$E:$E,$A25,movements!$D:$D,"OPENING",movements!$C:$C,"&lt;"&amp;AI$1+1)+SUMIFS(movements!$H:$H,movements!$E:$E,$A25,movements!$D:$D,"RECEIPT",movements!$C:$C,"&lt;"&amp;AI$1+1)-SUMIFS(movements!$H:$H,movements!$E:$E,$A25,movements!$D:$D,"ISSUE",movements!$C:$C,"&lt;"&amp;AI$1+1)</f>
        <v>156</v>
      </c>
      <c r="AJ25">
        <f>SUMIFS(movements!$H:$H,movements!$E:$E,$A25,movements!$D:$D,"OPENING",movements!$C:$C,"&lt;"&amp;AJ$1+1)+SUMIFS(movements!$H:$H,movements!$E:$E,$A25,movements!$D:$D,"RECEIPT",movements!$C:$C,"&lt;"&amp;AJ$1+1)-SUMIFS(movements!$H:$H,movements!$E:$E,$A25,movements!$D:$D,"ISSUE",movements!$C:$C,"&lt;"&amp;AJ$1+1)</f>
        <v>148</v>
      </c>
      <c r="AK25">
        <f>SUMIFS(movements!$H:$H,movements!$E:$E,$A25,movements!$D:$D,"OPENING",movements!$C:$C,"&lt;"&amp;AK$1+1)+SUMIFS(movements!$H:$H,movements!$E:$E,$A25,movements!$D:$D,"RECEIPT",movements!$C:$C,"&lt;"&amp;AK$1+1)-SUMIFS(movements!$H:$H,movements!$E:$E,$A25,movements!$D:$D,"ISSUE",movements!$C:$C,"&lt;"&amp;AK$1+1)</f>
        <v>140</v>
      </c>
      <c r="AL25">
        <f>SUMIFS(movements!$H:$H,movements!$E:$E,$A25,movements!$D:$D,"OPENING",movements!$C:$C,"&lt;"&amp;AL$1+1)+SUMIFS(movements!$H:$H,movements!$E:$E,$A25,movements!$D:$D,"RECEIPT",movements!$C:$C,"&lt;"&amp;AL$1+1)-SUMIFS(movements!$H:$H,movements!$E:$E,$A25,movements!$D:$D,"ISSUE",movements!$C:$C,"&lt;"&amp;AL$1+1)</f>
        <v>133</v>
      </c>
      <c r="AM25">
        <f>SUMIFS(movements!$H:$H,movements!$E:$E,$A25,movements!$D:$D,"OPENING",movements!$C:$C,"&lt;"&amp;AM$1+1)+SUMIFS(movements!$H:$H,movements!$E:$E,$A25,movements!$D:$D,"RECEIPT",movements!$C:$C,"&lt;"&amp;AM$1+1)-SUMIFS(movements!$H:$H,movements!$E:$E,$A25,movements!$D:$D,"ISSUE",movements!$C:$C,"&lt;"&amp;AM$1+1)</f>
        <v>123</v>
      </c>
      <c r="AN25">
        <f>SUMIFS(movements!$H:$H,movements!$E:$E,$A25,movements!$D:$D,"OPENING",movements!$C:$C,"&lt;"&amp;AN$1+1)+SUMIFS(movements!$H:$H,movements!$E:$E,$A25,movements!$D:$D,"RECEIPT",movements!$C:$C,"&lt;"&amp;AN$1+1)-SUMIFS(movements!$H:$H,movements!$E:$E,$A25,movements!$D:$D,"ISSUE",movements!$C:$C,"&lt;"&amp;AN$1+1)</f>
        <v>123</v>
      </c>
      <c r="AO25">
        <f>SUMIFS(movements!$H:$H,movements!$E:$E,$A25,movements!$D:$D,"OPENING",movements!$C:$C,"&lt;"&amp;AO$1+1)+SUMIFS(movements!$H:$H,movements!$E:$E,$A25,movements!$D:$D,"RECEIPT",movements!$C:$C,"&lt;"&amp;AO$1+1)-SUMIFS(movements!$H:$H,movements!$E:$E,$A25,movements!$D:$D,"ISSUE",movements!$C:$C,"&lt;"&amp;AO$1+1)</f>
        <v>114</v>
      </c>
      <c r="AP25">
        <f>SUMIFS(movements!$H:$H,movements!$E:$E,$A25,movements!$D:$D,"OPENING",movements!$C:$C,"&lt;"&amp;AP$1+1)+SUMIFS(movements!$H:$H,movements!$E:$E,$A25,movements!$D:$D,"RECEIPT",movements!$C:$C,"&lt;"&amp;AP$1+1)-SUMIFS(movements!$H:$H,movements!$E:$E,$A25,movements!$D:$D,"ISSUE",movements!$C:$C,"&lt;"&amp;AP$1+1)</f>
        <v>103</v>
      </c>
      <c r="AQ25">
        <f>SUMIFS(movements!$H:$H,movements!$E:$E,$A25,movements!$D:$D,"OPENING",movements!$C:$C,"&lt;"&amp;AQ$1+1)+SUMIFS(movements!$H:$H,movements!$E:$E,$A25,movements!$D:$D,"RECEIPT",movements!$C:$C,"&lt;"&amp;AQ$1+1)-SUMIFS(movements!$H:$H,movements!$E:$E,$A25,movements!$D:$D,"ISSUE",movements!$C:$C,"&lt;"&amp;AQ$1+1)</f>
        <v>100</v>
      </c>
      <c r="AR25">
        <f>SUMIFS(movements!$H:$H,movements!$E:$E,$A25,movements!$D:$D,"OPENING",movements!$C:$C,"&lt;"&amp;AR$1+1)+SUMIFS(movements!$H:$H,movements!$E:$E,$A25,movements!$D:$D,"RECEIPT",movements!$C:$C,"&lt;"&amp;AR$1+1)-SUMIFS(movements!$H:$H,movements!$E:$E,$A25,movements!$D:$D,"ISSUE",movements!$C:$C,"&lt;"&amp;AR$1+1)</f>
        <v>184</v>
      </c>
      <c r="AS25">
        <f>SUMIFS(movements!$H:$H,movements!$E:$E,$A25,movements!$D:$D,"OPENING",movements!$C:$C,"&lt;"&amp;AS$1+1)+SUMIFS(movements!$H:$H,movements!$E:$E,$A25,movements!$D:$D,"RECEIPT",movements!$C:$C,"&lt;"&amp;AS$1+1)-SUMIFS(movements!$H:$H,movements!$E:$E,$A25,movements!$D:$D,"ISSUE",movements!$C:$C,"&lt;"&amp;AS$1+1)</f>
        <v>180</v>
      </c>
      <c r="AT25">
        <f>SUMIFS(movements!$H:$H,movements!$E:$E,$A25,movements!$D:$D,"OPENING",movements!$C:$C,"&lt;"&amp;AT$1+1)+SUMIFS(movements!$H:$H,movements!$E:$E,$A25,movements!$D:$D,"RECEIPT",movements!$C:$C,"&lt;"&amp;AT$1+1)-SUMIFS(movements!$H:$H,movements!$E:$E,$A25,movements!$D:$D,"ISSUE",movements!$C:$C,"&lt;"&amp;AT$1+1)</f>
        <v>175</v>
      </c>
      <c r="AU25">
        <f>SUMIFS(movements!$H:$H,movements!$E:$E,$A25,movements!$D:$D,"OPENING",movements!$C:$C,"&lt;"&amp;AU$1+1)+SUMIFS(movements!$H:$H,movements!$E:$E,$A25,movements!$D:$D,"RECEIPT",movements!$C:$C,"&lt;"&amp;AU$1+1)-SUMIFS(movements!$H:$H,movements!$E:$E,$A25,movements!$D:$D,"ISSUE",movements!$C:$C,"&lt;"&amp;AU$1+1)</f>
        <v>169</v>
      </c>
      <c r="AV25">
        <f>SUMIFS(movements!$H:$H,movements!$E:$E,$A25,movements!$D:$D,"OPENING",movements!$C:$C,"&lt;"&amp;AV$1+1)+SUMIFS(movements!$H:$H,movements!$E:$E,$A25,movements!$D:$D,"RECEIPT",movements!$C:$C,"&lt;"&amp;AV$1+1)-SUMIFS(movements!$H:$H,movements!$E:$E,$A25,movements!$D:$D,"ISSUE",movements!$C:$C,"&lt;"&amp;AV$1+1)</f>
        <v>164</v>
      </c>
      <c r="AW25">
        <f>SUMIFS(movements!$H:$H,movements!$E:$E,$A25,movements!$D:$D,"OPENING",movements!$C:$C,"&lt;"&amp;AW$1+1)+SUMIFS(movements!$H:$H,movements!$E:$E,$A25,movements!$D:$D,"RECEIPT",movements!$C:$C,"&lt;"&amp;AW$1+1)-SUMIFS(movements!$H:$H,movements!$E:$E,$A25,movements!$D:$D,"ISSUE",movements!$C:$C,"&lt;"&amp;AW$1+1)</f>
        <v>156</v>
      </c>
      <c r="AX25">
        <f>SUMIFS(movements!$H:$H,movements!$E:$E,$A25,movements!$D:$D,"OPENING",movements!$C:$C,"&lt;"&amp;AX$1+1)+SUMIFS(movements!$H:$H,movements!$E:$E,$A25,movements!$D:$D,"RECEIPT",movements!$C:$C,"&lt;"&amp;AX$1+1)-SUMIFS(movements!$H:$H,movements!$E:$E,$A25,movements!$D:$D,"ISSUE",movements!$C:$C,"&lt;"&amp;AX$1+1)</f>
        <v>153</v>
      </c>
      <c r="AY25">
        <f>SUMIFS(movements!$H:$H,movements!$E:$E,$A25,movements!$D:$D,"OPENING",movements!$C:$C,"&lt;"&amp;AY$1+1)+SUMIFS(movements!$H:$H,movements!$E:$E,$A25,movements!$D:$D,"RECEIPT",movements!$C:$C,"&lt;"&amp;AY$1+1)-SUMIFS(movements!$H:$H,movements!$E:$E,$A25,movements!$D:$D,"ISSUE",movements!$C:$C,"&lt;"&amp;AY$1+1)</f>
        <v>149</v>
      </c>
      <c r="AZ25">
        <f>SUMIFS(movements!$H:$H,movements!$E:$E,$A25,movements!$D:$D,"OPENING",movements!$C:$C,"&lt;"&amp;AZ$1+1)+SUMIFS(movements!$H:$H,movements!$E:$E,$A25,movements!$D:$D,"RECEIPT",movements!$C:$C,"&lt;"&amp;AZ$1+1)-SUMIFS(movements!$H:$H,movements!$E:$E,$A25,movements!$D:$D,"ISSUE",movements!$C:$C,"&lt;"&amp;AZ$1+1)</f>
        <v>143</v>
      </c>
      <c r="BA25">
        <f>SUMIFS(movements!$H:$H,movements!$E:$E,$A25,movements!$D:$D,"OPENING",movements!$C:$C,"&lt;"&amp;BA$1+1)+SUMIFS(movements!$H:$H,movements!$E:$E,$A25,movements!$D:$D,"RECEIPT",movements!$C:$C,"&lt;"&amp;BA$1+1)-SUMIFS(movements!$H:$H,movements!$E:$E,$A25,movements!$D:$D,"ISSUE",movements!$C:$C,"&lt;"&amp;BA$1+1)</f>
        <v>135</v>
      </c>
      <c r="BB25">
        <f>SUMIFS(movements!$H:$H,movements!$E:$E,$A25,movements!$D:$D,"OPENING",movements!$C:$C,"&lt;"&amp;BB$1+1)+SUMIFS(movements!$H:$H,movements!$E:$E,$A25,movements!$D:$D,"RECEIPT",movements!$C:$C,"&lt;"&amp;BB$1+1)-SUMIFS(movements!$H:$H,movements!$E:$E,$A25,movements!$D:$D,"ISSUE",movements!$C:$C,"&lt;"&amp;BB$1+1)</f>
        <v>131</v>
      </c>
      <c r="BC25">
        <f>SUMIFS(movements!$H:$H,movements!$E:$E,$A25,movements!$D:$D,"OPENING",movements!$C:$C,"&lt;"&amp;BC$1+1)+SUMIFS(movements!$H:$H,movements!$E:$E,$A25,movements!$D:$D,"RECEIPT",movements!$C:$C,"&lt;"&amp;BC$1+1)-SUMIFS(movements!$H:$H,movements!$E:$E,$A25,movements!$D:$D,"ISSUE",movements!$C:$C,"&lt;"&amp;BC$1+1)</f>
        <v>131</v>
      </c>
      <c r="BD25">
        <f>SUMIFS(movements!$H:$H,movements!$E:$E,$A25,movements!$D:$D,"OPENING",movements!$C:$C,"&lt;"&amp;BD$1+1)+SUMIFS(movements!$H:$H,movements!$E:$E,$A25,movements!$D:$D,"RECEIPT",movements!$C:$C,"&lt;"&amp;BD$1+1)-SUMIFS(movements!$H:$H,movements!$E:$E,$A25,movements!$D:$D,"ISSUE",movements!$C:$C,"&lt;"&amp;BD$1+1)</f>
        <v>119</v>
      </c>
      <c r="BE25">
        <f>SUMIFS(movements!$H:$H,movements!$E:$E,$A25,movements!$D:$D,"OPENING",movements!$C:$C,"&lt;"&amp;BE$1+1)+SUMIFS(movements!$H:$H,movements!$E:$E,$A25,movements!$D:$D,"RECEIPT",movements!$C:$C,"&lt;"&amp;BE$1+1)-SUMIFS(movements!$H:$H,movements!$E:$E,$A25,movements!$D:$D,"ISSUE",movements!$C:$C,"&lt;"&amp;BE$1+1)</f>
        <v>115</v>
      </c>
      <c r="BF25">
        <f>SUMIFS(movements!$H:$H,movements!$E:$E,$A25,movements!$D:$D,"OPENING",movements!$C:$C,"&lt;"&amp;BF$1+1)+SUMIFS(movements!$H:$H,movements!$E:$E,$A25,movements!$D:$D,"RECEIPT",movements!$C:$C,"&lt;"&amp;BF$1+1)-SUMIFS(movements!$H:$H,movements!$E:$E,$A25,movements!$D:$D,"ISSUE",movements!$C:$C,"&lt;"&amp;BF$1+1)</f>
        <v>115</v>
      </c>
      <c r="BG25">
        <f>SUMIFS(movements!$H:$H,movements!$E:$E,$A25,movements!$D:$D,"OPENING",movements!$C:$C,"&lt;"&amp;BG$1+1)+SUMIFS(movements!$H:$H,movements!$E:$E,$A25,movements!$D:$D,"RECEIPT",movements!$C:$C,"&lt;"&amp;BG$1+1)-SUMIFS(movements!$H:$H,movements!$E:$E,$A25,movements!$D:$D,"ISSUE",movements!$C:$C,"&lt;"&amp;BG$1+1)</f>
        <v>115</v>
      </c>
      <c r="BH25">
        <f>SUMIFS(movements!$H:$H,movements!$E:$E,$A25,movements!$D:$D,"OPENING",movements!$C:$C,"&lt;"&amp;BH$1+1)+SUMIFS(movements!$H:$H,movements!$E:$E,$A25,movements!$D:$D,"RECEIPT",movements!$C:$C,"&lt;"&amp;BH$1+1)-SUMIFS(movements!$H:$H,movements!$E:$E,$A25,movements!$D:$D,"ISSUE",movements!$C:$C,"&lt;"&amp;BH$1+1)</f>
        <v>108</v>
      </c>
      <c r="BI25">
        <f>SUMIFS(movements!$H:$H,movements!$E:$E,$A25,movements!$D:$D,"OPENING",movements!$C:$C,"&lt;"&amp;BI$1+1)+SUMIFS(movements!$H:$H,movements!$E:$E,$A25,movements!$D:$D,"RECEIPT",movements!$C:$C,"&lt;"&amp;BI$1+1)-SUMIFS(movements!$H:$H,movements!$E:$E,$A25,movements!$D:$D,"ISSUE",movements!$C:$C,"&lt;"&amp;BI$1+1)</f>
        <v>104</v>
      </c>
      <c r="BJ25">
        <f>SUMIFS(movements!$H:$H,movements!$E:$E,$A25,movements!$D:$D,"OPENING",movements!$C:$C,"&lt;"&amp;BJ$1+1)+SUMIFS(movements!$H:$H,movements!$E:$E,$A25,movements!$D:$D,"RECEIPT",movements!$C:$C,"&lt;"&amp;BJ$1+1)-SUMIFS(movements!$H:$H,movements!$E:$E,$A25,movements!$D:$D,"ISSUE",movements!$C:$C,"&lt;"&amp;BJ$1+1)</f>
        <v>104</v>
      </c>
      <c r="BK25">
        <f>SUMIFS(movements!$H:$H,movements!$E:$E,$A25,movements!$D:$D,"OPENING",movements!$C:$C,"&lt;"&amp;BK$1+1)+SUMIFS(movements!$H:$H,movements!$E:$E,$A25,movements!$D:$D,"RECEIPT",movements!$C:$C,"&lt;"&amp;BK$1+1)-SUMIFS(movements!$H:$H,movements!$E:$E,$A25,movements!$D:$D,"ISSUE",movements!$C:$C,"&lt;"&amp;BK$1+1)</f>
        <v>101</v>
      </c>
      <c r="BL25">
        <f>SUMIFS(movements!$H:$H,movements!$E:$E,$A25,movements!$D:$D,"OPENING",movements!$C:$C,"&lt;"&amp;BL$1+1)+SUMIFS(movements!$H:$H,movements!$E:$E,$A25,movements!$D:$D,"RECEIPT",movements!$C:$C,"&lt;"&amp;BL$1+1)-SUMIFS(movements!$H:$H,movements!$E:$E,$A25,movements!$D:$D,"ISSUE",movements!$C:$C,"&lt;"&amp;BL$1+1)</f>
        <v>101</v>
      </c>
      <c r="BM25">
        <f>SUMIFS(movements!$H:$H,movements!$E:$E,$A25,movements!$D:$D,"OPENING",movements!$C:$C,"&lt;"&amp;BM$1+1)+SUMIFS(movements!$H:$H,movements!$E:$E,$A25,movements!$D:$D,"RECEIPT",movements!$C:$C,"&lt;"&amp;BM$1+1)-SUMIFS(movements!$H:$H,movements!$E:$E,$A25,movements!$D:$D,"ISSUE",movements!$C:$C,"&lt;"&amp;BM$1+1)</f>
        <v>181</v>
      </c>
      <c r="BN25">
        <f>SUMIFS(movements!$H:$H,movements!$E:$E,$A25,movements!$D:$D,"OPENING",movements!$C:$C,"&lt;"&amp;BN$1+1)+SUMIFS(movements!$H:$H,movements!$E:$E,$A25,movements!$D:$D,"RECEIPT",movements!$C:$C,"&lt;"&amp;BN$1+1)-SUMIFS(movements!$H:$H,movements!$E:$E,$A25,movements!$D:$D,"ISSUE",movements!$C:$C,"&lt;"&amp;BN$1+1)</f>
        <v>181</v>
      </c>
      <c r="BO25">
        <f>SUMIFS(movements!$H:$H,movements!$E:$E,$A25,movements!$D:$D,"OPENING",movements!$C:$C,"&lt;"&amp;BO$1+1)+SUMIFS(movements!$H:$H,movements!$E:$E,$A25,movements!$D:$D,"RECEIPT",movements!$C:$C,"&lt;"&amp;BO$1+1)-SUMIFS(movements!$H:$H,movements!$E:$E,$A25,movements!$D:$D,"ISSUE",movements!$C:$C,"&lt;"&amp;BO$1+1)</f>
        <v>176</v>
      </c>
      <c r="BP25">
        <f>SUMIFS(movements!$H:$H,movements!$E:$E,$A25,movements!$D:$D,"OPENING",movements!$C:$C,"&lt;"&amp;BP$1+1)+SUMIFS(movements!$H:$H,movements!$E:$E,$A25,movements!$D:$D,"RECEIPT",movements!$C:$C,"&lt;"&amp;BP$1+1)-SUMIFS(movements!$H:$H,movements!$E:$E,$A25,movements!$D:$D,"ISSUE",movements!$C:$C,"&lt;"&amp;BP$1+1)</f>
        <v>176</v>
      </c>
      <c r="BQ25">
        <f>SUMIFS(movements!$H:$H,movements!$E:$E,$A25,movements!$D:$D,"OPENING",movements!$C:$C,"&lt;"&amp;BQ$1+1)+SUMIFS(movements!$H:$H,movements!$E:$E,$A25,movements!$D:$D,"RECEIPT",movements!$C:$C,"&lt;"&amp;BQ$1+1)-SUMIFS(movements!$H:$H,movements!$E:$E,$A25,movements!$D:$D,"ISSUE",movements!$C:$C,"&lt;"&amp;BQ$1+1)</f>
        <v>176</v>
      </c>
      <c r="BR25">
        <f>SUMIFS(movements!$H:$H,movements!$E:$E,$A25,movements!$D:$D,"OPENING",movements!$C:$C,"&lt;"&amp;BR$1+1)+SUMIFS(movements!$H:$H,movements!$E:$E,$A25,movements!$D:$D,"RECEIPT",movements!$C:$C,"&lt;"&amp;BR$1+1)-SUMIFS(movements!$H:$H,movements!$E:$E,$A25,movements!$D:$D,"ISSUE",movements!$C:$C,"&lt;"&amp;BR$1+1)</f>
        <v>174</v>
      </c>
      <c r="BS25">
        <f>SUMIFS(movements!$H:$H,movements!$E:$E,$A25,movements!$D:$D,"OPENING",movements!$C:$C,"&lt;"&amp;BS$1+1)+SUMIFS(movements!$H:$H,movements!$E:$E,$A25,movements!$D:$D,"RECEIPT",movements!$C:$C,"&lt;"&amp;BS$1+1)-SUMIFS(movements!$H:$H,movements!$E:$E,$A25,movements!$D:$D,"ISSUE",movements!$C:$C,"&lt;"&amp;BS$1+1)</f>
        <v>174</v>
      </c>
      <c r="BT25">
        <f>SUMIFS(movements!$H:$H,movements!$E:$E,$A25,movements!$D:$D,"OPENING",movements!$C:$C,"&lt;"&amp;BT$1+1)+SUMIFS(movements!$H:$H,movements!$E:$E,$A25,movements!$D:$D,"RECEIPT",movements!$C:$C,"&lt;"&amp;BT$1+1)-SUMIFS(movements!$H:$H,movements!$E:$E,$A25,movements!$D:$D,"ISSUE",movements!$C:$C,"&lt;"&amp;BT$1+1)</f>
        <v>168</v>
      </c>
      <c r="BU25">
        <f>SUMIFS(movements!$H:$H,movements!$E:$E,$A25,movements!$D:$D,"OPENING",movements!$C:$C,"&lt;"&amp;BU$1+1)+SUMIFS(movements!$H:$H,movements!$E:$E,$A25,movements!$D:$D,"RECEIPT",movements!$C:$C,"&lt;"&amp;BU$1+1)-SUMIFS(movements!$H:$H,movements!$E:$E,$A25,movements!$D:$D,"ISSUE",movements!$C:$C,"&lt;"&amp;BU$1+1)</f>
        <v>168</v>
      </c>
      <c r="BV25">
        <f>SUMIFS(movements!$H:$H,movements!$E:$E,$A25,movements!$D:$D,"OPENING",movements!$C:$C,"&lt;"&amp;BV$1+1)+SUMIFS(movements!$H:$H,movements!$E:$E,$A25,movements!$D:$D,"RECEIPT",movements!$C:$C,"&lt;"&amp;BV$1+1)-SUMIFS(movements!$H:$H,movements!$E:$E,$A25,movements!$D:$D,"ISSUE",movements!$C:$C,"&lt;"&amp;BV$1+1)</f>
        <v>167</v>
      </c>
      <c r="BW25">
        <f>SUMIFS(movements!$H:$H,movements!$E:$E,$A25,movements!$D:$D,"OPENING",movements!$C:$C,"&lt;"&amp;BW$1+1)+SUMIFS(movements!$H:$H,movements!$E:$E,$A25,movements!$D:$D,"RECEIPT",movements!$C:$C,"&lt;"&amp;BW$1+1)-SUMIFS(movements!$H:$H,movements!$E:$E,$A25,movements!$D:$D,"ISSUE",movements!$C:$C,"&lt;"&amp;BW$1+1)</f>
        <v>165</v>
      </c>
      <c r="BX25">
        <f>SUMIFS(movements!$H:$H,movements!$E:$E,$A25,movements!$D:$D,"OPENING",movements!$C:$C,"&lt;"&amp;BX$1+1)+SUMIFS(movements!$H:$H,movements!$E:$E,$A25,movements!$D:$D,"RECEIPT",movements!$C:$C,"&lt;"&amp;BX$1+1)-SUMIFS(movements!$H:$H,movements!$E:$E,$A25,movements!$D:$D,"ISSUE",movements!$C:$C,"&lt;"&amp;BX$1+1)</f>
        <v>162</v>
      </c>
      <c r="BY25">
        <f>SUMIFS(movements!$H:$H,movements!$E:$E,$A25,movements!$D:$D,"OPENING",movements!$C:$C,"&lt;"&amp;BY$1+1)+SUMIFS(movements!$H:$H,movements!$E:$E,$A25,movements!$D:$D,"RECEIPT",movements!$C:$C,"&lt;"&amp;BY$1+1)-SUMIFS(movements!$H:$H,movements!$E:$E,$A25,movements!$D:$D,"ISSUE",movements!$C:$C,"&lt;"&amp;BY$1+1)</f>
        <v>155</v>
      </c>
      <c r="BZ25">
        <f>SUMIFS(movements!$H:$H,movements!$E:$E,$A25,movements!$D:$D,"OPENING",movements!$C:$C,"&lt;"&amp;BZ$1+1)+SUMIFS(movements!$H:$H,movements!$E:$E,$A25,movements!$D:$D,"RECEIPT",movements!$C:$C,"&lt;"&amp;BZ$1+1)-SUMIFS(movements!$H:$H,movements!$E:$E,$A25,movements!$D:$D,"ISSUE",movements!$C:$C,"&lt;"&amp;BZ$1+1)</f>
        <v>154</v>
      </c>
      <c r="CA25">
        <f>SUMIFS(movements!$H:$H,movements!$E:$E,$A25,movements!$D:$D,"OPENING",movements!$C:$C,"&lt;"&amp;CA$1+1)+SUMIFS(movements!$H:$H,movements!$E:$E,$A25,movements!$D:$D,"RECEIPT",movements!$C:$C,"&lt;"&amp;CA$1+1)-SUMIFS(movements!$H:$H,movements!$E:$E,$A25,movements!$D:$D,"ISSUE",movements!$C:$C,"&lt;"&amp;CA$1+1)</f>
        <v>154</v>
      </c>
      <c r="CB25">
        <f>SUMIFS(movements!$H:$H,movements!$E:$E,$A25,movements!$D:$D,"OPENING",movements!$C:$C,"&lt;"&amp;CB$1+1)+SUMIFS(movements!$H:$H,movements!$E:$E,$A25,movements!$D:$D,"RECEIPT",movements!$C:$C,"&lt;"&amp;CB$1+1)-SUMIFS(movements!$H:$H,movements!$E:$E,$A25,movements!$D:$D,"ISSUE",movements!$C:$C,"&lt;"&amp;CB$1+1)</f>
        <v>147</v>
      </c>
      <c r="CC25">
        <f>SUMIFS(movements!$H:$H,movements!$E:$E,$A25,movements!$D:$D,"OPENING",movements!$C:$C,"&lt;"&amp;CC$1+1)+SUMIFS(movements!$H:$H,movements!$E:$E,$A25,movements!$D:$D,"RECEIPT",movements!$C:$C,"&lt;"&amp;CC$1+1)-SUMIFS(movements!$H:$H,movements!$E:$E,$A25,movements!$D:$D,"ISSUE",movements!$C:$C,"&lt;"&amp;CC$1+1)</f>
        <v>147</v>
      </c>
      <c r="CD25">
        <f>SUMIFS(movements!$H:$H,movements!$E:$E,$A25,movements!$D:$D,"OPENING",movements!$C:$C,"&lt;"&amp;CD$1+1)+SUMIFS(movements!$H:$H,movements!$E:$E,$A25,movements!$D:$D,"RECEIPT",movements!$C:$C,"&lt;"&amp;CD$1+1)-SUMIFS(movements!$H:$H,movements!$E:$E,$A25,movements!$D:$D,"ISSUE",movements!$C:$C,"&lt;"&amp;CD$1+1)</f>
        <v>146</v>
      </c>
      <c r="CE25">
        <f>SUMIFS(movements!$H:$H,movements!$E:$E,$A25,movements!$D:$D,"OPENING",movements!$C:$C,"&lt;"&amp;CE$1+1)+SUMIFS(movements!$H:$H,movements!$E:$E,$A25,movements!$D:$D,"RECEIPT",movements!$C:$C,"&lt;"&amp;CE$1+1)-SUMIFS(movements!$H:$H,movements!$E:$E,$A25,movements!$D:$D,"ISSUE",movements!$C:$C,"&lt;"&amp;CE$1+1)</f>
        <v>146</v>
      </c>
      <c r="CF25">
        <f>SUMIFS(movements!$H:$H,movements!$E:$E,$A25,movements!$D:$D,"OPENING",movements!$C:$C,"&lt;"&amp;CF$1+1)+SUMIFS(movements!$H:$H,movements!$E:$E,$A25,movements!$D:$D,"RECEIPT",movements!$C:$C,"&lt;"&amp;CF$1+1)-SUMIFS(movements!$H:$H,movements!$E:$E,$A25,movements!$D:$D,"ISSUE",movements!$C:$C,"&lt;"&amp;CF$1+1)</f>
        <v>146</v>
      </c>
      <c r="CG25">
        <f>SUMIFS(movements!$H:$H,movements!$E:$E,$A25,movements!$D:$D,"OPENING",movements!$C:$C,"&lt;"&amp;CG$1+1)+SUMIFS(movements!$H:$H,movements!$E:$E,$A25,movements!$D:$D,"RECEIPT",movements!$C:$C,"&lt;"&amp;CG$1+1)-SUMIFS(movements!$H:$H,movements!$E:$E,$A25,movements!$D:$D,"ISSUE",movements!$C:$C,"&lt;"&amp;CG$1+1)</f>
        <v>144</v>
      </c>
      <c r="CH25">
        <f>SUMIFS(movements!$H:$H,movements!$E:$E,$A25,movements!$D:$D,"OPENING",movements!$C:$C,"&lt;"&amp;CH$1+1)+SUMIFS(movements!$H:$H,movements!$E:$E,$A25,movements!$D:$D,"RECEIPT",movements!$C:$C,"&lt;"&amp;CH$1+1)-SUMIFS(movements!$H:$H,movements!$E:$E,$A25,movements!$D:$D,"ISSUE",movements!$C:$C,"&lt;"&amp;CH$1+1)</f>
        <v>144</v>
      </c>
      <c r="CI25">
        <f>SUMIFS(movements!$H:$H,movements!$E:$E,$A25,movements!$D:$D,"OPENING",movements!$C:$C,"&lt;"&amp;CI$1+1)+SUMIFS(movements!$H:$H,movements!$E:$E,$A25,movements!$D:$D,"RECEIPT",movements!$C:$C,"&lt;"&amp;CI$1+1)-SUMIFS(movements!$H:$H,movements!$E:$E,$A25,movements!$D:$D,"ISSUE",movements!$C:$C,"&lt;"&amp;CI$1+1)</f>
        <v>142</v>
      </c>
      <c r="CJ25">
        <f>SUMIFS(movements!$H:$H,movements!$E:$E,$A25,movements!$D:$D,"OPENING",movements!$C:$C,"&lt;"&amp;CJ$1+1)+SUMIFS(movements!$H:$H,movements!$E:$E,$A25,movements!$D:$D,"RECEIPT",movements!$C:$C,"&lt;"&amp;CJ$1+1)-SUMIFS(movements!$H:$H,movements!$E:$E,$A25,movements!$D:$D,"ISSUE",movements!$C:$C,"&lt;"&amp;CJ$1+1)</f>
        <v>138</v>
      </c>
      <c r="CK25">
        <f>SUMIFS(movements!$H:$H,movements!$E:$E,$A25,movements!$D:$D,"OPENING",movements!$C:$C,"&lt;"&amp;CK$1+1)+SUMIFS(movements!$H:$H,movements!$E:$E,$A25,movements!$D:$D,"RECEIPT",movements!$C:$C,"&lt;"&amp;CK$1+1)-SUMIFS(movements!$H:$H,movements!$E:$E,$A25,movements!$D:$D,"ISSUE",movements!$C:$C,"&lt;"&amp;CK$1+1)</f>
        <v>135</v>
      </c>
      <c r="CL25">
        <f>SUMIFS(movements!$H:$H,movements!$E:$E,$A25,movements!$D:$D,"OPENING",movements!$C:$C,"&lt;"&amp;CL$1+1)+SUMIFS(movements!$H:$H,movements!$E:$E,$A25,movements!$D:$D,"RECEIPT",movements!$C:$C,"&lt;"&amp;CL$1+1)-SUMIFS(movements!$H:$H,movements!$E:$E,$A25,movements!$D:$D,"ISSUE",movements!$C:$C,"&lt;"&amp;CL$1+1)</f>
        <v>135</v>
      </c>
      <c r="CM25">
        <f>SUMIFS(movements!$H:$H,movements!$E:$E,$A25,movements!$D:$D,"OPENING",movements!$C:$C,"&lt;"&amp;CM$1+1)+SUMIFS(movements!$H:$H,movements!$E:$E,$A25,movements!$D:$D,"RECEIPT",movements!$C:$C,"&lt;"&amp;CM$1+1)-SUMIFS(movements!$H:$H,movements!$E:$E,$A25,movements!$D:$D,"ISSUE",movements!$C:$C,"&lt;"&amp;CM$1+1)</f>
        <v>117</v>
      </c>
      <c r="CN25">
        <f t="shared" si="2"/>
        <v>134.61111111111111</v>
      </c>
      <c r="CO25">
        <f>SUMIFS(movements!$H:$H,movements!$E:$E,$A25,movements!$D:$D,"ISSUE",movements!$C:$C,"&gt;="&amp;$B$1,movements!$C:$C,"&lt;"&amp;($CM$1+1))</f>
        <v>371</v>
      </c>
      <c r="CP25">
        <f t="shared" si="3"/>
        <v>2.7560874948411058</v>
      </c>
      <c r="CQ25">
        <f t="shared" si="4"/>
        <v>32.654986522911052</v>
      </c>
    </row>
    <row r="26" spans="1:95" x14ac:dyDescent="0.25">
      <c r="A26" t="s">
        <v>71</v>
      </c>
      <c r="B26">
        <f>SUMIFS(movements!$H:$H,movements!$E:$E,$A26,movements!$D:$D,"OPENING",movements!$C:$C,"&lt;"&amp;B$1+1)+SUMIFS(movements!$H:$H,movements!$E:$E,$A26,movements!$D:$D,"RECEIPT",movements!$C:$C,"&lt;"&amp;B$1+1)-SUMIFS(movements!$H:$H,movements!$E:$E,$A26,movements!$D:$D,"ISSUE",movements!$C:$C,"&lt;"&amp;B$1+1)</f>
        <v>75</v>
      </c>
      <c r="C26">
        <f>SUMIFS(movements!$H:$H,movements!$E:$E,$A26,movements!$D:$D,"OPENING",movements!$C:$C,"&lt;"&amp;C$1+1)+SUMIFS(movements!$H:$H,movements!$E:$E,$A26,movements!$D:$D,"RECEIPT",movements!$C:$C,"&lt;"&amp;C$1+1)-SUMIFS(movements!$H:$H,movements!$E:$E,$A26,movements!$D:$D,"ISSUE",movements!$C:$C,"&lt;"&amp;C$1+1)</f>
        <v>68</v>
      </c>
      <c r="D26">
        <f>SUMIFS(movements!$H:$H,movements!$E:$E,$A26,movements!$D:$D,"OPENING",movements!$C:$C,"&lt;"&amp;D$1+1)+SUMIFS(movements!$H:$H,movements!$E:$E,$A26,movements!$D:$D,"RECEIPT",movements!$C:$C,"&lt;"&amp;D$1+1)-SUMIFS(movements!$H:$H,movements!$E:$E,$A26,movements!$D:$D,"ISSUE",movements!$C:$C,"&lt;"&amp;D$1+1)</f>
        <v>55</v>
      </c>
      <c r="E26">
        <f>SUMIFS(movements!$H:$H,movements!$E:$E,$A26,movements!$D:$D,"OPENING",movements!$C:$C,"&lt;"&amp;E$1+1)+SUMIFS(movements!$H:$H,movements!$E:$E,$A26,movements!$D:$D,"RECEIPT",movements!$C:$C,"&lt;"&amp;E$1+1)-SUMIFS(movements!$H:$H,movements!$E:$E,$A26,movements!$D:$D,"ISSUE",movements!$C:$C,"&lt;"&amp;E$1+1)</f>
        <v>55</v>
      </c>
      <c r="F26">
        <f>SUMIFS(movements!$H:$H,movements!$E:$E,$A26,movements!$D:$D,"OPENING",movements!$C:$C,"&lt;"&amp;F$1+1)+SUMIFS(movements!$H:$H,movements!$E:$E,$A26,movements!$D:$D,"RECEIPT",movements!$C:$C,"&lt;"&amp;F$1+1)-SUMIFS(movements!$H:$H,movements!$E:$E,$A26,movements!$D:$D,"ISSUE",movements!$C:$C,"&lt;"&amp;F$1+1)</f>
        <v>45</v>
      </c>
      <c r="G26">
        <f>SUMIFS(movements!$H:$H,movements!$E:$E,$A26,movements!$D:$D,"OPENING",movements!$C:$C,"&lt;"&amp;G$1+1)+SUMIFS(movements!$H:$H,movements!$E:$E,$A26,movements!$D:$D,"RECEIPT",movements!$C:$C,"&lt;"&amp;G$1+1)-SUMIFS(movements!$H:$H,movements!$E:$E,$A26,movements!$D:$D,"ISSUE",movements!$C:$C,"&lt;"&amp;G$1+1)</f>
        <v>43</v>
      </c>
      <c r="H26">
        <f>SUMIFS(movements!$H:$H,movements!$E:$E,$A26,movements!$D:$D,"OPENING",movements!$C:$C,"&lt;"&amp;H$1+1)+SUMIFS(movements!$H:$H,movements!$E:$E,$A26,movements!$D:$D,"RECEIPT",movements!$C:$C,"&lt;"&amp;H$1+1)-SUMIFS(movements!$H:$H,movements!$E:$E,$A26,movements!$D:$D,"ISSUE",movements!$C:$C,"&lt;"&amp;H$1+1)</f>
        <v>34</v>
      </c>
      <c r="I26">
        <f>SUMIFS(movements!$H:$H,movements!$E:$E,$A26,movements!$D:$D,"OPENING",movements!$C:$C,"&lt;"&amp;I$1+1)+SUMIFS(movements!$H:$H,movements!$E:$E,$A26,movements!$D:$D,"RECEIPT",movements!$C:$C,"&lt;"&amp;I$1+1)-SUMIFS(movements!$H:$H,movements!$E:$E,$A26,movements!$D:$D,"ISSUE",movements!$C:$C,"&lt;"&amp;I$1+1)</f>
        <v>96</v>
      </c>
      <c r="J26">
        <f>SUMIFS(movements!$H:$H,movements!$E:$E,$A26,movements!$D:$D,"OPENING",movements!$C:$C,"&lt;"&amp;J$1+1)+SUMIFS(movements!$H:$H,movements!$E:$E,$A26,movements!$D:$D,"RECEIPT",movements!$C:$C,"&lt;"&amp;J$1+1)-SUMIFS(movements!$H:$H,movements!$E:$E,$A26,movements!$D:$D,"ISSUE",movements!$C:$C,"&lt;"&amp;J$1+1)</f>
        <v>92</v>
      </c>
      <c r="K26">
        <f>SUMIFS(movements!$H:$H,movements!$E:$E,$A26,movements!$D:$D,"OPENING",movements!$C:$C,"&lt;"&amp;K$1+1)+SUMIFS(movements!$H:$H,movements!$E:$E,$A26,movements!$D:$D,"RECEIPT",movements!$C:$C,"&lt;"&amp;K$1+1)-SUMIFS(movements!$H:$H,movements!$E:$E,$A26,movements!$D:$D,"ISSUE",movements!$C:$C,"&lt;"&amp;K$1+1)</f>
        <v>83</v>
      </c>
      <c r="L26">
        <f>SUMIFS(movements!$H:$H,movements!$E:$E,$A26,movements!$D:$D,"OPENING",movements!$C:$C,"&lt;"&amp;L$1+1)+SUMIFS(movements!$H:$H,movements!$E:$E,$A26,movements!$D:$D,"RECEIPT",movements!$C:$C,"&lt;"&amp;L$1+1)-SUMIFS(movements!$H:$H,movements!$E:$E,$A26,movements!$D:$D,"ISSUE",movements!$C:$C,"&lt;"&amp;L$1+1)</f>
        <v>77</v>
      </c>
      <c r="M26">
        <f>SUMIFS(movements!$H:$H,movements!$E:$E,$A26,movements!$D:$D,"OPENING",movements!$C:$C,"&lt;"&amp;M$1+1)+SUMIFS(movements!$H:$H,movements!$E:$E,$A26,movements!$D:$D,"RECEIPT",movements!$C:$C,"&lt;"&amp;M$1+1)-SUMIFS(movements!$H:$H,movements!$E:$E,$A26,movements!$D:$D,"ISSUE",movements!$C:$C,"&lt;"&amp;M$1+1)</f>
        <v>74</v>
      </c>
      <c r="N26">
        <f>SUMIFS(movements!$H:$H,movements!$E:$E,$A26,movements!$D:$D,"OPENING",movements!$C:$C,"&lt;"&amp;N$1+1)+SUMIFS(movements!$H:$H,movements!$E:$E,$A26,movements!$D:$D,"RECEIPT",movements!$C:$C,"&lt;"&amp;N$1+1)-SUMIFS(movements!$H:$H,movements!$E:$E,$A26,movements!$D:$D,"ISSUE",movements!$C:$C,"&lt;"&amp;N$1+1)</f>
        <v>65</v>
      </c>
      <c r="O26">
        <f>SUMIFS(movements!$H:$H,movements!$E:$E,$A26,movements!$D:$D,"OPENING",movements!$C:$C,"&lt;"&amp;O$1+1)+SUMIFS(movements!$H:$H,movements!$E:$E,$A26,movements!$D:$D,"RECEIPT",movements!$C:$C,"&lt;"&amp;O$1+1)-SUMIFS(movements!$H:$H,movements!$E:$E,$A26,movements!$D:$D,"ISSUE",movements!$C:$C,"&lt;"&amp;O$1+1)</f>
        <v>60</v>
      </c>
      <c r="P26">
        <f>SUMIFS(movements!$H:$H,movements!$E:$E,$A26,movements!$D:$D,"OPENING",movements!$C:$C,"&lt;"&amp;P$1+1)+SUMIFS(movements!$H:$H,movements!$E:$E,$A26,movements!$D:$D,"RECEIPT",movements!$C:$C,"&lt;"&amp;P$1+1)-SUMIFS(movements!$H:$H,movements!$E:$E,$A26,movements!$D:$D,"ISSUE",movements!$C:$C,"&lt;"&amp;P$1+1)</f>
        <v>119</v>
      </c>
      <c r="Q26">
        <f>SUMIFS(movements!$H:$H,movements!$E:$E,$A26,movements!$D:$D,"OPENING",movements!$C:$C,"&lt;"&amp;Q$1+1)+SUMIFS(movements!$H:$H,movements!$E:$E,$A26,movements!$D:$D,"RECEIPT",movements!$C:$C,"&lt;"&amp;Q$1+1)-SUMIFS(movements!$H:$H,movements!$E:$E,$A26,movements!$D:$D,"ISSUE",movements!$C:$C,"&lt;"&amp;Q$1+1)</f>
        <v>116</v>
      </c>
      <c r="R26">
        <f>SUMIFS(movements!$H:$H,movements!$E:$E,$A26,movements!$D:$D,"OPENING",movements!$C:$C,"&lt;"&amp;R$1+1)+SUMIFS(movements!$H:$H,movements!$E:$E,$A26,movements!$D:$D,"RECEIPT",movements!$C:$C,"&lt;"&amp;R$1+1)-SUMIFS(movements!$H:$H,movements!$E:$E,$A26,movements!$D:$D,"ISSUE",movements!$C:$C,"&lt;"&amp;R$1+1)</f>
        <v>110</v>
      </c>
      <c r="S26">
        <f>SUMIFS(movements!$H:$H,movements!$E:$E,$A26,movements!$D:$D,"OPENING",movements!$C:$C,"&lt;"&amp;S$1+1)+SUMIFS(movements!$H:$H,movements!$E:$E,$A26,movements!$D:$D,"RECEIPT",movements!$C:$C,"&lt;"&amp;S$1+1)-SUMIFS(movements!$H:$H,movements!$E:$E,$A26,movements!$D:$D,"ISSUE",movements!$C:$C,"&lt;"&amp;S$1+1)</f>
        <v>106</v>
      </c>
      <c r="T26">
        <f>SUMIFS(movements!$H:$H,movements!$E:$E,$A26,movements!$D:$D,"OPENING",movements!$C:$C,"&lt;"&amp;T$1+1)+SUMIFS(movements!$H:$H,movements!$E:$E,$A26,movements!$D:$D,"RECEIPT",movements!$C:$C,"&lt;"&amp;T$1+1)-SUMIFS(movements!$H:$H,movements!$E:$E,$A26,movements!$D:$D,"ISSUE",movements!$C:$C,"&lt;"&amp;T$1+1)</f>
        <v>97</v>
      </c>
      <c r="U26">
        <f>SUMIFS(movements!$H:$H,movements!$E:$E,$A26,movements!$D:$D,"OPENING",movements!$C:$C,"&lt;"&amp;U$1+1)+SUMIFS(movements!$H:$H,movements!$E:$E,$A26,movements!$D:$D,"RECEIPT",movements!$C:$C,"&lt;"&amp;U$1+1)-SUMIFS(movements!$H:$H,movements!$E:$E,$A26,movements!$D:$D,"ISSUE",movements!$C:$C,"&lt;"&amp;U$1+1)</f>
        <v>86</v>
      </c>
      <c r="V26">
        <f>SUMIFS(movements!$H:$H,movements!$E:$E,$A26,movements!$D:$D,"OPENING",movements!$C:$C,"&lt;"&amp;V$1+1)+SUMIFS(movements!$H:$H,movements!$E:$E,$A26,movements!$D:$D,"RECEIPT",movements!$C:$C,"&lt;"&amp;V$1+1)-SUMIFS(movements!$H:$H,movements!$E:$E,$A26,movements!$D:$D,"ISSUE",movements!$C:$C,"&lt;"&amp;V$1+1)</f>
        <v>86</v>
      </c>
      <c r="W26">
        <f>SUMIFS(movements!$H:$H,movements!$E:$E,$A26,movements!$D:$D,"OPENING",movements!$C:$C,"&lt;"&amp;W$1+1)+SUMIFS(movements!$H:$H,movements!$E:$E,$A26,movements!$D:$D,"RECEIPT",movements!$C:$C,"&lt;"&amp;W$1+1)-SUMIFS(movements!$H:$H,movements!$E:$E,$A26,movements!$D:$D,"ISSUE",movements!$C:$C,"&lt;"&amp;W$1+1)</f>
        <v>181</v>
      </c>
      <c r="X26">
        <f>SUMIFS(movements!$H:$H,movements!$E:$E,$A26,movements!$D:$D,"OPENING",movements!$C:$C,"&lt;"&amp;X$1+1)+SUMIFS(movements!$H:$H,movements!$E:$E,$A26,movements!$D:$D,"RECEIPT",movements!$C:$C,"&lt;"&amp;X$1+1)-SUMIFS(movements!$H:$H,movements!$E:$E,$A26,movements!$D:$D,"ISSUE",movements!$C:$C,"&lt;"&amp;X$1+1)</f>
        <v>180</v>
      </c>
      <c r="Y26">
        <f>SUMIFS(movements!$H:$H,movements!$E:$E,$A26,movements!$D:$D,"OPENING",movements!$C:$C,"&lt;"&amp;Y$1+1)+SUMIFS(movements!$H:$H,movements!$E:$E,$A26,movements!$D:$D,"RECEIPT",movements!$C:$C,"&lt;"&amp;Y$1+1)-SUMIFS(movements!$H:$H,movements!$E:$E,$A26,movements!$D:$D,"ISSUE",movements!$C:$C,"&lt;"&amp;Y$1+1)</f>
        <v>180</v>
      </c>
      <c r="Z26">
        <f>SUMIFS(movements!$H:$H,movements!$E:$E,$A26,movements!$D:$D,"OPENING",movements!$C:$C,"&lt;"&amp;Z$1+1)+SUMIFS(movements!$H:$H,movements!$E:$E,$A26,movements!$D:$D,"RECEIPT",movements!$C:$C,"&lt;"&amp;Z$1+1)-SUMIFS(movements!$H:$H,movements!$E:$E,$A26,movements!$D:$D,"ISSUE",movements!$C:$C,"&lt;"&amp;Z$1+1)</f>
        <v>174</v>
      </c>
      <c r="AA26">
        <f>SUMIFS(movements!$H:$H,movements!$E:$E,$A26,movements!$D:$D,"OPENING",movements!$C:$C,"&lt;"&amp;AA$1+1)+SUMIFS(movements!$H:$H,movements!$E:$E,$A26,movements!$D:$D,"RECEIPT",movements!$C:$C,"&lt;"&amp;AA$1+1)-SUMIFS(movements!$H:$H,movements!$E:$E,$A26,movements!$D:$D,"ISSUE",movements!$C:$C,"&lt;"&amp;AA$1+1)</f>
        <v>170</v>
      </c>
      <c r="AB26">
        <f>SUMIFS(movements!$H:$H,movements!$E:$E,$A26,movements!$D:$D,"OPENING",movements!$C:$C,"&lt;"&amp;AB$1+1)+SUMIFS(movements!$H:$H,movements!$E:$E,$A26,movements!$D:$D,"RECEIPT",movements!$C:$C,"&lt;"&amp;AB$1+1)-SUMIFS(movements!$H:$H,movements!$E:$E,$A26,movements!$D:$D,"ISSUE",movements!$C:$C,"&lt;"&amp;AB$1+1)</f>
        <v>161</v>
      </c>
      <c r="AC26">
        <f>SUMIFS(movements!$H:$H,movements!$E:$E,$A26,movements!$D:$D,"OPENING",movements!$C:$C,"&lt;"&amp;AC$1+1)+SUMIFS(movements!$H:$H,movements!$E:$E,$A26,movements!$D:$D,"RECEIPT",movements!$C:$C,"&lt;"&amp;AC$1+1)-SUMIFS(movements!$H:$H,movements!$E:$E,$A26,movements!$D:$D,"ISSUE",movements!$C:$C,"&lt;"&amp;AC$1+1)</f>
        <v>157</v>
      </c>
      <c r="AD26">
        <f>SUMIFS(movements!$H:$H,movements!$E:$E,$A26,movements!$D:$D,"OPENING",movements!$C:$C,"&lt;"&amp;AD$1+1)+SUMIFS(movements!$H:$H,movements!$E:$E,$A26,movements!$D:$D,"RECEIPT",movements!$C:$C,"&lt;"&amp;AD$1+1)-SUMIFS(movements!$H:$H,movements!$E:$E,$A26,movements!$D:$D,"ISSUE",movements!$C:$C,"&lt;"&amp;AD$1+1)</f>
        <v>157</v>
      </c>
      <c r="AE26">
        <f>SUMIFS(movements!$H:$H,movements!$E:$E,$A26,movements!$D:$D,"OPENING",movements!$C:$C,"&lt;"&amp;AE$1+1)+SUMIFS(movements!$H:$H,movements!$E:$E,$A26,movements!$D:$D,"RECEIPT",movements!$C:$C,"&lt;"&amp;AE$1+1)-SUMIFS(movements!$H:$H,movements!$E:$E,$A26,movements!$D:$D,"ISSUE",movements!$C:$C,"&lt;"&amp;AE$1+1)</f>
        <v>148</v>
      </c>
      <c r="AF26">
        <f>SUMIFS(movements!$H:$H,movements!$E:$E,$A26,movements!$D:$D,"OPENING",movements!$C:$C,"&lt;"&amp;AF$1+1)+SUMIFS(movements!$H:$H,movements!$E:$E,$A26,movements!$D:$D,"RECEIPT",movements!$C:$C,"&lt;"&amp;AF$1+1)-SUMIFS(movements!$H:$H,movements!$E:$E,$A26,movements!$D:$D,"ISSUE",movements!$C:$C,"&lt;"&amp;AF$1+1)</f>
        <v>143</v>
      </c>
      <c r="AG26">
        <f>SUMIFS(movements!$H:$H,movements!$E:$E,$A26,movements!$D:$D,"OPENING",movements!$C:$C,"&lt;"&amp;AG$1+1)+SUMIFS(movements!$H:$H,movements!$E:$E,$A26,movements!$D:$D,"RECEIPT",movements!$C:$C,"&lt;"&amp;AG$1+1)-SUMIFS(movements!$H:$H,movements!$E:$E,$A26,movements!$D:$D,"ISSUE",movements!$C:$C,"&lt;"&amp;AG$1+1)</f>
        <v>135</v>
      </c>
      <c r="AH26">
        <f>SUMIFS(movements!$H:$H,movements!$E:$E,$A26,movements!$D:$D,"OPENING",movements!$C:$C,"&lt;"&amp;AH$1+1)+SUMIFS(movements!$H:$H,movements!$E:$E,$A26,movements!$D:$D,"RECEIPT",movements!$C:$C,"&lt;"&amp;AH$1+1)-SUMIFS(movements!$H:$H,movements!$E:$E,$A26,movements!$D:$D,"ISSUE",movements!$C:$C,"&lt;"&amp;AH$1+1)</f>
        <v>133</v>
      </c>
      <c r="AI26">
        <f>SUMIFS(movements!$H:$H,movements!$E:$E,$A26,movements!$D:$D,"OPENING",movements!$C:$C,"&lt;"&amp;AI$1+1)+SUMIFS(movements!$H:$H,movements!$E:$E,$A26,movements!$D:$D,"RECEIPT",movements!$C:$C,"&lt;"&amp;AI$1+1)-SUMIFS(movements!$H:$H,movements!$E:$E,$A26,movements!$D:$D,"ISSUE",movements!$C:$C,"&lt;"&amp;AI$1+1)</f>
        <v>133</v>
      </c>
      <c r="AJ26">
        <f>SUMIFS(movements!$H:$H,movements!$E:$E,$A26,movements!$D:$D,"OPENING",movements!$C:$C,"&lt;"&amp;AJ$1+1)+SUMIFS(movements!$H:$H,movements!$E:$E,$A26,movements!$D:$D,"RECEIPT",movements!$C:$C,"&lt;"&amp;AJ$1+1)-SUMIFS(movements!$H:$H,movements!$E:$E,$A26,movements!$D:$D,"ISSUE",movements!$C:$C,"&lt;"&amp;AJ$1+1)</f>
        <v>130</v>
      </c>
      <c r="AK26">
        <f>SUMIFS(movements!$H:$H,movements!$E:$E,$A26,movements!$D:$D,"OPENING",movements!$C:$C,"&lt;"&amp;AK$1+1)+SUMIFS(movements!$H:$H,movements!$E:$E,$A26,movements!$D:$D,"RECEIPT",movements!$C:$C,"&lt;"&amp;AK$1+1)-SUMIFS(movements!$H:$H,movements!$E:$E,$A26,movements!$D:$D,"ISSUE",movements!$C:$C,"&lt;"&amp;AK$1+1)</f>
        <v>123</v>
      </c>
      <c r="AL26">
        <f>SUMIFS(movements!$H:$H,movements!$E:$E,$A26,movements!$D:$D,"OPENING",movements!$C:$C,"&lt;"&amp;AL$1+1)+SUMIFS(movements!$H:$H,movements!$E:$E,$A26,movements!$D:$D,"RECEIPT",movements!$C:$C,"&lt;"&amp;AL$1+1)-SUMIFS(movements!$H:$H,movements!$E:$E,$A26,movements!$D:$D,"ISSUE",movements!$C:$C,"&lt;"&amp;AL$1+1)</f>
        <v>119</v>
      </c>
      <c r="AM26">
        <f>SUMIFS(movements!$H:$H,movements!$E:$E,$A26,movements!$D:$D,"OPENING",movements!$C:$C,"&lt;"&amp;AM$1+1)+SUMIFS(movements!$H:$H,movements!$E:$E,$A26,movements!$D:$D,"RECEIPT",movements!$C:$C,"&lt;"&amp;AM$1+1)-SUMIFS(movements!$H:$H,movements!$E:$E,$A26,movements!$D:$D,"ISSUE",movements!$C:$C,"&lt;"&amp;AM$1+1)</f>
        <v>118</v>
      </c>
      <c r="AN26">
        <f>SUMIFS(movements!$H:$H,movements!$E:$E,$A26,movements!$D:$D,"OPENING",movements!$C:$C,"&lt;"&amp;AN$1+1)+SUMIFS(movements!$H:$H,movements!$E:$E,$A26,movements!$D:$D,"RECEIPT",movements!$C:$C,"&lt;"&amp;AN$1+1)-SUMIFS(movements!$H:$H,movements!$E:$E,$A26,movements!$D:$D,"ISSUE",movements!$C:$C,"&lt;"&amp;AN$1+1)</f>
        <v>115</v>
      </c>
      <c r="AO26">
        <f>SUMIFS(movements!$H:$H,movements!$E:$E,$A26,movements!$D:$D,"OPENING",movements!$C:$C,"&lt;"&amp;AO$1+1)+SUMIFS(movements!$H:$H,movements!$E:$E,$A26,movements!$D:$D,"RECEIPT",movements!$C:$C,"&lt;"&amp;AO$1+1)-SUMIFS(movements!$H:$H,movements!$E:$E,$A26,movements!$D:$D,"ISSUE",movements!$C:$C,"&lt;"&amp;AO$1+1)</f>
        <v>109</v>
      </c>
      <c r="AP26">
        <f>SUMIFS(movements!$H:$H,movements!$E:$E,$A26,movements!$D:$D,"OPENING",movements!$C:$C,"&lt;"&amp;AP$1+1)+SUMIFS(movements!$H:$H,movements!$E:$E,$A26,movements!$D:$D,"RECEIPT",movements!$C:$C,"&lt;"&amp;AP$1+1)-SUMIFS(movements!$H:$H,movements!$E:$E,$A26,movements!$D:$D,"ISSUE",movements!$C:$C,"&lt;"&amp;AP$1+1)</f>
        <v>101</v>
      </c>
      <c r="AQ26">
        <f>SUMIFS(movements!$H:$H,movements!$E:$E,$A26,movements!$D:$D,"OPENING",movements!$C:$C,"&lt;"&amp;AQ$1+1)+SUMIFS(movements!$H:$H,movements!$E:$E,$A26,movements!$D:$D,"RECEIPT",movements!$C:$C,"&lt;"&amp;AQ$1+1)-SUMIFS(movements!$H:$H,movements!$E:$E,$A26,movements!$D:$D,"ISSUE",movements!$C:$C,"&lt;"&amp;AQ$1+1)</f>
        <v>93</v>
      </c>
      <c r="AR26">
        <f>SUMIFS(movements!$H:$H,movements!$E:$E,$A26,movements!$D:$D,"OPENING",movements!$C:$C,"&lt;"&amp;AR$1+1)+SUMIFS(movements!$H:$H,movements!$E:$E,$A26,movements!$D:$D,"RECEIPT",movements!$C:$C,"&lt;"&amp;AR$1+1)-SUMIFS(movements!$H:$H,movements!$E:$E,$A26,movements!$D:$D,"ISSUE",movements!$C:$C,"&lt;"&amp;AR$1+1)</f>
        <v>155</v>
      </c>
      <c r="AS26">
        <f>SUMIFS(movements!$H:$H,movements!$E:$E,$A26,movements!$D:$D,"OPENING",movements!$C:$C,"&lt;"&amp;AS$1+1)+SUMIFS(movements!$H:$H,movements!$E:$E,$A26,movements!$D:$D,"RECEIPT",movements!$C:$C,"&lt;"&amp;AS$1+1)-SUMIFS(movements!$H:$H,movements!$E:$E,$A26,movements!$D:$D,"ISSUE",movements!$C:$C,"&lt;"&amp;AS$1+1)</f>
        <v>155</v>
      </c>
      <c r="AT26">
        <f>SUMIFS(movements!$H:$H,movements!$E:$E,$A26,movements!$D:$D,"OPENING",movements!$C:$C,"&lt;"&amp;AT$1+1)+SUMIFS(movements!$H:$H,movements!$E:$E,$A26,movements!$D:$D,"RECEIPT",movements!$C:$C,"&lt;"&amp;AT$1+1)-SUMIFS(movements!$H:$H,movements!$E:$E,$A26,movements!$D:$D,"ISSUE",movements!$C:$C,"&lt;"&amp;AT$1+1)</f>
        <v>148</v>
      </c>
      <c r="AU26">
        <f>SUMIFS(movements!$H:$H,movements!$E:$E,$A26,movements!$D:$D,"OPENING",movements!$C:$C,"&lt;"&amp;AU$1+1)+SUMIFS(movements!$H:$H,movements!$E:$E,$A26,movements!$D:$D,"RECEIPT",movements!$C:$C,"&lt;"&amp;AU$1+1)-SUMIFS(movements!$H:$H,movements!$E:$E,$A26,movements!$D:$D,"ISSUE",movements!$C:$C,"&lt;"&amp;AU$1+1)</f>
        <v>144</v>
      </c>
      <c r="AV26">
        <f>SUMIFS(movements!$H:$H,movements!$E:$E,$A26,movements!$D:$D,"OPENING",movements!$C:$C,"&lt;"&amp;AV$1+1)+SUMIFS(movements!$H:$H,movements!$E:$E,$A26,movements!$D:$D,"RECEIPT",movements!$C:$C,"&lt;"&amp;AV$1+1)-SUMIFS(movements!$H:$H,movements!$E:$E,$A26,movements!$D:$D,"ISSUE",movements!$C:$C,"&lt;"&amp;AV$1+1)</f>
        <v>142</v>
      </c>
      <c r="AW26">
        <f>SUMIFS(movements!$H:$H,movements!$E:$E,$A26,movements!$D:$D,"OPENING",movements!$C:$C,"&lt;"&amp;AW$1+1)+SUMIFS(movements!$H:$H,movements!$E:$E,$A26,movements!$D:$D,"RECEIPT",movements!$C:$C,"&lt;"&amp;AW$1+1)-SUMIFS(movements!$H:$H,movements!$E:$E,$A26,movements!$D:$D,"ISSUE",movements!$C:$C,"&lt;"&amp;AW$1+1)</f>
        <v>136</v>
      </c>
      <c r="AX26">
        <f>SUMIFS(movements!$H:$H,movements!$E:$E,$A26,movements!$D:$D,"OPENING",movements!$C:$C,"&lt;"&amp;AX$1+1)+SUMIFS(movements!$H:$H,movements!$E:$E,$A26,movements!$D:$D,"RECEIPT",movements!$C:$C,"&lt;"&amp;AX$1+1)-SUMIFS(movements!$H:$H,movements!$E:$E,$A26,movements!$D:$D,"ISSUE",movements!$C:$C,"&lt;"&amp;AX$1+1)</f>
        <v>129</v>
      </c>
      <c r="AY26">
        <f>SUMIFS(movements!$H:$H,movements!$E:$E,$A26,movements!$D:$D,"OPENING",movements!$C:$C,"&lt;"&amp;AY$1+1)+SUMIFS(movements!$H:$H,movements!$E:$E,$A26,movements!$D:$D,"RECEIPT",movements!$C:$C,"&lt;"&amp;AY$1+1)-SUMIFS(movements!$H:$H,movements!$E:$E,$A26,movements!$D:$D,"ISSUE",movements!$C:$C,"&lt;"&amp;AY$1+1)</f>
        <v>124</v>
      </c>
      <c r="AZ26">
        <f>SUMIFS(movements!$H:$H,movements!$E:$E,$A26,movements!$D:$D,"OPENING",movements!$C:$C,"&lt;"&amp;AZ$1+1)+SUMIFS(movements!$H:$H,movements!$E:$E,$A26,movements!$D:$D,"RECEIPT",movements!$C:$C,"&lt;"&amp;AZ$1+1)-SUMIFS(movements!$H:$H,movements!$E:$E,$A26,movements!$D:$D,"ISSUE",movements!$C:$C,"&lt;"&amp;AZ$1+1)</f>
        <v>123</v>
      </c>
      <c r="BA26">
        <f>SUMIFS(movements!$H:$H,movements!$E:$E,$A26,movements!$D:$D,"OPENING",movements!$C:$C,"&lt;"&amp;BA$1+1)+SUMIFS(movements!$H:$H,movements!$E:$E,$A26,movements!$D:$D,"RECEIPT",movements!$C:$C,"&lt;"&amp;BA$1+1)-SUMIFS(movements!$H:$H,movements!$E:$E,$A26,movements!$D:$D,"ISSUE",movements!$C:$C,"&lt;"&amp;BA$1+1)</f>
        <v>123</v>
      </c>
      <c r="BB26">
        <f>SUMIFS(movements!$H:$H,movements!$E:$E,$A26,movements!$D:$D,"OPENING",movements!$C:$C,"&lt;"&amp;BB$1+1)+SUMIFS(movements!$H:$H,movements!$E:$E,$A26,movements!$D:$D,"RECEIPT",movements!$C:$C,"&lt;"&amp;BB$1+1)-SUMIFS(movements!$H:$H,movements!$E:$E,$A26,movements!$D:$D,"ISSUE",movements!$C:$C,"&lt;"&amp;BB$1+1)</f>
        <v>117</v>
      </c>
      <c r="BC26">
        <f>SUMIFS(movements!$H:$H,movements!$E:$E,$A26,movements!$D:$D,"OPENING",movements!$C:$C,"&lt;"&amp;BC$1+1)+SUMIFS(movements!$H:$H,movements!$E:$E,$A26,movements!$D:$D,"RECEIPT",movements!$C:$C,"&lt;"&amp;BC$1+1)-SUMIFS(movements!$H:$H,movements!$E:$E,$A26,movements!$D:$D,"ISSUE",movements!$C:$C,"&lt;"&amp;BC$1+1)</f>
        <v>117</v>
      </c>
      <c r="BD26">
        <f>SUMIFS(movements!$H:$H,movements!$E:$E,$A26,movements!$D:$D,"OPENING",movements!$C:$C,"&lt;"&amp;BD$1+1)+SUMIFS(movements!$H:$H,movements!$E:$E,$A26,movements!$D:$D,"RECEIPT",movements!$C:$C,"&lt;"&amp;BD$1+1)-SUMIFS(movements!$H:$H,movements!$E:$E,$A26,movements!$D:$D,"ISSUE",movements!$C:$C,"&lt;"&amp;BD$1+1)</f>
        <v>117</v>
      </c>
      <c r="BE26">
        <f>SUMIFS(movements!$H:$H,movements!$E:$E,$A26,movements!$D:$D,"OPENING",movements!$C:$C,"&lt;"&amp;BE$1+1)+SUMIFS(movements!$H:$H,movements!$E:$E,$A26,movements!$D:$D,"RECEIPT",movements!$C:$C,"&lt;"&amp;BE$1+1)-SUMIFS(movements!$H:$H,movements!$E:$E,$A26,movements!$D:$D,"ISSUE",movements!$C:$C,"&lt;"&amp;BE$1+1)</f>
        <v>117</v>
      </c>
      <c r="BF26">
        <f>SUMIFS(movements!$H:$H,movements!$E:$E,$A26,movements!$D:$D,"OPENING",movements!$C:$C,"&lt;"&amp;BF$1+1)+SUMIFS(movements!$H:$H,movements!$E:$E,$A26,movements!$D:$D,"RECEIPT",movements!$C:$C,"&lt;"&amp;BF$1+1)-SUMIFS(movements!$H:$H,movements!$E:$E,$A26,movements!$D:$D,"ISSUE",movements!$C:$C,"&lt;"&amp;BF$1+1)</f>
        <v>107</v>
      </c>
      <c r="BG26">
        <f>SUMIFS(movements!$H:$H,movements!$E:$E,$A26,movements!$D:$D,"OPENING",movements!$C:$C,"&lt;"&amp;BG$1+1)+SUMIFS(movements!$H:$H,movements!$E:$E,$A26,movements!$D:$D,"RECEIPT",movements!$C:$C,"&lt;"&amp;BG$1+1)-SUMIFS(movements!$H:$H,movements!$E:$E,$A26,movements!$D:$D,"ISSUE",movements!$C:$C,"&lt;"&amp;BG$1+1)</f>
        <v>100</v>
      </c>
      <c r="BH26">
        <f>SUMIFS(movements!$H:$H,movements!$E:$E,$A26,movements!$D:$D,"OPENING",movements!$C:$C,"&lt;"&amp;BH$1+1)+SUMIFS(movements!$H:$H,movements!$E:$E,$A26,movements!$D:$D,"RECEIPT",movements!$C:$C,"&lt;"&amp;BH$1+1)-SUMIFS(movements!$H:$H,movements!$E:$E,$A26,movements!$D:$D,"ISSUE",movements!$C:$C,"&lt;"&amp;BH$1+1)</f>
        <v>98</v>
      </c>
      <c r="BI26">
        <f>SUMIFS(movements!$H:$H,movements!$E:$E,$A26,movements!$D:$D,"OPENING",movements!$C:$C,"&lt;"&amp;BI$1+1)+SUMIFS(movements!$H:$H,movements!$E:$E,$A26,movements!$D:$D,"RECEIPT",movements!$C:$C,"&lt;"&amp;BI$1+1)-SUMIFS(movements!$H:$H,movements!$E:$E,$A26,movements!$D:$D,"ISSUE",movements!$C:$C,"&lt;"&amp;BI$1+1)</f>
        <v>94</v>
      </c>
      <c r="BJ26">
        <f>SUMIFS(movements!$H:$H,movements!$E:$E,$A26,movements!$D:$D,"OPENING",movements!$C:$C,"&lt;"&amp;BJ$1+1)+SUMIFS(movements!$H:$H,movements!$E:$E,$A26,movements!$D:$D,"RECEIPT",movements!$C:$C,"&lt;"&amp;BJ$1+1)-SUMIFS(movements!$H:$H,movements!$E:$E,$A26,movements!$D:$D,"ISSUE",movements!$C:$C,"&lt;"&amp;BJ$1+1)</f>
        <v>94</v>
      </c>
      <c r="BK26">
        <f>SUMIFS(movements!$H:$H,movements!$E:$E,$A26,movements!$D:$D,"OPENING",movements!$C:$C,"&lt;"&amp;BK$1+1)+SUMIFS(movements!$H:$H,movements!$E:$E,$A26,movements!$D:$D,"RECEIPT",movements!$C:$C,"&lt;"&amp;BK$1+1)-SUMIFS(movements!$H:$H,movements!$E:$E,$A26,movements!$D:$D,"ISSUE",movements!$C:$C,"&lt;"&amp;BK$1+1)</f>
        <v>88</v>
      </c>
      <c r="BL26">
        <f>SUMIFS(movements!$H:$H,movements!$E:$E,$A26,movements!$D:$D,"OPENING",movements!$C:$C,"&lt;"&amp;BL$1+1)+SUMIFS(movements!$H:$H,movements!$E:$E,$A26,movements!$D:$D,"RECEIPT",movements!$C:$C,"&lt;"&amp;BL$1+1)-SUMIFS(movements!$H:$H,movements!$E:$E,$A26,movements!$D:$D,"ISSUE",movements!$C:$C,"&lt;"&amp;BL$1+1)</f>
        <v>85</v>
      </c>
      <c r="BM26">
        <f>SUMIFS(movements!$H:$H,movements!$E:$E,$A26,movements!$D:$D,"OPENING",movements!$C:$C,"&lt;"&amp;BM$1+1)+SUMIFS(movements!$H:$H,movements!$E:$E,$A26,movements!$D:$D,"RECEIPT",movements!$C:$C,"&lt;"&amp;BM$1+1)-SUMIFS(movements!$H:$H,movements!$E:$E,$A26,movements!$D:$D,"ISSUE",movements!$C:$C,"&lt;"&amp;BM$1+1)</f>
        <v>144</v>
      </c>
      <c r="BN26">
        <f>SUMIFS(movements!$H:$H,movements!$E:$E,$A26,movements!$D:$D,"OPENING",movements!$C:$C,"&lt;"&amp;BN$1+1)+SUMIFS(movements!$H:$H,movements!$E:$E,$A26,movements!$D:$D,"RECEIPT",movements!$C:$C,"&lt;"&amp;BN$1+1)-SUMIFS(movements!$H:$H,movements!$E:$E,$A26,movements!$D:$D,"ISSUE",movements!$C:$C,"&lt;"&amp;BN$1+1)</f>
        <v>139</v>
      </c>
      <c r="BO26">
        <f>SUMIFS(movements!$H:$H,movements!$E:$E,$A26,movements!$D:$D,"OPENING",movements!$C:$C,"&lt;"&amp;BO$1+1)+SUMIFS(movements!$H:$H,movements!$E:$E,$A26,movements!$D:$D,"RECEIPT",movements!$C:$C,"&lt;"&amp;BO$1+1)-SUMIFS(movements!$H:$H,movements!$E:$E,$A26,movements!$D:$D,"ISSUE",movements!$C:$C,"&lt;"&amp;BO$1+1)</f>
        <v>130</v>
      </c>
      <c r="BP26">
        <f>SUMIFS(movements!$H:$H,movements!$E:$E,$A26,movements!$D:$D,"OPENING",movements!$C:$C,"&lt;"&amp;BP$1+1)+SUMIFS(movements!$H:$H,movements!$E:$E,$A26,movements!$D:$D,"RECEIPT",movements!$C:$C,"&lt;"&amp;BP$1+1)-SUMIFS(movements!$H:$H,movements!$E:$E,$A26,movements!$D:$D,"ISSUE",movements!$C:$C,"&lt;"&amp;BP$1+1)</f>
        <v>123</v>
      </c>
      <c r="BQ26">
        <f>SUMIFS(movements!$H:$H,movements!$E:$E,$A26,movements!$D:$D,"OPENING",movements!$C:$C,"&lt;"&amp;BQ$1+1)+SUMIFS(movements!$H:$H,movements!$E:$E,$A26,movements!$D:$D,"RECEIPT",movements!$C:$C,"&lt;"&amp;BQ$1+1)-SUMIFS(movements!$H:$H,movements!$E:$E,$A26,movements!$D:$D,"ISSUE",movements!$C:$C,"&lt;"&amp;BQ$1+1)</f>
        <v>120</v>
      </c>
      <c r="BR26">
        <f>SUMIFS(movements!$H:$H,movements!$E:$E,$A26,movements!$D:$D,"OPENING",movements!$C:$C,"&lt;"&amp;BR$1+1)+SUMIFS(movements!$H:$H,movements!$E:$E,$A26,movements!$D:$D,"RECEIPT",movements!$C:$C,"&lt;"&amp;BR$1+1)-SUMIFS(movements!$H:$H,movements!$E:$E,$A26,movements!$D:$D,"ISSUE",movements!$C:$C,"&lt;"&amp;BR$1+1)</f>
        <v>120</v>
      </c>
      <c r="BS26">
        <f>SUMIFS(movements!$H:$H,movements!$E:$E,$A26,movements!$D:$D,"OPENING",movements!$C:$C,"&lt;"&amp;BS$1+1)+SUMIFS(movements!$H:$H,movements!$E:$E,$A26,movements!$D:$D,"RECEIPT",movements!$C:$C,"&lt;"&amp;BS$1+1)-SUMIFS(movements!$H:$H,movements!$E:$E,$A26,movements!$D:$D,"ISSUE",movements!$C:$C,"&lt;"&amp;BS$1+1)</f>
        <v>115</v>
      </c>
      <c r="BT26">
        <f>SUMIFS(movements!$H:$H,movements!$E:$E,$A26,movements!$D:$D,"OPENING",movements!$C:$C,"&lt;"&amp;BT$1+1)+SUMIFS(movements!$H:$H,movements!$E:$E,$A26,movements!$D:$D,"RECEIPT",movements!$C:$C,"&lt;"&amp;BT$1+1)-SUMIFS(movements!$H:$H,movements!$E:$E,$A26,movements!$D:$D,"ISSUE",movements!$C:$C,"&lt;"&amp;BT$1+1)</f>
        <v>110</v>
      </c>
      <c r="BU26">
        <f>SUMIFS(movements!$H:$H,movements!$E:$E,$A26,movements!$D:$D,"OPENING",movements!$C:$C,"&lt;"&amp;BU$1+1)+SUMIFS(movements!$H:$H,movements!$E:$E,$A26,movements!$D:$D,"RECEIPT",movements!$C:$C,"&lt;"&amp;BU$1+1)-SUMIFS(movements!$H:$H,movements!$E:$E,$A26,movements!$D:$D,"ISSUE",movements!$C:$C,"&lt;"&amp;BU$1+1)</f>
        <v>102</v>
      </c>
      <c r="BV26">
        <f>SUMIFS(movements!$H:$H,movements!$E:$E,$A26,movements!$D:$D,"OPENING",movements!$C:$C,"&lt;"&amp;BV$1+1)+SUMIFS(movements!$H:$H,movements!$E:$E,$A26,movements!$D:$D,"RECEIPT",movements!$C:$C,"&lt;"&amp;BV$1+1)-SUMIFS(movements!$H:$H,movements!$E:$E,$A26,movements!$D:$D,"ISSUE",movements!$C:$C,"&lt;"&amp;BV$1+1)</f>
        <v>97</v>
      </c>
      <c r="BW26">
        <f>SUMIFS(movements!$H:$H,movements!$E:$E,$A26,movements!$D:$D,"OPENING",movements!$C:$C,"&lt;"&amp;BW$1+1)+SUMIFS(movements!$H:$H,movements!$E:$E,$A26,movements!$D:$D,"RECEIPT",movements!$C:$C,"&lt;"&amp;BW$1+1)-SUMIFS(movements!$H:$H,movements!$E:$E,$A26,movements!$D:$D,"ISSUE",movements!$C:$C,"&lt;"&amp;BW$1+1)</f>
        <v>97</v>
      </c>
      <c r="BX26">
        <f>SUMIFS(movements!$H:$H,movements!$E:$E,$A26,movements!$D:$D,"OPENING",movements!$C:$C,"&lt;"&amp;BX$1+1)+SUMIFS(movements!$H:$H,movements!$E:$E,$A26,movements!$D:$D,"RECEIPT",movements!$C:$C,"&lt;"&amp;BX$1+1)-SUMIFS(movements!$H:$H,movements!$E:$E,$A26,movements!$D:$D,"ISSUE",movements!$C:$C,"&lt;"&amp;BX$1+1)</f>
        <v>97</v>
      </c>
      <c r="BY26">
        <f>SUMIFS(movements!$H:$H,movements!$E:$E,$A26,movements!$D:$D,"OPENING",movements!$C:$C,"&lt;"&amp;BY$1+1)+SUMIFS(movements!$H:$H,movements!$E:$E,$A26,movements!$D:$D,"RECEIPT",movements!$C:$C,"&lt;"&amp;BY$1+1)-SUMIFS(movements!$H:$H,movements!$E:$E,$A26,movements!$D:$D,"ISSUE",movements!$C:$C,"&lt;"&amp;BY$1+1)</f>
        <v>89</v>
      </c>
      <c r="BZ26">
        <f>SUMIFS(movements!$H:$H,movements!$E:$E,$A26,movements!$D:$D,"OPENING",movements!$C:$C,"&lt;"&amp;BZ$1+1)+SUMIFS(movements!$H:$H,movements!$E:$E,$A26,movements!$D:$D,"RECEIPT",movements!$C:$C,"&lt;"&amp;BZ$1+1)-SUMIFS(movements!$H:$H,movements!$E:$E,$A26,movements!$D:$D,"ISSUE",movements!$C:$C,"&lt;"&amp;BZ$1+1)</f>
        <v>87</v>
      </c>
      <c r="CA26">
        <f>SUMIFS(movements!$H:$H,movements!$E:$E,$A26,movements!$D:$D,"OPENING",movements!$C:$C,"&lt;"&amp;CA$1+1)+SUMIFS(movements!$H:$H,movements!$E:$E,$A26,movements!$D:$D,"RECEIPT",movements!$C:$C,"&lt;"&amp;CA$1+1)-SUMIFS(movements!$H:$H,movements!$E:$E,$A26,movements!$D:$D,"ISSUE",movements!$C:$C,"&lt;"&amp;CA$1+1)</f>
        <v>141</v>
      </c>
      <c r="CB26">
        <f>SUMIFS(movements!$H:$H,movements!$E:$E,$A26,movements!$D:$D,"OPENING",movements!$C:$C,"&lt;"&amp;CB$1+1)+SUMIFS(movements!$H:$H,movements!$E:$E,$A26,movements!$D:$D,"RECEIPT",movements!$C:$C,"&lt;"&amp;CB$1+1)-SUMIFS(movements!$H:$H,movements!$E:$E,$A26,movements!$D:$D,"ISSUE",movements!$C:$C,"&lt;"&amp;CB$1+1)</f>
        <v>131</v>
      </c>
      <c r="CC26">
        <f>SUMIFS(movements!$H:$H,movements!$E:$E,$A26,movements!$D:$D,"OPENING",movements!$C:$C,"&lt;"&amp;CC$1+1)+SUMIFS(movements!$H:$H,movements!$E:$E,$A26,movements!$D:$D,"RECEIPT",movements!$C:$C,"&lt;"&amp;CC$1+1)-SUMIFS(movements!$H:$H,movements!$E:$E,$A26,movements!$D:$D,"ISSUE",movements!$C:$C,"&lt;"&amp;CC$1+1)</f>
        <v>121</v>
      </c>
      <c r="CD26">
        <f>SUMIFS(movements!$H:$H,movements!$E:$E,$A26,movements!$D:$D,"OPENING",movements!$C:$C,"&lt;"&amp;CD$1+1)+SUMIFS(movements!$H:$H,movements!$E:$E,$A26,movements!$D:$D,"RECEIPT",movements!$C:$C,"&lt;"&amp;CD$1+1)-SUMIFS(movements!$H:$H,movements!$E:$E,$A26,movements!$D:$D,"ISSUE",movements!$C:$C,"&lt;"&amp;CD$1+1)</f>
        <v>117</v>
      </c>
      <c r="CE26">
        <f>SUMIFS(movements!$H:$H,movements!$E:$E,$A26,movements!$D:$D,"OPENING",movements!$C:$C,"&lt;"&amp;CE$1+1)+SUMIFS(movements!$H:$H,movements!$E:$E,$A26,movements!$D:$D,"RECEIPT",movements!$C:$C,"&lt;"&amp;CE$1+1)-SUMIFS(movements!$H:$H,movements!$E:$E,$A26,movements!$D:$D,"ISSUE",movements!$C:$C,"&lt;"&amp;CE$1+1)</f>
        <v>112</v>
      </c>
      <c r="CF26">
        <f>SUMIFS(movements!$H:$H,movements!$E:$E,$A26,movements!$D:$D,"OPENING",movements!$C:$C,"&lt;"&amp;CF$1+1)+SUMIFS(movements!$H:$H,movements!$E:$E,$A26,movements!$D:$D,"RECEIPT",movements!$C:$C,"&lt;"&amp;CF$1+1)-SUMIFS(movements!$H:$H,movements!$E:$E,$A26,movements!$D:$D,"ISSUE",movements!$C:$C,"&lt;"&amp;CF$1+1)</f>
        <v>96</v>
      </c>
      <c r="CG26">
        <f>SUMIFS(movements!$H:$H,movements!$E:$E,$A26,movements!$D:$D,"OPENING",movements!$C:$C,"&lt;"&amp;CG$1+1)+SUMIFS(movements!$H:$H,movements!$E:$E,$A26,movements!$D:$D,"RECEIPT",movements!$C:$C,"&lt;"&amp;CG$1+1)-SUMIFS(movements!$H:$H,movements!$E:$E,$A26,movements!$D:$D,"ISSUE",movements!$C:$C,"&lt;"&amp;CG$1+1)</f>
        <v>96</v>
      </c>
      <c r="CH26">
        <f>SUMIFS(movements!$H:$H,movements!$E:$E,$A26,movements!$D:$D,"OPENING",movements!$C:$C,"&lt;"&amp;CH$1+1)+SUMIFS(movements!$H:$H,movements!$E:$E,$A26,movements!$D:$D,"RECEIPT",movements!$C:$C,"&lt;"&amp;CH$1+1)-SUMIFS(movements!$H:$H,movements!$E:$E,$A26,movements!$D:$D,"ISSUE",movements!$C:$C,"&lt;"&amp;CH$1+1)</f>
        <v>186</v>
      </c>
      <c r="CI26">
        <f>SUMIFS(movements!$H:$H,movements!$E:$E,$A26,movements!$D:$D,"OPENING",movements!$C:$C,"&lt;"&amp;CI$1+1)+SUMIFS(movements!$H:$H,movements!$E:$E,$A26,movements!$D:$D,"RECEIPT",movements!$C:$C,"&lt;"&amp;CI$1+1)-SUMIFS(movements!$H:$H,movements!$E:$E,$A26,movements!$D:$D,"ISSUE",movements!$C:$C,"&lt;"&amp;CI$1+1)</f>
        <v>177</v>
      </c>
      <c r="CJ26">
        <f>SUMIFS(movements!$H:$H,movements!$E:$E,$A26,movements!$D:$D,"OPENING",movements!$C:$C,"&lt;"&amp;CJ$1+1)+SUMIFS(movements!$H:$H,movements!$E:$E,$A26,movements!$D:$D,"RECEIPT",movements!$C:$C,"&lt;"&amp;CJ$1+1)-SUMIFS(movements!$H:$H,movements!$E:$E,$A26,movements!$D:$D,"ISSUE",movements!$C:$C,"&lt;"&amp;CJ$1+1)</f>
        <v>168</v>
      </c>
      <c r="CK26">
        <f>SUMIFS(movements!$H:$H,movements!$E:$E,$A26,movements!$D:$D,"OPENING",movements!$C:$C,"&lt;"&amp;CK$1+1)+SUMIFS(movements!$H:$H,movements!$E:$E,$A26,movements!$D:$D,"RECEIPT",movements!$C:$C,"&lt;"&amp;CK$1+1)-SUMIFS(movements!$H:$H,movements!$E:$E,$A26,movements!$D:$D,"ISSUE",movements!$C:$C,"&lt;"&amp;CK$1+1)</f>
        <v>164</v>
      </c>
      <c r="CL26">
        <f>SUMIFS(movements!$H:$H,movements!$E:$E,$A26,movements!$D:$D,"OPENING",movements!$C:$C,"&lt;"&amp;CL$1+1)+SUMIFS(movements!$H:$H,movements!$E:$E,$A26,movements!$D:$D,"RECEIPT",movements!$C:$C,"&lt;"&amp;CL$1+1)-SUMIFS(movements!$H:$H,movements!$E:$E,$A26,movements!$D:$D,"ISSUE",movements!$C:$C,"&lt;"&amp;CL$1+1)</f>
        <v>164</v>
      </c>
      <c r="CM26">
        <f>SUMIFS(movements!$H:$H,movements!$E:$E,$A26,movements!$D:$D,"OPENING",movements!$C:$C,"&lt;"&amp;CM$1+1)+SUMIFS(movements!$H:$H,movements!$E:$E,$A26,movements!$D:$D,"RECEIPT",movements!$C:$C,"&lt;"&amp;CM$1+1)-SUMIFS(movements!$H:$H,movements!$E:$E,$A26,movements!$D:$D,"ISSUE",movements!$C:$C,"&lt;"&amp;CM$1+1)</f>
        <v>160</v>
      </c>
      <c r="CN26">
        <f t="shared" si="2"/>
        <v>116.86666666666666</v>
      </c>
      <c r="CO26">
        <f>SUMIFS(movements!$H:$H,movements!$E:$E,$A26,movements!$D:$D,"ISSUE",movements!$C:$C,"&gt;="&amp;$B$1,movements!$C:$C,"&lt;"&amp;($CM$1+1))</f>
        <v>442</v>
      </c>
      <c r="CP26">
        <f t="shared" si="3"/>
        <v>3.782087849401027</v>
      </c>
      <c r="CQ26">
        <f t="shared" si="4"/>
        <v>23.796380090497735</v>
      </c>
    </row>
    <row r="27" spans="1:95" x14ac:dyDescent="0.25">
      <c r="A27" t="s">
        <v>73</v>
      </c>
      <c r="B27">
        <f>SUMIFS(movements!$H:$H,movements!$E:$E,$A27,movements!$D:$D,"OPENING",movements!$C:$C,"&lt;"&amp;B$1+1)+SUMIFS(movements!$H:$H,movements!$E:$E,$A27,movements!$D:$D,"RECEIPT",movements!$C:$C,"&lt;"&amp;B$1+1)-SUMIFS(movements!$H:$H,movements!$E:$E,$A27,movements!$D:$D,"ISSUE",movements!$C:$C,"&lt;"&amp;B$1+1)</f>
        <v>78</v>
      </c>
      <c r="C27">
        <f>SUMIFS(movements!$H:$H,movements!$E:$E,$A27,movements!$D:$D,"OPENING",movements!$C:$C,"&lt;"&amp;C$1+1)+SUMIFS(movements!$H:$H,movements!$E:$E,$A27,movements!$D:$D,"RECEIPT",movements!$C:$C,"&lt;"&amp;C$1+1)-SUMIFS(movements!$H:$H,movements!$E:$E,$A27,movements!$D:$D,"ISSUE",movements!$C:$C,"&lt;"&amp;C$1+1)</f>
        <v>78</v>
      </c>
      <c r="D27">
        <f>SUMIFS(movements!$H:$H,movements!$E:$E,$A27,movements!$D:$D,"OPENING",movements!$C:$C,"&lt;"&amp;D$1+1)+SUMIFS(movements!$H:$H,movements!$E:$E,$A27,movements!$D:$D,"RECEIPT",movements!$C:$C,"&lt;"&amp;D$1+1)-SUMIFS(movements!$H:$H,movements!$E:$E,$A27,movements!$D:$D,"ISSUE",movements!$C:$C,"&lt;"&amp;D$1+1)</f>
        <v>73</v>
      </c>
      <c r="E27">
        <f>SUMIFS(movements!$H:$H,movements!$E:$E,$A27,movements!$D:$D,"OPENING",movements!$C:$C,"&lt;"&amp;E$1+1)+SUMIFS(movements!$H:$H,movements!$E:$E,$A27,movements!$D:$D,"RECEIPT",movements!$C:$C,"&lt;"&amp;E$1+1)-SUMIFS(movements!$H:$H,movements!$E:$E,$A27,movements!$D:$D,"ISSUE",movements!$C:$C,"&lt;"&amp;E$1+1)</f>
        <v>66</v>
      </c>
      <c r="F27">
        <f>SUMIFS(movements!$H:$H,movements!$E:$E,$A27,movements!$D:$D,"OPENING",movements!$C:$C,"&lt;"&amp;F$1+1)+SUMIFS(movements!$H:$H,movements!$E:$E,$A27,movements!$D:$D,"RECEIPT",movements!$C:$C,"&lt;"&amp;F$1+1)-SUMIFS(movements!$H:$H,movements!$E:$E,$A27,movements!$D:$D,"ISSUE",movements!$C:$C,"&lt;"&amp;F$1+1)</f>
        <v>57</v>
      </c>
      <c r="G27">
        <f>SUMIFS(movements!$H:$H,movements!$E:$E,$A27,movements!$D:$D,"OPENING",movements!$C:$C,"&lt;"&amp;G$1+1)+SUMIFS(movements!$H:$H,movements!$E:$E,$A27,movements!$D:$D,"RECEIPT",movements!$C:$C,"&lt;"&amp;G$1+1)-SUMIFS(movements!$H:$H,movements!$E:$E,$A27,movements!$D:$D,"ISSUE",movements!$C:$C,"&lt;"&amp;G$1+1)</f>
        <v>57</v>
      </c>
      <c r="H27">
        <f>SUMIFS(movements!$H:$H,movements!$E:$E,$A27,movements!$D:$D,"OPENING",movements!$C:$C,"&lt;"&amp;H$1+1)+SUMIFS(movements!$H:$H,movements!$E:$E,$A27,movements!$D:$D,"RECEIPT",movements!$C:$C,"&lt;"&amp;H$1+1)-SUMIFS(movements!$H:$H,movements!$E:$E,$A27,movements!$D:$D,"ISSUE",movements!$C:$C,"&lt;"&amp;H$1+1)</f>
        <v>57</v>
      </c>
      <c r="I27">
        <f>SUMIFS(movements!$H:$H,movements!$E:$E,$A27,movements!$D:$D,"OPENING",movements!$C:$C,"&lt;"&amp;I$1+1)+SUMIFS(movements!$H:$H,movements!$E:$E,$A27,movements!$D:$D,"RECEIPT",movements!$C:$C,"&lt;"&amp;I$1+1)-SUMIFS(movements!$H:$H,movements!$E:$E,$A27,movements!$D:$D,"ISSUE",movements!$C:$C,"&lt;"&amp;I$1+1)</f>
        <v>133</v>
      </c>
      <c r="J27">
        <f>SUMIFS(movements!$H:$H,movements!$E:$E,$A27,movements!$D:$D,"OPENING",movements!$C:$C,"&lt;"&amp;J$1+1)+SUMIFS(movements!$H:$H,movements!$E:$E,$A27,movements!$D:$D,"RECEIPT",movements!$C:$C,"&lt;"&amp;J$1+1)-SUMIFS(movements!$H:$H,movements!$E:$E,$A27,movements!$D:$D,"ISSUE",movements!$C:$C,"&lt;"&amp;J$1+1)</f>
        <v>129</v>
      </c>
      <c r="K27">
        <f>SUMIFS(movements!$H:$H,movements!$E:$E,$A27,movements!$D:$D,"OPENING",movements!$C:$C,"&lt;"&amp;K$1+1)+SUMIFS(movements!$H:$H,movements!$E:$E,$A27,movements!$D:$D,"RECEIPT",movements!$C:$C,"&lt;"&amp;K$1+1)-SUMIFS(movements!$H:$H,movements!$E:$E,$A27,movements!$D:$D,"ISSUE",movements!$C:$C,"&lt;"&amp;K$1+1)</f>
        <v>129</v>
      </c>
      <c r="L27">
        <f>SUMIFS(movements!$H:$H,movements!$E:$E,$A27,movements!$D:$D,"OPENING",movements!$C:$C,"&lt;"&amp;L$1+1)+SUMIFS(movements!$H:$H,movements!$E:$E,$A27,movements!$D:$D,"RECEIPT",movements!$C:$C,"&lt;"&amp;L$1+1)-SUMIFS(movements!$H:$H,movements!$E:$E,$A27,movements!$D:$D,"ISSUE",movements!$C:$C,"&lt;"&amp;L$1+1)</f>
        <v>127</v>
      </c>
      <c r="M27">
        <f>SUMIFS(movements!$H:$H,movements!$E:$E,$A27,movements!$D:$D,"OPENING",movements!$C:$C,"&lt;"&amp;M$1+1)+SUMIFS(movements!$H:$H,movements!$E:$E,$A27,movements!$D:$D,"RECEIPT",movements!$C:$C,"&lt;"&amp;M$1+1)-SUMIFS(movements!$H:$H,movements!$E:$E,$A27,movements!$D:$D,"ISSUE",movements!$C:$C,"&lt;"&amp;M$1+1)</f>
        <v>127</v>
      </c>
      <c r="N27">
        <f>SUMIFS(movements!$H:$H,movements!$E:$E,$A27,movements!$D:$D,"OPENING",movements!$C:$C,"&lt;"&amp;N$1+1)+SUMIFS(movements!$H:$H,movements!$E:$E,$A27,movements!$D:$D,"RECEIPT",movements!$C:$C,"&lt;"&amp;N$1+1)-SUMIFS(movements!$H:$H,movements!$E:$E,$A27,movements!$D:$D,"ISSUE",movements!$C:$C,"&lt;"&amp;N$1+1)</f>
        <v>123</v>
      </c>
      <c r="O27">
        <f>SUMIFS(movements!$H:$H,movements!$E:$E,$A27,movements!$D:$D,"OPENING",movements!$C:$C,"&lt;"&amp;O$1+1)+SUMIFS(movements!$H:$H,movements!$E:$E,$A27,movements!$D:$D,"RECEIPT",movements!$C:$C,"&lt;"&amp;O$1+1)-SUMIFS(movements!$H:$H,movements!$E:$E,$A27,movements!$D:$D,"ISSUE",movements!$C:$C,"&lt;"&amp;O$1+1)</f>
        <v>121</v>
      </c>
      <c r="P27">
        <f>SUMIFS(movements!$H:$H,movements!$E:$E,$A27,movements!$D:$D,"OPENING",movements!$C:$C,"&lt;"&amp;P$1+1)+SUMIFS(movements!$H:$H,movements!$E:$E,$A27,movements!$D:$D,"RECEIPT",movements!$C:$C,"&lt;"&amp;P$1+1)-SUMIFS(movements!$H:$H,movements!$E:$E,$A27,movements!$D:$D,"ISSUE",movements!$C:$C,"&lt;"&amp;P$1+1)</f>
        <v>117</v>
      </c>
      <c r="Q27">
        <f>SUMIFS(movements!$H:$H,movements!$E:$E,$A27,movements!$D:$D,"OPENING",movements!$C:$C,"&lt;"&amp;Q$1+1)+SUMIFS(movements!$H:$H,movements!$E:$E,$A27,movements!$D:$D,"RECEIPT",movements!$C:$C,"&lt;"&amp;Q$1+1)-SUMIFS(movements!$H:$H,movements!$E:$E,$A27,movements!$D:$D,"ISSUE",movements!$C:$C,"&lt;"&amp;Q$1+1)</f>
        <v>113</v>
      </c>
      <c r="R27">
        <f>SUMIFS(movements!$H:$H,movements!$E:$E,$A27,movements!$D:$D,"OPENING",movements!$C:$C,"&lt;"&amp;R$1+1)+SUMIFS(movements!$H:$H,movements!$E:$E,$A27,movements!$D:$D,"RECEIPT",movements!$C:$C,"&lt;"&amp;R$1+1)-SUMIFS(movements!$H:$H,movements!$E:$E,$A27,movements!$D:$D,"ISSUE",movements!$C:$C,"&lt;"&amp;R$1+1)</f>
        <v>113</v>
      </c>
      <c r="S27">
        <f>SUMIFS(movements!$H:$H,movements!$E:$E,$A27,movements!$D:$D,"OPENING",movements!$C:$C,"&lt;"&amp;S$1+1)+SUMIFS(movements!$H:$H,movements!$E:$E,$A27,movements!$D:$D,"RECEIPT",movements!$C:$C,"&lt;"&amp;S$1+1)-SUMIFS(movements!$H:$H,movements!$E:$E,$A27,movements!$D:$D,"ISSUE",movements!$C:$C,"&lt;"&amp;S$1+1)</f>
        <v>110</v>
      </c>
      <c r="T27">
        <f>SUMIFS(movements!$H:$H,movements!$E:$E,$A27,movements!$D:$D,"OPENING",movements!$C:$C,"&lt;"&amp;T$1+1)+SUMIFS(movements!$H:$H,movements!$E:$E,$A27,movements!$D:$D,"RECEIPT",movements!$C:$C,"&lt;"&amp;T$1+1)-SUMIFS(movements!$H:$H,movements!$E:$E,$A27,movements!$D:$D,"ISSUE",movements!$C:$C,"&lt;"&amp;T$1+1)</f>
        <v>110</v>
      </c>
      <c r="U27">
        <f>SUMIFS(movements!$H:$H,movements!$E:$E,$A27,movements!$D:$D,"OPENING",movements!$C:$C,"&lt;"&amp;U$1+1)+SUMIFS(movements!$H:$H,movements!$E:$E,$A27,movements!$D:$D,"RECEIPT",movements!$C:$C,"&lt;"&amp;U$1+1)-SUMIFS(movements!$H:$H,movements!$E:$E,$A27,movements!$D:$D,"ISSUE",movements!$C:$C,"&lt;"&amp;U$1+1)</f>
        <v>105</v>
      </c>
      <c r="V27">
        <f>SUMIFS(movements!$H:$H,movements!$E:$E,$A27,movements!$D:$D,"OPENING",movements!$C:$C,"&lt;"&amp;V$1+1)+SUMIFS(movements!$H:$H,movements!$E:$E,$A27,movements!$D:$D,"RECEIPT",movements!$C:$C,"&lt;"&amp;V$1+1)-SUMIFS(movements!$H:$H,movements!$E:$E,$A27,movements!$D:$D,"ISSUE",movements!$C:$C,"&lt;"&amp;V$1+1)</f>
        <v>105</v>
      </c>
      <c r="W27">
        <f>SUMIFS(movements!$H:$H,movements!$E:$E,$A27,movements!$D:$D,"OPENING",movements!$C:$C,"&lt;"&amp;W$1+1)+SUMIFS(movements!$H:$H,movements!$E:$E,$A27,movements!$D:$D,"RECEIPT",movements!$C:$C,"&lt;"&amp;W$1+1)-SUMIFS(movements!$H:$H,movements!$E:$E,$A27,movements!$D:$D,"ISSUE",movements!$C:$C,"&lt;"&amp;W$1+1)</f>
        <v>177</v>
      </c>
      <c r="X27">
        <f>SUMIFS(movements!$H:$H,movements!$E:$E,$A27,movements!$D:$D,"OPENING",movements!$C:$C,"&lt;"&amp;X$1+1)+SUMIFS(movements!$H:$H,movements!$E:$E,$A27,movements!$D:$D,"RECEIPT",movements!$C:$C,"&lt;"&amp;X$1+1)-SUMIFS(movements!$H:$H,movements!$E:$E,$A27,movements!$D:$D,"ISSUE",movements!$C:$C,"&lt;"&amp;X$1+1)</f>
        <v>177</v>
      </c>
      <c r="Y27">
        <f>SUMIFS(movements!$H:$H,movements!$E:$E,$A27,movements!$D:$D,"OPENING",movements!$C:$C,"&lt;"&amp;Y$1+1)+SUMIFS(movements!$H:$H,movements!$E:$E,$A27,movements!$D:$D,"RECEIPT",movements!$C:$C,"&lt;"&amp;Y$1+1)-SUMIFS(movements!$H:$H,movements!$E:$E,$A27,movements!$D:$D,"ISSUE",movements!$C:$C,"&lt;"&amp;Y$1+1)</f>
        <v>172</v>
      </c>
      <c r="Z27">
        <f>SUMIFS(movements!$H:$H,movements!$E:$E,$A27,movements!$D:$D,"OPENING",movements!$C:$C,"&lt;"&amp;Z$1+1)+SUMIFS(movements!$H:$H,movements!$E:$E,$A27,movements!$D:$D,"RECEIPT",movements!$C:$C,"&lt;"&amp;Z$1+1)-SUMIFS(movements!$H:$H,movements!$E:$E,$A27,movements!$D:$D,"ISSUE",movements!$C:$C,"&lt;"&amp;Z$1+1)</f>
        <v>161</v>
      </c>
      <c r="AA27">
        <f>SUMIFS(movements!$H:$H,movements!$E:$E,$A27,movements!$D:$D,"OPENING",movements!$C:$C,"&lt;"&amp;AA$1+1)+SUMIFS(movements!$H:$H,movements!$E:$E,$A27,movements!$D:$D,"RECEIPT",movements!$C:$C,"&lt;"&amp;AA$1+1)-SUMIFS(movements!$H:$H,movements!$E:$E,$A27,movements!$D:$D,"ISSUE",movements!$C:$C,"&lt;"&amp;AA$1+1)</f>
        <v>161</v>
      </c>
      <c r="AB27">
        <f>SUMIFS(movements!$H:$H,movements!$E:$E,$A27,movements!$D:$D,"OPENING",movements!$C:$C,"&lt;"&amp;AB$1+1)+SUMIFS(movements!$H:$H,movements!$E:$E,$A27,movements!$D:$D,"RECEIPT",movements!$C:$C,"&lt;"&amp;AB$1+1)-SUMIFS(movements!$H:$H,movements!$E:$E,$A27,movements!$D:$D,"ISSUE",movements!$C:$C,"&lt;"&amp;AB$1+1)</f>
        <v>155</v>
      </c>
      <c r="AC27">
        <f>SUMIFS(movements!$H:$H,movements!$E:$E,$A27,movements!$D:$D,"OPENING",movements!$C:$C,"&lt;"&amp;AC$1+1)+SUMIFS(movements!$H:$H,movements!$E:$E,$A27,movements!$D:$D,"RECEIPT",movements!$C:$C,"&lt;"&amp;AC$1+1)-SUMIFS(movements!$H:$H,movements!$E:$E,$A27,movements!$D:$D,"ISSUE",movements!$C:$C,"&lt;"&amp;AC$1+1)</f>
        <v>150</v>
      </c>
      <c r="AD27">
        <f>SUMIFS(movements!$H:$H,movements!$E:$E,$A27,movements!$D:$D,"OPENING",movements!$C:$C,"&lt;"&amp;AD$1+1)+SUMIFS(movements!$H:$H,movements!$E:$E,$A27,movements!$D:$D,"RECEIPT",movements!$C:$C,"&lt;"&amp;AD$1+1)-SUMIFS(movements!$H:$H,movements!$E:$E,$A27,movements!$D:$D,"ISSUE",movements!$C:$C,"&lt;"&amp;AD$1+1)</f>
        <v>145</v>
      </c>
      <c r="AE27">
        <f>SUMIFS(movements!$H:$H,movements!$E:$E,$A27,movements!$D:$D,"OPENING",movements!$C:$C,"&lt;"&amp;AE$1+1)+SUMIFS(movements!$H:$H,movements!$E:$E,$A27,movements!$D:$D,"RECEIPT",movements!$C:$C,"&lt;"&amp;AE$1+1)-SUMIFS(movements!$H:$H,movements!$E:$E,$A27,movements!$D:$D,"ISSUE",movements!$C:$C,"&lt;"&amp;AE$1+1)</f>
        <v>132</v>
      </c>
      <c r="AF27">
        <f>SUMIFS(movements!$H:$H,movements!$E:$E,$A27,movements!$D:$D,"OPENING",movements!$C:$C,"&lt;"&amp;AF$1+1)+SUMIFS(movements!$H:$H,movements!$E:$E,$A27,movements!$D:$D,"RECEIPT",movements!$C:$C,"&lt;"&amp;AF$1+1)-SUMIFS(movements!$H:$H,movements!$E:$E,$A27,movements!$D:$D,"ISSUE",movements!$C:$C,"&lt;"&amp;AF$1+1)</f>
        <v>132</v>
      </c>
      <c r="AG27">
        <f>SUMIFS(movements!$H:$H,movements!$E:$E,$A27,movements!$D:$D,"OPENING",movements!$C:$C,"&lt;"&amp;AG$1+1)+SUMIFS(movements!$H:$H,movements!$E:$E,$A27,movements!$D:$D,"RECEIPT",movements!$C:$C,"&lt;"&amp;AG$1+1)-SUMIFS(movements!$H:$H,movements!$E:$E,$A27,movements!$D:$D,"ISSUE",movements!$C:$C,"&lt;"&amp;AG$1+1)</f>
        <v>128</v>
      </c>
      <c r="AH27">
        <f>SUMIFS(movements!$H:$H,movements!$E:$E,$A27,movements!$D:$D,"OPENING",movements!$C:$C,"&lt;"&amp;AH$1+1)+SUMIFS(movements!$H:$H,movements!$E:$E,$A27,movements!$D:$D,"RECEIPT",movements!$C:$C,"&lt;"&amp;AH$1+1)-SUMIFS(movements!$H:$H,movements!$E:$E,$A27,movements!$D:$D,"ISSUE",movements!$C:$C,"&lt;"&amp;AH$1+1)</f>
        <v>127</v>
      </c>
      <c r="AI27">
        <f>SUMIFS(movements!$H:$H,movements!$E:$E,$A27,movements!$D:$D,"OPENING",movements!$C:$C,"&lt;"&amp;AI$1+1)+SUMIFS(movements!$H:$H,movements!$E:$E,$A27,movements!$D:$D,"RECEIPT",movements!$C:$C,"&lt;"&amp;AI$1+1)-SUMIFS(movements!$H:$H,movements!$E:$E,$A27,movements!$D:$D,"ISSUE",movements!$C:$C,"&lt;"&amp;AI$1+1)</f>
        <v>120</v>
      </c>
      <c r="AJ27">
        <f>SUMIFS(movements!$H:$H,movements!$E:$E,$A27,movements!$D:$D,"OPENING",movements!$C:$C,"&lt;"&amp;AJ$1+1)+SUMIFS(movements!$H:$H,movements!$E:$E,$A27,movements!$D:$D,"RECEIPT",movements!$C:$C,"&lt;"&amp;AJ$1+1)-SUMIFS(movements!$H:$H,movements!$E:$E,$A27,movements!$D:$D,"ISSUE",movements!$C:$C,"&lt;"&amp;AJ$1+1)</f>
        <v>120</v>
      </c>
      <c r="AK27">
        <f>SUMIFS(movements!$H:$H,movements!$E:$E,$A27,movements!$D:$D,"OPENING",movements!$C:$C,"&lt;"&amp;AK$1+1)+SUMIFS(movements!$H:$H,movements!$E:$E,$A27,movements!$D:$D,"RECEIPT",movements!$C:$C,"&lt;"&amp;AK$1+1)-SUMIFS(movements!$H:$H,movements!$E:$E,$A27,movements!$D:$D,"ISSUE",movements!$C:$C,"&lt;"&amp;AK$1+1)</f>
        <v>120</v>
      </c>
      <c r="AL27">
        <f>SUMIFS(movements!$H:$H,movements!$E:$E,$A27,movements!$D:$D,"OPENING",movements!$C:$C,"&lt;"&amp;AL$1+1)+SUMIFS(movements!$H:$H,movements!$E:$E,$A27,movements!$D:$D,"RECEIPT",movements!$C:$C,"&lt;"&amp;AL$1+1)-SUMIFS(movements!$H:$H,movements!$E:$E,$A27,movements!$D:$D,"ISSUE",movements!$C:$C,"&lt;"&amp;AL$1+1)</f>
        <v>115</v>
      </c>
      <c r="AM27">
        <f>SUMIFS(movements!$H:$H,movements!$E:$E,$A27,movements!$D:$D,"OPENING",movements!$C:$C,"&lt;"&amp;AM$1+1)+SUMIFS(movements!$H:$H,movements!$E:$E,$A27,movements!$D:$D,"RECEIPT",movements!$C:$C,"&lt;"&amp;AM$1+1)-SUMIFS(movements!$H:$H,movements!$E:$E,$A27,movements!$D:$D,"ISSUE",movements!$C:$C,"&lt;"&amp;AM$1+1)</f>
        <v>111</v>
      </c>
      <c r="AN27">
        <f>SUMIFS(movements!$H:$H,movements!$E:$E,$A27,movements!$D:$D,"OPENING",movements!$C:$C,"&lt;"&amp;AN$1+1)+SUMIFS(movements!$H:$H,movements!$E:$E,$A27,movements!$D:$D,"RECEIPT",movements!$C:$C,"&lt;"&amp;AN$1+1)-SUMIFS(movements!$H:$H,movements!$E:$E,$A27,movements!$D:$D,"ISSUE",movements!$C:$C,"&lt;"&amp;AN$1+1)</f>
        <v>109</v>
      </c>
      <c r="AO27">
        <f>SUMIFS(movements!$H:$H,movements!$E:$E,$A27,movements!$D:$D,"OPENING",movements!$C:$C,"&lt;"&amp;AO$1+1)+SUMIFS(movements!$H:$H,movements!$E:$E,$A27,movements!$D:$D,"RECEIPT",movements!$C:$C,"&lt;"&amp;AO$1+1)-SUMIFS(movements!$H:$H,movements!$E:$E,$A27,movements!$D:$D,"ISSUE",movements!$C:$C,"&lt;"&amp;AO$1+1)</f>
        <v>105</v>
      </c>
      <c r="AP27">
        <f>SUMIFS(movements!$H:$H,movements!$E:$E,$A27,movements!$D:$D,"OPENING",movements!$C:$C,"&lt;"&amp;AP$1+1)+SUMIFS(movements!$H:$H,movements!$E:$E,$A27,movements!$D:$D,"RECEIPT",movements!$C:$C,"&lt;"&amp;AP$1+1)-SUMIFS(movements!$H:$H,movements!$E:$E,$A27,movements!$D:$D,"ISSUE",movements!$C:$C,"&lt;"&amp;AP$1+1)</f>
        <v>105</v>
      </c>
      <c r="AQ27">
        <f>SUMIFS(movements!$H:$H,movements!$E:$E,$A27,movements!$D:$D,"OPENING",movements!$C:$C,"&lt;"&amp;AQ$1+1)+SUMIFS(movements!$H:$H,movements!$E:$E,$A27,movements!$D:$D,"RECEIPT",movements!$C:$C,"&lt;"&amp;AQ$1+1)-SUMIFS(movements!$H:$H,movements!$E:$E,$A27,movements!$D:$D,"ISSUE",movements!$C:$C,"&lt;"&amp;AQ$1+1)</f>
        <v>104</v>
      </c>
      <c r="AR27">
        <f>SUMIFS(movements!$H:$H,movements!$E:$E,$A27,movements!$D:$D,"OPENING",movements!$C:$C,"&lt;"&amp;AR$1+1)+SUMIFS(movements!$H:$H,movements!$E:$E,$A27,movements!$D:$D,"RECEIPT",movements!$C:$C,"&lt;"&amp;AR$1+1)-SUMIFS(movements!$H:$H,movements!$E:$E,$A27,movements!$D:$D,"ISSUE",movements!$C:$C,"&lt;"&amp;AR$1+1)</f>
        <v>194</v>
      </c>
      <c r="AS27">
        <f>SUMIFS(movements!$H:$H,movements!$E:$E,$A27,movements!$D:$D,"OPENING",movements!$C:$C,"&lt;"&amp;AS$1+1)+SUMIFS(movements!$H:$H,movements!$E:$E,$A27,movements!$D:$D,"RECEIPT",movements!$C:$C,"&lt;"&amp;AS$1+1)-SUMIFS(movements!$H:$H,movements!$E:$E,$A27,movements!$D:$D,"ISSUE",movements!$C:$C,"&lt;"&amp;AS$1+1)</f>
        <v>194</v>
      </c>
      <c r="AT27">
        <f>SUMIFS(movements!$H:$H,movements!$E:$E,$A27,movements!$D:$D,"OPENING",movements!$C:$C,"&lt;"&amp;AT$1+1)+SUMIFS(movements!$H:$H,movements!$E:$E,$A27,movements!$D:$D,"RECEIPT",movements!$C:$C,"&lt;"&amp;AT$1+1)-SUMIFS(movements!$H:$H,movements!$E:$E,$A27,movements!$D:$D,"ISSUE",movements!$C:$C,"&lt;"&amp;AT$1+1)</f>
        <v>191</v>
      </c>
      <c r="AU27">
        <f>SUMIFS(movements!$H:$H,movements!$E:$E,$A27,movements!$D:$D,"OPENING",movements!$C:$C,"&lt;"&amp;AU$1+1)+SUMIFS(movements!$H:$H,movements!$E:$E,$A27,movements!$D:$D,"RECEIPT",movements!$C:$C,"&lt;"&amp;AU$1+1)-SUMIFS(movements!$H:$H,movements!$E:$E,$A27,movements!$D:$D,"ISSUE",movements!$C:$C,"&lt;"&amp;AU$1+1)</f>
        <v>190</v>
      </c>
      <c r="AV27">
        <f>SUMIFS(movements!$H:$H,movements!$E:$E,$A27,movements!$D:$D,"OPENING",movements!$C:$C,"&lt;"&amp;AV$1+1)+SUMIFS(movements!$H:$H,movements!$E:$E,$A27,movements!$D:$D,"RECEIPT",movements!$C:$C,"&lt;"&amp;AV$1+1)-SUMIFS(movements!$H:$H,movements!$E:$E,$A27,movements!$D:$D,"ISSUE",movements!$C:$C,"&lt;"&amp;AV$1+1)</f>
        <v>186</v>
      </c>
      <c r="AW27">
        <f>SUMIFS(movements!$H:$H,movements!$E:$E,$A27,movements!$D:$D,"OPENING",movements!$C:$C,"&lt;"&amp;AW$1+1)+SUMIFS(movements!$H:$H,movements!$E:$E,$A27,movements!$D:$D,"RECEIPT",movements!$C:$C,"&lt;"&amp;AW$1+1)-SUMIFS(movements!$H:$H,movements!$E:$E,$A27,movements!$D:$D,"ISSUE",movements!$C:$C,"&lt;"&amp;AW$1+1)</f>
        <v>180</v>
      </c>
      <c r="AX27">
        <f>SUMIFS(movements!$H:$H,movements!$E:$E,$A27,movements!$D:$D,"OPENING",movements!$C:$C,"&lt;"&amp;AX$1+1)+SUMIFS(movements!$H:$H,movements!$E:$E,$A27,movements!$D:$D,"RECEIPT",movements!$C:$C,"&lt;"&amp;AX$1+1)-SUMIFS(movements!$H:$H,movements!$E:$E,$A27,movements!$D:$D,"ISSUE",movements!$C:$C,"&lt;"&amp;AX$1+1)</f>
        <v>175</v>
      </c>
      <c r="AY27">
        <f>SUMIFS(movements!$H:$H,movements!$E:$E,$A27,movements!$D:$D,"OPENING",movements!$C:$C,"&lt;"&amp;AY$1+1)+SUMIFS(movements!$H:$H,movements!$E:$E,$A27,movements!$D:$D,"RECEIPT",movements!$C:$C,"&lt;"&amp;AY$1+1)-SUMIFS(movements!$H:$H,movements!$E:$E,$A27,movements!$D:$D,"ISSUE",movements!$C:$C,"&lt;"&amp;AY$1+1)</f>
        <v>168</v>
      </c>
      <c r="AZ27">
        <f>SUMIFS(movements!$H:$H,movements!$E:$E,$A27,movements!$D:$D,"OPENING",movements!$C:$C,"&lt;"&amp;AZ$1+1)+SUMIFS(movements!$H:$H,movements!$E:$E,$A27,movements!$D:$D,"RECEIPT",movements!$C:$C,"&lt;"&amp;AZ$1+1)-SUMIFS(movements!$H:$H,movements!$E:$E,$A27,movements!$D:$D,"ISSUE",movements!$C:$C,"&lt;"&amp;AZ$1+1)</f>
        <v>168</v>
      </c>
      <c r="BA27">
        <f>SUMIFS(movements!$H:$H,movements!$E:$E,$A27,movements!$D:$D,"OPENING",movements!$C:$C,"&lt;"&amp;BA$1+1)+SUMIFS(movements!$H:$H,movements!$E:$E,$A27,movements!$D:$D,"RECEIPT",movements!$C:$C,"&lt;"&amp;BA$1+1)-SUMIFS(movements!$H:$H,movements!$E:$E,$A27,movements!$D:$D,"ISSUE",movements!$C:$C,"&lt;"&amp;BA$1+1)</f>
        <v>166</v>
      </c>
      <c r="BB27">
        <f>SUMIFS(movements!$H:$H,movements!$E:$E,$A27,movements!$D:$D,"OPENING",movements!$C:$C,"&lt;"&amp;BB$1+1)+SUMIFS(movements!$H:$H,movements!$E:$E,$A27,movements!$D:$D,"RECEIPT",movements!$C:$C,"&lt;"&amp;BB$1+1)-SUMIFS(movements!$H:$H,movements!$E:$E,$A27,movements!$D:$D,"ISSUE",movements!$C:$C,"&lt;"&amp;BB$1+1)</f>
        <v>163</v>
      </c>
      <c r="BC27">
        <f>SUMIFS(movements!$H:$H,movements!$E:$E,$A27,movements!$D:$D,"OPENING",movements!$C:$C,"&lt;"&amp;BC$1+1)+SUMIFS(movements!$H:$H,movements!$E:$E,$A27,movements!$D:$D,"RECEIPT",movements!$C:$C,"&lt;"&amp;BC$1+1)-SUMIFS(movements!$H:$H,movements!$E:$E,$A27,movements!$D:$D,"ISSUE",movements!$C:$C,"&lt;"&amp;BC$1+1)</f>
        <v>155</v>
      </c>
      <c r="BD27">
        <f>SUMIFS(movements!$H:$H,movements!$E:$E,$A27,movements!$D:$D,"OPENING",movements!$C:$C,"&lt;"&amp;BD$1+1)+SUMIFS(movements!$H:$H,movements!$E:$E,$A27,movements!$D:$D,"RECEIPT",movements!$C:$C,"&lt;"&amp;BD$1+1)-SUMIFS(movements!$H:$H,movements!$E:$E,$A27,movements!$D:$D,"ISSUE",movements!$C:$C,"&lt;"&amp;BD$1+1)</f>
        <v>152</v>
      </c>
      <c r="BE27">
        <f>SUMIFS(movements!$H:$H,movements!$E:$E,$A27,movements!$D:$D,"OPENING",movements!$C:$C,"&lt;"&amp;BE$1+1)+SUMIFS(movements!$H:$H,movements!$E:$E,$A27,movements!$D:$D,"RECEIPT",movements!$C:$C,"&lt;"&amp;BE$1+1)-SUMIFS(movements!$H:$H,movements!$E:$E,$A27,movements!$D:$D,"ISSUE",movements!$C:$C,"&lt;"&amp;BE$1+1)</f>
        <v>149</v>
      </c>
      <c r="BF27">
        <f>SUMIFS(movements!$H:$H,movements!$E:$E,$A27,movements!$D:$D,"OPENING",movements!$C:$C,"&lt;"&amp;BF$1+1)+SUMIFS(movements!$H:$H,movements!$E:$E,$A27,movements!$D:$D,"RECEIPT",movements!$C:$C,"&lt;"&amp;BF$1+1)-SUMIFS(movements!$H:$H,movements!$E:$E,$A27,movements!$D:$D,"ISSUE",movements!$C:$C,"&lt;"&amp;BF$1+1)</f>
        <v>145</v>
      </c>
      <c r="BG27">
        <f>SUMIFS(movements!$H:$H,movements!$E:$E,$A27,movements!$D:$D,"OPENING",movements!$C:$C,"&lt;"&amp;BG$1+1)+SUMIFS(movements!$H:$H,movements!$E:$E,$A27,movements!$D:$D,"RECEIPT",movements!$C:$C,"&lt;"&amp;BG$1+1)-SUMIFS(movements!$H:$H,movements!$E:$E,$A27,movements!$D:$D,"ISSUE",movements!$C:$C,"&lt;"&amp;BG$1+1)</f>
        <v>139</v>
      </c>
      <c r="BH27">
        <f>SUMIFS(movements!$H:$H,movements!$E:$E,$A27,movements!$D:$D,"OPENING",movements!$C:$C,"&lt;"&amp;BH$1+1)+SUMIFS(movements!$H:$H,movements!$E:$E,$A27,movements!$D:$D,"RECEIPT",movements!$C:$C,"&lt;"&amp;BH$1+1)-SUMIFS(movements!$H:$H,movements!$E:$E,$A27,movements!$D:$D,"ISSUE",movements!$C:$C,"&lt;"&amp;BH$1+1)</f>
        <v>130</v>
      </c>
      <c r="BI27">
        <f>SUMIFS(movements!$H:$H,movements!$E:$E,$A27,movements!$D:$D,"OPENING",movements!$C:$C,"&lt;"&amp;BI$1+1)+SUMIFS(movements!$H:$H,movements!$E:$E,$A27,movements!$D:$D,"RECEIPT",movements!$C:$C,"&lt;"&amp;BI$1+1)-SUMIFS(movements!$H:$H,movements!$E:$E,$A27,movements!$D:$D,"ISSUE",movements!$C:$C,"&lt;"&amp;BI$1+1)</f>
        <v>123</v>
      </c>
      <c r="BJ27">
        <f>SUMIFS(movements!$H:$H,movements!$E:$E,$A27,movements!$D:$D,"OPENING",movements!$C:$C,"&lt;"&amp;BJ$1+1)+SUMIFS(movements!$H:$H,movements!$E:$E,$A27,movements!$D:$D,"RECEIPT",movements!$C:$C,"&lt;"&amp;BJ$1+1)-SUMIFS(movements!$H:$H,movements!$E:$E,$A27,movements!$D:$D,"ISSUE",movements!$C:$C,"&lt;"&amp;BJ$1+1)</f>
        <v>114</v>
      </c>
      <c r="BK27">
        <f>SUMIFS(movements!$H:$H,movements!$E:$E,$A27,movements!$D:$D,"OPENING",movements!$C:$C,"&lt;"&amp;BK$1+1)+SUMIFS(movements!$H:$H,movements!$E:$E,$A27,movements!$D:$D,"RECEIPT",movements!$C:$C,"&lt;"&amp;BK$1+1)-SUMIFS(movements!$H:$H,movements!$E:$E,$A27,movements!$D:$D,"ISSUE",movements!$C:$C,"&lt;"&amp;BK$1+1)</f>
        <v>107</v>
      </c>
      <c r="BL27">
        <f>SUMIFS(movements!$H:$H,movements!$E:$E,$A27,movements!$D:$D,"OPENING",movements!$C:$C,"&lt;"&amp;BL$1+1)+SUMIFS(movements!$H:$H,movements!$E:$E,$A27,movements!$D:$D,"RECEIPT",movements!$C:$C,"&lt;"&amp;BL$1+1)-SUMIFS(movements!$H:$H,movements!$E:$E,$A27,movements!$D:$D,"ISSUE",movements!$C:$C,"&lt;"&amp;BL$1+1)</f>
        <v>104</v>
      </c>
      <c r="BM27">
        <f>SUMIFS(movements!$H:$H,movements!$E:$E,$A27,movements!$D:$D,"OPENING",movements!$C:$C,"&lt;"&amp;BM$1+1)+SUMIFS(movements!$H:$H,movements!$E:$E,$A27,movements!$D:$D,"RECEIPT",movements!$C:$C,"&lt;"&amp;BM$1+1)-SUMIFS(movements!$H:$H,movements!$E:$E,$A27,movements!$D:$D,"ISSUE",movements!$C:$C,"&lt;"&amp;BM$1+1)</f>
        <v>177</v>
      </c>
      <c r="BN27">
        <f>SUMIFS(movements!$H:$H,movements!$E:$E,$A27,movements!$D:$D,"OPENING",movements!$C:$C,"&lt;"&amp;BN$1+1)+SUMIFS(movements!$H:$H,movements!$E:$E,$A27,movements!$D:$D,"RECEIPT",movements!$C:$C,"&lt;"&amp;BN$1+1)-SUMIFS(movements!$H:$H,movements!$E:$E,$A27,movements!$D:$D,"ISSUE",movements!$C:$C,"&lt;"&amp;BN$1+1)</f>
        <v>173</v>
      </c>
      <c r="BO27">
        <f>SUMIFS(movements!$H:$H,movements!$E:$E,$A27,movements!$D:$D,"OPENING",movements!$C:$C,"&lt;"&amp;BO$1+1)+SUMIFS(movements!$H:$H,movements!$E:$E,$A27,movements!$D:$D,"RECEIPT",movements!$C:$C,"&lt;"&amp;BO$1+1)-SUMIFS(movements!$H:$H,movements!$E:$E,$A27,movements!$D:$D,"ISSUE",movements!$C:$C,"&lt;"&amp;BO$1+1)</f>
        <v>167</v>
      </c>
      <c r="BP27">
        <f>SUMIFS(movements!$H:$H,movements!$E:$E,$A27,movements!$D:$D,"OPENING",movements!$C:$C,"&lt;"&amp;BP$1+1)+SUMIFS(movements!$H:$H,movements!$E:$E,$A27,movements!$D:$D,"RECEIPT",movements!$C:$C,"&lt;"&amp;BP$1+1)-SUMIFS(movements!$H:$H,movements!$E:$E,$A27,movements!$D:$D,"ISSUE",movements!$C:$C,"&lt;"&amp;BP$1+1)</f>
        <v>160</v>
      </c>
      <c r="BQ27">
        <f>SUMIFS(movements!$H:$H,movements!$E:$E,$A27,movements!$D:$D,"OPENING",movements!$C:$C,"&lt;"&amp;BQ$1+1)+SUMIFS(movements!$H:$H,movements!$E:$E,$A27,movements!$D:$D,"RECEIPT",movements!$C:$C,"&lt;"&amp;BQ$1+1)-SUMIFS(movements!$H:$H,movements!$E:$E,$A27,movements!$D:$D,"ISSUE",movements!$C:$C,"&lt;"&amp;BQ$1+1)</f>
        <v>158</v>
      </c>
      <c r="BR27">
        <f>SUMIFS(movements!$H:$H,movements!$E:$E,$A27,movements!$D:$D,"OPENING",movements!$C:$C,"&lt;"&amp;BR$1+1)+SUMIFS(movements!$H:$H,movements!$E:$E,$A27,movements!$D:$D,"RECEIPT",movements!$C:$C,"&lt;"&amp;BR$1+1)-SUMIFS(movements!$H:$H,movements!$E:$E,$A27,movements!$D:$D,"ISSUE",movements!$C:$C,"&lt;"&amp;BR$1+1)</f>
        <v>153</v>
      </c>
      <c r="BS27">
        <f>SUMIFS(movements!$H:$H,movements!$E:$E,$A27,movements!$D:$D,"OPENING",movements!$C:$C,"&lt;"&amp;BS$1+1)+SUMIFS(movements!$H:$H,movements!$E:$E,$A27,movements!$D:$D,"RECEIPT",movements!$C:$C,"&lt;"&amp;BS$1+1)-SUMIFS(movements!$H:$H,movements!$E:$E,$A27,movements!$D:$D,"ISSUE",movements!$C:$C,"&lt;"&amp;BS$1+1)</f>
        <v>144</v>
      </c>
      <c r="BT27">
        <f>SUMIFS(movements!$H:$H,movements!$E:$E,$A27,movements!$D:$D,"OPENING",movements!$C:$C,"&lt;"&amp;BT$1+1)+SUMIFS(movements!$H:$H,movements!$E:$E,$A27,movements!$D:$D,"RECEIPT",movements!$C:$C,"&lt;"&amp;BT$1+1)-SUMIFS(movements!$H:$H,movements!$E:$E,$A27,movements!$D:$D,"ISSUE",movements!$C:$C,"&lt;"&amp;BT$1+1)</f>
        <v>136</v>
      </c>
      <c r="BU27">
        <f>SUMIFS(movements!$H:$H,movements!$E:$E,$A27,movements!$D:$D,"OPENING",movements!$C:$C,"&lt;"&amp;BU$1+1)+SUMIFS(movements!$H:$H,movements!$E:$E,$A27,movements!$D:$D,"RECEIPT",movements!$C:$C,"&lt;"&amp;BU$1+1)-SUMIFS(movements!$H:$H,movements!$E:$E,$A27,movements!$D:$D,"ISSUE",movements!$C:$C,"&lt;"&amp;BU$1+1)</f>
        <v>133</v>
      </c>
      <c r="BV27">
        <f>SUMIFS(movements!$H:$H,movements!$E:$E,$A27,movements!$D:$D,"OPENING",movements!$C:$C,"&lt;"&amp;BV$1+1)+SUMIFS(movements!$H:$H,movements!$E:$E,$A27,movements!$D:$D,"RECEIPT",movements!$C:$C,"&lt;"&amp;BV$1+1)-SUMIFS(movements!$H:$H,movements!$E:$E,$A27,movements!$D:$D,"ISSUE",movements!$C:$C,"&lt;"&amp;BV$1+1)</f>
        <v>129</v>
      </c>
      <c r="BW27">
        <f>SUMIFS(movements!$H:$H,movements!$E:$E,$A27,movements!$D:$D,"OPENING",movements!$C:$C,"&lt;"&amp;BW$1+1)+SUMIFS(movements!$H:$H,movements!$E:$E,$A27,movements!$D:$D,"RECEIPT",movements!$C:$C,"&lt;"&amp;BW$1+1)-SUMIFS(movements!$H:$H,movements!$E:$E,$A27,movements!$D:$D,"ISSUE",movements!$C:$C,"&lt;"&amp;BW$1+1)</f>
        <v>126</v>
      </c>
      <c r="BX27">
        <f>SUMIFS(movements!$H:$H,movements!$E:$E,$A27,movements!$D:$D,"OPENING",movements!$C:$C,"&lt;"&amp;BX$1+1)+SUMIFS(movements!$H:$H,movements!$E:$E,$A27,movements!$D:$D,"RECEIPT",movements!$C:$C,"&lt;"&amp;BX$1+1)-SUMIFS(movements!$H:$H,movements!$E:$E,$A27,movements!$D:$D,"ISSUE",movements!$C:$C,"&lt;"&amp;BX$1+1)</f>
        <v>114</v>
      </c>
      <c r="BY27">
        <f>SUMIFS(movements!$H:$H,movements!$E:$E,$A27,movements!$D:$D,"OPENING",movements!$C:$C,"&lt;"&amp;BY$1+1)+SUMIFS(movements!$H:$H,movements!$E:$E,$A27,movements!$D:$D,"RECEIPT",movements!$C:$C,"&lt;"&amp;BY$1+1)-SUMIFS(movements!$H:$H,movements!$E:$E,$A27,movements!$D:$D,"ISSUE",movements!$C:$C,"&lt;"&amp;BY$1+1)</f>
        <v>114</v>
      </c>
      <c r="BZ27">
        <f>SUMIFS(movements!$H:$H,movements!$E:$E,$A27,movements!$D:$D,"OPENING",movements!$C:$C,"&lt;"&amp;BZ$1+1)+SUMIFS(movements!$H:$H,movements!$E:$E,$A27,movements!$D:$D,"RECEIPT",movements!$C:$C,"&lt;"&amp;BZ$1+1)-SUMIFS(movements!$H:$H,movements!$E:$E,$A27,movements!$D:$D,"ISSUE",movements!$C:$C,"&lt;"&amp;BZ$1+1)</f>
        <v>113</v>
      </c>
      <c r="CA27">
        <f>SUMIFS(movements!$H:$H,movements!$E:$E,$A27,movements!$D:$D,"OPENING",movements!$C:$C,"&lt;"&amp;CA$1+1)+SUMIFS(movements!$H:$H,movements!$E:$E,$A27,movements!$D:$D,"RECEIPT",movements!$C:$C,"&lt;"&amp;CA$1+1)-SUMIFS(movements!$H:$H,movements!$E:$E,$A27,movements!$D:$D,"ISSUE",movements!$C:$C,"&lt;"&amp;CA$1+1)</f>
        <v>113</v>
      </c>
      <c r="CB27">
        <f>SUMIFS(movements!$H:$H,movements!$E:$E,$A27,movements!$D:$D,"OPENING",movements!$C:$C,"&lt;"&amp;CB$1+1)+SUMIFS(movements!$H:$H,movements!$E:$E,$A27,movements!$D:$D,"RECEIPT",movements!$C:$C,"&lt;"&amp;CB$1+1)-SUMIFS(movements!$H:$H,movements!$E:$E,$A27,movements!$D:$D,"ISSUE",movements!$C:$C,"&lt;"&amp;CB$1+1)</f>
        <v>107</v>
      </c>
      <c r="CC27">
        <f>SUMIFS(movements!$H:$H,movements!$E:$E,$A27,movements!$D:$D,"OPENING",movements!$C:$C,"&lt;"&amp;CC$1+1)+SUMIFS(movements!$H:$H,movements!$E:$E,$A27,movements!$D:$D,"RECEIPT",movements!$C:$C,"&lt;"&amp;CC$1+1)-SUMIFS(movements!$H:$H,movements!$E:$E,$A27,movements!$D:$D,"ISSUE",movements!$C:$C,"&lt;"&amp;CC$1+1)</f>
        <v>103</v>
      </c>
      <c r="CD27">
        <f>SUMIFS(movements!$H:$H,movements!$E:$E,$A27,movements!$D:$D,"OPENING",movements!$C:$C,"&lt;"&amp;CD$1+1)+SUMIFS(movements!$H:$H,movements!$E:$E,$A27,movements!$D:$D,"RECEIPT",movements!$C:$C,"&lt;"&amp;CD$1+1)-SUMIFS(movements!$H:$H,movements!$E:$E,$A27,movements!$D:$D,"ISSUE",movements!$C:$C,"&lt;"&amp;CD$1+1)</f>
        <v>101</v>
      </c>
      <c r="CE27">
        <f>SUMIFS(movements!$H:$H,movements!$E:$E,$A27,movements!$D:$D,"OPENING",movements!$C:$C,"&lt;"&amp;CE$1+1)+SUMIFS(movements!$H:$H,movements!$E:$E,$A27,movements!$D:$D,"RECEIPT",movements!$C:$C,"&lt;"&amp;CE$1+1)-SUMIFS(movements!$H:$H,movements!$E:$E,$A27,movements!$D:$D,"ISSUE",movements!$C:$C,"&lt;"&amp;CE$1+1)</f>
        <v>94</v>
      </c>
      <c r="CF27">
        <f>SUMIFS(movements!$H:$H,movements!$E:$E,$A27,movements!$D:$D,"OPENING",movements!$C:$C,"&lt;"&amp;CF$1+1)+SUMIFS(movements!$H:$H,movements!$E:$E,$A27,movements!$D:$D,"RECEIPT",movements!$C:$C,"&lt;"&amp;CF$1+1)-SUMIFS(movements!$H:$H,movements!$E:$E,$A27,movements!$D:$D,"ISSUE",movements!$C:$C,"&lt;"&amp;CF$1+1)</f>
        <v>86</v>
      </c>
      <c r="CG27">
        <f>SUMIFS(movements!$H:$H,movements!$E:$E,$A27,movements!$D:$D,"OPENING",movements!$C:$C,"&lt;"&amp;CG$1+1)+SUMIFS(movements!$H:$H,movements!$E:$E,$A27,movements!$D:$D,"RECEIPT",movements!$C:$C,"&lt;"&amp;CG$1+1)-SUMIFS(movements!$H:$H,movements!$E:$E,$A27,movements!$D:$D,"ISSUE",movements!$C:$C,"&lt;"&amp;CG$1+1)</f>
        <v>80</v>
      </c>
      <c r="CH27">
        <f>SUMIFS(movements!$H:$H,movements!$E:$E,$A27,movements!$D:$D,"OPENING",movements!$C:$C,"&lt;"&amp;CH$1+1)+SUMIFS(movements!$H:$H,movements!$E:$E,$A27,movements!$D:$D,"RECEIPT",movements!$C:$C,"&lt;"&amp;CH$1+1)-SUMIFS(movements!$H:$H,movements!$E:$E,$A27,movements!$D:$D,"ISSUE",movements!$C:$C,"&lt;"&amp;CH$1+1)</f>
        <v>127</v>
      </c>
      <c r="CI27">
        <f>SUMIFS(movements!$H:$H,movements!$E:$E,$A27,movements!$D:$D,"OPENING",movements!$C:$C,"&lt;"&amp;CI$1+1)+SUMIFS(movements!$H:$H,movements!$E:$E,$A27,movements!$D:$D,"RECEIPT",movements!$C:$C,"&lt;"&amp;CI$1+1)-SUMIFS(movements!$H:$H,movements!$E:$E,$A27,movements!$D:$D,"ISSUE",movements!$C:$C,"&lt;"&amp;CI$1+1)</f>
        <v>125</v>
      </c>
      <c r="CJ27">
        <f>SUMIFS(movements!$H:$H,movements!$E:$E,$A27,movements!$D:$D,"OPENING",movements!$C:$C,"&lt;"&amp;CJ$1+1)+SUMIFS(movements!$H:$H,movements!$E:$E,$A27,movements!$D:$D,"RECEIPT",movements!$C:$C,"&lt;"&amp;CJ$1+1)-SUMIFS(movements!$H:$H,movements!$E:$E,$A27,movements!$D:$D,"ISSUE",movements!$C:$C,"&lt;"&amp;CJ$1+1)</f>
        <v>117</v>
      </c>
      <c r="CK27">
        <f>SUMIFS(movements!$H:$H,movements!$E:$E,$A27,movements!$D:$D,"OPENING",movements!$C:$C,"&lt;"&amp;CK$1+1)+SUMIFS(movements!$H:$H,movements!$E:$E,$A27,movements!$D:$D,"RECEIPT",movements!$C:$C,"&lt;"&amp;CK$1+1)-SUMIFS(movements!$H:$H,movements!$E:$E,$A27,movements!$D:$D,"ISSUE",movements!$C:$C,"&lt;"&amp;CK$1+1)</f>
        <v>117</v>
      </c>
      <c r="CL27">
        <f>SUMIFS(movements!$H:$H,movements!$E:$E,$A27,movements!$D:$D,"OPENING",movements!$C:$C,"&lt;"&amp;CL$1+1)+SUMIFS(movements!$H:$H,movements!$E:$E,$A27,movements!$D:$D,"RECEIPT",movements!$C:$C,"&lt;"&amp;CL$1+1)-SUMIFS(movements!$H:$H,movements!$E:$E,$A27,movements!$D:$D,"ISSUE",movements!$C:$C,"&lt;"&amp;CL$1+1)</f>
        <v>112</v>
      </c>
      <c r="CM27">
        <f>SUMIFS(movements!$H:$H,movements!$E:$E,$A27,movements!$D:$D,"OPENING",movements!$C:$C,"&lt;"&amp;CM$1+1)+SUMIFS(movements!$H:$H,movements!$E:$E,$A27,movements!$D:$D,"RECEIPT",movements!$C:$C,"&lt;"&amp;CM$1+1)-SUMIFS(movements!$H:$H,movements!$E:$E,$A27,movements!$D:$D,"ISSUE",movements!$C:$C,"&lt;"&amp;CM$1+1)</f>
        <v>99</v>
      </c>
      <c r="CN27">
        <f t="shared" si="2"/>
        <v>129.16666666666666</v>
      </c>
      <c r="CO27">
        <f>SUMIFS(movements!$H:$H,movements!$E:$E,$A27,movements!$D:$D,"ISSUE",movements!$C:$C,"&gt;="&amp;$B$1,movements!$C:$C,"&lt;"&amp;($CM$1+1))</f>
        <v>375</v>
      </c>
      <c r="CP27">
        <f t="shared" si="3"/>
        <v>2.903225806451613</v>
      </c>
      <c r="CQ27">
        <f t="shared" si="4"/>
        <v>31</v>
      </c>
    </row>
    <row r="28" spans="1:95" x14ac:dyDescent="0.25">
      <c r="A28" t="s">
        <v>75</v>
      </c>
      <c r="B28">
        <f>SUMIFS(movements!$H:$H,movements!$E:$E,$A28,movements!$D:$D,"OPENING",movements!$C:$C,"&lt;"&amp;B$1+1)+SUMIFS(movements!$H:$H,movements!$E:$E,$A28,movements!$D:$D,"RECEIPT",movements!$C:$C,"&lt;"&amp;B$1+1)-SUMIFS(movements!$H:$H,movements!$E:$E,$A28,movements!$D:$D,"ISSUE",movements!$C:$C,"&lt;"&amp;B$1+1)</f>
        <v>70</v>
      </c>
      <c r="C28">
        <f>SUMIFS(movements!$H:$H,movements!$E:$E,$A28,movements!$D:$D,"OPENING",movements!$C:$C,"&lt;"&amp;C$1+1)+SUMIFS(movements!$H:$H,movements!$E:$E,$A28,movements!$D:$D,"RECEIPT",movements!$C:$C,"&lt;"&amp;C$1+1)-SUMIFS(movements!$H:$H,movements!$E:$E,$A28,movements!$D:$D,"ISSUE",movements!$C:$C,"&lt;"&amp;C$1+1)</f>
        <v>68</v>
      </c>
      <c r="D28">
        <f>SUMIFS(movements!$H:$H,movements!$E:$E,$A28,movements!$D:$D,"OPENING",movements!$C:$C,"&lt;"&amp;D$1+1)+SUMIFS(movements!$H:$H,movements!$E:$E,$A28,movements!$D:$D,"RECEIPT",movements!$C:$C,"&lt;"&amp;D$1+1)-SUMIFS(movements!$H:$H,movements!$E:$E,$A28,movements!$D:$D,"ISSUE",movements!$C:$C,"&lt;"&amp;D$1+1)</f>
        <v>61</v>
      </c>
      <c r="E28">
        <f>SUMIFS(movements!$H:$H,movements!$E:$E,$A28,movements!$D:$D,"OPENING",movements!$C:$C,"&lt;"&amp;E$1+1)+SUMIFS(movements!$H:$H,movements!$E:$E,$A28,movements!$D:$D,"RECEIPT",movements!$C:$C,"&lt;"&amp;E$1+1)-SUMIFS(movements!$H:$H,movements!$E:$E,$A28,movements!$D:$D,"ISSUE",movements!$C:$C,"&lt;"&amp;E$1+1)</f>
        <v>56</v>
      </c>
      <c r="F28">
        <f>SUMIFS(movements!$H:$H,movements!$E:$E,$A28,movements!$D:$D,"OPENING",movements!$C:$C,"&lt;"&amp;F$1+1)+SUMIFS(movements!$H:$H,movements!$E:$E,$A28,movements!$D:$D,"RECEIPT",movements!$C:$C,"&lt;"&amp;F$1+1)-SUMIFS(movements!$H:$H,movements!$E:$E,$A28,movements!$D:$D,"ISSUE",movements!$C:$C,"&lt;"&amp;F$1+1)</f>
        <v>47</v>
      </c>
      <c r="G28">
        <f>SUMIFS(movements!$H:$H,movements!$E:$E,$A28,movements!$D:$D,"OPENING",movements!$C:$C,"&lt;"&amp;G$1+1)+SUMIFS(movements!$H:$H,movements!$E:$E,$A28,movements!$D:$D,"RECEIPT",movements!$C:$C,"&lt;"&amp;G$1+1)-SUMIFS(movements!$H:$H,movements!$E:$E,$A28,movements!$D:$D,"ISSUE",movements!$C:$C,"&lt;"&amp;G$1+1)</f>
        <v>46</v>
      </c>
      <c r="H28">
        <f>SUMIFS(movements!$H:$H,movements!$E:$E,$A28,movements!$D:$D,"OPENING",movements!$C:$C,"&lt;"&amp;H$1+1)+SUMIFS(movements!$H:$H,movements!$E:$E,$A28,movements!$D:$D,"RECEIPT",movements!$C:$C,"&lt;"&amp;H$1+1)-SUMIFS(movements!$H:$H,movements!$E:$E,$A28,movements!$D:$D,"ISSUE",movements!$C:$C,"&lt;"&amp;H$1+1)</f>
        <v>44</v>
      </c>
      <c r="I28">
        <f>SUMIFS(movements!$H:$H,movements!$E:$E,$A28,movements!$D:$D,"OPENING",movements!$C:$C,"&lt;"&amp;I$1+1)+SUMIFS(movements!$H:$H,movements!$E:$E,$A28,movements!$D:$D,"RECEIPT",movements!$C:$C,"&lt;"&amp;I$1+1)-SUMIFS(movements!$H:$H,movements!$E:$E,$A28,movements!$D:$D,"ISSUE",movements!$C:$C,"&lt;"&amp;I$1+1)</f>
        <v>116</v>
      </c>
      <c r="J28">
        <f>SUMIFS(movements!$H:$H,movements!$E:$E,$A28,movements!$D:$D,"OPENING",movements!$C:$C,"&lt;"&amp;J$1+1)+SUMIFS(movements!$H:$H,movements!$E:$E,$A28,movements!$D:$D,"RECEIPT",movements!$C:$C,"&lt;"&amp;J$1+1)-SUMIFS(movements!$H:$H,movements!$E:$E,$A28,movements!$D:$D,"ISSUE",movements!$C:$C,"&lt;"&amp;J$1+1)</f>
        <v>114</v>
      </c>
      <c r="K28">
        <f>SUMIFS(movements!$H:$H,movements!$E:$E,$A28,movements!$D:$D,"OPENING",movements!$C:$C,"&lt;"&amp;K$1+1)+SUMIFS(movements!$H:$H,movements!$E:$E,$A28,movements!$D:$D,"RECEIPT",movements!$C:$C,"&lt;"&amp;K$1+1)-SUMIFS(movements!$H:$H,movements!$E:$E,$A28,movements!$D:$D,"ISSUE",movements!$C:$C,"&lt;"&amp;K$1+1)</f>
        <v>110</v>
      </c>
      <c r="L28">
        <f>SUMIFS(movements!$H:$H,movements!$E:$E,$A28,movements!$D:$D,"OPENING",movements!$C:$C,"&lt;"&amp;L$1+1)+SUMIFS(movements!$H:$H,movements!$E:$E,$A28,movements!$D:$D,"RECEIPT",movements!$C:$C,"&lt;"&amp;L$1+1)-SUMIFS(movements!$H:$H,movements!$E:$E,$A28,movements!$D:$D,"ISSUE",movements!$C:$C,"&lt;"&amp;L$1+1)</f>
        <v>97</v>
      </c>
      <c r="M28">
        <f>SUMIFS(movements!$H:$H,movements!$E:$E,$A28,movements!$D:$D,"OPENING",movements!$C:$C,"&lt;"&amp;M$1+1)+SUMIFS(movements!$H:$H,movements!$E:$E,$A28,movements!$D:$D,"RECEIPT",movements!$C:$C,"&lt;"&amp;M$1+1)-SUMIFS(movements!$H:$H,movements!$E:$E,$A28,movements!$D:$D,"ISSUE",movements!$C:$C,"&lt;"&amp;M$1+1)</f>
        <v>95</v>
      </c>
      <c r="N28">
        <f>SUMIFS(movements!$H:$H,movements!$E:$E,$A28,movements!$D:$D,"OPENING",movements!$C:$C,"&lt;"&amp;N$1+1)+SUMIFS(movements!$H:$H,movements!$E:$E,$A28,movements!$D:$D,"RECEIPT",movements!$C:$C,"&lt;"&amp;N$1+1)-SUMIFS(movements!$H:$H,movements!$E:$E,$A28,movements!$D:$D,"ISSUE",movements!$C:$C,"&lt;"&amp;N$1+1)</f>
        <v>92</v>
      </c>
      <c r="O28">
        <f>SUMIFS(movements!$H:$H,movements!$E:$E,$A28,movements!$D:$D,"OPENING",movements!$C:$C,"&lt;"&amp;O$1+1)+SUMIFS(movements!$H:$H,movements!$E:$E,$A28,movements!$D:$D,"RECEIPT",movements!$C:$C,"&lt;"&amp;O$1+1)-SUMIFS(movements!$H:$H,movements!$E:$E,$A28,movements!$D:$D,"ISSUE",movements!$C:$C,"&lt;"&amp;O$1+1)</f>
        <v>91</v>
      </c>
      <c r="P28">
        <f>SUMIFS(movements!$H:$H,movements!$E:$E,$A28,movements!$D:$D,"OPENING",movements!$C:$C,"&lt;"&amp;P$1+1)+SUMIFS(movements!$H:$H,movements!$E:$E,$A28,movements!$D:$D,"RECEIPT",movements!$C:$C,"&lt;"&amp;P$1+1)-SUMIFS(movements!$H:$H,movements!$E:$E,$A28,movements!$D:$D,"ISSUE",movements!$C:$C,"&lt;"&amp;P$1+1)</f>
        <v>158</v>
      </c>
      <c r="Q28">
        <f>SUMIFS(movements!$H:$H,movements!$E:$E,$A28,movements!$D:$D,"OPENING",movements!$C:$C,"&lt;"&amp;Q$1+1)+SUMIFS(movements!$H:$H,movements!$E:$E,$A28,movements!$D:$D,"RECEIPT",movements!$C:$C,"&lt;"&amp;Q$1+1)-SUMIFS(movements!$H:$H,movements!$E:$E,$A28,movements!$D:$D,"ISSUE",movements!$C:$C,"&lt;"&amp;Q$1+1)</f>
        <v>157</v>
      </c>
      <c r="R28">
        <f>SUMIFS(movements!$H:$H,movements!$E:$E,$A28,movements!$D:$D,"OPENING",movements!$C:$C,"&lt;"&amp;R$1+1)+SUMIFS(movements!$H:$H,movements!$E:$E,$A28,movements!$D:$D,"RECEIPT",movements!$C:$C,"&lt;"&amp;R$1+1)-SUMIFS(movements!$H:$H,movements!$E:$E,$A28,movements!$D:$D,"ISSUE",movements!$C:$C,"&lt;"&amp;R$1+1)</f>
        <v>145</v>
      </c>
      <c r="S28">
        <f>SUMIFS(movements!$H:$H,movements!$E:$E,$A28,movements!$D:$D,"OPENING",movements!$C:$C,"&lt;"&amp;S$1+1)+SUMIFS(movements!$H:$H,movements!$E:$E,$A28,movements!$D:$D,"RECEIPT",movements!$C:$C,"&lt;"&amp;S$1+1)-SUMIFS(movements!$H:$H,movements!$E:$E,$A28,movements!$D:$D,"ISSUE",movements!$C:$C,"&lt;"&amp;S$1+1)</f>
        <v>137</v>
      </c>
      <c r="T28">
        <f>SUMIFS(movements!$H:$H,movements!$E:$E,$A28,movements!$D:$D,"OPENING",movements!$C:$C,"&lt;"&amp;T$1+1)+SUMIFS(movements!$H:$H,movements!$E:$E,$A28,movements!$D:$D,"RECEIPT",movements!$C:$C,"&lt;"&amp;T$1+1)-SUMIFS(movements!$H:$H,movements!$E:$E,$A28,movements!$D:$D,"ISSUE",movements!$C:$C,"&lt;"&amp;T$1+1)</f>
        <v>128</v>
      </c>
      <c r="U28">
        <f>SUMIFS(movements!$H:$H,movements!$E:$E,$A28,movements!$D:$D,"OPENING",movements!$C:$C,"&lt;"&amp;U$1+1)+SUMIFS(movements!$H:$H,movements!$E:$E,$A28,movements!$D:$D,"RECEIPT",movements!$C:$C,"&lt;"&amp;U$1+1)-SUMIFS(movements!$H:$H,movements!$E:$E,$A28,movements!$D:$D,"ISSUE",movements!$C:$C,"&lt;"&amp;U$1+1)</f>
        <v>123</v>
      </c>
      <c r="V28">
        <f>SUMIFS(movements!$H:$H,movements!$E:$E,$A28,movements!$D:$D,"OPENING",movements!$C:$C,"&lt;"&amp;V$1+1)+SUMIFS(movements!$H:$H,movements!$E:$E,$A28,movements!$D:$D,"RECEIPT",movements!$C:$C,"&lt;"&amp;V$1+1)-SUMIFS(movements!$H:$H,movements!$E:$E,$A28,movements!$D:$D,"ISSUE",movements!$C:$C,"&lt;"&amp;V$1+1)</f>
        <v>120</v>
      </c>
      <c r="W28">
        <f>SUMIFS(movements!$H:$H,movements!$E:$E,$A28,movements!$D:$D,"OPENING",movements!$C:$C,"&lt;"&amp;W$1+1)+SUMIFS(movements!$H:$H,movements!$E:$E,$A28,movements!$D:$D,"RECEIPT",movements!$C:$C,"&lt;"&amp;W$1+1)-SUMIFS(movements!$H:$H,movements!$E:$E,$A28,movements!$D:$D,"ISSUE",movements!$C:$C,"&lt;"&amp;W$1+1)</f>
        <v>111</v>
      </c>
      <c r="X28">
        <f>SUMIFS(movements!$H:$H,movements!$E:$E,$A28,movements!$D:$D,"OPENING",movements!$C:$C,"&lt;"&amp;X$1+1)+SUMIFS(movements!$H:$H,movements!$E:$E,$A28,movements!$D:$D,"RECEIPT",movements!$C:$C,"&lt;"&amp;X$1+1)-SUMIFS(movements!$H:$H,movements!$E:$E,$A28,movements!$D:$D,"ISSUE",movements!$C:$C,"&lt;"&amp;X$1+1)</f>
        <v>105</v>
      </c>
      <c r="Y28">
        <f>SUMIFS(movements!$H:$H,movements!$E:$E,$A28,movements!$D:$D,"OPENING",movements!$C:$C,"&lt;"&amp;Y$1+1)+SUMIFS(movements!$H:$H,movements!$E:$E,$A28,movements!$D:$D,"RECEIPT",movements!$C:$C,"&lt;"&amp;Y$1+1)-SUMIFS(movements!$H:$H,movements!$E:$E,$A28,movements!$D:$D,"ISSUE",movements!$C:$C,"&lt;"&amp;Y$1+1)</f>
        <v>104</v>
      </c>
      <c r="Z28">
        <f>SUMIFS(movements!$H:$H,movements!$E:$E,$A28,movements!$D:$D,"OPENING",movements!$C:$C,"&lt;"&amp;Z$1+1)+SUMIFS(movements!$H:$H,movements!$E:$E,$A28,movements!$D:$D,"RECEIPT",movements!$C:$C,"&lt;"&amp;Z$1+1)-SUMIFS(movements!$H:$H,movements!$E:$E,$A28,movements!$D:$D,"ISSUE",movements!$C:$C,"&lt;"&amp;Z$1+1)</f>
        <v>99</v>
      </c>
      <c r="AA28">
        <f>SUMIFS(movements!$H:$H,movements!$E:$E,$A28,movements!$D:$D,"OPENING",movements!$C:$C,"&lt;"&amp;AA$1+1)+SUMIFS(movements!$H:$H,movements!$E:$E,$A28,movements!$D:$D,"RECEIPT",movements!$C:$C,"&lt;"&amp;AA$1+1)-SUMIFS(movements!$H:$H,movements!$E:$E,$A28,movements!$D:$D,"ISSUE",movements!$C:$C,"&lt;"&amp;AA$1+1)</f>
        <v>94</v>
      </c>
      <c r="AB28">
        <f>SUMIFS(movements!$H:$H,movements!$E:$E,$A28,movements!$D:$D,"OPENING",movements!$C:$C,"&lt;"&amp;AB$1+1)+SUMIFS(movements!$H:$H,movements!$E:$E,$A28,movements!$D:$D,"RECEIPT",movements!$C:$C,"&lt;"&amp;AB$1+1)-SUMIFS(movements!$H:$H,movements!$E:$E,$A28,movements!$D:$D,"ISSUE",movements!$C:$C,"&lt;"&amp;AB$1+1)</f>
        <v>87</v>
      </c>
      <c r="AC28">
        <f>SUMIFS(movements!$H:$H,movements!$E:$E,$A28,movements!$D:$D,"OPENING",movements!$C:$C,"&lt;"&amp;AC$1+1)+SUMIFS(movements!$H:$H,movements!$E:$E,$A28,movements!$D:$D,"RECEIPT",movements!$C:$C,"&lt;"&amp;AC$1+1)-SUMIFS(movements!$H:$H,movements!$E:$E,$A28,movements!$D:$D,"ISSUE",movements!$C:$C,"&lt;"&amp;AC$1+1)</f>
        <v>80</v>
      </c>
      <c r="AD28">
        <f>SUMIFS(movements!$H:$H,movements!$E:$E,$A28,movements!$D:$D,"OPENING",movements!$C:$C,"&lt;"&amp;AD$1+1)+SUMIFS(movements!$H:$H,movements!$E:$E,$A28,movements!$D:$D,"RECEIPT",movements!$C:$C,"&lt;"&amp;AD$1+1)-SUMIFS(movements!$H:$H,movements!$E:$E,$A28,movements!$D:$D,"ISSUE",movements!$C:$C,"&lt;"&amp;AD$1+1)</f>
        <v>141</v>
      </c>
      <c r="AE28">
        <f>SUMIFS(movements!$H:$H,movements!$E:$E,$A28,movements!$D:$D,"OPENING",movements!$C:$C,"&lt;"&amp;AE$1+1)+SUMIFS(movements!$H:$H,movements!$E:$E,$A28,movements!$D:$D,"RECEIPT",movements!$C:$C,"&lt;"&amp;AE$1+1)-SUMIFS(movements!$H:$H,movements!$E:$E,$A28,movements!$D:$D,"ISSUE",movements!$C:$C,"&lt;"&amp;AE$1+1)</f>
        <v>140</v>
      </c>
      <c r="AF28">
        <f>SUMIFS(movements!$H:$H,movements!$E:$E,$A28,movements!$D:$D,"OPENING",movements!$C:$C,"&lt;"&amp;AF$1+1)+SUMIFS(movements!$H:$H,movements!$E:$E,$A28,movements!$D:$D,"RECEIPT",movements!$C:$C,"&lt;"&amp;AF$1+1)-SUMIFS(movements!$H:$H,movements!$E:$E,$A28,movements!$D:$D,"ISSUE",movements!$C:$C,"&lt;"&amp;AF$1+1)</f>
        <v>140</v>
      </c>
      <c r="AG28">
        <f>SUMIFS(movements!$H:$H,movements!$E:$E,$A28,movements!$D:$D,"OPENING",movements!$C:$C,"&lt;"&amp;AG$1+1)+SUMIFS(movements!$H:$H,movements!$E:$E,$A28,movements!$D:$D,"RECEIPT",movements!$C:$C,"&lt;"&amp;AG$1+1)-SUMIFS(movements!$H:$H,movements!$E:$E,$A28,movements!$D:$D,"ISSUE",movements!$C:$C,"&lt;"&amp;AG$1+1)</f>
        <v>131</v>
      </c>
      <c r="AH28">
        <f>SUMIFS(movements!$H:$H,movements!$E:$E,$A28,movements!$D:$D,"OPENING",movements!$C:$C,"&lt;"&amp;AH$1+1)+SUMIFS(movements!$H:$H,movements!$E:$E,$A28,movements!$D:$D,"RECEIPT",movements!$C:$C,"&lt;"&amp;AH$1+1)-SUMIFS(movements!$H:$H,movements!$E:$E,$A28,movements!$D:$D,"ISSUE",movements!$C:$C,"&lt;"&amp;AH$1+1)</f>
        <v>125</v>
      </c>
      <c r="AI28">
        <f>SUMIFS(movements!$H:$H,movements!$E:$E,$A28,movements!$D:$D,"OPENING",movements!$C:$C,"&lt;"&amp;AI$1+1)+SUMIFS(movements!$H:$H,movements!$E:$E,$A28,movements!$D:$D,"RECEIPT",movements!$C:$C,"&lt;"&amp;AI$1+1)-SUMIFS(movements!$H:$H,movements!$E:$E,$A28,movements!$D:$D,"ISSUE",movements!$C:$C,"&lt;"&amp;AI$1+1)</f>
        <v>122</v>
      </c>
      <c r="AJ28">
        <f>SUMIFS(movements!$H:$H,movements!$E:$E,$A28,movements!$D:$D,"OPENING",movements!$C:$C,"&lt;"&amp;AJ$1+1)+SUMIFS(movements!$H:$H,movements!$E:$E,$A28,movements!$D:$D,"RECEIPT",movements!$C:$C,"&lt;"&amp;AJ$1+1)-SUMIFS(movements!$H:$H,movements!$E:$E,$A28,movements!$D:$D,"ISSUE",movements!$C:$C,"&lt;"&amp;AJ$1+1)</f>
        <v>120</v>
      </c>
      <c r="AK28">
        <f>SUMIFS(movements!$H:$H,movements!$E:$E,$A28,movements!$D:$D,"OPENING",movements!$C:$C,"&lt;"&amp;AK$1+1)+SUMIFS(movements!$H:$H,movements!$E:$E,$A28,movements!$D:$D,"RECEIPT",movements!$C:$C,"&lt;"&amp;AK$1+1)-SUMIFS(movements!$H:$H,movements!$E:$E,$A28,movements!$D:$D,"ISSUE",movements!$C:$C,"&lt;"&amp;AK$1+1)</f>
        <v>115</v>
      </c>
      <c r="AL28">
        <f>SUMIFS(movements!$H:$H,movements!$E:$E,$A28,movements!$D:$D,"OPENING",movements!$C:$C,"&lt;"&amp;AL$1+1)+SUMIFS(movements!$H:$H,movements!$E:$E,$A28,movements!$D:$D,"RECEIPT",movements!$C:$C,"&lt;"&amp;AL$1+1)-SUMIFS(movements!$H:$H,movements!$E:$E,$A28,movements!$D:$D,"ISSUE",movements!$C:$C,"&lt;"&amp;AL$1+1)</f>
        <v>108</v>
      </c>
      <c r="AM28">
        <f>SUMIFS(movements!$H:$H,movements!$E:$E,$A28,movements!$D:$D,"OPENING",movements!$C:$C,"&lt;"&amp;AM$1+1)+SUMIFS(movements!$H:$H,movements!$E:$E,$A28,movements!$D:$D,"RECEIPT",movements!$C:$C,"&lt;"&amp;AM$1+1)-SUMIFS(movements!$H:$H,movements!$E:$E,$A28,movements!$D:$D,"ISSUE",movements!$C:$C,"&lt;"&amp;AM$1+1)</f>
        <v>95</v>
      </c>
      <c r="AN28">
        <f>SUMIFS(movements!$H:$H,movements!$E:$E,$A28,movements!$D:$D,"OPENING",movements!$C:$C,"&lt;"&amp;AN$1+1)+SUMIFS(movements!$H:$H,movements!$E:$E,$A28,movements!$D:$D,"RECEIPT",movements!$C:$C,"&lt;"&amp;AN$1+1)-SUMIFS(movements!$H:$H,movements!$E:$E,$A28,movements!$D:$D,"ISSUE",movements!$C:$C,"&lt;"&amp;AN$1+1)</f>
        <v>95</v>
      </c>
      <c r="AO28">
        <f>SUMIFS(movements!$H:$H,movements!$E:$E,$A28,movements!$D:$D,"OPENING",movements!$C:$C,"&lt;"&amp;AO$1+1)+SUMIFS(movements!$H:$H,movements!$E:$E,$A28,movements!$D:$D,"RECEIPT",movements!$C:$C,"&lt;"&amp;AO$1+1)-SUMIFS(movements!$H:$H,movements!$E:$E,$A28,movements!$D:$D,"ISSUE",movements!$C:$C,"&lt;"&amp;AO$1+1)</f>
        <v>89</v>
      </c>
      <c r="AP28">
        <f>SUMIFS(movements!$H:$H,movements!$E:$E,$A28,movements!$D:$D,"OPENING",movements!$C:$C,"&lt;"&amp;AP$1+1)+SUMIFS(movements!$H:$H,movements!$E:$E,$A28,movements!$D:$D,"RECEIPT",movements!$C:$C,"&lt;"&amp;AP$1+1)-SUMIFS(movements!$H:$H,movements!$E:$E,$A28,movements!$D:$D,"ISSUE",movements!$C:$C,"&lt;"&amp;AP$1+1)</f>
        <v>85</v>
      </c>
      <c r="AQ28">
        <f>SUMIFS(movements!$H:$H,movements!$E:$E,$A28,movements!$D:$D,"OPENING",movements!$C:$C,"&lt;"&amp;AQ$1+1)+SUMIFS(movements!$H:$H,movements!$E:$E,$A28,movements!$D:$D,"RECEIPT",movements!$C:$C,"&lt;"&amp;AQ$1+1)-SUMIFS(movements!$H:$H,movements!$E:$E,$A28,movements!$D:$D,"ISSUE",movements!$C:$C,"&lt;"&amp;AQ$1+1)</f>
        <v>76</v>
      </c>
      <c r="AR28">
        <f>SUMIFS(movements!$H:$H,movements!$E:$E,$A28,movements!$D:$D,"OPENING",movements!$C:$C,"&lt;"&amp;AR$1+1)+SUMIFS(movements!$H:$H,movements!$E:$E,$A28,movements!$D:$D,"RECEIPT",movements!$C:$C,"&lt;"&amp;AR$1+1)-SUMIFS(movements!$H:$H,movements!$E:$E,$A28,movements!$D:$D,"ISSUE",movements!$C:$C,"&lt;"&amp;AR$1+1)</f>
        <v>146</v>
      </c>
      <c r="AS28">
        <f>SUMIFS(movements!$H:$H,movements!$E:$E,$A28,movements!$D:$D,"OPENING",movements!$C:$C,"&lt;"&amp;AS$1+1)+SUMIFS(movements!$H:$H,movements!$E:$E,$A28,movements!$D:$D,"RECEIPT",movements!$C:$C,"&lt;"&amp;AS$1+1)-SUMIFS(movements!$H:$H,movements!$E:$E,$A28,movements!$D:$D,"ISSUE",movements!$C:$C,"&lt;"&amp;AS$1+1)</f>
        <v>146</v>
      </c>
      <c r="AT28">
        <f>SUMIFS(movements!$H:$H,movements!$E:$E,$A28,movements!$D:$D,"OPENING",movements!$C:$C,"&lt;"&amp;AT$1+1)+SUMIFS(movements!$H:$H,movements!$E:$E,$A28,movements!$D:$D,"RECEIPT",movements!$C:$C,"&lt;"&amp;AT$1+1)-SUMIFS(movements!$H:$H,movements!$E:$E,$A28,movements!$D:$D,"ISSUE",movements!$C:$C,"&lt;"&amp;AT$1+1)</f>
        <v>139</v>
      </c>
      <c r="AU28">
        <f>SUMIFS(movements!$H:$H,movements!$E:$E,$A28,movements!$D:$D,"OPENING",movements!$C:$C,"&lt;"&amp;AU$1+1)+SUMIFS(movements!$H:$H,movements!$E:$E,$A28,movements!$D:$D,"RECEIPT",movements!$C:$C,"&lt;"&amp;AU$1+1)-SUMIFS(movements!$H:$H,movements!$E:$E,$A28,movements!$D:$D,"ISSUE",movements!$C:$C,"&lt;"&amp;AU$1+1)</f>
        <v>131</v>
      </c>
      <c r="AV28">
        <f>SUMIFS(movements!$H:$H,movements!$E:$E,$A28,movements!$D:$D,"OPENING",movements!$C:$C,"&lt;"&amp;AV$1+1)+SUMIFS(movements!$H:$H,movements!$E:$E,$A28,movements!$D:$D,"RECEIPT",movements!$C:$C,"&lt;"&amp;AV$1+1)-SUMIFS(movements!$H:$H,movements!$E:$E,$A28,movements!$D:$D,"ISSUE",movements!$C:$C,"&lt;"&amp;AV$1+1)</f>
        <v>116</v>
      </c>
      <c r="AW28">
        <f>SUMIFS(movements!$H:$H,movements!$E:$E,$A28,movements!$D:$D,"OPENING",movements!$C:$C,"&lt;"&amp;AW$1+1)+SUMIFS(movements!$H:$H,movements!$E:$E,$A28,movements!$D:$D,"RECEIPT",movements!$C:$C,"&lt;"&amp;AW$1+1)-SUMIFS(movements!$H:$H,movements!$E:$E,$A28,movements!$D:$D,"ISSUE",movements!$C:$C,"&lt;"&amp;AW$1+1)</f>
        <v>112</v>
      </c>
      <c r="AX28">
        <f>SUMIFS(movements!$H:$H,movements!$E:$E,$A28,movements!$D:$D,"OPENING",movements!$C:$C,"&lt;"&amp;AX$1+1)+SUMIFS(movements!$H:$H,movements!$E:$E,$A28,movements!$D:$D,"RECEIPT",movements!$C:$C,"&lt;"&amp;AX$1+1)-SUMIFS(movements!$H:$H,movements!$E:$E,$A28,movements!$D:$D,"ISSUE",movements!$C:$C,"&lt;"&amp;AX$1+1)</f>
        <v>101</v>
      </c>
      <c r="AY28">
        <f>SUMIFS(movements!$H:$H,movements!$E:$E,$A28,movements!$D:$D,"OPENING",movements!$C:$C,"&lt;"&amp;AY$1+1)+SUMIFS(movements!$H:$H,movements!$E:$E,$A28,movements!$D:$D,"RECEIPT",movements!$C:$C,"&lt;"&amp;AY$1+1)-SUMIFS(movements!$H:$H,movements!$E:$E,$A28,movements!$D:$D,"ISSUE",movements!$C:$C,"&lt;"&amp;AY$1+1)</f>
        <v>173</v>
      </c>
      <c r="AZ28">
        <f>SUMIFS(movements!$H:$H,movements!$E:$E,$A28,movements!$D:$D,"OPENING",movements!$C:$C,"&lt;"&amp;AZ$1+1)+SUMIFS(movements!$H:$H,movements!$E:$E,$A28,movements!$D:$D,"RECEIPT",movements!$C:$C,"&lt;"&amp;AZ$1+1)-SUMIFS(movements!$H:$H,movements!$E:$E,$A28,movements!$D:$D,"ISSUE",movements!$C:$C,"&lt;"&amp;AZ$1+1)</f>
        <v>170</v>
      </c>
      <c r="BA28">
        <f>SUMIFS(movements!$H:$H,movements!$E:$E,$A28,movements!$D:$D,"OPENING",movements!$C:$C,"&lt;"&amp;BA$1+1)+SUMIFS(movements!$H:$H,movements!$E:$E,$A28,movements!$D:$D,"RECEIPT",movements!$C:$C,"&lt;"&amp;BA$1+1)-SUMIFS(movements!$H:$H,movements!$E:$E,$A28,movements!$D:$D,"ISSUE",movements!$C:$C,"&lt;"&amp;BA$1+1)</f>
        <v>166</v>
      </c>
      <c r="BB28">
        <f>SUMIFS(movements!$H:$H,movements!$E:$E,$A28,movements!$D:$D,"OPENING",movements!$C:$C,"&lt;"&amp;BB$1+1)+SUMIFS(movements!$H:$H,movements!$E:$E,$A28,movements!$D:$D,"RECEIPT",movements!$C:$C,"&lt;"&amp;BB$1+1)-SUMIFS(movements!$H:$H,movements!$E:$E,$A28,movements!$D:$D,"ISSUE",movements!$C:$C,"&lt;"&amp;BB$1+1)</f>
        <v>166</v>
      </c>
      <c r="BC28">
        <f>SUMIFS(movements!$H:$H,movements!$E:$E,$A28,movements!$D:$D,"OPENING",movements!$C:$C,"&lt;"&amp;BC$1+1)+SUMIFS(movements!$H:$H,movements!$E:$E,$A28,movements!$D:$D,"RECEIPT",movements!$C:$C,"&lt;"&amp;BC$1+1)-SUMIFS(movements!$H:$H,movements!$E:$E,$A28,movements!$D:$D,"ISSUE",movements!$C:$C,"&lt;"&amp;BC$1+1)</f>
        <v>166</v>
      </c>
      <c r="BD28">
        <f>SUMIFS(movements!$H:$H,movements!$E:$E,$A28,movements!$D:$D,"OPENING",movements!$C:$C,"&lt;"&amp;BD$1+1)+SUMIFS(movements!$H:$H,movements!$E:$E,$A28,movements!$D:$D,"RECEIPT",movements!$C:$C,"&lt;"&amp;BD$1+1)-SUMIFS(movements!$H:$H,movements!$E:$E,$A28,movements!$D:$D,"ISSUE",movements!$C:$C,"&lt;"&amp;BD$1+1)</f>
        <v>166</v>
      </c>
      <c r="BE28">
        <f>SUMIFS(movements!$H:$H,movements!$E:$E,$A28,movements!$D:$D,"OPENING",movements!$C:$C,"&lt;"&amp;BE$1+1)+SUMIFS(movements!$H:$H,movements!$E:$E,$A28,movements!$D:$D,"RECEIPT",movements!$C:$C,"&lt;"&amp;BE$1+1)-SUMIFS(movements!$H:$H,movements!$E:$E,$A28,movements!$D:$D,"ISSUE",movements!$C:$C,"&lt;"&amp;BE$1+1)</f>
        <v>164</v>
      </c>
      <c r="BF28">
        <f>SUMIFS(movements!$H:$H,movements!$E:$E,$A28,movements!$D:$D,"OPENING",movements!$C:$C,"&lt;"&amp;BF$1+1)+SUMIFS(movements!$H:$H,movements!$E:$E,$A28,movements!$D:$D,"RECEIPT",movements!$C:$C,"&lt;"&amp;BF$1+1)-SUMIFS(movements!$H:$H,movements!$E:$E,$A28,movements!$D:$D,"ISSUE",movements!$C:$C,"&lt;"&amp;BF$1+1)</f>
        <v>151</v>
      </c>
      <c r="BG28">
        <f>SUMIFS(movements!$H:$H,movements!$E:$E,$A28,movements!$D:$D,"OPENING",movements!$C:$C,"&lt;"&amp;BG$1+1)+SUMIFS(movements!$H:$H,movements!$E:$E,$A28,movements!$D:$D,"RECEIPT",movements!$C:$C,"&lt;"&amp;BG$1+1)-SUMIFS(movements!$H:$H,movements!$E:$E,$A28,movements!$D:$D,"ISSUE",movements!$C:$C,"&lt;"&amp;BG$1+1)</f>
        <v>150</v>
      </c>
      <c r="BH28">
        <f>SUMIFS(movements!$H:$H,movements!$E:$E,$A28,movements!$D:$D,"OPENING",movements!$C:$C,"&lt;"&amp;BH$1+1)+SUMIFS(movements!$H:$H,movements!$E:$E,$A28,movements!$D:$D,"RECEIPT",movements!$C:$C,"&lt;"&amp;BH$1+1)-SUMIFS(movements!$H:$H,movements!$E:$E,$A28,movements!$D:$D,"ISSUE",movements!$C:$C,"&lt;"&amp;BH$1+1)</f>
        <v>149</v>
      </c>
      <c r="BI28">
        <f>SUMIFS(movements!$H:$H,movements!$E:$E,$A28,movements!$D:$D,"OPENING",movements!$C:$C,"&lt;"&amp;BI$1+1)+SUMIFS(movements!$H:$H,movements!$E:$E,$A28,movements!$D:$D,"RECEIPT",movements!$C:$C,"&lt;"&amp;BI$1+1)-SUMIFS(movements!$H:$H,movements!$E:$E,$A28,movements!$D:$D,"ISSUE",movements!$C:$C,"&lt;"&amp;BI$1+1)</f>
        <v>148</v>
      </c>
      <c r="BJ28">
        <f>SUMIFS(movements!$H:$H,movements!$E:$E,$A28,movements!$D:$D,"OPENING",movements!$C:$C,"&lt;"&amp;BJ$1+1)+SUMIFS(movements!$H:$H,movements!$E:$E,$A28,movements!$D:$D,"RECEIPT",movements!$C:$C,"&lt;"&amp;BJ$1+1)-SUMIFS(movements!$H:$H,movements!$E:$E,$A28,movements!$D:$D,"ISSUE",movements!$C:$C,"&lt;"&amp;BJ$1+1)</f>
        <v>144</v>
      </c>
      <c r="BK28">
        <f>SUMIFS(movements!$H:$H,movements!$E:$E,$A28,movements!$D:$D,"OPENING",movements!$C:$C,"&lt;"&amp;BK$1+1)+SUMIFS(movements!$H:$H,movements!$E:$E,$A28,movements!$D:$D,"RECEIPT",movements!$C:$C,"&lt;"&amp;BK$1+1)-SUMIFS(movements!$H:$H,movements!$E:$E,$A28,movements!$D:$D,"ISSUE",movements!$C:$C,"&lt;"&amp;BK$1+1)</f>
        <v>137</v>
      </c>
      <c r="BL28">
        <f>SUMIFS(movements!$H:$H,movements!$E:$E,$A28,movements!$D:$D,"OPENING",movements!$C:$C,"&lt;"&amp;BL$1+1)+SUMIFS(movements!$H:$H,movements!$E:$E,$A28,movements!$D:$D,"RECEIPT",movements!$C:$C,"&lt;"&amp;BL$1+1)-SUMIFS(movements!$H:$H,movements!$E:$E,$A28,movements!$D:$D,"ISSUE",movements!$C:$C,"&lt;"&amp;BL$1+1)</f>
        <v>136</v>
      </c>
      <c r="BM28">
        <f>SUMIFS(movements!$H:$H,movements!$E:$E,$A28,movements!$D:$D,"OPENING",movements!$C:$C,"&lt;"&amp;BM$1+1)+SUMIFS(movements!$H:$H,movements!$E:$E,$A28,movements!$D:$D,"RECEIPT",movements!$C:$C,"&lt;"&amp;BM$1+1)-SUMIFS(movements!$H:$H,movements!$E:$E,$A28,movements!$D:$D,"ISSUE",movements!$C:$C,"&lt;"&amp;BM$1+1)</f>
        <v>133</v>
      </c>
      <c r="BN28">
        <f>SUMIFS(movements!$H:$H,movements!$E:$E,$A28,movements!$D:$D,"OPENING",movements!$C:$C,"&lt;"&amp;BN$1+1)+SUMIFS(movements!$H:$H,movements!$E:$E,$A28,movements!$D:$D,"RECEIPT",movements!$C:$C,"&lt;"&amp;BN$1+1)-SUMIFS(movements!$H:$H,movements!$E:$E,$A28,movements!$D:$D,"ISSUE",movements!$C:$C,"&lt;"&amp;BN$1+1)</f>
        <v>127</v>
      </c>
      <c r="BO28">
        <f>SUMIFS(movements!$H:$H,movements!$E:$E,$A28,movements!$D:$D,"OPENING",movements!$C:$C,"&lt;"&amp;BO$1+1)+SUMIFS(movements!$H:$H,movements!$E:$E,$A28,movements!$D:$D,"RECEIPT",movements!$C:$C,"&lt;"&amp;BO$1+1)-SUMIFS(movements!$H:$H,movements!$E:$E,$A28,movements!$D:$D,"ISSUE",movements!$C:$C,"&lt;"&amp;BO$1+1)</f>
        <v>119</v>
      </c>
      <c r="BP28">
        <f>SUMIFS(movements!$H:$H,movements!$E:$E,$A28,movements!$D:$D,"OPENING",movements!$C:$C,"&lt;"&amp;BP$1+1)+SUMIFS(movements!$H:$H,movements!$E:$E,$A28,movements!$D:$D,"RECEIPT",movements!$C:$C,"&lt;"&amp;BP$1+1)-SUMIFS(movements!$H:$H,movements!$E:$E,$A28,movements!$D:$D,"ISSUE",movements!$C:$C,"&lt;"&amp;BP$1+1)</f>
        <v>113</v>
      </c>
      <c r="BQ28">
        <f>SUMIFS(movements!$H:$H,movements!$E:$E,$A28,movements!$D:$D,"OPENING",movements!$C:$C,"&lt;"&amp;BQ$1+1)+SUMIFS(movements!$H:$H,movements!$E:$E,$A28,movements!$D:$D,"RECEIPT",movements!$C:$C,"&lt;"&amp;BQ$1+1)-SUMIFS(movements!$H:$H,movements!$E:$E,$A28,movements!$D:$D,"ISSUE",movements!$C:$C,"&lt;"&amp;BQ$1+1)</f>
        <v>113</v>
      </c>
      <c r="BR28">
        <f>SUMIFS(movements!$H:$H,movements!$E:$E,$A28,movements!$D:$D,"OPENING",movements!$C:$C,"&lt;"&amp;BR$1+1)+SUMIFS(movements!$H:$H,movements!$E:$E,$A28,movements!$D:$D,"RECEIPT",movements!$C:$C,"&lt;"&amp;BR$1+1)-SUMIFS(movements!$H:$H,movements!$E:$E,$A28,movements!$D:$D,"ISSUE",movements!$C:$C,"&lt;"&amp;BR$1+1)</f>
        <v>107</v>
      </c>
      <c r="BS28">
        <f>SUMIFS(movements!$H:$H,movements!$E:$E,$A28,movements!$D:$D,"OPENING",movements!$C:$C,"&lt;"&amp;BS$1+1)+SUMIFS(movements!$H:$H,movements!$E:$E,$A28,movements!$D:$D,"RECEIPT",movements!$C:$C,"&lt;"&amp;BS$1+1)-SUMIFS(movements!$H:$H,movements!$E:$E,$A28,movements!$D:$D,"ISSUE",movements!$C:$C,"&lt;"&amp;BS$1+1)</f>
        <v>96</v>
      </c>
      <c r="BT28">
        <f>SUMIFS(movements!$H:$H,movements!$E:$E,$A28,movements!$D:$D,"OPENING",movements!$C:$C,"&lt;"&amp;BT$1+1)+SUMIFS(movements!$H:$H,movements!$E:$E,$A28,movements!$D:$D,"RECEIPT",movements!$C:$C,"&lt;"&amp;BT$1+1)-SUMIFS(movements!$H:$H,movements!$E:$E,$A28,movements!$D:$D,"ISSUE",movements!$C:$C,"&lt;"&amp;BT$1+1)</f>
        <v>171</v>
      </c>
      <c r="BU28">
        <f>SUMIFS(movements!$H:$H,movements!$E:$E,$A28,movements!$D:$D,"OPENING",movements!$C:$C,"&lt;"&amp;BU$1+1)+SUMIFS(movements!$H:$H,movements!$E:$E,$A28,movements!$D:$D,"RECEIPT",movements!$C:$C,"&lt;"&amp;BU$1+1)-SUMIFS(movements!$H:$H,movements!$E:$E,$A28,movements!$D:$D,"ISSUE",movements!$C:$C,"&lt;"&amp;BU$1+1)</f>
        <v>167</v>
      </c>
      <c r="BV28">
        <f>SUMIFS(movements!$H:$H,movements!$E:$E,$A28,movements!$D:$D,"OPENING",movements!$C:$C,"&lt;"&amp;BV$1+1)+SUMIFS(movements!$H:$H,movements!$E:$E,$A28,movements!$D:$D,"RECEIPT",movements!$C:$C,"&lt;"&amp;BV$1+1)-SUMIFS(movements!$H:$H,movements!$E:$E,$A28,movements!$D:$D,"ISSUE",movements!$C:$C,"&lt;"&amp;BV$1+1)</f>
        <v>159</v>
      </c>
      <c r="BW28">
        <f>SUMIFS(movements!$H:$H,movements!$E:$E,$A28,movements!$D:$D,"OPENING",movements!$C:$C,"&lt;"&amp;BW$1+1)+SUMIFS(movements!$H:$H,movements!$E:$E,$A28,movements!$D:$D,"RECEIPT",movements!$C:$C,"&lt;"&amp;BW$1+1)-SUMIFS(movements!$H:$H,movements!$E:$E,$A28,movements!$D:$D,"ISSUE",movements!$C:$C,"&lt;"&amp;BW$1+1)</f>
        <v>158</v>
      </c>
      <c r="BX28">
        <f>SUMIFS(movements!$H:$H,movements!$E:$E,$A28,movements!$D:$D,"OPENING",movements!$C:$C,"&lt;"&amp;BX$1+1)+SUMIFS(movements!$H:$H,movements!$E:$E,$A28,movements!$D:$D,"RECEIPT",movements!$C:$C,"&lt;"&amp;BX$1+1)-SUMIFS(movements!$H:$H,movements!$E:$E,$A28,movements!$D:$D,"ISSUE",movements!$C:$C,"&lt;"&amp;BX$1+1)</f>
        <v>157</v>
      </c>
      <c r="BY28">
        <f>SUMIFS(movements!$H:$H,movements!$E:$E,$A28,movements!$D:$D,"OPENING",movements!$C:$C,"&lt;"&amp;BY$1+1)+SUMIFS(movements!$H:$H,movements!$E:$E,$A28,movements!$D:$D,"RECEIPT",movements!$C:$C,"&lt;"&amp;BY$1+1)-SUMIFS(movements!$H:$H,movements!$E:$E,$A28,movements!$D:$D,"ISSUE",movements!$C:$C,"&lt;"&amp;BY$1+1)</f>
        <v>151</v>
      </c>
      <c r="BZ28">
        <f>SUMIFS(movements!$H:$H,movements!$E:$E,$A28,movements!$D:$D,"OPENING",movements!$C:$C,"&lt;"&amp;BZ$1+1)+SUMIFS(movements!$H:$H,movements!$E:$E,$A28,movements!$D:$D,"RECEIPT",movements!$C:$C,"&lt;"&amp;BZ$1+1)-SUMIFS(movements!$H:$H,movements!$E:$E,$A28,movements!$D:$D,"ISSUE",movements!$C:$C,"&lt;"&amp;BZ$1+1)</f>
        <v>151</v>
      </c>
      <c r="CA28">
        <f>SUMIFS(movements!$H:$H,movements!$E:$E,$A28,movements!$D:$D,"OPENING",movements!$C:$C,"&lt;"&amp;CA$1+1)+SUMIFS(movements!$H:$H,movements!$E:$E,$A28,movements!$D:$D,"RECEIPT",movements!$C:$C,"&lt;"&amp;CA$1+1)-SUMIFS(movements!$H:$H,movements!$E:$E,$A28,movements!$D:$D,"ISSUE",movements!$C:$C,"&lt;"&amp;CA$1+1)</f>
        <v>150</v>
      </c>
      <c r="CB28">
        <f>SUMIFS(movements!$H:$H,movements!$E:$E,$A28,movements!$D:$D,"OPENING",movements!$C:$C,"&lt;"&amp;CB$1+1)+SUMIFS(movements!$H:$H,movements!$E:$E,$A28,movements!$D:$D,"RECEIPT",movements!$C:$C,"&lt;"&amp;CB$1+1)-SUMIFS(movements!$H:$H,movements!$E:$E,$A28,movements!$D:$D,"ISSUE",movements!$C:$C,"&lt;"&amp;CB$1+1)</f>
        <v>143</v>
      </c>
      <c r="CC28">
        <f>SUMIFS(movements!$H:$H,movements!$E:$E,$A28,movements!$D:$D,"OPENING",movements!$C:$C,"&lt;"&amp;CC$1+1)+SUMIFS(movements!$H:$H,movements!$E:$E,$A28,movements!$D:$D,"RECEIPT",movements!$C:$C,"&lt;"&amp;CC$1+1)-SUMIFS(movements!$H:$H,movements!$E:$E,$A28,movements!$D:$D,"ISSUE",movements!$C:$C,"&lt;"&amp;CC$1+1)</f>
        <v>143</v>
      </c>
      <c r="CD28">
        <f>SUMIFS(movements!$H:$H,movements!$E:$E,$A28,movements!$D:$D,"OPENING",movements!$C:$C,"&lt;"&amp;CD$1+1)+SUMIFS(movements!$H:$H,movements!$E:$E,$A28,movements!$D:$D,"RECEIPT",movements!$C:$C,"&lt;"&amp;CD$1+1)-SUMIFS(movements!$H:$H,movements!$E:$E,$A28,movements!$D:$D,"ISSUE",movements!$C:$C,"&lt;"&amp;CD$1+1)</f>
        <v>129</v>
      </c>
      <c r="CE28">
        <f>SUMIFS(movements!$H:$H,movements!$E:$E,$A28,movements!$D:$D,"OPENING",movements!$C:$C,"&lt;"&amp;CE$1+1)+SUMIFS(movements!$H:$H,movements!$E:$E,$A28,movements!$D:$D,"RECEIPT",movements!$C:$C,"&lt;"&amp;CE$1+1)-SUMIFS(movements!$H:$H,movements!$E:$E,$A28,movements!$D:$D,"ISSUE",movements!$C:$C,"&lt;"&amp;CE$1+1)</f>
        <v>124</v>
      </c>
      <c r="CF28">
        <f>SUMIFS(movements!$H:$H,movements!$E:$E,$A28,movements!$D:$D,"OPENING",movements!$C:$C,"&lt;"&amp;CF$1+1)+SUMIFS(movements!$H:$H,movements!$E:$E,$A28,movements!$D:$D,"RECEIPT",movements!$C:$C,"&lt;"&amp;CF$1+1)-SUMIFS(movements!$H:$H,movements!$E:$E,$A28,movements!$D:$D,"ISSUE",movements!$C:$C,"&lt;"&amp;CF$1+1)</f>
        <v>111</v>
      </c>
      <c r="CG28">
        <f>SUMIFS(movements!$H:$H,movements!$E:$E,$A28,movements!$D:$D,"OPENING",movements!$C:$C,"&lt;"&amp;CG$1+1)+SUMIFS(movements!$H:$H,movements!$E:$E,$A28,movements!$D:$D,"RECEIPT",movements!$C:$C,"&lt;"&amp;CG$1+1)-SUMIFS(movements!$H:$H,movements!$E:$E,$A28,movements!$D:$D,"ISSUE",movements!$C:$C,"&lt;"&amp;CG$1+1)</f>
        <v>102</v>
      </c>
      <c r="CH28">
        <f>SUMIFS(movements!$H:$H,movements!$E:$E,$A28,movements!$D:$D,"OPENING",movements!$C:$C,"&lt;"&amp;CH$1+1)+SUMIFS(movements!$H:$H,movements!$E:$E,$A28,movements!$D:$D,"RECEIPT",movements!$C:$C,"&lt;"&amp;CH$1+1)-SUMIFS(movements!$H:$H,movements!$E:$E,$A28,movements!$D:$D,"ISSUE",movements!$C:$C,"&lt;"&amp;CH$1+1)</f>
        <v>171</v>
      </c>
      <c r="CI28">
        <f>SUMIFS(movements!$H:$H,movements!$E:$E,$A28,movements!$D:$D,"OPENING",movements!$C:$C,"&lt;"&amp;CI$1+1)+SUMIFS(movements!$H:$H,movements!$E:$E,$A28,movements!$D:$D,"RECEIPT",movements!$C:$C,"&lt;"&amp;CI$1+1)-SUMIFS(movements!$H:$H,movements!$E:$E,$A28,movements!$D:$D,"ISSUE",movements!$C:$C,"&lt;"&amp;CI$1+1)</f>
        <v>167</v>
      </c>
      <c r="CJ28">
        <f>SUMIFS(movements!$H:$H,movements!$E:$E,$A28,movements!$D:$D,"OPENING",movements!$C:$C,"&lt;"&amp;CJ$1+1)+SUMIFS(movements!$H:$H,movements!$E:$E,$A28,movements!$D:$D,"RECEIPT",movements!$C:$C,"&lt;"&amp;CJ$1+1)-SUMIFS(movements!$H:$H,movements!$E:$E,$A28,movements!$D:$D,"ISSUE",movements!$C:$C,"&lt;"&amp;CJ$1+1)</f>
        <v>155</v>
      </c>
      <c r="CK28">
        <f>SUMIFS(movements!$H:$H,movements!$E:$E,$A28,movements!$D:$D,"OPENING",movements!$C:$C,"&lt;"&amp;CK$1+1)+SUMIFS(movements!$H:$H,movements!$E:$E,$A28,movements!$D:$D,"RECEIPT",movements!$C:$C,"&lt;"&amp;CK$1+1)-SUMIFS(movements!$H:$H,movements!$E:$E,$A28,movements!$D:$D,"ISSUE",movements!$C:$C,"&lt;"&amp;CK$1+1)</f>
        <v>150</v>
      </c>
      <c r="CL28">
        <f>SUMIFS(movements!$H:$H,movements!$E:$E,$A28,movements!$D:$D,"OPENING",movements!$C:$C,"&lt;"&amp;CL$1+1)+SUMIFS(movements!$H:$H,movements!$E:$E,$A28,movements!$D:$D,"RECEIPT",movements!$C:$C,"&lt;"&amp;CL$1+1)-SUMIFS(movements!$H:$H,movements!$E:$E,$A28,movements!$D:$D,"ISSUE",movements!$C:$C,"&lt;"&amp;CL$1+1)</f>
        <v>148</v>
      </c>
      <c r="CM28">
        <f>SUMIFS(movements!$H:$H,movements!$E:$E,$A28,movements!$D:$D,"OPENING",movements!$C:$C,"&lt;"&amp;CM$1+1)+SUMIFS(movements!$H:$H,movements!$E:$E,$A28,movements!$D:$D,"RECEIPT",movements!$C:$C,"&lt;"&amp;CM$1+1)-SUMIFS(movements!$H:$H,movements!$E:$E,$A28,movements!$D:$D,"ISSUE",movements!$C:$C,"&lt;"&amp;CM$1+1)</f>
        <v>146</v>
      </c>
      <c r="CN28">
        <f t="shared" si="2"/>
        <v>124.16666666666667</v>
      </c>
      <c r="CO28">
        <f>SUMIFS(movements!$H:$H,movements!$E:$E,$A28,movements!$D:$D,"ISSUE",movements!$C:$C,"&gt;="&amp;$B$1,movements!$C:$C,"&lt;"&amp;($CM$1+1))</f>
        <v>436</v>
      </c>
      <c r="CP28">
        <f t="shared" si="3"/>
        <v>3.5114093959731543</v>
      </c>
      <c r="CQ28">
        <f t="shared" si="4"/>
        <v>25.63073394495413</v>
      </c>
    </row>
    <row r="29" spans="1:95" x14ac:dyDescent="0.25">
      <c r="A29" t="s">
        <v>77</v>
      </c>
      <c r="B29">
        <f>SUMIFS(movements!$H:$H,movements!$E:$E,$A29,movements!$D:$D,"OPENING",movements!$C:$C,"&lt;"&amp;B$1+1)+SUMIFS(movements!$H:$H,movements!$E:$E,$A29,movements!$D:$D,"RECEIPT",movements!$C:$C,"&lt;"&amp;B$1+1)-SUMIFS(movements!$H:$H,movements!$E:$E,$A29,movements!$D:$D,"ISSUE",movements!$C:$C,"&lt;"&amp;B$1+1)</f>
        <v>77</v>
      </c>
      <c r="C29">
        <f>SUMIFS(movements!$H:$H,movements!$E:$E,$A29,movements!$D:$D,"OPENING",movements!$C:$C,"&lt;"&amp;C$1+1)+SUMIFS(movements!$H:$H,movements!$E:$E,$A29,movements!$D:$D,"RECEIPT",movements!$C:$C,"&lt;"&amp;C$1+1)-SUMIFS(movements!$H:$H,movements!$E:$E,$A29,movements!$D:$D,"ISSUE",movements!$C:$C,"&lt;"&amp;C$1+1)</f>
        <v>69</v>
      </c>
      <c r="D29">
        <f>SUMIFS(movements!$H:$H,movements!$E:$E,$A29,movements!$D:$D,"OPENING",movements!$C:$C,"&lt;"&amp;D$1+1)+SUMIFS(movements!$H:$H,movements!$E:$E,$A29,movements!$D:$D,"RECEIPT",movements!$C:$C,"&lt;"&amp;D$1+1)-SUMIFS(movements!$H:$H,movements!$E:$E,$A29,movements!$D:$D,"ISSUE",movements!$C:$C,"&lt;"&amp;D$1+1)</f>
        <v>61</v>
      </c>
      <c r="E29">
        <f>SUMIFS(movements!$H:$H,movements!$E:$E,$A29,movements!$D:$D,"OPENING",movements!$C:$C,"&lt;"&amp;E$1+1)+SUMIFS(movements!$H:$H,movements!$E:$E,$A29,movements!$D:$D,"RECEIPT",movements!$C:$C,"&lt;"&amp;E$1+1)-SUMIFS(movements!$H:$H,movements!$E:$E,$A29,movements!$D:$D,"ISSUE",movements!$C:$C,"&lt;"&amp;E$1+1)</f>
        <v>59</v>
      </c>
      <c r="F29">
        <f>SUMIFS(movements!$H:$H,movements!$E:$E,$A29,movements!$D:$D,"OPENING",movements!$C:$C,"&lt;"&amp;F$1+1)+SUMIFS(movements!$H:$H,movements!$E:$E,$A29,movements!$D:$D,"RECEIPT",movements!$C:$C,"&lt;"&amp;F$1+1)-SUMIFS(movements!$H:$H,movements!$E:$E,$A29,movements!$D:$D,"ISSUE",movements!$C:$C,"&lt;"&amp;F$1+1)</f>
        <v>48</v>
      </c>
      <c r="G29">
        <f>SUMIFS(movements!$H:$H,movements!$E:$E,$A29,movements!$D:$D,"OPENING",movements!$C:$C,"&lt;"&amp;G$1+1)+SUMIFS(movements!$H:$H,movements!$E:$E,$A29,movements!$D:$D,"RECEIPT",movements!$C:$C,"&lt;"&amp;G$1+1)-SUMIFS(movements!$H:$H,movements!$E:$E,$A29,movements!$D:$D,"ISSUE",movements!$C:$C,"&lt;"&amp;G$1+1)</f>
        <v>48</v>
      </c>
      <c r="H29">
        <f>SUMIFS(movements!$H:$H,movements!$E:$E,$A29,movements!$D:$D,"OPENING",movements!$C:$C,"&lt;"&amp;H$1+1)+SUMIFS(movements!$H:$H,movements!$E:$E,$A29,movements!$D:$D,"RECEIPT",movements!$C:$C,"&lt;"&amp;H$1+1)-SUMIFS(movements!$H:$H,movements!$E:$E,$A29,movements!$D:$D,"ISSUE",movements!$C:$C,"&lt;"&amp;H$1+1)</f>
        <v>42</v>
      </c>
      <c r="I29">
        <f>SUMIFS(movements!$H:$H,movements!$E:$E,$A29,movements!$D:$D,"OPENING",movements!$C:$C,"&lt;"&amp;I$1+1)+SUMIFS(movements!$H:$H,movements!$E:$E,$A29,movements!$D:$D,"RECEIPT",movements!$C:$C,"&lt;"&amp;I$1+1)-SUMIFS(movements!$H:$H,movements!$E:$E,$A29,movements!$D:$D,"ISSUE",movements!$C:$C,"&lt;"&amp;I$1+1)</f>
        <v>111</v>
      </c>
      <c r="J29">
        <f>SUMIFS(movements!$H:$H,movements!$E:$E,$A29,movements!$D:$D,"OPENING",movements!$C:$C,"&lt;"&amp;J$1+1)+SUMIFS(movements!$H:$H,movements!$E:$E,$A29,movements!$D:$D,"RECEIPT",movements!$C:$C,"&lt;"&amp;J$1+1)-SUMIFS(movements!$H:$H,movements!$E:$E,$A29,movements!$D:$D,"ISSUE",movements!$C:$C,"&lt;"&amp;J$1+1)</f>
        <v>111</v>
      </c>
      <c r="K29">
        <f>SUMIFS(movements!$H:$H,movements!$E:$E,$A29,movements!$D:$D,"OPENING",movements!$C:$C,"&lt;"&amp;K$1+1)+SUMIFS(movements!$H:$H,movements!$E:$E,$A29,movements!$D:$D,"RECEIPT",movements!$C:$C,"&lt;"&amp;K$1+1)-SUMIFS(movements!$H:$H,movements!$E:$E,$A29,movements!$D:$D,"ISSUE",movements!$C:$C,"&lt;"&amp;K$1+1)</f>
        <v>111</v>
      </c>
      <c r="L29">
        <f>SUMIFS(movements!$H:$H,movements!$E:$E,$A29,movements!$D:$D,"OPENING",movements!$C:$C,"&lt;"&amp;L$1+1)+SUMIFS(movements!$H:$H,movements!$E:$E,$A29,movements!$D:$D,"RECEIPT",movements!$C:$C,"&lt;"&amp;L$1+1)-SUMIFS(movements!$H:$H,movements!$E:$E,$A29,movements!$D:$D,"ISSUE",movements!$C:$C,"&lt;"&amp;L$1+1)</f>
        <v>110</v>
      </c>
      <c r="M29">
        <f>SUMIFS(movements!$H:$H,movements!$E:$E,$A29,movements!$D:$D,"OPENING",movements!$C:$C,"&lt;"&amp;M$1+1)+SUMIFS(movements!$H:$H,movements!$E:$E,$A29,movements!$D:$D,"RECEIPT",movements!$C:$C,"&lt;"&amp;M$1+1)-SUMIFS(movements!$H:$H,movements!$E:$E,$A29,movements!$D:$D,"ISSUE",movements!$C:$C,"&lt;"&amp;M$1+1)</f>
        <v>109</v>
      </c>
      <c r="N29">
        <f>SUMIFS(movements!$H:$H,movements!$E:$E,$A29,movements!$D:$D,"OPENING",movements!$C:$C,"&lt;"&amp;N$1+1)+SUMIFS(movements!$H:$H,movements!$E:$E,$A29,movements!$D:$D,"RECEIPT",movements!$C:$C,"&lt;"&amp;N$1+1)-SUMIFS(movements!$H:$H,movements!$E:$E,$A29,movements!$D:$D,"ISSUE",movements!$C:$C,"&lt;"&amp;N$1+1)</f>
        <v>109</v>
      </c>
      <c r="O29">
        <f>SUMIFS(movements!$H:$H,movements!$E:$E,$A29,movements!$D:$D,"OPENING",movements!$C:$C,"&lt;"&amp;O$1+1)+SUMIFS(movements!$H:$H,movements!$E:$E,$A29,movements!$D:$D,"RECEIPT",movements!$C:$C,"&lt;"&amp;O$1+1)-SUMIFS(movements!$H:$H,movements!$E:$E,$A29,movements!$D:$D,"ISSUE",movements!$C:$C,"&lt;"&amp;O$1+1)</f>
        <v>105</v>
      </c>
      <c r="P29">
        <f>SUMIFS(movements!$H:$H,movements!$E:$E,$A29,movements!$D:$D,"OPENING",movements!$C:$C,"&lt;"&amp;P$1+1)+SUMIFS(movements!$H:$H,movements!$E:$E,$A29,movements!$D:$D,"RECEIPT",movements!$C:$C,"&lt;"&amp;P$1+1)-SUMIFS(movements!$H:$H,movements!$E:$E,$A29,movements!$D:$D,"ISSUE",movements!$C:$C,"&lt;"&amp;P$1+1)</f>
        <v>184</v>
      </c>
      <c r="Q29">
        <f>SUMIFS(movements!$H:$H,movements!$E:$E,$A29,movements!$D:$D,"OPENING",movements!$C:$C,"&lt;"&amp;Q$1+1)+SUMIFS(movements!$H:$H,movements!$E:$E,$A29,movements!$D:$D,"RECEIPT",movements!$C:$C,"&lt;"&amp;Q$1+1)-SUMIFS(movements!$H:$H,movements!$E:$E,$A29,movements!$D:$D,"ISSUE",movements!$C:$C,"&lt;"&amp;Q$1+1)</f>
        <v>180</v>
      </c>
      <c r="R29">
        <f>SUMIFS(movements!$H:$H,movements!$E:$E,$A29,movements!$D:$D,"OPENING",movements!$C:$C,"&lt;"&amp;R$1+1)+SUMIFS(movements!$H:$H,movements!$E:$E,$A29,movements!$D:$D,"RECEIPT",movements!$C:$C,"&lt;"&amp;R$1+1)-SUMIFS(movements!$H:$H,movements!$E:$E,$A29,movements!$D:$D,"ISSUE",movements!$C:$C,"&lt;"&amp;R$1+1)</f>
        <v>177</v>
      </c>
      <c r="S29">
        <f>SUMIFS(movements!$H:$H,movements!$E:$E,$A29,movements!$D:$D,"OPENING",movements!$C:$C,"&lt;"&amp;S$1+1)+SUMIFS(movements!$H:$H,movements!$E:$E,$A29,movements!$D:$D,"RECEIPT",movements!$C:$C,"&lt;"&amp;S$1+1)-SUMIFS(movements!$H:$H,movements!$E:$E,$A29,movements!$D:$D,"ISSUE",movements!$C:$C,"&lt;"&amp;S$1+1)</f>
        <v>172</v>
      </c>
      <c r="T29">
        <f>SUMIFS(movements!$H:$H,movements!$E:$E,$A29,movements!$D:$D,"OPENING",movements!$C:$C,"&lt;"&amp;T$1+1)+SUMIFS(movements!$H:$H,movements!$E:$E,$A29,movements!$D:$D,"RECEIPT",movements!$C:$C,"&lt;"&amp;T$1+1)-SUMIFS(movements!$H:$H,movements!$E:$E,$A29,movements!$D:$D,"ISSUE",movements!$C:$C,"&lt;"&amp;T$1+1)</f>
        <v>168</v>
      </c>
      <c r="U29">
        <f>SUMIFS(movements!$H:$H,movements!$E:$E,$A29,movements!$D:$D,"OPENING",movements!$C:$C,"&lt;"&amp;U$1+1)+SUMIFS(movements!$H:$H,movements!$E:$E,$A29,movements!$D:$D,"RECEIPT",movements!$C:$C,"&lt;"&amp;U$1+1)-SUMIFS(movements!$H:$H,movements!$E:$E,$A29,movements!$D:$D,"ISSUE",movements!$C:$C,"&lt;"&amp;U$1+1)</f>
        <v>158</v>
      </c>
      <c r="V29">
        <f>SUMIFS(movements!$H:$H,movements!$E:$E,$A29,movements!$D:$D,"OPENING",movements!$C:$C,"&lt;"&amp;V$1+1)+SUMIFS(movements!$H:$H,movements!$E:$E,$A29,movements!$D:$D,"RECEIPT",movements!$C:$C,"&lt;"&amp;V$1+1)-SUMIFS(movements!$H:$H,movements!$E:$E,$A29,movements!$D:$D,"ISSUE",movements!$C:$C,"&lt;"&amp;V$1+1)</f>
        <v>154</v>
      </c>
      <c r="W29">
        <f>SUMIFS(movements!$H:$H,movements!$E:$E,$A29,movements!$D:$D,"OPENING",movements!$C:$C,"&lt;"&amp;W$1+1)+SUMIFS(movements!$H:$H,movements!$E:$E,$A29,movements!$D:$D,"RECEIPT",movements!$C:$C,"&lt;"&amp;W$1+1)-SUMIFS(movements!$H:$H,movements!$E:$E,$A29,movements!$D:$D,"ISSUE",movements!$C:$C,"&lt;"&amp;W$1+1)</f>
        <v>154</v>
      </c>
      <c r="X29">
        <f>SUMIFS(movements!$H:$H,movements!$E:$E,$A29,movements!$D:$D,"OPENING",movements!$C:$C,"&lt;"&amp;X$1+1)+SUMIFS(movements!$H:$H,movements!$E:$E,$A29,movements!$D:$D,"RECEIPT",movements!$C:$C,"&lt;"&amp;X$1+1)-SUMIFS(movements!$H:$H,movements!$E:$E,$A29,movements!$D:$D,"ISSUE",movements!$C:$C,"&lt;"&amp;X$1+1)</f>
        <v>154</v>
      </c>
      <c r="Y29">
        <f>SUMIFS(movements!$H:$H,movements!$E:$E,$A29,movements!$D:$D,"OPENING",movements!$C:$C,"&lt;"&amp;Y$1+1)+SUMIFS(movements!$H:$H,movements!$E:$E,$A29,movements!$D:$D,"RECEIPT",movements!$C:$C,"&lt;"&amp;Y$1+1)-SUMIFS(movements!$H:$H,movements!$E:$E,$A29,movements!$D:$D,"ISSUE",movements!$C:$C,"&lt;"&amp;Y$1+1)</f>
        <v>146</v>
      </c>
      <c r="Z29">
        <f>SUMIFS(movements!$H:$H,movements!$E:$E,$A29,movements!$D:$D,"OPENING",movements!$C:$C,"&lt;"&amp;Z$1+1)+SUMIFS(movements!$H:$H,movements!$E:$E,$A29,movements!$D:$D,"RECEIPT",movements!$C:$C,"&lt;"&amp;Z$1+1)-SUMIFS(movements!$H:$H,movements!$E:$E,$A29,movements!$D:$D,"ISSUE",movements!$C:$C,"&lt;"&amp;Z$1+1)</f>
        <v>132</v>
      </c>
      <c r="AA29">
        <f>SUMIFS(movements!$H:$H,movements!$E:$E,$A29,movements!$D:$D,"OPENING",movements!$C:$C,"&lt;"&amp;AA$1+1)+SUMIFS(movements!$H:$H,movements!$E:$E,$A29,movements!$D:$D,"RECEIPT",movements!$C:$C,"&lt;"&amp;AA$1+1)-SUMIFS(movements!$H:$H,movements!$E:$E,$A29,movements!$D:$D,"ISSUE",movements!$C:$C,"&lt;"&amp;AA$1+1)</f>
        <v>126</v>
      </c>
      <c r="AB29">
        <f>SUMIFS(movements!$H:$H,movements!$E:$E,$A29,movements!$D:$D,"OPENING",movements!$C:$C,"&lt;"&amp;AB$1+1)+SUMIFS(movements!$H:$H,movements!$E:$E,$A29,movements!$D:$D,"RECEIPT",movements!$C:$C,"&lt;"&amp;AB$1+1)-SUMIFS(movements!$H:$H,movements!$E:$E,$A29,movements!$D:$D,"ISSUE",movements!$C:$C,"&lt;"&amp;AB$1+1)</f>
        <v>121</v>
      </c>
      <c r="AC29">
        <f>SUMIFS(movements!$H:$H,movements!$E:$E,$A29,movements!$D:$D,"OPENING",movements!$C:$C,"&lt;"&amp;AC$1+1)+SUMIFS(movements!$H:$H,movements!$E:$E,$A29,movements!$D:$D,"RECEIPT",movements!$C:$C,"&lt;"&amp;AC$1+1)-SUMIFS(movements!$H:$H,movements!$E:$E,$A29,movements!$D:$D,"ISSUE",movements!$C:$C,"&lt;"&amp;AC$1+1)</f>
        <v>118</v>
      </c>
      <c r="AD29">
        <f>SUMIFS(movements!$H:$H,movements!$E:$E,$A29,movements!$D:$D,"OPENING",movements!$C:$C,"&lt;"&amp;AD$1+1)+SUMIFS(movements!$H:$H,movements!$E:$E,$A29,movements!$D:$D,"RECEIPT",movements!$C:$C,"&lt;"&amp;AD$1+1)-SUMIFS(movements!$H:$H,movements!$E:$E,$A29,movements!$D:$D,"ISSUE",movements!$C:$C,"&lt;"&amp;AD$1+1)</f>
        <v>114</v>
      </c>
      <c r="AE29">
        <f>SUMIFS(movements!$H:$H,movements!$E:$E,$A29,movements!$D:$D,"OPENING",movements!$C:$C,"&lt;"&amp;AE$1+1)+SUMIFS(movements!$H:$H,movements!$E:$E,$A29,movements!$D:$D,"RECEIPT",movements!$C:$C,"&lt;"&amp;AE$1+1)-SUMIFS(movements!$H:$H,movements!$E:$E,$A29,movements!$D:$D,"ISSUE",movements!$C:$C,"&lt;"&amp;AE$1+1)</f>
        <v>110</v>
      </c>
      <c r="AF29">
        <f>SUMIFS(movements!$H:$H,movements!$E:$E,$A29,movements!$D:$D,"OPENING",movements!$C:$C,"&lt;"&amp;AF$1+1)+SUMIFS(movements!$H:$H,movements!$E:$E,$A29,movements!$D:$D,"RECEIPT",movements!$C:$C,"&lt;"&amp;AF$1+1)-SUMIFS(movements!$H:$H,movements!$E:$E,$A29,movements!$D:$D,"ISSUE",movements!$C:$C,"&lt;"&amp;AF$1+1)</f>
        <v>109</v>
      </c>
      <c r="AG29">
        <f>SUMIFS(movements!$H:$H,movements!$E:$E,$A29,movements!$D:$D,"OPENING",movements!$C:$C,"&lt;"&amp;AG$1+1)+SUMIFS(movements!$H:$H,movements!$E:$E,$A29,movements!$D:$D,"RECEIPT",movements!$C:$C,"&lt;"&amp;AG$1+1)-SUMIFS(movements!$H:$H,movements!$E:$E,$A29,movements!$D:$D,"ISSUE",movements!$C:$C,"&lt;"&amp;AG$1+1)</f>
        <v>96</v>
      </c>
      <c r="AH29">
        <f>SUMIFS(movements!$H:$H,movements!$E:$E,$A29,movements!$D:$D,"OPENING",movements!$C:$C,"&lt;"&amp;AH$1+1)+SUMIFS(movements!$H:$H,movements!$E:$E,$A29,movements!$D:$D,"RECEIPT",movements!$C:$C,"&lt;"&amp;AH$1+1)-SUMIFS(movements!$H:$H,movements!$E:$E,$A29,movements!$D:$D,"ISSUE",movements!$C:$C,"&lt;"&amp;AH$1+1)</f>
        <v>91</v>
      </c>
      <c r="AI29">
        <f>SUMIFS(movements!$H:$H,movements!$E:$E,$A29,movements!$D:$D,"OPENING",movements!$C:$C,"&lt;"&amp;AI$1+1)+SUMIFS(movements!$H:$H,movements!$E:$E,$A29,movements!$D:$D,"RECEIPT",movements!$C:$C,"&lt;"&amp;AI$1+1)-SUMIFS(movements!$H:$H,movements!$E:$E,$A29,movements!$D:$D,"ISSUE",movements!$C:$C,"&lt;"&amp;AI$1+1)</f>
        <v>81</v>
      </c>
      <c r="AJ29">
        <f>SUMIFS(movements!$H:$H,movements!$E:$E,$A29,movements!$D:$D,"OPENING",movements!$C:$C,"&lt;"&amp;AJ$1+1)+SUMIFS(movements!$H:$H,movements!$E:$E,$A29,movements!$D:$D,"RECEIPT",movements!$C:$C,"&lt;"&amp;AJ$1+1)-SUMIFS(movements!$H:$H,movements!$E:$E,$A29,movements!$D:$D,"ISSUE",movements!$C:$C,"&lt;"&amp;AJ$1+1)</f>
        <v>74</v>
      </c>
      <c r="AK29">
        <f>SUMIFS(movements!$H:$H,movements!$E:$E,$A29,movements!$D:$D,"OPENING",movements!$C:$C,"&lt;"&amp;AK$1+1)+SUMIFS(movements!$H:$H,movements!$E:$E,$A29,movements!$D:$D,"RECEIPT",movements!$C:$C,"&lt;"&amp;AK$1+1)-SUMIFS(movements!$H:$H,movements!$E:$E,$A29,movements!$D:$D,"ISSUE",movements!$C:$C,"&lt;"&amp;AK$1+1)</f>
        <v>138</v>
      </c>
      <c r="AL29">
        <f>SUMIFS(movements!$H:$H,movements!$E:$E,$A29,movements!$D:$D,"OPENING",movements!$C:$C,"&lt;"&amp;AL$1+1)+SUMIFS(movements!$H:$H,movements!$E:$E,$A29,movements!$D:$D,"RECEIPT",movements!$C:$C,"&lt;"&amp;AL$1+1)-SUMIFS(movements!$H:$H,movements!$E:$E,$A29,movements!$D:$D,"ISSUE",movements!$C:$C,"&lt;"&amp;AL$1+1)</f>
        <v>137</v>
      </c>
      <c r="AM29">
        <f>SUMIFS(movements!$H:$H,movements!$E:$E,$A29,movements!$D:$D,"OPENING",movements!$C:$C,"&lt;"&amp;AM$1+1)+SUMIFS(movements!$H:$H,movements!$E:$E,$A29,movements!$D:$D,"RECEIPT",movements!$C:$C,"&lt;"&amp;AM$1+1)-SUMIFS(movements!$H:$H,movements!$E:$E,$A29,movements!$D:$D,"ISSUE",movements!$C:$C,"&lt;"&amp;AM$1+1)</f>
        <v>136</v>
      </c>
      <c r="AN29">
        <f>SUMIFS(movements!$H:$H,movements!$E:$E,$A29,movements!$D:$D,"OPENING",movements!$C:$C,"&lt;"&amp;AN$1+1)+SUMIFS(movements!$H:$H,movements!$E:$E,$A29,movements!$D:$D,"RECEIPT",movements!$C:$C,"&lt;"&amp;AN$1+1)-SUMIFS(movements!$H:$H,movements!$E:$E,$A29,movements!$D:$D,"ISSUE",movements!$C:$C,"&lt;"&amp;AN$1+1)</f>
        <v>127</v>
      </c>
      <c r="AO29">
        <f>SUMIFS(movements!$H:$H,movements!$E:$E,$A29,movements!$D:$D,"OPENING",movements!$C:$C,"&lt;"&amp;AO$1+1)+SUMIFS(movements!$H:$H,movements!$E:$E,$A29,movements!$D:$D,"RECEIPT",movements!$C:$C,"&lt;"&amp;AO$1+1)-SUMIFS(movements!$H:$H,movements!$E:$E,$A29,movements!$D:$D,"ISSUE",movements!$C:$C,"&lt;"&amp;AO$1+1)</f>
        <v>124</v>
      </c>
      <c r="AP29">
        <f>SUMIFS(movements!$H:$H,movements!$E:$E,$A29,movements!$D:$D,"OPENING",movements!$C:$C,"&lt;"&amp;AP$1+1)+SUMIFS(movements!$H:$H,movements!$E:$E,$A29,movements!$D:$D,"RECEIPT",movements!$C:$C,"&lt;"&amp;AP$1+1)-SUMIFS(movements!$H:$H,movements!$E:$E,$A29,movements!$D:$D,"ISSUE",movements!$C:$C,"&lt;"&amp;AP$1+1)</f>
        <v>124</v>
      </c>
      <c r="AQ29">
        <f>SUMIFS(movements!$H:$H,movements!$E:$E,$A29,movements!$D:$D,"OPENING",movements!$C:$C,"&lt;"&amp;AQ$1+1)+SUMIFS(movements!$H:$H,movements!$E:$E,$A29,movements!$D:$D,"RECEIPT",movements!$C:$C,"&lt;"&amp;AQ$1+1)-SUMIFS(movements!$H:$H,movements!$E:$E,$A29,movements!$D:$D,"ISSUE",movements!$C:$C,"&lt;"&amp;AQ$1+1)</f>
        <v>120</v>
      </c>
      <c r="AR29">
        <f>SUMIFS(movements!$H:$H,movements!$E:$E,$A29,movements!$D:$D,"OPENING",movements!$C:$C,"&lt;"&amp;AR$1+1)+SUMIFS(movements!$H:$H,movements!$E:$E,$A29,movements!$D:$D,"RECEIPT",movements!$C:$C,"&lt;"&amp;AR$1+1)-SUMIFS(movements!$H:$H,movements!$E:$E,$A29,movements!$D:$D,"ISSUE",movements!$C:$C,"&lt;"&amp;AR$1+1)</f>
        <v>112</v>
      </c>
      <c r="AS29">
        <f>SUMIFS(movements!$H:$H,movements!$E:$E,$A29,movements!$D:$D,"OPENING",movements!$C:$C,"&lt;"&amp;AS$1+1)+SUMIFS(movements!$H:$H,movements!$E:$E,$A29,movements!$D:$D,"RECEIPT",movements!$C:$C,"&lt;"&amp;AS$1+1)-SUMIFS(movements!$H:$H,movements!$E:$E,$A29,movements!$D:$D,"ISSUE",movements!$C:$C,"&lt;"&amp;AS$1+1)</f>
        <v>102</v>
      </c>
      <c r="AT29">
        <f>SUMIFS(movements!$H:$H,movements!$E:$E,$A29,movements!$D:$D,"OPENING",movements!$C:$C,"&lt;"&amp;AT$1+1)+SUMIFS(movements!$H:$H,movements!$E:$E,$A29,movements!$D:$D,"RECEIPT",movements!$C:$C,"&lt;"&amp;AT$1+1)-SUMIFS(movements!$H:$H,movements!$E:$E,$A29,movements!$D:$D,"ISSUE",movements!$C:$C,"&lt;"&amp;AT$1+1)</f>
        <v>100</v>
      </c>
      <c r="AU29">
        <f>SUMIFS(movements!$H:$H,movements!$E:$E,$A29,movements!$D:$D,"OPENING",movements!$C:$C,"&lt;"&amp;AU$1+1)+SUMIFS(movements!$H:$H,movements!$E:$E,$A29,movements!$D:$D,"RECEIPT",movements!$C:$C,"&lt;"&amp;AU$1+1)-SUMIFS(movements!$H:$H,movements!$E:$E,$A29,movements!$D:$D,"ISSUE",movements!$C:$C,"&lt;"&amp;AU$1+1)</f>
        <v>89</v>
      </c>
      <c r="AV29">
        <f>SUMIFS(movements!$H:$H,movements!$E:$E,$A29,movements!$D:$D,"OPENING",movements!$C:$C,"&lt;"&amp;AV$1+1)+SUMIFS(movements!$H:$H,movements!$E:$E,$A29,movements!$D:$D,"RECEIPT",movements!$C:$C,"&lt;"&amp;AV$1+1)-SUMIFS(movements!$H:$H,movements!$E:$E,$A29,movements!$D:$D,"ISSUE",movements!$C:$C,"&lt;"&amp;AV$1+1)</f>
        <v>89</v>
      </c>
      <c r="AW29">
        <f>SUMIFS(movements!$H:$H,movements!$E:$E,$A29,movements!$D:$D,"OPENING",movements!$C:$C,"&lt;"&amp;AW$1+1)+SUMIFS(movements!$H:$H,movements!$E:$E,$A29,movements!$D:$D,"RECEIPT",movements!$C:$C,"&lt;"&amp;AW$1+1)-SUMIFS(movements!$H:$H,movements!$E:$E,$A29,movements!$D:$D,"ISSUE",movements!$C:$C,"&lt;"&amp;AW$1+1)</f>
        <v>85</v>
      </c>
      <c r="AX29">
        <f>SUMIFS(movements!$H:$H,movements!$E:$E,$A29,movements!$D:$D,"OPENING",movements!$C:$C,"&lt;"&amp;AX$1+1)+SUMIFS(movements!$H:$H,movements!$E:$E,$A29,movements!$D:$D,"RECEIPT",movements!$C:$C,"&lt;"&amp;AX$1+1)-SUMIFS(movements!$H:$H,movements!$E:$E,$A29,movements!$D:$D,"ISSUE",movements!$C:$C,"&lt;"&amp;AX$1+1)</f>
        <v>82</v>
      </c>
      <c r="AY29">
        <f>SUMIFS(movements!$H:$H,movements!$E:$E,$A29,movements!$D:$D,"OPENING",movements!$C:$C,"&lt;"&amp;AY$1+1)+SUMIFS(movements!$H:$H,movements!$E:$E,$A29,movements!$D:$D,"RECEIPT",movements!$C:$C,"&lt;"&amp;AY$1+1)-SUMIFS(movements!$H:$H,movements!$E:$E,$A29,movements!$D:$D,"ISSUE",movements!$C:$C,"&lt;"&amp;AY$1+1)</f>
        <v>164</v>
      </c>
      <c r="AZ29">
        <f>SUMIFS(movements!$H:$H,movements!$E:$E,$A29,movements!$D:$D,"OPENING",movements!$C:$C,"&lt;"&amp;AZ$1+1)+SUMIFS(movements!$H:$H,movements!$E:$E,$A29,movements!$D:$D,"RECEIPT",movements!$C:$C,"&lt;"&amp;AZ$1+1)-SUMIFS(movements!$H:$H,movements!$E:$E,$A29,movements!$D:$D,"ISSUE",movements!$C:$C,"&lt;"&amp;AZ$1+1)</f>
        <v>161</v>
      </c>
      <c r="BA29">
        <f>SUMIFS(movements!$H:$H,movements!$E:$E,$A29,movements!$D:$D,"OPENING",movements!$C:$C,"&lt;"&amp;BA$1+1)+SUMIFS(movements!$H:$H,movements!$E:$E,$A29,movements!$D:$D,"RECEIPT",movements!$C:$C,"&lt;"&amp;BA$1+1)-SUMIFS(movements!$H:$H,movements!$E:$E,$A29,movements!$D:$D,"ISSUE",movements!$C:$C,"&lt;"&amp;BA$1+1)</f>
        <v>158</v>
      </c>
      <c r="BB29">
        <f>SUMIFS(movements!$H:$H,movements!$E:$E,$A29,movements!$D:$D,"OPENING",movements!$C:$C,"&lt;"&amp;BB$1+1)+SUMIFS(movements!$H:$H,movements!$E:$E,$A29,movements!$D:$D,"RECEIPT",movements!$C:$C,"&lt;"&amp;BB$1+1)-SUMIFS(movements!$H:$H,movements!$E:$E,$A29,movements!$D:$D,"ISSUE",movements!$C:$C,"&lt;"&amp;BB$1+1)</f>
        <v>158</v>
      </c>
      <c r="BC29">
        <f>SUMIFS(movements!$H:$H,movements!$E:$E,$A29,movements!$D:$D,"OPENING",movements!$C:$C,"&lt;"&amp;BC$1+1)+SUMIFS(movements!$H:$H,movements!$E:$E,$A29,movements!$D:$D,"RECEIPT",movements!$C:$C,"&lt;"&amp;BC$1+1)-SUMIFS(movements!$H:$H,movements!$E:$E,$A29,movements!$D:$D,"ISSUE",movements!$C:$C,"&lt;"&amp;BC$1+1)</f>
        <v>144</v>
      </c>
      <c r="BD29">
        <f>SUMIFS(movements!$H:$H,movements!$E:$E,$A29,movements!$D:$D,"OPENING",movements!$C:$C,"&lt;"&amp;BD$1+1)+SUMIFS(movements!$H:$H,movements!$E:$E,$A29,movements!$D:$D,"RECEIPT",movements!$C:$C,"&lt;"&amp;BD$1+1)-SUMIFS(movements!$H:$H,movements!$E:$E,$A29,movements!$D:$D,"ISSUE",movements!$C:$C,"&lt;"&amp;BD$1+1)</f>
        <v>138</v>
      </c>
      <c r="BE29">
        <f>SUMIFS(movements!$H:$H,movements!$E:$E,$A29,movements!$D:$D,"OPENING",movements!$C:$C,"&lt;"&amp;BE$1+1)+SUMIFS(movements!$H:$H,movements!$E:$E,$A29,movements!$D:$D,"RECEIPT",movements!$C:$C,"&lt;"&amp;BE$1+1)-SUMIFS(movements!$H:$H,movements!$E:$E,$A29,movements!$D:$D,"ISSUE",movements!$C:$C,"&lt;"&amp;BE$1+1)</f>
        <v>138</v>
      </c>
      <c r="BF29">
        <f>SUMIFS(movements!$H:$H,movements!$E:$E,$A29,movements!$D:$D,"OPENING",movements!$C:$C,"&lt;"&amp;BF$1+1)+SUMIFS(movements!$H:$H,movements!$E:$E,$A29,movements!$D:$D,"RECEIPT",movements!$C:$C,"&lt;"&amp;BF$1+1)-SUMIFS(movements!$H:$H,movements!$E:$E,$A29,movements!$D:$D,"ISSUE",movements!$C:$C,"&lt;"&amp;BF$1+1)</f>
        <v>133</v>
      </c>
      <c r="BG29">
        <f>SUMIFS(movements!$H:$H,movements!$E:$E,$A29,movements!$D:$D,"OPENING",movements!$C:$C,"&lt;"&amp;BG$1+1)+SUMIFS(movements!$H:$H,movements!$E:$E,$A29,movements!$D:$D,"RECEIPT",movements!$C:$C,"&lt;"&amp;BG$1+1)-SUMIFS(movements!$H:$H,movements!$E:$E,$A29,movements!$D:$D,"ISSUE",movements!$C:$C,"&lt;"&amp;BG$1+1)</f>
        <v>133</v>
      </c>
      <c r="BH29">
        <f>SUMIFS(movements!$H:$H,movements!$E:$E,$A29,movements!$D:$D,"OPENING",movements!$C:$C,"&lt;"&amp;BH$1+1)+SUMIFS(movements!$H:$H,movements!$E:$E,$A29,movements!$D:$D,"RECEIPT",movements!$C:$C,"&lt;"&amp;BH$1+1)-SUMIFS(movements!$H:$H,movements!$E:$E,$A29,movements!$D:$D,"ISSUE",movements!$C:$C,"&lt;"&amp;BH$1+1)</f>
        <v>130</v>
      </c>
      <c r="BI29">
        <f>SUMIFS(movements!$H:$H,movements!$E:$E,$A29,movements!$D:$D,"OPENING",movements!$C:$C,"&lt;"&amp;BI$1+1)+SUMIFS(movements!$H:$H,movements!$E:$E,$A29,movements!$D:$D,"RECEIPT",movements!$C:$C,"&lt;"&amp;BI$1+1)-SUMIFS(movements!$H:$H,movements!$E:$E,$A29,movements!$D:$D,"ISSUE",movements!$C:$C,"&lt;"&amp;BI$1+1)</f>
        <v>130</v>
      </c>
      <c r="BJ29">
        <f>SUMIFS(movements!$H:$H,movements!$E:$E,$A29,movements!$D:$D,"OPENING",movements!$C:$C,"&lt;"&amp;BJ$1+1)+SUMIFS(movements!$H:$H,movements!$E:$E,$A29,movements!$D:$D,"RECEIPT",movements!$C:$C,"&lt;"&amp;BJ$1+1)-SUMIFS(movements!$H:$H,movements!$E:$E,$A29,movements!$D:$D,"ISSUE",movements!$C:$C,"&lt;"&amp;BJ$1+1)</f>
        <v>126</v>
      </c>
      <c r="BK29">
        <f>SUMIFS(movements!$H:$H,movements!$E:$E,$A29,movements!$D:$D,"OPENING",movements!$C:$C,"&lt;"&amp;BK$1+1)+SUMIFS(movements!$H:$H,movements!$E:$E,$A29,movements!$D:$D,"RECEIPT",movements!$C:$C,"&lt;"&amp;BK$1+1)-SUMIFS(movements!$H:$H,movements!$E:$E,$A29,movements!$D:$D,"ISSUE",movements!$C:$C,"&lt;"&amp;BK$1+1)</f>
        <v>120</v>
      </c>
      <c r="BL29">
        <f>SUMIFS(movements!$H:$H,movements!$E:$E,$A29,movements!$D:$D,"OPENING",movements!$C:$C,"&lt;"&amp;BL$1+1)+SUMIFS(movements!$H:$H,movements!$E:$E,$A29,movements!$D:$D,"RECEIPT",movements!$C:$C,"&lt;"&amp;BL$1+1)-SUMIFS(movements!$H:$H,movements!$E:$E,$A29,movements!$D:$D,"ISSUE",movements!$C:$C,"&lt;"&amp;BL$1+1)</f>
        <v>115</v>
      </c>
      <c r="BM29">
        <f>SUMIFS(movements!$H:$H,movements!$E:$E,$A29,movements!$D:$D,"OPENING",movements!$C:$C,"&lt;"&amp;BM$1+1)+SUMIFS(movements!$H:$H,movements!$E:$E,$A29,movements!$D:$D,"RECEIPT",movements!$C:$C,"&lt;"&amp;BM$1+1)-SUMIFS(movements!$H:$H,movements!$E:$E,$A29,movements!$D:$D,"ISSUE",movements!$C:$C,"&lt;"&amp;BM$1+1)</f>
        <v>113</v>
      </c>
      <c r="BN29">
        <f>SUMIFS(movements!$H:$H,movements!$E:$E,$A29,movements!$D:$D,"OPENING",movements!$C:$C,"&lt;"&amp;BN$1+1)+SUMIFS(movements!$H:$H,movements!$E:$E,$A29,movements!$D:$D,"RECEIPT",movements!$C:$C,"&lt;"&amp;BN$1+1)-SUMIFS(movements!$H:$H,movements!$E:$E,$A29,movements!$D:$D,"ISSUE",movements!$C:$C,"&lt;"&amp;BN$1+1)</f>
        <v>113</v>
      </c>
      <c r="BO29">
        <f>SUMIFS(movements!$H:$H,movements!$E:$E,$A29,movements!$D:$D,"OPENING",movements!$C:$C,"&lt;"&amp;BO$1+1)+SUMIFS(movements!$H:$H,movements!$E:$E,$A29,movements!$D:$D,"RECEIPT",movements!$C:$C,"&lt;"&amp;BO$1+1)-SUMIFS(movements!$H:$H,movements!$E:$E,$A29,movements!$D:$D,"ISSUE",movements!$C:$C,"&lt;"&amp;BO$1+1)</f>
        <v>108</v>
      </c>
      <c r="BP29">
        <f>SUMIFS(movements!$H:$H,movements!$E:$E,$A29,movements!$D:$D,"OPENING",movements!$C:$C,"&lt;"&amp;BP$1+1)+SUMIFS(movements!$H:$H,movements!$E:$E,$A29,movements!$D:$D,"RECEIPT",movements!$C:$C,"&lt;"&amp;BP$1+1)-SUMIFS(movements!$H:$H,movements!$E:$E,$A29,movements!$D:$D,"ISSUE",movements!$C:$C,"&lt;"&amp;BP$1+1)</f>
        <v>108</v>
      </c>
      <c r="BQ29">
        <f>SUMIFS(movements!$H:$H,movements!$E:$E,$A29,movements!$D:$D,"OPENING",movements!$C:$C,"&lt;"&amp;BQ$1+1)+SUMIFS(movements!$H:$H,movements!$E:$E,$A29,movements!$D:$D,"RECEIPT",movements!$C:$C,"&lt;"&amp;BQ$1+1)-SUMIFS(movements!$H:$H,movements!$E:$E,$A29,movements!$D:$D,"ISSUE",movements!$C:$C,"&lt;"&amp;BQ$1+1)</f>
        <v>101</v>
      </c>
      <c r="BR29">
        <f>SUMIFS(movements!$H:$H,movements!$E:$E,$A29,movements!$D:$D,"OPENING",movements!$C:$C,"&lt;"&amp;BR$1+1)+SUMIFS(movements!$H:$H,movements!$E:$E,$A29,movements!$D:$D,"RECEIPT",movements!$C:$C,"&lt;"&amp;BR$1+1)-SUMIFS(movements!$H:$H,movements!$E:$E,$A29,movements!$D:$D,"ISSUE",movements!$C:$C,"&lt;"&amp;BR$1+1)</f>
        <v>96</v>
      </c>
      <c r="BS29">
        <f>SUMIFS(movements!$H:$H,movements!$E:$E,$A29,movements!$D:$D,"OPENING",movements!$C:$C,"&lt;"&amp;BS$1+1)+SUMIFS(movements!$H:$H,movements!$E:$E,$A29,movements!$D:$D,"RECEIPT",movements!$C:$C,"&lt;"&amp;BS$1+1)-SUMIFS(movements!$H:$H,movements!$E:$E,$A29,movements!$D:$D,"ISSUE",movements!$C:$C,"&lt;"&amp;BS$1+1)</f>
        <v>93</v>
      </c>
      <c r="BT29">
        <f>SUMIFS(movements!$H:$H,movements!$E:$E,$A29,movements!$D:$D,"OPENING",movements!$C:$C,"&lt;"&amp;BT$1+1)+SUMIFS(movements!$H:$H,movements!$E:$E,$A29,movements!$D:$D,"RECEIPT",movements!$C:$C,"&lt;"&amp;BT$1+1)-SUMIFS(movements!$H:$H,movements!$E:$E,$A29,movements!$D:$D,"ISSUE",movements!$C:$C,"&lt;"&amp;BT$1+1)</f>
        <v>154</v>
      </c>
      <c r="BU29">
        <f>SUMIFS(movements!$H:$H,movements!$E:$E,$A29,movements!$D:$D,"OPENING",movements!$C:$C,"&lt;"&amp;BU$1+1)+SUMIFS(movements!$H:$H,movements!$E:$E,$A29,movements!$D:$D,"RECEIPT",movements!$C:$C,"&lt;"&amp;BU$1+1)-SUMIFS(movements!$H:$H,movements!$E:$E,$A29,movements!$D:$D,"ISSUE",movements!$C:$C,"&lt;"&amp;BU$1+1)</f>
        <v>153</v>
      </c>
      <c r="BV29">
        <f>SUMIFS(movements!$H:$H,movements!$E:$E,$A29,movements!$D:$D,"OPENING",movements!$C:$C,"&lt;"&amp;BV$1+1)+SUMIFS(movements!$H:$H,movements!$E:$E,$A29,movements!$D:$D,"RECEIPT",movements!$C:$C,"&lt;"&amp;BV$1+1)-SUMIFS(movements!$H:$H,movements!$E:$E,$A29,movements!$D:$D,"ISSUE",movements!$C:$C,"&lt;"&amp;BV$1+1)</f>
        <v>145</v>
      </c>
      <c r="BW29">
        <f>SUMIFS(movements!$H:$H,movements!$E:$E,$A29,movements!$D:$D,"OPENING",movements!$C:$C,"&lt;"&amp;BW$1+1)+SUMIFS(movements!$H:$H,movements!$E:$E,$A29,movements!$D:$D,"RECEIPT",movements!$C:$C,"&lt;"&amp;BW$1+1)-SUMIFS(movements!$H:$H,movements!$E:$E,$A29,movements!$D:$D,"ISSUE",movements!$C:$C,"&lt;"&amp;BW$1+1)</f>
        <v>144</v>
      </c>
      <c r="BX29">
        <f>SUMIFS(movements!$H:$H,movements!$E:$E,$A29,movements!$D:$D,"OPENING",movements!$C:$C,"&lt;"&amp;BX$1+1)+SUMIFS(movements!$H:$H,movements!$E:$E,$A29,movements!$D:$D,"RECEIPT",movements!$C:$C,"&lt;"&amp;BX$1+1)-SUMIFS(movements!$H:$H,movements!$E:$E,$A29,movements!$D:$D,"ISSUE",movements!$C:$C,"&lt;"&amp;BX$1+1)</f>
        <v>131</v>
      </c>
      <c r="BY29">
        <f>SUMIFS(movements!$H:$H,movements!$E:$E,$A29,movements!$D:$D,"OPENING",movements!$C:$C,"&lt;"&amp;BY$1+1)+SUMIFS(movements!$H:$H,movements!$E:$E,$A29,movements!$D:$D,"RECEIPT",movements!$C:$C,"&lt;"&amp;BY$1+1)-SUMIFS(movements!$H:$H,movements!$E:$E,$A29,movements!$D:$D,"ISSUE",movements!$C:$C,"&lt;"&amp;BY$1+1)</f>
        <v>131</v>
      </c>
      <c r="BZ29">
        <f>SUMIFS(movements!$H:$H,movements!$E:$E,$A29,movements!$D:$D,"OPENING",movements!$C:$C,"&lt;"&amp;BZ$1+1)+SUMIFS(movements!$H:$H,movements!$E:$E,$A29,movements!$D:$D,"RECEIPT",movements!$C:$C,"&lt;"&amp;BZ$1+1)-SUMIFS(movements!$H:$H,movements!$E:$E,$A29,movements!$D:$D,"ISSUE",movements!$C:$C,"&lt;"&amp;BZ$1+1)</f>
        <v>125</v>
      </c>
      <c r="CA29">
        <f>SUMIFS(movements!$H:$H,movements!$E:$E,$A29,movements!$D:$D,"OPENING",movements!$C:$C,"&lt;"&amp;CA$1+1)+SUMIFS(movements!$H:$H,movements!$E:$E,$A29,movements!$D:$D,"RECEIPT",movements!$C:$C,"&lt;"&amp;CA$1+1)-SUMIFS(movements!$H:$H,movements!$E:$E,$A29,movements!$D:$D,"ISSUE",movements!$C:$C,"&lt;"&amp;CA$1+1)</f>
        <v>116</v>
      </c>
      <c r="CB29">
        <f>SUMIFS(movements!$H:$H,movements!$E:$E,$A29,movements!$D:$D,"OPENING",movements!$C:$C,"&lt;"&amp;CB$1+1)+SUMIFS(movements!$H:$H,movements!$E:$E,$A29,movements!$D:$D,"RECEIPT",movements!$C:$C,"&lt;"&amp;CB$1+1)-SUMIFS(movements!$H:$H,movements!$E:$E,$A29,movements!$D:$D,"ISSUE",movements!$C:$C,"&lt;"&amp;CB$1+1)</f>
        <v>112</v>
      </c>
      <c r="CC29">
        <f>SUMIFS(movements!$H:$H,movements!$E:$E,$A29,movements!$D:$D,"OPENING",movements!$C:$C,"&lt;"&amp;CC$1+1)+SUMIFS(movements!$H:$H,movements!$E:$E,$A29,movements!$D:$D,"RECEIPT",movements!$C:$C,"&lt;"&amp;CC$1+1)-SUMIFS(movements!$H:$H,movements!$E:$E,$A29,movements!$D:$D,"ISSUE",movements!$C:$C,"&lt;"&amp;CC$1+1)</f>
        <v>109</v>
      </c>
      <c r="CD29">
        <f>SUMIFS(movements!$H:$H,movements!$E:$E,$A29,movements!$D:$D,"OPENING",movements!$C:$C,"&lt;"&amp;CD$1+1)+SUMIFS(movements!$H:$H,movements!$E:$E,$A29,movements!$D:$D,"RECEIPT",movements!$C:$C,"&lt;"&amp;CD$1+1)-SUMIFS(movements!$H:$H,movements!$E:$E,$A29,movements!$D:$D,"ISSUE",movements!$C:$C,"&lt;"&amp;CD$1+1)</f>
        <v>109</v>
      </c>
      <c r="CE29">
        <f>SUMIFS(movements!$H:$H,movements!$E:$E,$A29,movements!$D:$D,"OPENING",movements!$C:$C,"&lt;"&amp;CE$1+1)+SUMIFS(movements!$H:$H,movements!$E:$E,$A29,movements!$D:$D,"RECEIPT",movements!$C:$C,"&lt;"&amp;CE$1+1)-SUMIFS(movements!$H:$H,movements!$E:$E,$A29,movements!$D:$D,"ISSUE",movements!$C:$C,"&lt;"&amp;CE$1+1)</f>
        <v>101</v>
      </c>
      <c r="CF29">
        <f>SUMIFS(movements!$H:$H,movements!$E:$E,$A29,movements!$D:$D,"OPENING",movements!$C:$C,"&lt;"&amp;CF$1+1)+SUMIFS(movements!$H:$H,movements!$E:$E,$A29,movements!$D:$D,"RECEIPT",movements!$C:$C,"&lt;"&amp;CF$1+1)-SUMIFS(movements!$H:$H,movements!$E:$E,$A29,movements!$D:$D,"ISSUE",movements!$C:$C,"&lt;"&amp;CF$1+1)</f>
        <v>92</v>
      </c>
      <c r="CG29">
        <f>SUMIFS(movements!$H:$H,movements!$E:$E,$A29,movements!$D:$D,"OPENING",movements!$C:$C,"&lt;"&amp;CG$1+1)+SUMIFS(movements!$H:$H,movements!$E:$E,$A29,movements!$D:$D,"RECEIPT",movements!$C:$C,"&lt;"&amp;CG$1+1)-SUMIFS(movements!$H:$H,movements!$E:$E,$A29,movements!$D:$D,"ISSUE",movements!$C:$C,"&lt;"&amp;CG$1+1)</f>
        <v>92</v>
      </c>
      <c r="CH29">
        <f>SUMIFS(movements!$H:$H,movements!$E:$E,$A29,movements!$D:$D,"OPENING",movements!$C:$C,"&lt;"&amp;CH$1+1)+SUMIFS(movements!$H:$H,movements!$E:$E,$A29,movements!$D:$D,"RECEIPT",movements!$C:$C,"&lt;"&amp;CH$1+1)-SUMIFS(movements!$H:$H,movements!$E:$E,$A29,movements!$D:$D,"ISSUE",movements!$C:$C,"&lt;"&amp;CH$1+1)</f>
        <v>152</v>
      </c>
      <c r="CI29">
        <f>SUMIFS(movements!$H:$H,movements!$E:$E,$A29,movements!$D:$D,"OPENING",movements!$C:$C,"&lt;"&amp;CI$1+1)+SUMIFS(movements!$H:$H,movements!$E:$E,$A29,movements!$D:$D,"RECEIPT",movements!$C:$C,"&lt;"&amp;CI$1+1)-SUMIFS(movements!$H:$H,movements!$E:$E,$A29,movements!$D:$D,"ISSUE",movements!$C:$C,"&lt;"&amp;CI$1+1)</f>
        <v>144</v>
      </c>
      <c r="CJ29">
        <f>SUMIFS(movements!$H:$H,movements!$E:$E,$A29,movements!$D:$D,"OPENING",movements!$C:$C,"&lt;"&amp;CJ$1+1)+SUMIFS(movements!$H:$H,movements!$E:$E,$A29,movements!$D:$D,"RECEIPT",movements!$C:$C,"&lt;"&amp;CJ$1+1)-SUMIFS(movements!$H:$H,movements!$E:$E,$A29,movements!$D:$D,"ISSUE",movements!$C:$C,"&lt;"&amp;CJ$1+1)</f>
        <v>142</v>
      </c>
      <c r="CK29">
        <f>SUMIFS(movements!$H:$H,movements!$E:$E,$A29,movements!$D:$D,"OPENING",movements!$C:$C,"&lt;"&amp;CK$1+1)+SUMIFS(movements!$H:$H,movements!$E:$E,$A29,movements!$D:$D,"RECEIPT",movements!$C:$C,"&lt;"&amp;CK$1+1)-SUMIFS(movements!$H:$H,movements!$E:$E,$A29,movements!$D:$D,"ISSUE",movements!$C:$C,"&lt;"&amp;CK$1+1)</f>
        <v>136</v>
      </c>
      <c r="CL29">
        <f>SUMIFS(movements!$H:$H,movements!$E:$E,$A29,movements!$D:$D,"OPENING",movements!$C:$C,"&lt;"&amp;CL$1+1)+SUMIFS(movements!$H:$H,movements!$E:$E,$A29,movements!$D:$D,"RECEIPT",movements!$C:$C,"&lt;"&amp;CL$1+1)-SUMIFS(movements!$H:$H,movements!$E:$E,$A29,movements!$D:$D,"ISSUE",movements!$C:$C,"&lt;"&amp;CL$1+1)</f>
        <v>133</v>
      </c>
      <c r="CM29">
        <f>SUMIFS(movements!$H:$H,movements!$E:$E,$A29,movements!$D:$D,"OPENING",movements!$C:$C,"&lt;"&amp;CM$1+1)+SUMIFS(movements!$H:$H,movements!$E:$E,$A29,movements!$D:$D,"RECEIPT",movements!$C:$C,"&lt;"&amp;CM$1+1)-SUMIFS(movements!$H:$H,movements!$E:$E,$A29,movements!$D:$D,"ISSUE",movements!$C:$C,"&lt;"&amp;CM$1+1)</f>
        <v>122</v>
      </c>
      <c r="CN29">
        <f t="shared" si="2"/>
        <v>119.74444444444444</v>
      </c>
      <c r="CO29">
        <f>SUMIFS(movements!$H:$H,movements!$E:$E,$A29,movements!$D:$D,"ISSUE",movements!$C:$C,"&gt;="&amp;$B$1,movements!$C:$C,"&lt;"&amp;($CM$1+1))</f>
        <v>408</v>
      </c>
      <c r="CP29">
        <f t="shared" si="3"/>
        <v>3.4072561937459405</v>
      </c>
      <c r="CQ29">
        <f t="shared" si="4"/>
        <v>26.41421568627451</v>
      </c>
    </row>
    <row r="30" spans="1:95" x14ac:dyDescent="0.25">
      <c r="A30" t="s">
        <v>79</v>
      </c>
      <c r="B30">
        <f>SUMIFS(movements!$H:$H,movements!$E:$E,$A30,movements!$D:$D,"OPENING",movements!$C:$C,"&lt;"&amp;B$1+1)+SUMIFS(movements!$H:$H,movements!$E:$E,$A30,movements!$D:$D,"RECEIPT",movements!$C:$C,"&lt;"&amp;B$1+1)-SUMIFS(movements!$H:$H,movements!$E:$E,$A30,movements!$D:$D,"ISSUE",movements!$C:$C,"&lt;"&amp;B$1+1)</f>
        <v>240</v>
      </c>
      <c r="C30">
        <f>SUMIFS(movements!$H:$H,movements!$E:$E,$A30,movements!$D:$D,"OPENING",movements!$C:$C,"&lt;"&amp;C$1+1)+SUMIFS(movements!$H:$H,movements!$E:$E,$A30,movements!$D:$D,"RECEIPT",movements!$C:$C,"&lt;"&amp;C$1+1)-SUMIFS(movements!$H:$H,movements!$E:$E,$A30,movements!$D:$D,"ISSUE",movements!$C:$C,"&lt;"&amp;C$1+1)</f>
        <v>240</v>
      </c>
      <c r="D30">
        <f>SUMIFS(movements!$H:$H,movements!$E:$E,$A30,movements!$D:$D,"OPENING",movements!$C:$C,"&lt;"&amp;D$1+1)+SUMIFS(movements!$H:$H,movements!$E:$E,$A30,movements!$D:$D,"RECEIPT",movements!$C:$C,"&lt;"&amp;D$1+1)-SUMIFS(movements!$H:$H,movements!$E:$E,$A30,movements!$D:$D,"ISSUE",movements!$C:$C,"&lt;"&amp;D$1+1)</f>
        <v>240</v>
      </c>
      <c r="E30">
        <f>SUMIFS(movements!$H:$H,movements!$E:$E,$A30,movements!$D:$D,"OPENING",movements!$C:$C,"&lt;"&amp;E$1+1)+SUMIFS(movements!$H:$H,movements!$E:$E,$A30,movements!$D:$D,"RECEIPT",movements!$C:$C,"&lt;"&amp;E$1+1)-SUMIFS(movements!$H:$H,movements!$E:$E,$A30,movements!$D:$D,"ISSUE",movements!$C:$C,"&lt;"&amp;E$1+1)</f>
        <v>240</v>
      </c>
      <c r="F30">
        <f>SUMIFS(movements!$H:$H,movements!$E:$E,$A30,movements!$D:$D,"OPENING",movements!$C:$C,"&lt;"&amp;F$1+1)+SUMIFS(movements!$H:$H,movements!$E:$E,$A30,movements!$D:$D,"RECEIPT",movements!$C:$C,"&lt;"&amp;F$1+1)-SUMIFS(movements!$H:$H,movements!$E:$E,$A30,movements!$D:$D,"ISSUE",movements!$C:$C,"&lt;"&amp;F$1+1)</f>
        <v>240</v>
      </c>
      <c r="G30">
        <f>SUMIFS(movements!$H:$H,movements!$E:$E,$A30,movements!$D:$D,"OPENING",movements!$C:$C,"&lt;"&amp;G$1+1)+SUMIFS(movements!$H:$H,movements!$E:$E,$A30,movements!$D:$D,"RECEIPT",movements!$C:$C,"&lt;"&amp;G$1+1)-SUMIFS(movements!$H:$H,movements!$E:$E,$A30,movements!$D:$D,"ISSUE",movements!$C:$C,"&lt;"&amp;G$1+1)</f>
        <v>240</v>
      </c>
      <c r="H30">
        <f>SUMIFS(movements!$H:$H,movements!$E:$E,$A30,movements!$D:$D,"OPENING",movements!$C:$C,"&lt;"&amp;H$1+1)+SUMIFS(movements!$H:$H,movements!$E:$E,$A30,movements!$D:$D,"RECEIPT",movements!$C:$C,"&lt;"&amp;H$1+1)-SUMIFS(movements!$H:$H,movements!$E:$E,$A30,movements!$D:$D,"ISSUE",movements!$C:$C,"&lt;"&amp;H$1+1)</f>
        <v>240</v>
      </c>
      <c r="I30">
        <f>SUMIFS(movements!$H:$H,movements!$E:$E,$A30,movements!$D:$D,"OPENING",movements!$C:$C,"&lt;"&amp;I$1+1)+SUMIFS(movements!$H:$H,movements!$E:$E,$A30,movements!$D:$D,"RECEIPT",movements!$C:$C,"&lt;"&amp;I$1+1)-SUMIFS(movements!$H:$H,movements!$E:$E,$A30,movements!$D:$D,"ISSUE",movements!$C:$C,"&lt;"&amp;I$1+1)</f>
        <v>240</v>
      </c>
      <c r="J30">
        <f>SUMIFS(movements!$H:$H,movements!$E:$E,$A30,movements!$D:$D,"OPENING",movements!$C:$C,"&lt;"&amp;J$1+1)+SUMIFS(movements!$H:$H,movements!$E:$E,$A30,movements!$D:$D,"RECEIPT",movements!$C:$C,"&lt;"&amp;J$1+1)-SUMIFS(movements!$H:$H,movements!$E:$E,$A30,movements!$D:$D,"ISSUE",movements!$C:$C,"&lt;"&amp;J$1+1)</f>
        <v>240</v>
      </c>
      <c r="K30">
        <f>SUMIFS(movements!$H:$H,movements!$E:$E,$A30,movements!$D:$D,"OPENING",movements!$C:$C,"&lt;"&amp;K$1+1)+SUMIFS(movements!$H:$H,movements!$E:$E,$A30,movements!$D:$D,"RECEIPT",movements!$C:$C,"&lt;"&amp;K$1+1)-SUMIFS(movements!$H:$H,movements!$E:$E,$A30,movements!$D:$D,"ISSUE",movements!$C:$C,"&lt;"&amp;K$1+1)</f>
        <v>240</v>
      </c>
      <c r="L30">
        <f>SUMIFS(movements!$H:$H,movements!$E:$E,$A30,movements!$D:$D,"OPENING",movements!$C:$C,"&lt;"&amp;L$1+1)+SUMIFS(movements!$H:$H,movements!$E:$E,$A30,movements!$D:$D,"RECEIPT",movements!$C:$C,"&lt;"&amp;L$1+1)-SUMIFS(movements!$H:$H,movements!$E:$E,$A30,movements!$D:$D,"ISSUE",movements!$C:$C,"&lt;"&amp;L$1+1)</f>
        <v>240</v>
      </c>
      <c r="M30">
        <f>SUMIFS(movements!$H:$H,movements!$E:$E,$A30,movements!$D:$D,"OPENING",movements!$C:$C,"&lt;"&amp;M$1+1)+SUMIFS(movements!$H:$H,movements!$E:$E,$A30,movements!$D:$D,"RECEIPT",movements!$C:$C,"&lt;"&amp;M$1+1)-SUMIFS(movements!$H:$H,movements!$E:$E,$A30,movements!$D:$D,"ISSUE",movements!$C:$C,"&lt;"&amp;M$1+1)</f>
        <v>240</v>
      </c>
      <c r="N30">
        <f>SUMIFS(movements!$H:$H,movements!$E:$E,$A30,movements!$D:$D,"OPENING",movements!$C:$C,"&lt;"&amp;N$1+1)+SUMIFS(movements!$H:$H,movements!$E:$E,$A30,movements!$D:$D,"RECEIPT",movements!$C:$C,"&lt;"&amp;N$1+1)-SUMIFS(movements!$H:$H,movements!$E:$E,$A30,movements!$D:$D,"ISSUE",movements!$C:$C,"&lt;"&amp;N$1+1)</f>
        <v>240</v>
      </c>
      <c r="O30">
        <f>SUMIFS(movements!$H:$H,movements!$E:$E,$A30,movements!$D:$D,"OPENING",movements!$C:$C,"&lt;"&amp;O$1+1)+SUMIFS(movements!$H:$H,movements!$E:$E,$A30,movements!$D:$D,"RECEIPT",movements!$C:$C,"&lt;"&amp;O$1+1)-SUMIFS(movements!$H:$H,movements!$E:$E,$A30,movements!$D:$D,"ISSUE",movements!$C:$C,"&lt;"&amp;O$1+1)</f>
        <v>240</v>
      </c>
      <c r="P30">
        <f>SUMIFS(movements!$H:$H,movements!$E:$E,$A30,movements!$D:$D,"OPENING",movements!$C:$C,"&lt;"&amp;P$1+1)+SUMIFS(movements!$H:$H,movements!$E:$E,$A30,movements!$D:$D,"RECEIPT",movements!$C:$C,"&lt;"&amp;P$1+1)-SUMIFS(movements!$H:$H,movements!$E:$E,$A30,movements!$D:$D,"ISSUE",movements!$C:$C,"&lt;"&amp;P$1+1)</f>
        <v>240</v>
      </c>
      <c r="Q30">
        <f>SUMIFS(movements!$H:$H,movements!$E:$E,$A30,movements!$D:$D,"OPENING",movements!$C:$C,"&lt;"&amp;Q$1+1)+SUMIFS(movements!$H:$H,movements!$E:$E,$A30,movements!$D:$D,"RECEIPT",movements!$C:$C,"&lt;"&amp;Q$1+1)-SUMIFS(movements!$H:$H,movements!$E:$E,$A30,movements!$D:$D,"ISSUE",movements!$C:$C,"&lt;"&amp;Q$1+1)</f>
        <v>240</v>
      </c>
      <c r="R30">
        <f>SUMIFS(movements!$H:$H,movements!$E:$E,$A30,movements!$D:$D,"OPENING",movements!$C:$C,"&lt;"&amp;R$1+1)+SUMIFS(movements!$H:$H,movements!$E:$E,$A30,movements!$D:$D,"RECEIPT",movements!$C:$C,"&lt;"&amp;R$1+1)-SUMIFS(movements!$H:$H,movements!$E:$E,$A30,movements!$D:$D,"ISSUE",movements!$C:$C,"&lt;"&amp;R$1+1)</f>
        <v>240</v>
      </c>
      <c r="S30">
        <f>SUMIFS(movements!$H:$H,movements!$E:$E,$A30,movements!$D:$D,"OPENING",movements!$C:$C,"&lt;"&amp;S$1+1)+SUMIFS(movements!$H:$H,movements!$E:$E,$A30,movements!$D:$D,"RECEIPT",movements!$C:$C,"&lt;"&amp;S$1+1)-SUMIFS(movements!$H:$H,movements!$E:$E,$A30,movements!$D:$D,"ISSUE",movements!$C:$C,"&lt;"&amp;S$1+1)</f>
        <v>240</v>
      </c>
      <c r="T30">
        <f>SUMIFS(movements!$H:$H,movements!$E:$E,$A30,movements!$D:$D,"OPENING",movements!$C:$C,"&lt;"&amp;T$1+1)+SUMIFS(movements!$H:$H,movements!$E:$E,$A30,movements!$D:$D,"RECEIPT",movements!$C:$C,"&lt;"&amp;T$1+1)-SUMIFS(movements!$H:$H,movements!$E:$E,$A30,movements!$D:$D,"ISSUE",movements!$C:$C,"&lt;"&amp;T$1+1)</f>
        <v>240</v>
      </c>
      <c r="U30">
        <f>SUMIFS(movements!$H:$H,movements!$E:$E,$A30,movements!$D:$D,"OPENING",movements!$C:$C,"&lt;"&amp;U$1+1)+SUMIFS(movements!$H:$H,movements!$E:$E,$A30,movements!$D:$D,"RECEIPT",movements!$C:$C,"&lt;"&amp;U$1+1)-SUMIFS(movements!$H:$H,movements!$E:$E,$A30,movements!$D:$D,"ISSUE",movements!$C:$C,"&lt;"&amp;U$1+1)</f>
        <v>240</v>
      </c>
      <c r="V30">
        <f>SUMIFS(movements!$H:$H,movements!$E:$E,$A30,movements!$D:$D,"OPENING",movements!$C:$C,"&lt;"&amp;V$1+1)+SUMIFS(movements!$H:$H,movements!$E:$E,$A30,movements!$D:$D,"RECEIPT",movements!$C:$C,"&lt;"&amp;V$1+1)-SUMIFS(movements!$H:$H,movements!$E:$E,$A30,movements!$D:$D,"ISSUE",movements!$C:$C,"&lt;"&amp;V$1+1)</f>
        <v>240</v>
      </c>
      <c r="W30">
        <f>SUMIFS(movements!$H:$H,movements!$E:$E,$A30,movements!$D:$D,"OPENING",movements!$C:$C,"&lt;"&amp;W$1+1)+SUMIFS(movements!$H:$H,movements!$E:$E,$A30,movements!$D:$D,"RECEIPT",movements!$C:$C,"&lt;"&amp;W$1+1)-SUMIFS(movements!$H:$H,movements!$E:$E,$A30,movements!$D:$D,"ISSUE",movements!$C:$C,"&lt;"&amp;W$1+1)</f>
        <v>240</v>
      </c>
      <c r="X30">
        <f>SUMIFS(movements!$H:$H,movements!$E:$E,$A30,movements!$D:$D,"OPENING",movements!$C:$C,"&lt;"&amp;X$1+1)+SUMIFS(movements!$H:$H,movements!$E:$E,$A30,movements!$D:$D,"RECEIPT",movements!$C:$C,"&lt;"&amp;X$1+1)-SUMIFS(movements!$H:$H,movements!$E:$E,$A30,movements!$D:$D,"ISSUE",movements!$C:$C,"&lt;"&amp;X$1+1)</f>
        <v>240</v>
      </c>
      <c r="Y30">
        <f>SUMIFS(movements!$H:$H,movements!$E:$E,$A30,movements!$D:$D,"OPENING",movements!$C:$C,"&lt;"&amp;Y$1+1)+SUMIFS(movements!$H:$H,movements!$E:$E,$A30,movements!$D:$D,"RECEIPT",movements!$C:$C,"&lt;"&amp;Y$1+1)-SUMIFS(movements!$H:$H,movements!$E:$E,$A30,movements!$D:$D,"ISSUE",movements!$C:$C,"&lt;"&amp;Y$1+1)</f>
        <v>240</v>
      </c>
      <c r="Z30">
        <f>SUMIFS(movements!$H:$H,movements!$E:$E,$A30,movements!$D:$D,"OPENING",movements!$C:$C,"&lt;"&amp;Z$1+1)+SUMIFS(movements!$H:$H,movements!$E:$E,$A30,movements!$D:$D,"RECEIPT",movements!$C:$C,"&lt;"&amp;Z$1+1)-SUMIFS(movements!$H:$H,movements!$E:$E,$A30,movements!$D:$D,"ISSUE",movements!$C:$C,"&lt;"&amp;Z$1+1)</f>
        <v>240</v>
      </c>
      <c r="AA30">
        <f>SUMIFS(movements!$H:$H,movements!$E:$E,$A30,movements!$D:$D,"OPENING",movements!$C:$C,"&lt;"&amp;AA$1+1)+SUMIFS(movements!$H:$H,movements!$E:$E,$A30,movements!$D:$D,"RECEIPT",movements!$C:$C,"&lt;"&amp;AA$1+1)-SUMIFS(movements!$H:$H,movements!$E:$E,$A30,movements!$D:$D,"ISSUE",movements!$C:$C,"&lt;"&amp;AA$1+1)</f>
        <v>240</v>
      </c>
      <c r="AB30">
        <f>SUMIFS(movements!$H:$H,movements!$E:$E,$A30,movements!$D:$D,"OPENING",movements!$C:$C,"&lt;"&amp;AB$1+1)+SUMIFS(movements!$H:$H,movements!$E:$E,$A30,movements!$D:$D,"RECEIPT",movements!$C:$C,"&lt;"&amp;AB$1+1)-SUMIFS(movements!$H:$H,movements!$E:$E,$A30,movements!$D:$D,"ISSUE",movements!$C:$C,"&lt;"&amp;AB$1+1)</f>
        <v>240</v>
      </c>
      <c r="AC30">
        <f>SUMIFS(movements!$H:$H,movements!$E:$E,$A30,movements!$D:$D,"OPENING",movements!$C:$C,"&lt;"&amp;AC$1+1)+SUMIFS(movements!$H:$H,movements!$E:$E,$A30,movements!$D:$D,"RECEIPT",movements!$C:$C,"&lt;"&amp;AC$1+1)-SUMIFS(movements!$H:$H,movements!$E:$E,$A30,movements!$D:$D,"ISSUE",movements!$C:$C,"&lt;"&amp;AC$1+1)</f>
        <v>240</v>
      </c>
      <c r="AD30">
        <f>SUMIFS(movements!$H:$H,movements!$E:$E,$A30,movements!$D:$D,"OPENING",movements!$C:$C,"&lt;"&amp;AD$1+1)+SUMIFS(movements!$H:$H,movements!$E:$E,$A30,movements!$D:$D,"RECEIPT",movements!$C:$C,"&lt;"&amp;AD$1+1)-SUMIFS(movements!$H:$H,movements!$E:$E,$A30,movements!$D:$D,"ISSUE",movements!$C:$C,"&lt;"&amp;AD$1+1)</f>
        <v>239</v>
      </c>
      <c r="AE30">
        <f>SUMIFS(movements!$H:$H,movements!$E:$E,$A30,movements!$D:$D,"OPENING",movements!$C:$C,"&lt;"&amp;AE$1+1)+SUMIFS(movements!$H:$H,movements!$E:$E,$A30,movements!$D:$D,"RECEIPT",movements!$C:$C,"&lt;"&amp;AE$1+1)-SUMIFS(movements!$H:$H,movements!$E:$E,$A30,movements!$D:$D,"ISSUE",movements!$C:$C,"&lt;"&amp;AE$1+1)</f>
        <v>239</v>
      </c>
      <c r="AF30">
        <f>SUMIFS(movements!$H:$H,movements!$E:$E,$A30,movements!$D:$D,"OPENING",movements!$C:$C,"&lt;"&amp;AF$1+1)+SUMIFS(movements!$H:$H,movements!$E:$E,$A30,movements!$D:$D,"RECEIPT",movements!$C:$C,"&lt;"&amp;AF$1+1)-SUMIFS(movements!$H:$H,movements!$E:$E,$A30,movements!$D:$D,"ISSUE",movements!$C:$C,"&lt;"&amp;AF$1+1)</f>
        <v>239</v>
      </c>
      <c r="AG30">
        <f>SUMIFS(movements!$H:$H,movements!$E:$E,$A30,movements!$D:$D,"OPENING",movements!$C:$C,"&lt;"&amp;AG$1+1)+SUMIFS(movements!$H:$H,movements!$E:$E,$A30,movements!$D:$D,"RECEIPT",movements!$C:$C,"&lt;"&amp;AG$1+1)-SUMIFS(movements!$H:$H,movements!$E:$E,$A30,movements!$D:$D,"ISSUE",movements!$C:$C,"&lt;"&amp;AG$1+1)</f>
        <v>239</v>
      </c>
      <c r="AH30">
        <f>SUMIFS(movements!$H:$H,movements!$E:$E,$A30,movements!$D:$D,"OPENING",movements!$C:$C,"&lt;"&amp;AH$1+1)+SUMIFS(movements!$H:$H,movements!$E:$E,$A30,movements!$D:$D,"RECEIPT",movements!$C:$C,"&lt;"&amp;AH$1+1)-SUMIFS(movements!$H:$H,movements!$E:$E,$A30,movements!$D:$D,"ISSUE",movements!$C:$C,"&lt;"&amp;AH$1+1)</f>
        <v>239</v>
      </c>
      <c r="AI30">
        <f>SUMIFS(movements!$H:$H,movements!$E:$E,$A30,movements!$D:$D,"OPENING",movements!$C:$C,"&lt;"&amp;AI$1+1)+SUMIFS(movements!$H:$H,movements!$E:$E,$A30,movements!$D:$D,"RECEIPT",movements!$C:$C,"&lt;"&amp;AI$1+1)-SUMIFS(movements!$H:$H,movements!$E:$E,$A30,movements!$D:$D,"ISSUE",movements!$C:$C,"&lt;"&amp;AI$1+1)</f>
        <v>239</v>
      </c>
      <c r="AJ30">
        <f>SUMIFS(movements!$H:$H,movements!$E:$E,$A30,movements!$D:$D,"OPENING",movements!$C:$C,"&lt;"&amp;AJ$1+1)+SUMIFS(movements!$H:$H,movements!$E:$E,$A30,movements!$D:$D,"RECEIPT",movements!$C:$C,"&lt;"&amp;AJ$1+1)-SUMIFS(movements!$H:$H,movements!$E:$E,$A30,movements!$D:$D,"ISSUE",movements!$C:$C,"&lt;"&amp;AJ$1+1)</f>
        <v>239</v>
      </c>
      <c r="AK30">
        <f>SUMIFS(movements!$H:$H,movements!$E:$E,$A30,movements!$D:$D,"OPENING",movements!$C:$C,"&lt;"&amp;AK$1+1)+SUMIFS(movements!$H:$H,movements!$E:$E,$A30,movements!$D:$D,"RECEIPT",movements!$C:$C,"&lt;"&amp;AK$1+1)-SUMIFS(movements!$H:$H,movements!$E:$E,$A30,movements!$D:$D,"ISSUE",movements!$C:$C,"&lt;"&amp;AK$1+1)</f>
        <v>239</v>
      </c>
      <c r="AL30">
        <f>SUMIFS(movements!$H:$H,movements!$E:$E,$A30,movements!$D:$D,"OPENING",movements!$C:$C,"&lt;"&amp;AL$1+1)+SUMIFS(movements!$H:$H,movements!$E:$E,$A30,movements!$D:$D,"RECEIPT",movements!$C:$C,"&lt;"&amp;AL$1+1)-SUMIFS(movements!$H:$H,movements!$E:$E,$A30,movements!$D:$D,"ISSUE",movements!$C:$C,"&lt;"&amp;AL$1+1)</f>
        <v>239</v>
      </c>
      <c r="AM30">
        <f>SUMIFS(movements!$H:$H,movements!$E:$E,$A30,movements!$D:$D,"OPENING",movements!$C:$C,"&lt;"&amp;AM$1+1)+SUMIFS(movements!$H:$H,movements!$E:$E,$A30,movements!$D:$D,"RECEIPT",movements!$C:$C,"&lt;"&amp;AM$1+1)-SUMIFS(movements!$H:$H,movements!$E:$E,$A30,movements!$D:$D,"ISSUE",movements!$C:$C,"&lt;"&amp;AM$1+1)</f>
        <v>239</v>
      </c>
      <c r="AN30">
        <f>SUMIFS(movements!$H:$H,movements!$E:$E,$A30,movements!$D:$D,"OPENING",movements!$C:$C,"&lt;"&amp;AN$1+1)+SUMIFS(movements!$H:$H,movements!$E:$E,$A30,movements!$D:$D,"RECEIPT",movements!$C:$C,"&lt;"&amp;AN$1+1)-SUMIFS(movements!$H:$H,movements!$E:$E,$A30,movements!$D:$D,"ISSUE",movements!$C:$C,"&lt;"&amp;AN$1+1)</f>
        <v>239</v>
      </c>
      <c r="AO30">
        <f>SUMIFS(movements!$H:$H,movements!$E:$E,$A30,movements!$D:$D,"OPENING",movements!$C:$C,"&lt;"&amp;AO$1+1)+SUMIFS(movements!$H:$H,movements!$E:$E,$A30,movements!$D:$D,"RECEIPT",movements!$C:$C,"&lt;"&amp;AO$1+1)-SUMIFS(movements!$H:$H,movements!$E:$E,$A30,movements!$D:$D,"ISSUE",movements!$C:$C,"&lt;"&amp;AO$1+1)</f>
        <v>239</v>
      </c>
      <c r="AP30">
        <f>SUMIFS(movements!$H:$H,movements!$E:$E,$A30,movements!$D:$D,"OPENING",movements!$C:$C,"&lt;"&amp;AP$1+1)+SUMIFS(movements!$H:$H,movements!$E:$E,$A30,movements!$D:$D,"RECEIPT",movements!$C:$C,"&lt;"&amp;AP$1+1)-SUMIFS(movements!$H:$H,movements!$E:$E,$A30,movements!$D:$D,"ISSUE",movements!$C:$C,"&lt;"&amp;AP$1+1)</f>
        <v>239</v>
      </c>
      <c r="AQ30">
        <f>SUMIFS(movements!$H:$H,movements!$E:$E,$A30,movements!$D:$D,"OPENING",movements!$C:$C,"&lt;"&amp;AQ$1+1)+SUMIFS(movements!$H:$H,movements!$E:$E,$A30,movements!$D:$D,"RECEIPT",movements!$C:$C,"&lt;"&amp;AQ$1+1)-SUMIFS(movements!$H:$H,movements!$E:$E,$A30,movements!$D:$D,"ISSUE",movements!$C:$C,"&lt;"&amp;AQ$1+1)</f>
        <v>235</v>
      </c>
      <c r="AR30">
        <f>SUMIFS(movements!$H:$H,movements!$E:$E,$A30,movements!$D:$D,"OPENING",movements!$C:$C,"&lt;"&amp;AR$1+1)+SUMIFS(movements!$H:$H,movements!$E:$E,$A30,movements!$D:$D,"RECEIPT",movements!$C:$C,"&lt;"&amp;AR$1+1)-SUMIFS(movements!$H:$H,movements!$E:$E,$A30,movements!$D:$D,"ISSUE",movements!$C:$C,"&lt;"&amp;AR$1+1)</f>
        <v>235</v>
      </c>
      <c r="AS30">
        <f>SUMIFS(movements!$H:$H,movements!$E:$E,$A30,movements!$D:$D,"OPENING",movements!$C:$C,"&lt;"&amp;AS$1+1)+SUMIFS(movements!$H:$H,movements!$E:$E,$A30,movements!$D:$D,"RECEIPT",movements!$C:$C,"&lt;"&amp;AS$1+1)-SUMIFS(movements!$H:$H,movements!$E:$E,$A30,movements!$D:$D,"ISSUE",movements!$C:$C,"&lt;"&amp;AS$1+1)</f>
        <v>235</v>
      </c>
      <c r="AT30">
        <f>SUMIFS(movements!$H:$H,movements!$E:$E,$A30,movements!$D:$D,"OPENING",movements!$C:$C,"&lt;"&amp;AT$1+1)+SUMIFS(movements!$H:$H,movements!$E:$E,$A30,movements!$D:$D,"RECEIPT",movements!$C:$C,"&lt;"&amp;AT$1+1)-SUMIFS(movements!$H:$H,movements!$E:$E,$A30,movements!$D:$D,"ISSUE",movements!$C:$C,"&lt;"&amp;AT$1+1)</f>
        <v>235</v>
      </c>
      <c r="AU30">
        <f>SUMIFS(movements!$H:$H,movements!$E:$E,$A30,movements!$D:$D,"OPENING",movements!$C:$C,"&lt;"&amp;AU$1+1)+SUMIFS(movements!$H:$H,movements!$E:$E,$A30,movements!$D:$D,"RECEIPT",movements!$C:$C,"&lt;"&amp;AU$1+1)-SUMIFS(movements!$H:$H,movements!$E:$E,$A30,movements!$D:$D,"ISSUE",movements!$C:$C,"&lt;"&amp;AU$1+1)</f>
        <v>235</v>
      </c>
      <c r="AV30">
        <f>SUMIFS(movements!$H:$H,movements!$E:$E,$A30,movements!$D:$D,"OPENING",movements!$C:$C,"&lt;"&amp;AV$1+1)+SUMIFS(movements!$H:$H,movements!$E:$E,$A30,movements!$D:$D,"RECEIPT",movements!$C:$C,"&lt;"&amp;AV$1+1)-SUMIFS(movements!$H:$H,movements!$E:$E,$A30,movements!$D:$D,"ISSUE",movements!$C:$C,"&lt;"&amp;AV$1+1)</f>
        <v>235</v>
      </c>
      <c r="AW30">
        <f>SUMIFS(movements!$H:$H,movements!$E:$E,$A30,movements!$D:$D,"OPENING",movements!$C:$C,"&lt;"&amp;AW$1+1)+SUMIFS(movements!$H:$H,movements!$E:$E,$A30,movements!$D:$D,"RECEIPT",movements!$C:$C,"&lt;"&amp;AW$1+1)-SUMIFS(movements!$H:$H,movements!$E:$E,$A30,movements!$D:$D,"ISSUE",movements!$C:$C,"&lt;"&amp;AW$1+1)</f>
        <v>232</v>
      </c>
      <c r="AX30">
        <f>SUMIFS(movements!$H:$H,movements!$E:$E,$A30,movements!$D:$D,"OPENING",movements!$C:$C,"&lt;"&amp;AX$1+1)+SUMIFS(movements!$H:$H,movements!$E:$E,$A30,movements!$D:$D,"RECEIPT",movements!$C:$C,"&lt;"&amp;AX$1+1)-SUMIFS(movements!$H:$H,movements!$E:$E,$A30,movements!$D:$D,"ISSUE",movements!$C:$C,"&lt;"&amp;AX$1+1)</f>
        <v>232</v>
      </c>
      <c r="AY30">
        <f>SUMIFS(movements!$H:$H,movements!$E:$E,$A30,movements!$D:$D,"OPENING",movements!$C:$C,"&lt;"&amp;AY$1+1)+SUMIFS(movements!$H:$H,movements!$E:$E,$A30,movements!$D:$D,"RECEIPT",movements!$C:$C,"&lt;"&amp;AY$1+1)-SUMIFS(movements!$H:$H,movements!$E:$E,$A30,movements!$D:$D,"ISSUE",movements!$C:$C,"&lt;"&amp;AY$1+1)</f>
        <v>232</v>
      </c>
      <c r="AZ30">
        <f>SUMIFS(movements!$H:$H,movements!$E:$E,$A30,movements!$D:$D,"OPENING",movements!$C:$C,"&lt;"&amp;AZ$1+1)+SUMIFS(movements!$H:$H,movements!$E:$E,$A30,movements!$D:$D,"RECEIPT",movements!$C:$C,"&lt;"&amp;AZ$1+1)-SUMIFS(movements!$H:$H,movements!$E:$E,$A30,movements!$D:$D,"ISSUE",movements!$C:$C,"&lt;"&amp;AZ$1+1)</f>
        <v>232</v>
      </c>
      <c r="BA30">
        <f>SUMIFS(movements!$H:$H,movements!$E:$E,$A30,movements!$D:$D,"OPENING",movements!$C:$C,"&lt;"&amp;BA$1+1)+SUMIFS(movements!$H:$H,movements!$E:$E,$A30,movements!$D:$D,"RECEIPT",movements!$C:$C,"&lt;"&amp;BA$1+1)-SUMIFS(movements!$H:$H,movements!$E:$E,$A30,movements!$D:$D,"ISSUE",movements!$C:$C,"&lt;"&amp;BA$1+1)</f>
        <v>232</v>
      </c>
      <c r="BB30">
        <f>SUMIFS(movements!$H:$H,movements!$E:$E,$A30,movements!$D:$D,"OPENING",movements!$C:$C,"&lt;"&amp;BB$1+1)+SUMIFS(movements!$H:$H,movements!$E:$E,$A30,movements!$D:$D,"RECEIPT",movements!$C:$C,"&lt;"&amp;BB$1+1)-SUMIFS(movements!$H:$H,movements!$E:$E,$A30,movements!$D:$D,"ISSUE",movements!$C:$C,"&lt;"&amp;BB$1+1)</f>
        <v>232</v>
      </c>
      <c r="BC30">
        <f>SUMIFS(movements!$H:$H,movements!$E:$E,$A30,movements!$D:$D,"OPENING",movements!$C:$C,"&lt;"&amp;BC$1+1)+SUMIFS(movements!$H:$H,movements!$E:$E,$A30,movements!$D:$D,"RECEIPT",movements!$C:$C,"&lt;"&amp;BC$1+1)-SUMIFS(movements!$H:$H,movements!$E:$E,$A30,movements!$D:$D,"ISSUE",movements!$C:$C,"&lt;"&amp;BC$1+1)</f>
        <v>232</v>
      </c>
      <c r="BD30">
        <f>SUMIFS(movements!$H:$H,movements!$E:$E,$A30,movements!$D:$D,"OPENING",movements!$C:$C,"&lt;"&amp;BD$1+1)+SUMIFS(movements!$H:$H,movements!$E:$E,$A30,movements!$D:$D,"RECEIPT",movements!$C:$C,"&lt;"&amp;BD$1+1)-SUMIFS(movements!$H:$H,movements!$E:$E,$A30,movements!$D:$D,"ISSUE",movements!$C:$C,"&lt;"&amp;BD$1+1)</f>
        <v>232</v>
      </c>
      <c r="BE30">
        <f>SUMIFS(movements!$H:$H,movements!$E:$E,$A30,movements!$D:$D,"OPENING",movements!$C:$C,"&lt;"&amp;BE$1+1)+SUMIFS(movements!$H:$H,movements!$E:$E,$A30,movements!$D:$D,"RECEIPT",movements!$C:$C,"&lt;"&amp;BE$1+1)-SUMIFS(movements!$H:$H,movements!$E:$E,$A30,movements!$D:$D,"ISSUE",movements!$C:$C,"&lt;"&amp;BE$1+1)</f>
        <v>232</v>
      </c>
      <c r="BF30">
        <f>SUMIFS(movements!$H:$H,movements!$E:$E,$A30,movements!$D:$D,"OPENING",movements!$C:$C,"&lt;"&amp;BF$1+1)+SUMIFS(movements!$H:$H,movements!$E:$E,$A30,movements!$D:$D,"RECEIPT",movements!$C:$C,"&lt;"&amp;BF$1+1)-SUMIFS(movements!$H:$H,movements!$E:$E,$A30,movements!$D:$D,"ISSUE",movements!$C:$C,"&lt;"&amp;BF$1+1)</f>
        <v>232</v>
      </c>
      <c r="BG30">
        <f>SUMIFS(movements!$H:$H,movements!$E:$E,$A30,movements!$D:$D,"OPENING",movements!$C:$C,"&lt;"&amp;BG$1+1)+SUMIFS(movements!$H:$H,movements!$E:$E,$A30,movements!$D:$D,"RECEIPT",movements!$C:$C,"&lt;"&amp;BG$1+1)-SUMIFS(movements!$H:$H,movements!$E:$E,$A30,movements!$D:$D,"ISSUE",movements!$C:$C,"&lt;"&amp;BG$1+1)</f>
        <v>232</v>
      </c>
      <c r="BH30">
        <f>SUMIFS(movements!$H:$H,movements!$E:$E,$A30,movements!$D:$D,"OPENING",movements!$C:$C,"&lt;"&amp;BH$1+1)+SUMIFS(movements!$H:$H,movements!$E:$E,$A30,movements!$D:$D,"RECEIPT",movements!$C:$C,"&lt;"&amp;BH$1+1)-SUMIFS(movements!$H:$H,movements!$E:$E,$A30,movements!$D:$D,"ISSUE",movements!$C:$C,"&lt;"&amp;BH$1+1)</f>
        <v>232</v>
      </c>
      <c r="BI30">
        <f>SUMIFS(movements!$H:$H,movements!$E:$E,$A30,movements!$D:$D,"OPENING",movements!$C:$C,"&lt;"&amp;BI$1+1)+SUMIFS(movements!$H:$H,movements!$E:$E,$A30,movements!$D:$D,"RECEIPT",movements!$C:$C,"&lt;"&amp;BI$1+1)-SUMIFS(movements!$H:$H,movements!$E:$E,$A30,movements!$D:$D,"ISSUE",movements!$C:$C,"&lt;"&amp;BI$1+1)</f>
        <v>232</v>
      </c>
      <c r="BJ30">
        <f>SUMIFS(movements!$H:$H,movements!$E:$E,$A30,movements!$D:$D,"OPENING",movements!$C:$C,"&lt;"&amp;BJ$1+1)+SUMIFS(movements!$H:$H,movements!$E:$E,$A30,movements!$D:$D,"RECEIPT",movements!$C:$C,"&lt;"&amp;BJ$1+1)-SUMIFS(movements!$H:$H,movements!$E:$E,$A30,movements!$D:$D,"ISSUE",movements!$C:$C,"&lt;"&amp;BJ$1+1)</f>
        <v>232</v>
      </c>
      <c r="BK30">
        <f>SUMIFS(movements!$H:$H,movements!$E:$E,$A30,movements!$D:$D,"OPENING",movements!$C:$C,"&lt;"&amp;BK$1+1)+SUMIFS(movements!$H:$H,movements!$E:$E,$A30,movements!$D:$D,"RECEIPT",movements!$C:$C,"&lt;"&amp;BK$1+1)-SUMIFS(movements!$H:$H,movements!$E:$E,$A30,movements!$D:$D,"ISSUE",movements!$C:$C,"&lt;"&amp;BK$1+1)</f>
        <v>232</v>
      </c>
      <c r="BL30">
        <f>SUMIFS(movements!$H:$H,movements!$E:$E,$A30,movements!$D:$D,"OPENING",movements!$C:$C,"&lt;"&amp;BL$1+1)+SUMIFS(movements!$H:$H,movements!$E:$E,$A30,movements!$D:$D,"RECEIPT",movements!$C:$C,"&lt;"&amp;BL$1+1)-SUMIFS(movements!$H:$H,movements!$E:$E,$A30,movements!$D:$D,"ISSUE",movements!$C:$C,"&lt;"&amp;BL$1+1)</f>
        <v>232</v>
      </c>
      <c r="BM30">
        <f>SUMIFS(movements!$H:$H,movements!$E:$E,$A30,movements!$D:$D,"OPENING",movements!$C:$C,"&lt;"&amp;BM$1+1)+SUMIFS(movements!$H:$H,movements!$E:$E,$A30,movements!$D:$D,"RECEIPT",movements!$C:$C,"&lt;"&amp;BM$1+1)-SUMIFS(movements!$H:$H,movements!$E:$E,$A30,movements!$D:$D,"ISSUE",movements!$C:$C,"&lt;"&amp;BM$1+1)</f>
        <v>232</v>
      </c>
      <c r="BN30">
        <f>SUMIFS(movements!$H:$H,movements!$E:$E,$A30,movements!$D:$D,"OPENING",movements!$C:$C,"&lt;"&amp;BN$1+1)+SUMIFS(movements!$H:$H,movements!$E:$E,$A30,movements!$D:$D,"RECEIPT",movements!$C:$C,"&lt;"&amp;BN$1+1)-SUMIFS(movements!$H:$H,movements!$E:$E,$A30,movements!$D:$D,"ISSUE",movements!$C:$C,"&lt;"&amp;BN$1+1)</f>
        <v>232</v>
      </c>
      <c r="BO30">
        <f>SUMIFS(movements!$H:$H,movements!$E:$E,$A30,movements!$D:$D,"OPENING",movements!$C:$C,"&lt;"&amp;BO$1+1)+SUMIFS(movements!$H:$H,movements!$E:$E,$A30,movements!$D:$D,"RECEIPT",movements!$C:$C,"&lt;"&amp;BO$1+1)-SUMIFS(movements!$H:$H,movements!$E:$E,$A30,movements!$D:$D,"ISSUE",movements!$C:$C,"&lt;"&amp;BO$1+1)</f>
        <v>232</v>
      </c>
      <c r="BP30">
        <f>SUMIFS(movements!$H:$H,movements!$E:$E,$A30,movements!$D:$D,"OPENING",movements!$C:$C,"&lt;"&amp;BP$1+1)+SUMIFS(movements!$H:$H,movements!$E:$E,$A30,movements!$D:$D,"RECEIPT",movements!$C:$C,"&lt;"&amp;BP$1+1)-SUMIFS(movements!$H:$H,movements!$E:$E,$A30,movements!$D:$D,"ISSUE",movements!$C:$C,"&lt;"&amp;BP$1+1)</f>
        <v>232</v>
      </c>
      <c r="BQ30">
        <f>SUMIFS(movements!$H:$H,movements!$E:$E,$A30,movements!$D:$D,"OPENING",movements!$C:$C,"&lt;"&amp;BQ$1+1)+SUMIFS(movements!$H:$H,movements!$E:$E,$A30,movements!$D:$D,"RECEIPT",movements!$C:$C,"&lt;"&amp;BQ$1+1)-SUMIFS(movements!$H:$H,movements!$E:$E,$A30,movements!$D:$D,"ISSUE",movements!$C:$C,"&lt;"&amp;BQ$1+1)</f>
        <v>232</v>
      </c>
      <c r="BR30">
        <f>SUMIFS(movements!$H:$H,movements!$E:$E,$A30,movements!$D:$D,"OPENING",movements!$C:$C,"&lt;"&amp;BR$1+1)+SUMIFS(movements!$H:$H,movements!$E:$E,$A30,movements!$D:$D,"RECEIPT",movements!$C:$C,"&lt;"&amp;BR$1+1)-SUMIFS(movements!$H:$H,movements!$E:$E,$A30,movements!$D:$D,"ISSUE",movements!$C:$C,"&lt;"&amp;BR$1+1)</f>
        <v>232</v>
      </c>
      <c r="BS30">
        <f>SUMIFS(movements!$H:$H,movements!$E:$E,$A30,movements!$D:$D,"OPENING",movements!$C:$C,"&lt;"&amp;BS$1+1)+SUMIFS(movements!$H:$H,movements!$E:$E,$A30,movements!$D:$D,"RECEIPT",movements!$C:$C,"&lt;"&amp;BS$1+1)-SUMIFS(movements!$H:$H,movements!$E:$E,$A30,movements!$D:$D,"ISSUE",movements!$C:$C,"&lt;"&amp;BS$1+1)</f>
        <v>232</v>
      </c>
      <c r="BT30">
        <f>SUMIFS(movements!$H:$H,movements!$E:$E,$A30,movements!$D:$D,"OPENING",movements!$C:$C,"&lt;"&amp;BT$1+1)+SUMIFS(movements!$H:$H,movements!$E:$E,$A30,movements!$D:$D,"RECEIPT",movements!$C:$C,"&lt;"&amp;BT$1+1)-SUMIFS(movements!$H:$H,movements!$E:$E,$A30,movements!$D:$D,"ISSUE",movements!$C:$C,"&lt;"&amp;BT$1+1)</f>
        <v>232</v>
      </c>
      <c r="BU30">
        <f>SUMIFS(movements!$H:$H,movements!$E:$E,$A30,movements!$D:$D,"OPENING",movements!$C:$C,"&lt;"&amp;BU$1+1)+SUMIFS(movements!$H:$H,movements!$E:$E,$A30,movements!$D:$D,"RECEIPT",movements!$C:$C,"&lt;"&amp;BU$1+1)-SUMIFS(movements!$H:$H,movements!$E:$E,$A30,movements!$D:$D,"ISSUE",movements!$C:$C,"&lt;"&amp;BU$1+1)</f>
        <v>232</v>
      </c>
      <c r="BV30">
        <f>SUMIFS(movements!$H:$H,movements!$E:$E,$A30,movements!$D:$D,"OPENING",movements!$C:$C,"&lt;"&amp;BV$1+1)+SUMIFS(movements!$H:$H,movements!$E:$E,$A30,movements!$D:$D,"RECEIPT",movements!$C:$C,"&lt;"&amp;BV$1+1)-SUMIFS(movements!$H:$H,movements!$E:$E,$A30,movements!$D:$D,"ISSUE",movements!$C:$C,"&lt;"&amp;BV$1+1)</f>
        <v>232</v>
      </c>
      <c r="BW30">
        <f>SUMIFS(movements!$H:$H,movements!$E:$E,$A30,movements!$D:$D,"OPENING",movements!$C:$C,"&lt;"&amp;BW$1+1)+SUMIFS(movements!$H:$H,movements!$E:$E,$A30,movements!$D:$D,"RECEIPT",movements!$C:$C,"&lt;"&amp;BW$1+1)-SUMIFS(movements!$H:$H,movements!$E:$E,$A30,movements!$D:$D,"ISSUE",movements!$C:$C,"&lt;"&amp;BW$1+1)</f>
        <v>232</v>
      </c>
      <c r="BX30">
        <f>SUMIFS(movements!$H:$H,movements!$E:$E,$A30,movements!$D:$D,"OPENING",movements!$C:$C,"&lt;"&amp;BX$1+1)+SUMIFS(movements!$H:$H,movements!$E:$E,$A30,movements!$D:$D,"RECEIPT",movements!$C:$C,"&lt;"&amp;BX$1+1)-SUMIFS(movements!$H:$H,movements!$E:$E,$A30,movements!$D:$D,"ISSUE",movements!$C:$C,"&lt;"&amp;BX$1+1)</f>
        <v>232</v>
      </c>
      <c r="BY30">
        <f>SUMIFS(movements!$H:$H,movements!$E:$E,$A30,movements!$D:$D,"OPENING",movements!$C:$C,"&lt;"&amp;BY$1+1)+SUMIFS(movements!$H:$H,movements!$E:$E,$A30,movements!$D:$D,"RECEIPT",movements!$C:$C,"&lt;"&amp;BY$1+1)-SUMIFS(movements!$H:$H,movements!$E:$E,$A30,movements!$D:$D,"ISSUE",movements!$C:$C,"&lt;"&amp;BY$1+1)</f>
        <v>223</v>
      </c>
      <c r="BZ30">
        <f>SUMIFS(movements!$H:$H,movements!$E:$E,$A30,movements!$D:$D,"OPENING",movements!$C:$C,"&lt;"&amp;BZ$1+1)+SUMIFS(movements!$H:$H,movements!$E:$E,$A30,movements!$D:$D,"RECEIPT",movements!$C:$C,"&lt;"&amp;BZ$1+1)-SUMIFS(movements!$H:$H,movements!$E:$E,$A30,movements!$D:$D,"ISSUE",movements!$C:$C,"&lt;"&amp;BZ$1+1)</f>
        <v>223</v>
      </c>
      <c r="CA30">
        <f>SUMIFS(movements!$H:$H,movements!$E:$E,$A30,movements!$D:$D,"OPENING",movements!$C:$C,"&lt;"&amp;CA$1+1)+SUMIFS(movements!$H:$H,movements!$E:$E,$A30,movements!$D:$D,"RECEIPT",movements!$C:$C,"&lt;"&amp;CA$1+1)-SUMIFS(movements!$H:$H,movements!$E:$E,$A30,movements!$D:$D,"ISSUE",movements!$C:$C,"&lt;"&amp;CA$1+1)</f>
        <v>223</v>
      </c>
      <c r="CB30">
        <f>SUMIFS(movements!$H:$H,movements!$E:$E,$A30,movements!$D:$D,"OPENING",movements!$C:$C,"&lt;"&amp;CB$1+1)+SUMIFS(movements!$H:$H,movements!$E:$E,$A30,movements!$D:$D,"RECEIPT",movements!$C:$C,"&lt;"&amp;CB$1+1)-SUMIFS(movements!$H:$H,movements!$E:$E,$A30,movements!$D:$D,"ISSUE",movements!$C:$C,"&lt;"&amp;CB$1+1)</f>
        <v>223</v>
      </c>
      <c r="CC30">
        <f>SUMIFS(movements!$H:$H,movements!$E:$E,$A30,movements!$D:$D,"OPENING",movements!$C:$C,"&lt;"&amp;CC$1+1)+SUMIFS(movements!$H:$H,movements!$E:$E,$A30,movements!$D:$D,"RECEIPT",movements!$C:$C,"&lt;"&amp;CC$1+1)-SUMIFS(movements!$H:$H,movements!$E:$E,$A30,movements!$D:$D,"ISSUE",movements!$C:$C,"&lt;"&amp;CC$1+1)</f>
        <v>223</v>
      </c>
      <c r="CD30">
        <f>SUMIFS(movements!$H:$H,movements!$E:$E,$A30,movements!$D:$D,"OPENING",movements!$C:$C,"&lt;"&amp;CD$1+1)+SUMIFS(movements!$H:$H,movements!$E:$E,$A30,movements!$D:$D,"RECEIPT",movements!$C:$C,"&lt;"&amp;CD$1+1)-SUMIFS(movements!$H:$H,movements!$E:$E,$A30,movements!$D:$D,"ISSUE",movements!$C:$C,"&lt;"&amp;CD$1+1)</f>
        <v>223</v>
      </c>
      <c r="CE30">
        <f>SUMIFS(movements!$H:$H,movements!$E:$E,$A30,movements!$D:$D,"OPENING",movements!$C:$C,"&lt;"&amp;CE$1+1)+SUMIFS(movements!$H:$H,movements!$E:$E,$A30,movements!$D:$D,"RECEIPT",movements!$C:$C,"&lt;"&amp;CE$1+1)-SUMIFS(movements!$H:$H,movements!$E:$E,$A30,movements!$D:$D,"ISSUE",movements!$C:$C,"&lt;"&amp;CE$1+1)</f>
        <v>223</v>
      </c>
      <c r="CF30">
        <f>SUMIFS(movements!$H:$H,movements!$E:$E,$A30,movements!$D:$D,"OPENING",movements!$C:$C,"&lt;"&amp;CF$1+1)+SUMIFS(movements!$H:$H,movements!$E:$E,$A30,movements!$D:$D,"RECEIPT",movements!$C:$C,"&lt;"&amp;CF$1+1)-SUMIFS(movements!$H:$H,movements!$E:$E,$A30,movements!$D:$D,"ISSUE",movements!$C:$C,"&lt;"&amp;CF$1+1)</f>
        <v>221</v>
      </c>
      <c r="CG30">
        <f>SUMIFS(movements!$H:$H,movements!$E:$E,$A30,movements!$D:$D,"OPENING",movements!$C:$C,"&lt;"&amp;CG$1+1)+SUMIFS(movements!$H:$H,movements!$E:$E,$A30,movements!$D:$D,"RECEIPT",movements!$C:$C,"&lt;"&amp;CG$1+1)-SUMIFS(movements!$H:$H,movements!$E:$E,$A30,movements!$D:$D,"ISSUE",movements!$C:$C,"&lt;"&amp;CG$1+1)</f>
        <v>221</v>
      </c>
      <c r="CH30">
        <f>SUMIFS(movements!$H:$H,movements!$E:$E,$A30,movements!$D:$D,"OPENING",movements!$C:$C,"&lt;"&amp;CH$1+1)+SUMIFS(movements!$H:$H,movements!$E:$E,$A30,movements!$D:$D,"RECEIPT",movements!$C:$C,"&lt;"&amp;CH$1+1)-SUMIFS(movements!$H:$H,movements!$E:$E,$A30,movements!$D:$D,"ISSUE",movements!$C:$C,"&lt;"&amp;CH$1+1)</f>
        <v>221</v>
      </c>
      <c r="CI30">
        <f>SUMIFS(movements!$H:$H,movements!$E:$E,$A30,movements!$D:$D,"OPENING",movements!$C:$C,"&lt;"&amp;CI$1+1)+SUMIFS(movements!$H:$H,movements!$E:$E,$A30,movements!$D:$D,"RECEIPT",movements!$C:$C,"&lt;"&amp;CI$1+1)-SUMIFS(movements!$H:$H,movements!$E:$E,$A30,movements!$D:$D,"ISSUE",movements!$C:$C,"&lt;"&amp;CI$1+1)</f>
        <v>221</v>
      </c>
      <c r="CJ30">
        <f>SUMIFS(movements!$H:$H,movements!$E:$E,$A30,movements!$D:$D,"OPENING",movements!$C:$C,"&lt;"&amp;CJ$1+1)+SUMIFS(movements!$H:$H,movements!$E:$E,$A30,movements!$D:$D,"RECEIPT",movements!$C:$C,"&lt;"&amp;CJ$1+1)-SUMIFS(movements!$H:$H,movements!$E:$E,$A30,movements!$D:$D,"ISSUE",movements!$C:$C,"&lt;"&amp;CJ$1+1)</f>
        <v>221</v>
      </c>
      <c r="CK30">
        <f>SUMIFS(movements!$H:$H,movements!$E:$E,$A30,movements!$D:$D,"OPENING",movements!$C:$C,"&lt;"&amp;CK$1+1)+SUMIFS(movements!$H:$H,movements!$E:$E,$A30,movements!$D:$D,"RECEIPT",movements!$C:$C,"&lt;"&amp;CK$1+1)-SUMIFS(movements!$H:$H,movements!$E:$E,$A30,movements!$D:$D,"ISSUE",movements!$C:$C,"&lt;"&amp;CK$1+1)</f>
        <v>217</v>
      </c>
      <c r="CL30">
        <f>SUMIFS(movements!$H:$H,movements!$E:$E,$A30,movements!$D:$D,"OPENING",movements!$C:$C,"&lt;"&amp;CL$1+1)+SUMIFS(movements!$H:$H,movements!$E:$E,$A30,movements!$D:$D,"RECEIPT",movements!$C:$C,"&lt;"&amp;CL$1+1)-SUMIFS(movements!$H:$H,movements!$E:$E,$A30,movements!$D:$D,"ISSUE",movements!$C:$C,"&lt;"&amp;CL$1+1)</f>
        <v>217</v>
      </c>
      <c r="CM30">
        <f>SUMIFS(movements!$H:$H,movements!$E:$E,$A30,movements!$D:$D,"OPENING",movements!$C:$C,"&lt;"&amp;CM$1+1)+SUMIFS(movements!$H:$H,movements!$E:$E,$A30,movements!$D:$D,"RECEIPT",movements!$C:$C,"&lt;"&amp;CM$1+1)-SUMIFS(movements!$H:$H,movements!$E:$E,$A30,movements!$D:$D,"ISSUE",movements!$C:$C,"&lt;"&amp;CM$1+1)</f>
        <v>212</v>
      </c>
      <c r="CN30">
        <f t="shared" si="2"/>
        <v>233.83333333333334</v>
      </c>
      <c r="CO30">
        <f>SUMIFS(movements!$H:$H,movements!$E:$E,$A30,movements!$D:$D,"ISSUE",movements!$C:$C,"&gt;="&amp;$B$1,movements!$C:$C,"&lt;"&amp;($CM$1+1))</f>
        <v>28</v>
      </c>
      <c r="CP30">
        <f>IF(CN30=0,"无法计算",CO30/CN30)</f>
        <v>0.11974340698503207</v>
      </c>
      <c r="CQ30">
        <f t="shared" si="4"/>
        <v>751.60714285714289</v>
      </c>
    </row>
    <row r="31" spans="1:95" x14ac:dyDescent="0.25">
      <c r="A31" t="s">
        <v>82</v>
      </c>
      <c r="B31">
        <f>SUMIFS(movements!$H:$H,movements!$E:$E,$A31,movements!$D:$D,"OPENING",movements!$C:$C,"&lt;"&amp;B$1+1)+SUMIFS(movements!$H:$H,movements!$E:$E,$A31,movements!$D:$D,"RECEIPT",movements!$C:$C,"&lt;"&amp;B$1+1)-SUMIFS(movements!$H:$H,movements!$E:$E,$A31,movements!$D:$D,"ISSUE",movements!$C:$C,"&lt;"&amp;B$1+1)</f>
        <v>240</v>
      </c>
      <c r="C31">
        <f>SUMIFS(movements!$H:$H,movements!$E:$E,$A31,movements!$D:$D,"OPENING",movements!$C:$C,"&lt;"&amp;C$1+1)+SUMIFS(movements!$H:$H,movements!$E:$E,$A31,movements!$D:$D,"RECEIPT",movements!$C:$C,"&lt;"&amp;C$1+1)-SUMIFS(movements!$H:$H,movements!$E:$E,$A31,movements!$D:$D,"ISSUE",movements!$C:$C,"&lt;"&amp;C$1+1)</f>
        <v>240</v>
      </c>
      <c r="D31">
        <f>SUMIFS(movements!$H:$H,movements!$E:$E,$A31,movements!$D:$D,"OPENING",movements!$C:$C,"&lt;"&amp;D$1+1)+SUMIFS(movements!$H:$H,movements!$E:$E,$A31,movements!$D:$D,"RECEIPT",movements!$C:$C,"&lt;"&amp;D$1+1)-SUMIFS(movements!$H:$H,movements!$E:$E,$A31,movements!$D:$D,"ISSUE",movements!$C:$C,"&lt;"&amp;D$1+1)</f>
        <v>240</v>
      </c>
      <c r="E31">
        <f>SUMIFS(movements!$H:$H,movements!$E:$E,$A31,movements!$D:$D,"OPENING",movements!$C:$C,"&lt;"&amp;E$1+1)+SUMIFS(movements!$H:$H,movements!$E:$E,$A31,movements!$D:$D,"RECEIPT",movements!$C:$C,"&lt;"&amp;E$1+1)-SUMIFS(movements!$H:$H,movements!$E:$E,$A31,movements!$D:$D,"ISSUE",movements!$C:$C,"&lt;"&amp;E$1+1)</f>
        <v>240</v>
      </c>
      <c r="F31">
        <f>SUMIFS(movements!$H:$H,movements!$E:$E,$A31,movements!$D:$D,"OPENING",movements!$C:$C,"&lt;"&amp;F$1+1)+SUMIFS(movements!$H:$H,movements!$E:$E,$A31,movements!$D:$D,"RECEIPT",movements!$C:$C,"&lt;"&amp;F$1+1)-SUMIFS(movements!$H:$H,movements!$E:$E,$A31,movements!$D:$D,"ISSUE",movements!$C:$C,"&lt;"&amp;F$1+1)</f>
        <v>240</v>
      </c>
      <c r="G31">
        <f>SUMIFS(movements!$H:$H,movements!$E:$E,$A31,movements!$D:$D,"OPENING",movements!$C:$C,"&lt;"&amp;G$1+1)+SUMIFS(movements!$H:$H,movements!$E:$E,$A31,movements!$D:$D,"RECEIPT",movements!$C:$C,"&lt;"&amp;G$1+1)-SUMIFS(movements!$H:$H,movements!$E:$E,$A31,movements!$D:$D,"ISSUE",movements!$C:$C,"&lt;"&amp;G$1+1)</f>
        <v>240</v>
      </c>
      <c r="H31">
        <f>SUMIFS(movements!$H:$H,movements!$E:$E,$A31,movements!$D:$D,"OPENING",movements!$C:$C,"&lt;"&amp;H$1+1)+SUMIFS(movements!$H:$H,movements!$E:$E,$A31,movements!$D:$D,"RECEIPT",movements!$C:$C,"&lt;"&amp;H$1+1)-SUMIFS(movements!$H:$H,movements!$E:$E,$A31,movements!$D:$D,"ISSUE",movements!$C:$C,"&lt;"&amp;H$1+1)</f>
        <v>240</v>
      </c>
      <c r="I31">
        <f>SUMIFS(movements!$H:$H,movements!$E:$E,$A31,movements!$D:$D,"OPENING",movements!$C:$C,"&lt;"&amp;I$1+1)+SUMIFS(movements!$H:$H,movements!$E:$E,$A31,movements!$D:$D,"RECEIPT",movements!$C:$C,"&lt;"&amp;I$1+1)-SUMIFS(movements!$H:$H,movements!$E:$E,$A31,movements!$D:$D,"ISSUE",movements!$C:$C,"&lt;"&amp;I$1+1)</f>
        <v>240</v>
      </c>
      <c r="J31">
        <f>SUMIFS(movements!$H:$H,movements!$E:$E,$A31,movements!$D:$D,"OPENING",movements!$C:$C,"&lt;"&amp;J$1+1)+SUMIFS(movements!$H:$H,movements!$E:$E,$A31,movements!$D:$D,"RECEIPT",movements!$C:$C,"&lt;"&amp;J$1+1)-SUMIFS(movements!$H:$H,movements!$E:$E,$A31,movements!$D:$D,"ISSUE",movements!$C:$C,"&lt;"&amp;J$1+1)</f>
        <v>240</v>
      </c>
      <c r="K31">
        <f>SUMIFS(movements!$H:$H,movements!$E:$E,$A31,movements!$D:$D,"OPENING",movements!$C:$C,"&lt;"&amp;K$1+1)+SUMIFS(movements!$H:$H,movements!$E:$E,$A31,movements!$D:$D,"RECEIPT",movements!$C:$C,"&lt;"&amp;K$1+1)-SUMIFS(movements!$H:$H,movements!$E:$E,$A31,movements!$D:$D,"ISSUE",movements!$C:$C,"&lt;"&amp;K$1+1)</f>
        <v>240</v>
      </c>
      <c r="L31">
        <f>SUMIFS(movements!$H:$H,movements!$E:$E,$A31,movements!$D:$D,"OPENING",movements!$C:$C,"&lt;"&amp;L$1+1)+SUMIFS(movements!$H:$H,movements!$E:$E,$A31,movements!$D:$D,"RECEIPT",movements!$C:$C,"&lt;"&amp;L$1+1)-SUMIFS(movements!$H:$H,movements!$E:$E,$A31,movements!$D:$D,"ISSUE",movements!$C:$C,"&lt;"&amp;L$1+1)</f>
        <v>240</v>
      </c>
      <c r="M31">
        <f>SUMIFS(movements!$H:$H,movements!$E:$E,$A31,movements!$D:$D,"OPENING",movements!$C:$C,"&lt;"&amp;M$1+1)+SUMIFS(movements!$H:$H,movements!$E:$E,$A31,movements!$D:$D,"RECEIPT",movements!$C:$C,"&lt;"&amp;M$1+1)-SUMIFS(movements!$H:$H,movements!$E:$E,$A31,movements!$D:$D,"ISSUE",movements!$C:$C,"&lt;"&amp;M$1+1)</f>
        <v>240</v>
      </c>
      <c r="N31">
        <f>SUMIFS(movements!$H:$H,movements!$E:$E,$A31,movements!$D:$D,"OPENING",movements!$C:$C,"&lt;"&amp;N$1+1)+SUMIFS(movements!$H:$H,movements!$E:$E,$A31,movements!$D:$D,"RECEIPT",movements!$C:$C,"&lt;"&amp;N$1+1)-SUMIFS(movements!$H:$H,movements!$E:$E,$A31,movements!$D:$D,"ISSUE",movements!$C:$C,"&lt;"&amp;N$1+1)</f>
        <v>240</v>
      </c>
      <c r="O31">
        <f>SUMIFS(movements!$H:$H,movements!$E:$E,$A31,movements!$D:$D,"OPENING",movements!$C:$C,"&lt;"&amp;O$1+1)+SUMIFS(movements!$H:$H,movements!$E:$E,$A31,movements!$D:$D,"RECEIPT",movements!$C:$C,"&lt;"&amp;O$1+1)-SUMIFS(movements!$H:$H,movements!$E:$E,$A31,movements!$D:$D,"ISSUE",movements!$C:$C,"&lt;"&amp;O$1+1)</f>
        <v>240</v>
      </c>
      <c r="P31">
        <f>SUMIFS(movements!$H:$H,movements!$E:$E,$A31,movements!$D:$D,"OPENING",movements!$C:$C,"&lt;"&amp;P$1+1)+SUMIFS(movements!$H:$H,movements!$E:$E,$A31,movements!$D:$D,"RECEIPT",movements!$C:$C,"&lt;"&amp;P$1+1)-SUMIFS(movements!$H:$H,movements!$E:$E,$A31,movements!$D:$D,"ISSUE",movements!$C:$C,"&lt;"&amp;P$1+1)</f>
        <v>240</v>
      </c>
      <c r="Q31">
        <f>SUMIFS(movements!$H:$H,movements!$E:$E,$A31,movements!$D:$D,"OPENING",movements!$C:$C,"&lt;"&amp;Q$1+1)+SUMIFS(movements!$H:$H,movements!$E:$E,$A31,movements!$D:$D,"RECEIPT",movements!$C:$C,"&lt;"&amp;Q$1+1)-SUMIFS(movements!$H:$H,movements!$E:$E,$A31,movements!$D:$D,"ISSUE",movements!$C:$C,"&lt;"&amp;Q$1+1)</f>
        <v>240</v>
      </c>
      <c r="R31">
        <f>SUMIFS(movements!$H:$H,movements!$E:$E,$A31,movements!$D:$D,"OPENING",movements!$C:$C,"&lt;"&amp;R$1+1)+SUMIFS(movements!$H:$H,movements!$E:$E,$A31,movements!$D:$D,"RECEIPT",movements!$C:$C,"&lt;"&amp;R$1+1)-SUMIFS(movements!$H:$H,movements!$E:$E,$A31,movements!$D:$D,"ISSUE",movements!$C:$C,"&lt;"&amp;R$1+1)</f>
        <v>240</v>
      </c>
      <c r="S31">
        <f>SUMIFS(movements!$H:$H,movements!$E:$E,$A31,movements!$D:$D,"OPENING",movements!$C:$C,"&lt;"&amp;S$1+1)+SUMIFS(movements!$H:$H,movements!$E:$E,$A31,movements!$D:$D,"RECEIPT",movements!$C:$C,"&lt;"&amp;S$1+1)-SUMIFS(movements!$H:$H,movements!$E:$E,$A31,movements!$D:$D,"ISSUE",movements!$C:$C,"&lt;"&amp;S$1+1)</f>
        <v>240</v>
      </c>
      <c r="T31">
        <f>SUMIFS(movements!$H:$H,movements!$E:$E,$A31,movements!$D:$D,"OPENING",movements!$C:$C,"&lt;"&amp;T$1+1)+SUMIFS(movements!$H:$H,movements!$E:$E,$A31,movements!$D:$D,"RECEIPT",movements!$C:$C,"&lt;"&amp;T$1+1)-SUMIFS(movements!$H:$H,movements!$E:$E,$A31,movements!$D:$D,"ISSUE",movements!$C:$C,"&lt;"&amp;T$1+1)</f>
        <v>240</v>
      </c>
      <c r="U31">
        <f>SUMIFS(movements!$H:$H,movements!$E:$E,$A31,movements!$D:$D,"OPENING",movements!$C:$C,"&lt;"&amp;U$1+1)+SUMIFS(movements!$H:$H,movements!$E:$E,$A31,movements!$D:$D,"RECEIPT",movements!$C:$C,"&lt;"&amp;U$1+1)-SUMIFS(movements!$H:$H,movements!$E:$E,$A31,movements!$D:$D,"ISSUE",movements!$C:$C,"&lt;"&amp;U$1+1)</f>
        <v>240</v>
      </c>
      <c r="V31">
        <f>SUMIFS(movements!$H:$H,movements!$E:$E,$A31,movements!$D:$D,"OPENING",movements!$C:$C,"&lt;"&amp;V$1+1)+SUMIFS(movements!$H:$H,movements!$E:$E,$A31,movements!$D:$D,"RECEIPT",movements!$C:$C,"&lt;"&amp;V$1+1)-SUMIFS(movements!$H:$H,movements!$E:$E,$A31,movements!$D:$D,"ISSUE",movements!$C:$C,"&lt;"&amp;V$1+1)</f>
        <v>240</v>
      </c>
      <c r="W31">
        <f>SUMIFS(movements!$H:$H,movements!$E:$E,$A31,movements!$D:$D,"OPENING",movements!$C:$C,"&lt;"&amp;W$1+1)+SUMIFS(movements!$H:$H,movements!$E:$E,$A31,movements!$D:$D,"RECEIPT",movements!$C:$C,"&lt;"&amp;W$1+1)-SUMIFS(movements!$H:$H,movements!$E:$E,$A31,movements!$D:$D,"ISSUE",movements!$C:$C,"&lt;"&amp;W$1+1)</f>
        <v>240</v>
      </c>
      <c r="X31">
        <f>SUMIFS(movements!$H:$H,movements!$E:$E,$A31,movements!$D:$D,"OPENING",movements!$C:$C,"&lt;"&amp;X$1+1)+SUMIFS(movements!$H:$H,movements!$E:$E,$A31,movements!$D:$D,"RECEIPT",movements!$C:$C,"&lt;"&amp;X$1+1)-SUMIFS(movements!$H:$H,movements!$E:$E,$A31,movements!$D:$D,"ISSUE",movements!$C:$C,"&lt;"&amp;X$1+1)</f>
        <v>240</v>
      </c>
      <c r="Y31">
        <f>SUMIFS(movements!$H:$H,movements!$E:$E,$A31,movements!$D:$D,"OPENING",movements!$C:$C,"&lt;"&amp;Y$1+1)+SUMIFS(movements!$H:$H,movements!$E:$E,$A31,movements!$D:$D,"RECEIPT",movements!$C:$C,"&lt;"&amp;Y$1+1)-SUMIFS(movements!$H:$H,movements!$E:$E,$A31,movements!$D:$D,"ISSUE",movements!$C:$C,"&lt;"&amp;Y$1+1)</f>
        <v>240</v>
      </c>
      <c r="Z31">
        <f>SUMIFS(movements!$H:$H,movements!$E:$E,$A31,movements!$D:$D,"OPENING",movements!$C:$C,"&lt;"&amp;Z$1+1)+SUMIFS(movements!$H:$H,movements!$E:$E,$A31,movements!$D:$D,"RECEIPT",movements!$C:$C,"&lt;"&amp;Z$1+1)-SUMIFS(movements!$H:$H,movements!$E:$E,$A31,movements!$D:$D,"ISSUE",movements!$C:$C,"&lt;"&amp;Z$1+1)</f>
        <v>240</v>
      </c>
      <c r="AA31">
        <f>SUMIFS(movements!$H:$H,movements!$E:$E,$A31,movements!$D:$D,"OPENING",movements!$C:$C,"&lt;"&amp;AA$1+1)+SUMIFS(movements!$H:$H,movements!$E:$E,$A31,movements!$D:$D,"RECEIPT",movements!$C:$C,"&lt;"&amp;AA$1+1)-SUMIFS(movements!$H:$H,movements!$E:$E,$A31,movements!$D:$D,"ISSUE",movements!$C:$C,"&lt;"&amp;AA$1+1)</f>
        <v>240</v>
      </c>
      <c r="AB31">
        <f>SUMIFS(movements!$H:$H,movements!$E:$E,$A31,movements!$D:$D,"OPENING",movements!$C:$C,"&lt;"&amp;AB$1+1)+SUMIFS(movements!$H:$H,movements!$E:$E,$A31,movements!$D:$D,"RECEIPT",movements!$C:$C,"&lt;"&amp;AB$1+1)-SUMIFS(movements!$H:$H,movements!$E:$E,$A31,movements!$D:$D,"ISSUE",movements!$C:$C,"&lt;"&amp;AB$1+1)</f>
        <v>240</v>
      </c>
      <c r="AC31">
        <f>SUMIFS(movements!$H:$H,movements!$E:$E,$A31,movements!$D:$D,"OPENING",movements!$C:$C,"&lt;"&amp;AC$1+1)+SUMIFS(movements!$H:$H,movements!$E:$E,$A31,movements!$D:$D,"RECEIPT",movements!$C:$C,"&lt;"&amp;AC$1+1)-SUMIFS(movements!$H:$H,movements!$E:$E,$A31,movements!$D:$D,"ISSUE",movements!$C:$C,"&lt;"&amp;AC$1+1)</f>
        <v>240</v>
      </c>
      <c r="AD31">
        <f>SUMIFS(movements!$H:$H,movements!$E:$E,$A31,movements!$D:$D,"OPENING",movements!$C:$C,"&lt;"&amp;AD$1+1)+SUMIFS(movements!$H:$H,movements!$E:$E,$A31,movements!$D:$D,"RECEIPT",movements!$C:$C,"&lt;"&amp;AD$1+1)-SUMIFS(movements!$H:$H,movements!$E:$E,$A31,movements!$D:$D,"ISSUE",movements!$C:$C,"&lt;"&amp;AD$1+1)</f>
        <v>240</v>
      </c>
      <c r="AE31">
        <f>SUMIFS(movements!$H:$H,movements!$E:$E,$A31,movements!$D:$D,"OPENING",movements!$C:$C,"&lt;"&amp;AE$1+1)+SUMIFS(movements!$H:$H,movements!$E:$E,$A31,movements!$D:$D,"RECEIPT",movements!$C:$C,"&lt;"&amp;AE$1+1)-SUMIFS(movements!$H:$H,movements!$E:$E,$A31,movements!$D:$D,"ISSUE",movements!$C:$C,"&lt;"&amp;AE$1+1)</f>
        <v>240</v>
      </c>
      <c r="AF31">
        <f>SUMIFS(movements!$H:$H,movements!$E:$E,$A31,movements!$D:$D,"OPENING",movements!$C:$C,"&lt;"&amp;AF$1+1)+SUMIFS(movements!$H:$H,movements!$E:$E,$A31,movements!$D:$D,"RECEIPT",movements!$C:$C,"&lt;"&amp;AF$1+1)-SUMIFS(movements!$H:$H,movements!$E:$E,$A31,movements!$D:$D,"ISSUE",movements!$C:$C,"&lt;"&amp;AF$1+1)</f>
        <v>240</v>
      </c>
      <c r="AG31">
        <f>SUMIFS(movements!$H:$H,movements!$E:$E,$A31,movements!$D:$D,"OPENING",movements!$C:$C,"&lt;"&amp;AG$1+1)+SUMIFS(movements!$H:$H,movements!$E:$E,$A31,movements!$D:$D,"RECEIPT",movements!$C:$C,"&lt;"&amp;AG$1+1)-SUMIFS(movements!$H:$H,movements!$E:$E,$A31,movements!$D:$D,"ISSUE",movements!$C:$C,"&lt;"&amp;AG$1+1)</f>
        <v>240</v>
      </c>
      <c r="AH31">
        <f>SUMIFS(movements!$H:$H,movements!$E:$E,$A31,movements!$D:$D,"OPENING",movements!$C:$C,"&lt;"&amp;AH$1+1)+SUMIFS(movements!$H:$H,movements!$E:$E,$A31,movements!$D:$D,"RECEIPT",movements!$C:$C,"&lt;"&amp;AH$1+1)-SUMIFS(movements!$H:$H,movements!$E:$E,$A31,movements!$D:$D,"ISSUE",movements!$C:$C,"&lt;"&amp;AH$1+1)</f>
        <v>240</v>
      </c>
      <c r="AI31">
        <f>SUMIFS(movements!$H:$H,movements!$E:$E,$A31,movements!$D:$D,"OPENING",movements!$C:$C,"&lt;"&amp;AI$1+1)+SUMIFS(movements!$H:$H,movements!$E:$E,$A31,movements!$D:$D,"RECEIPT",movements!$C:$C,"&lt;"&amp;AI$1+1)-SUMIFS(movements!$H:$H,movements!$E:$E,$A31,movements!$D:$D,"ISSUE",movements!$C:$C,"&lt;"&amp;AI$1+1)</f>
        <v>240</v>
      </c>
      <c r="AJ31">
        <f>SUMIFS(movements!$H:$H,movements!$E:$E,$A31,movements!$D:$D,"OPENING",movements!$C:$C,"&lt;"&amp;AJ$1+1)+SUMIFS(movements!$H:$H,movements!$E:$E,$A31,movements!$D:$D,"RECEIPT",movements!$C:$C,"&lt;"&amp;AJ$1+1)-SUMIFS(movements!$H:$H,movements!$E:$E,$A31,movements!$D:$D,"ISSUE",movements!$C:$C,"&lt;"&amp;AJ$1+1)</f>
        <v>240</v>
      </c>
      <c r="AK31">
        <f>SUMIFS(movements!$H:$H,movements!$E:$E,$A31,movements!$D:$D,"OPENING",movements!$C:$C,"&lt;"&amp;AK$1+1)+SUMIFS(movements!$H:$H,movements!$E:$E,$A31,movements!$D:$D,"RECEIPT",movements!$C:$C,"&lt;"&amp;AK$1+1)-SUMIFS(movements!$H:$H,movements!$E:$E,$A31,movements!$D:$D,"ISSUE",movements!$C:$C,"&lt;"&amp;AK$1+1)</f>
        <v>240</v>
      </c>
      <c r="AL31">
        <f>SUMIFS(movements!$H:$H,movements!$E:$E,$A31,movements!$D:$D,"OPENING",movements!$C:$C,"&lt;"&amp;AL$1+1)+SUMIFS(movements!$H:$H,movements!$E:$E,$A31,movements!$D:$D,"RECEIPT",movements!$C:$C,"&lt;"&amp;AL$1+1)-SUMIFS(movements!$H:$H,movements!$E:$E,$A31,movements!$D:$D,"ISSUE",movements!$C:$C,"&lt;"&amp;AL$1+1)</f>
        <v>240</v>
      </c>
      <c r="AM31">
        <f>SUMIFS(movements!$H:$H,movements!$E:$E,$A31,movements!$D:$D,"OPENING",movements!$C:$C,"&lt;"&amp;AM$1+1)+SUMIFS(movements!$H:$H,movements!$E:$E,$A31,movements!$D:$D,"RECEIPT",movements!$C:$C,"&lt;"&amp;AM$1+1)-SUMIFS(movements!$H:$H,movements!$E:$E,$A31,movements!$D:$D,"ISSUE",movements!$C:$C,"&lt;"&amp;AM$1+1)</f>
        <v>240</v>
      </c>
      <c r="AN31">
        <f>SUMIFS(movements!$H:$H,movements!$E:$E,$A31,movements!$D:$D,"OPENING",movements!$C:$C,"&lt;"&amp;AN$1+1)+SUMIFS(movements!$H:$H,movements!$E:$E,$A31,movements!$D:$D,"RECEIPT",movements!$C:$C,"&lt;"&amp;AN$1+1)-SUMIFS(movements!$H:$H,movements!$E:$E,$A31,movements!$D:$D,"ISSUE",movements!$C:$C,"&lt;"&amp;AN$1+1)</f>
        <v>240</v>
      </c>
      <c r="AO31">
        <f>SUMIFS(movements!$H:$H,movements!$E:$E,$A31,movements!$D:$D,"OPENING",movements!$C:$C,"&lt;"&amp;AO$1+1)+SUMIFS(movements!$H:$H,movements!$E:$E,$A31,movements!$D:$D,"RECEIPT",movements!$C:$C,"&lt;"&amp;AO$1+1)-SUMIFS(movements!$H:$H,movements!$E:$E,$A31,movements!$D:$D,"ISSUE",movements!$C:$C,"&lt;"&amp;AO$1+1)</f>
        <v>240</v>
      </c>
      <c r="AP31">
        <f>SUMIFS(movements!$H:$H,movements!$E:$E,$A31,movements!$D:$D,"OPENING",movements!$C:$C,"&lt;"&amp;AP$1+1)+SUMIFS(movements!$H:$H,movements!$E:$E,$A31,movements!$D:$D,"RECEIPT",movements!$C:$C,"&lt;"&amp;AP$1+1)-SUMIFS(movements!$H:$H,movements!$E:$E,$A31,movements!$D:$D,"ISSUE",movements!$C:$C,"&lt;"&amp;AP$1+1)</f>
        <v>240</v>
      </c>
      <c r="AQ31">
        <f>SUMIFS(movements!$H:$H,movements!$E:$E,$A31,movements!$D:$D,"OPENING",movements!$C:$C,"&lt;"&amp;AQ$1+1)+SUMIFS(movements!$H:$H,movements!$E:$E,$A31,movements!$D:$D,"RECEIPT",movements!$C:$C,"&lt;"&amp;AQ$1+1)-SUMIFS(movements!$H:$H,movements!$E:$E,$A31,movements!$D:$D,"ISSUE",movements!$C:$C,"&lt;"&amp;AQ$1+1)</f>
        <v>240</v>
      </c>
      <c r="AR31">
        <f>SUMIFS(movements!$H:$H,movements!$E:$E,$A31,movements!$D:$D,"OPENING",movements!$C:$C,"&lt;"&amp;AR$1+1)+SUMIFS(movements!$H:$H,movements!$E:$E,$A31,movements!$D:$D,"RECEIPT",movements!$C:$C,"&lt;"&amp;AR$1+1)-SUMIFS(movements!$H:$H,movements!$E:$E,$A31,movements!$D:$D,"ISSUE",movements!$C:$C,"&lt;"&amp;AR$1+1)</f>
        <v>240</v>
      </c>
      <c r="AS31">
        <f>SUMIFS(movements!$H:$H,movements!$E:$E,$A31,movements!$D:$D,"OPENING",movements!$C:$C,"&lt;"&amp;AS$1+1)+SUMIFS(movements!$H:$H,movements!$E:$E,$A31,movements!$D:$D,"RECEIPT",movements!$C:$C,"&lt;"&amp;AS$1+1)-SUMIFS(movements!$H:$H,movements!$E:$E,$A31,movements!$D:$D,"ISSUE",movements!$C:$C,"&lt;"&amp;AS$1+1)</f>
        <v>240</v>
      </c>
      <c r="AT31">
        <f>SUMIFS(movements!$H:$H,movements!$E:$E,$A31,movements!$D:$D,"OPENING",movements!$C:$C,"&lt;"&amp;AT$1+1)+SUMIFS(movements!$H:$H,movements!$E:$E,$A31,movements!$D:$D,"RECEIPT",movements!$C:$C,"&lt;"&amp;AT$1+1)-SUMIFS(movements!$H:$H,movements!$E:$E,$A31,movements!$D:$D,"ISSUE",movements!$C:$C,"&lt;"&amp;AT$1+1)</f>
        <v>240</v>
      </c>
      <c r="AU31">
        <f>SUMIFS(movements!$H:$H,movements!$E:$E,$A31,movements!$D:$D,"OPENING",movements!$C:$C,"&lt;"&amp;AU$1+1)+SUMIFS(movements!$H:$H,movements!$E:$E,$A31,movements!$D:$D,"RECEIPT",movements!$C:$C,"&lt;"&amp;AU$1+1)-SUMIFS(movements!$H:$H,movements!$E:$E,$A31,movements!$D:$D,"ISSUE",movements!$C:$C,"&lt;"&amp;AU$1+1)</f>
        <v>240</v>
      </c>
      <c r="AV31">
        <f>SUMIFS(movements!$H:$H,movements!$E:$E,$A31,movements!$D:$D,"OPENING",movements!$C:$C,"&lt;"&amp;AV$1+1)+SUMIFS(movements!$H:$H,movements!$E:$E,$A31,movements!$D:$D,"RECEIPT",movements!$C:$C,"&lt;"&amp;AV$1+1)-SUMIFS(movements!$H:$H,movements!$E:$E,$A31,movements!$D:$D,"ISSUE",movements!$C:$C,"&lt;"&amp;AV$1+1)</f>
        <v>240</v>
      </c>
      <c r="AW31">
        <f>SUMIFS(movements!$H:$H,movements!$E:$E,$A31,movements!$D:$D,"OPENING",movements!$C:$C,"&lt;"&amp;AW$1+1)+SUMIFS(movements!$H:$H,movements!$E:$E,$A31,movements!$D:$D,"RECEIPT",movements!$C:$C,"&lt;"&amp;AW$1+1)-SUMIFS(movements!$H:$H,movements!$E:$E,$A31,movements!$D:$D,"ISSUE",movements!$C:$C,"&lt;"&amp;AW$1+1)</f>
        <v>240</v>
      </c>
      <c r="AX31">
        <f>SUMIFS(movements!$H:$H,movements!$E:$E,$A31,movements!$D:$D,"OPENING",movements!$C:$C,"&lt;"&amp;AX$1+1)+SUMIFS(movements!$H:$H,movements!$E:$E,$A31,movements!$D:$D,"RECEIPT",movements!$C:$C,"&lt;"&amp;AX$1+1)-SUMIFS(movements!$H:$H,movements!$E:$E,$A31,movements!$D:$D,"ISSUE",movements!$C:$C,"&lt;"&amp;AX$1+1)</f>
        <v>240</v>
      </c>
      <c r="AY31">
        <f>SUMIFS(movements!$H:$H,movements!$E:$E,$A31,movements!$D:$D,"OPENING",movements!$C:$C,"&lt;"&amp;AY$1+1)+SUMIFS(movements!$H:$H,movements!$E:$E,$A31,movements!$D:$D,"RECEIPT",movements!$C:$C,"&lt;"&amp;AY$1+1)-SUMIFS(movements!$H:$H,movements!$E:$E,$A31,movements!$D:$D,"ISSUE",movements!$C:$C,"&lt;"&amp;AY$1+1)</f>
        <v>240</v>
      </c>
      <c r="AZ31">
        <f>SUMIFS(movements!$H:$H,movements!$E:$E,$A31,movements!$D:$D,"OPENING",movements!$C:$C,"&lt;"&amp;AZ$1+1)+SUMIFS(movements!$H:$H,movements!$E:$E,$A31,movements!$D:$D,"RECEIPT",movements!$C:$C,"&lt;"&amp;AZ$1+1)-SUMIFS(movements!$H:$H,movements!$E:$E,$A31,movements!$D:$D,"ISSUE",movements!$C:$C,"&lt;"&amp;AZ$1+1)</f>
        <v>240</v>
      </c>
      <c r="BA31">
        <f>SUMIFS(movements!$H:$H,movements!$E:$E,$A31,movements!$D:$D,"OPENING",movements!$C:$C,"&lt;"&amp;BA$1+1)+SUMIFS(movements!$H:$H,movements!$E:$E,$A31,movements!$D:$D,"RECEIPT",movements!$C:$C,"&lt;"&amp;BA$1+1)-SUMIFS(movements!$H:$H,movements!$E:$E,$A31,movements!$D:$D,"ISSUE",movements!$C:$C,"&lt;"&amp;BA$1+1)</f>
        <v>240</v>
      </c>
      <c r="BB31">
        <f>SUMIFS(movements!$H:$H,movements!$E:$E,$A31,movements!$D:$D,"OPENING",movements!$C:$C,"&lt;"&amp;BB$1+1)+SUMIFS(movements!$H:$H,movements!$E:$E,$A31,movements!$D:$D,"RECEIPT",movements!$C:$C,"&lt;"&amp;BB$1+1)-SUMIFS(movements!$H:$H,movements!$E:$E,$A31,movements!$D:$D,"ISSUE",movements!$C:$C,"&lt;"&amp;BB$1+1)</f>
        <v>240</v>
      </c>
      <c r="BC31">
        <f>SUMIFS(movements!$H:$H,movements!$E:$E,$A31,movements!$D:$D,"OPENING",movements!$C:$C,"&lt;"&amp;BC$1+1)+SUMIFS(movements!$H:$H,movements!$E:$E,$A31,movements!$D:$D,"RECEIPT",movements!$C:$C,"&lt;"&amp;BC$1+1)-SUMIFS(movements!$H:$H,movements!$E:$E,$A31,movements!$D:$D,"ISSUE",movements!$C:$C,"&lt;"&amp;BC$1+1)</f>
        <v>240</v>
      </c>
      <c r="BD31">
        <f>SUMIFS(movements!$H:$H,movements!$E:$E,$A31,movements!$D:$D,"OPENING",movements!$C:$C,"&lt;"&amp;BD$1+1)+SUMIFS(movements!$H:$H,movements!$E:$E,$A31,movements!$D:$D,"RECEIPT",movements!$C:$C,"&lt;"&amp;BD$1+1)-SUMIFS(movements!$H:$H,movements!$E:$E,$A31,movements!$D:$D,"ISSUE",movements!$C:$C,"&lt;"&amp;BD$1+1)</f>
        <v>240</v>
      </c>
      <c r="BE31">
        <f>SUMIFS(movements!$H:$H,movements!$E:$E,$A31,movements!$D:$D,"OPENING",movements!$C:$C,"&lt;"&amp;BE$1+1)+SUMIFS(movements!$H:$H,movements!$E:$E,$A31,movements!$D:$D,"RECEIPT",movements!$C:$C,"&lt;"&amp;BE$1+1)-SUMIFS(movements!$H:$H,movements!$E:$E,$A31,movements!$D:$D,"ISSUE",movements!$C:$C,"&lt;"&amp;BE$1+1)</f>
        <v>240</v>
      </c>
      <c r="BF31">
        <f>SUMIFS(movements!$H:$H,movements!$E:$E,$A31,movements!$D:$D,"OPENING",movements!$C:$C,"&lt;"&amp;BF$1+1)+SUMIFS(movements!$H:$H,movements!$E:$E,$A31,movements!$D:$D,"RECEIPT",movements!$C:$C,"&lt;"&amp;BF$1+1)-SUMIFS(movements!$H:$H,movements!$E:$E,$A31,movements!$D:$D,"ISSUE",movements!$C:$C,"&lt;"&amp;BF$1+1)</f>
        <v>240</v>
      </c>
      <c r="BG31">
        <f>SUMIFS(movements!$H:$H,movements!$E:$E,$A31,movements!$D:$D,"OPENING",movements!$C:$C,"&lt;"&amp;BG$1+1)+SUMIFS(movements!$H:$H,movements!$E:$E,$A31,movements!$D:$D,"RECEIPT",movements!$C:$C,"&lt;"&amp;BG$1+1)-SUMIFS(movements!$H:$H,movements!$E:$E,$A31,movements!$D:$D,"ISSUE",movements!$C:$C,"&lt;"&amp;BG$1+1)</f>
        <v>240</v>
      </c>
      <c r="BH31">
        <f>SUMIFS(movements!$H:$H,movements!$E:$E,$A31,movements!$D:$D,"OPENING",movements!$C:$C,"&lt;"&amp;BH$1+1)+SUMIFS(movements!$H:$H,movements!$E:$E,$A31,movements!$D:$D,"RECEIPT",movements!$C:$C,"&lt;"&amp;BH$1+1)-SUMIFS(movements!$H:$H,movements!$E:$E,$A31,movements!$D:$D,"ISSUE",movements!$C:$C,"&lt;"&amp;BH$1+1)</f>
        <v>240</v>
      </c>
      <c r="BI31">
        <f>SUMIFS(movements!$H:$H,movements!$E:$E,$A31,movements!$D:$D,"OPENING",movements!$C:$C,"&lt;"&amp;BI$1+1)+SUMIFS(movements!$H:$H,movements!$E:$E,$A31,movements!$D:$D,"RECEIPT",movements!$C:$C,"&lt;"&amp;BI$1+1)-SUMIFS(movements!$H:$H,movements!$E:$E,$A31,movements!$D:$D,"ISSUE",movements!$C:$C,"&lt;"&amp;BI$1+1)</f>
        <v>240</v>
      </c>
      <c r="BJ31">
        <f>SUMIFS(movements!$H:$H,movements!$E:$E,$A31,movements!$D:$D,"OPENING",movements!$C:$C,"&lt;"&amp;BJ$1+1)+SUMIFS(movements!$H:$H,movements!$E:$E,$A31,movements!$D:$D,"RECEIPT",movements!$C:$C,"&lt;"&amp;BJ$1+1)-SUMIFS(movements!$H:$H,movements!$E:$E,$A31,movements!$D:$D,"ISSUE",movements!$C:$C,"&lt;"&amp;BJ$1+1)</f>
        <v>240</v>
      </c>
      <c r="BK31">
        <f>SUMIFS(movements!$H:$H,movements!$E:$E,$A31,movements!$D:$D,"OPENING",movements!$C:$C,"&lt;"&amp;BK$1+1)+SUMIFS(movements!$H:$H,movements!$E:$E,$A31,movements!$D:$D,"RECEIPT",movements!$C:$C,"&lt;"&amp;BK$1+1)-SUMIFS(movements!$H:$H,movements!$E:$E,$A31,movements!$D:$D,"ISSUE",movements!$C:$C,"&lt;"&amp;BK$1+1)</f>
        <v>240</v>
      </c>
      <c r="BL31">
        <f>SUMIFS(movements!$H:$H,movements!$E:$E,$A31,movements!$D:$D,"OPENING",movements!$C:$C,"&lt;"&amp;BL$1+1)+SUMIFS(movements!$H:$H,movements!$E:$E,$A31,movements!$D:$D,"RECEIPT",movements!$C:$C,"&lt;"&amp;BL$1+1)-SUMIFS(movements!$H:$H,movements!$E:$E,$A31,movements!$D:$D,"ISSUE",movements!$C:$C,"&lt;"&amp;BL$1+1)</f>
        <v>240</v>
      </c>
      <c r="BM31">
        <f>SUMIFS(movements!$H:$H,movements!$E:$E,$A31,movements!$D:$D,"OPENING",movements!$C:$C,"&lt;"&amp;BM$1+1)+SUMIFS(movements!$H:$H,movements!$E:$E,$A31,movements!$D:$D,"RECEIPT",movements!$C:$C,"&lt;"&amp;BM$1+1)-SUMIFS(movements!$H:$H,movements!$E:$E,$A31,movements!$D:$D,"ISSUE",movements!$C:$C,"&lt;"&amp;BM$1+1)</f>
        <v>240</v>
      </c>
      <c r="BN31">
        <f>SUMIFS(movements!$H:$H,movements!$E:$E,$A31,movements!$D:$D,"OPENING",movements!$C:$C,"&lt;"&amp;BN$1+1)+SUMIFS(movements!$H:$H,movements!$E:$E,$A31,movements!$D:$D,"RECEIPT",movements!$C:$C,"&lt;"&amp;BN$1+1)-SUMIFS(movements!$H:$H,movements!$E:$E,$A31,movements!$D:$D,"ISSUE",movements!$C:$C,"&lt;"&amp;BN$1+1)</f>
        <v>240</v>
      </c>
      <c r="BO31">
        <f>SUMIFS(movements!$H:$H,movements!$E:$E,$A31,movements!$D:$D,"OPENING",movements!$C:$C,"&lt;"&amp;BO$1+1)+SUMIFS(movements!$H:$H,movements!$E:$E,$A31,movements!$D:$D,"RECEIPT",movements!$C:$C,"&lt;"&amp;BO$1+1)-SUMIFS(movements!$H:$H,movements!$E:$E,$A31,movements!$D:$D,"ISSUE",movements!$C:$C,"&lt;"&amp;BO$1+1)</f>
        <v>240</v>
      </c>
      <c r="BP31">
        <f>SUMIFS(movements!$H:$H,movements!$E:$E,$A31,movements!$D:$D,"OPENING",movements!$C:$C,"&lt;"&amp;BP$1+1)+SUMIFS(movements!$H:$H,movements!$E:$E,$A31,movements!$D:$D,"RECEIPT",movements!$C:$C,"&lt;"&amp;BP$1+1)-SUMIFS(movements!$H:$H,movements!$E:$E,$A31,movements!$D:$D,"ISSUE",movements!$C:$C,"&lt;"&amp;BP$1+1)</f>
        <v>240</v>
      </c>
      <c r="BQ31">
        <f>SUMIFS(movements!$H:$H,movements!$E:$E,$A31,movements!$D:$D,"OPENING",movements!$C:$C,"&lt;"&amp;BQ$1+1)+SUMIFS(movements!$H:$H,movements!$E:$E,$A31,movements!$D:$D,"RECEIPT",movements!$C:$C,"&lt;"&amp;BQ$1+1)-SUMIFS(movements!$H:$H,movements!$E:$E,$A31,movements!$D:$D,"ISSUE",movements!$C:$C,"&lt;"&amp;BQ$1+1)</f>
        <v>240</v>
      </c>
      <c r="BR31">
        <f>SUMIFS(movements!$H:$H,movements!$E:$E,$A31,movements!$D:$D,"OPENING",movements!$C:$C,"&lt;"&amp;BR$1+1)+SUMIFS(movements!$H:$H,movements!$E:$E,$A31,movements!$D:$D,"RECEIPT",movements!$C:$C,"&lt;"&amp;BR$1+1)-SUMIFS(movements!$H:$H,movements!$E:$E,$A31,movements!$D:$D,"ISSUE",movements!$C:$C,"&lt;"&amp;BR$1+1)</f>
        <v>240</v>
      </c>
      <c r="BS31">
        <f>SUMIFS(movements!$H:$H,movements!$E:$E,$A31,movements!$D:$D,"OPENING",movements!$C:$C,"&lt;"&amp;BS$1+1)+SUMIFS(movements!$H:$H,movements!$E:$E,$A31,movements!$D:$D,"RECEIPT",movements!$C:$C,"&lt;"&amp;BS$1+1)-SUMIFS(movements!$H:$H,movements!$E:$E,$A31,movements!$D:$D,"ISSUE",movements!$C:$C,"&lt;"&amp;BS$1+1)</f>
        <v>240</v>
      </c>
      <c r="BT31">
        <f>SUMIFS(movements!$H:$H,movements!$E:$E,$A31,movements!$D:$D,"OPENING",movements!$C:$C,"&lt;"&amp;BT$1+1)+SUMIFS(movements!$H:$H,movements!$E:$E,$A31,movements!$D:$D,"RECEIPT",movements!$C:$C,"&lt;"&amp;BT$1+1)-SUMIFS(movements!$H:$H,movements!$E:$E,$A31,movements!$D:$D,"ISSUE",movements!$C:$C,"&lt;"&amp;BT$1+1)</f>
        <v>240</v>
      </c>
      <c r="BU31">
        <f>SUMIFS(movements!$H:$H,movements!$E:$E,$A31,movements!$D:$D,"OPENING",movements!$C:$C,"&lt;"&amp;BU$1+1)+SUMIFS(movements!$H:$H,movements!$E:$E,$A31,movements!$D:$D,"RECEIPT",movements!$C:$C,"&lt;"&amp;BU$1+1)-SUMIFS(movements!$H:$H,movements!$E:$E,$A31,movements!$D:$D,"ISSUE",movements!$C:$C,"&lt;"&amp;BU$1+1)</f>
        <v>240</v>
      </c>
      <c r="BV31">
        <f>SUMIFS(movements!$H:$H,movements!$E:$E,$A31,movements!$D:$D,"OPENING",movements!$C:$C,"&lt;"&amp;BV$1+1)+SUMIFS(movements!$H:$H,movements!$E:$E,$A31,movements!$D:$D,"RECEIPT",movements!$C:$C,"&lt;"&amp;BV$1+1)-SUMIFS(movements!$H:$H,movements!$E:$E,$A31,movements!$D:$D,"ISSUE",movements!$C:$C,"&lt;"&amp;BV$1+1)</f>
        <v>240</v>
      </c>
      <c r="BW31">
        <f>SUMIFS(movements!$H:$H,movements!$E:$E,$A31,movements!$D:$D,"OPENING",movements!$C:$C,"&lt;"&amp;BW$1+1)+SUMIFS(movements!$H:$H,movements!$E:$E,$A31,movements!$D:$D,"RECEIPT",movements!$C:$C,"&lt;"&amp;BW$1+1)-SUMIFS(movements!$H:$H,movements!$E:$E,$A31,movements!$D:$D,"ISSUE",movements!$C:$C,"&lt;"&amp;BW$1+1)</f>
        <v>240</v>
      </c>
      <c r="BX31">
        <f>SUMIFS(movements!$H:$H,movements!$E:$E,$A31,movements!$D:$D,"OPENING",movements!$C:$C,"&lt;"&amp;BX$1+1)+SUMIFS(movements!$H:$H,movements!$E:$E,$A31,movements!$D:$D,"RECEIPT",movements!$C:$C,"&lt;"&amp;BX$1+1)-SUMIFS(movements!$H:$H,movements!$E:$E,$A31,movements!$D:$D,"ISSUE",movements!$C:$C,"&lt;"&amp;BX$1+1)</f>
        <v>240</v>
      </c>
      <c r="BY31">
        <f>SUMIFS(movements!$H:$H,movements!$E:$E,$A31,movements!$D:$D,"OPENING",movements!$C:$C,"&lt;"&amp;BY$1+1)+SUMIFS(movements!$H:$H,movements!$E:$E,$A31,movements!$D:$D,"RECEIPT",movements!$C:$C,"&lt;"&amp;BY$1+1)-SUMIFS(movements!$H:$H,movements!$E:$E,$A31,movements!$D:$D,"ISSUE",movements!$C:$C,"&lt;"&amp;BY$1+1)</f>
        <v>240</v>
      </c>
      <c r="BZ31">
        <f>SUMIFS(movements!$H:$H,movements!$E:$E,$A31,movements!$D:$D,"OPENING",movements!$C:$C,"&lt;"&amp;BZ$1+1)+SUMIFS(movements!$H:$H,movements!$E:$E,$A31,movements!$D:$D,"RECEIPT",movements!$C:$C,"&lt;"&amp;BZ$1+1)-SUMIFS(movements!$H:$H,movements!$E:$E,$A31,movements!$D:$D,"ISSUE",movements!$C:$C,"&lt;"&amp;BZ$1+1)</f>
        <v>240</v>
      </c>
      <c r="CA31">
        <f>SUMIFS(movements!$H:$H,movements!$E:$E,$A31,movements!$D:$D,"OPENING",movements!$C:$C,"&lt;"&amp;CA$1+1)+SUMIFS(movements!$H:$H,movements!$E:$E,$A31,movements!$D:$D,"RECEIPT",movements!$C:$C,"&lt;"&amp;CA$1+1)-SUMIFS(movements!$H:$H,movements!$E:$E,$A31,movements!$D:$D,"ISSUE",movements!$C:$C,"&lt;"&amp;CA$1+1)</f>
        <v>240</v>
      </c>
      <c r="CB31">
        <f>SUMIFS(movements!$H:$H,movements!$E:$E,$A31,movements!$D:$D,"OPENING",movements!$C:$C,"&lt;"&amp;CB$1+1)+SUMIFS(movements!$H:$H,movements!$E:$E,$A31,movements!$D:$D,"RECEIPT",movements!$C:$C,"&lt;"&amp;CB$1+1)-SUMIFS(movements!$H:$H,movements!$E:$E,$A31,movements!$D:$D,"ISSUE",movements!$C:$C,"&lt;"&amp;CB$1+1)</f>
        <v>240</v>
      </c>
      <c r="CC31">
        <f>SUMIFS(movements!$H:$H,movements!$E:$E,$A31,movements!$D:$D,"OPENING",movements!$C:$C,"&lt;"&amp;CC$1+1)+SUMIFS(movements!$H:$H,movements!$E:$E,$A31,movements!$D:$D,"RECEIPT",movements!$C:$C,"&lt;"&amp;CC$1+1)-SUMIFS(movements!$H:$H,movements!$E:$E,$A31,movements!$D:$D,"ISSUE",movements!$C:$C,"&lt;"&amp;CC$1+1)</f>
        <v>240</v>
      </c>
      <c r="CD31">
        <f>SUMIFS(movements!$H:$H,movements!$E:$E,$A31,movements!$D:$D,"OPENING",movements!$C:$C,"&lt;"&amp;CD$1+1)+SUMIFS(movements!$H:$H,movements!$E:$E,$A31,movements!$D:$D,"RECEIPT",movements!$C:$C,"&lt;"&amp;CD$1+1)-SUMIFS(movements!$H:$H,movements!$E:$E,$A31,movements!$D:$D,"ISSUE",movements!$C:$C,"&lt;"&amp;CD$1+1)</f>
        <v>240</v>
      </c>
      <c r="CE31">
        <f>SUMIFS(movements!$H:$H,movements!$E:$E,$A31,movements!$D:$D,"OPENING",movements!$C:$C,"&lt;"&amp;CE$1+1)+SUMIFS(movements!$H:$H,movements!$E:$E,$A31,movements!$D:$D,"RECEIPT",movements!$C:$C,"&lt;"&amp;CE$1+1)-SUMIFS(movements!$H:$H,movements!$E:$E,$A31,movements!$D:$D,"ISSUE",movements!$C:$C,"&lt;"&amp;CE$1+1)</f>
        <v>240</v>
      </c>
      <c r="CF31">
        <f>SUMIFS(movements!$H:$H,movements!$E:$E,$A31,movements!$D:$D,"OPENING",movements!$C:$C,"&lt;"&amp;CF$1+1)+SUMIFS(movements!$H:$H,movements!$E:$E,$A31,movements!$D:$D,"RECEIPT",movements!$C:$C,"&lt;"&amp;CF$1+1)-SUMIFS(movements!$H:$H,movements!$E:$E,$A31,movements!$D:$D,"ISSUE",movements!$C:$C,"&lt;"&amp;CF$1+1)</f>
        <v>240</v>
      </c>
      <c r="CG31">
        <f>SUMIFS(movements!$H:$H,movements!$E:$E,$A31,movements!$D:$D,"OPENING",movements!$C:$C,"&lt;"&amp;CG$1+1)+SUMIFS(movements!$H:$H,movements!$E:$E,$A31,movements!$D:$D,"RECEIPT",movements!$C:$C,"&lt;"&amp;CG$1+1)-SUMIFS(movements!$H:$H,movements!$E:$E,$A31,movements!$D:$D,"ISSUE",movements!$C:$C,"&lt;"&amp;CG$1+1)</f>
        <v>240</v>
      </c>
      <c r="CH31">
        <f>SUMIFS(movements!$H:$H,movements!$E:$E,$A31,movements!$D:$D,"OPENING",movements!$C:$C,"&lt;"&amp;CH$1+1)+SUMIFS(movements!$H:$H,movements!$E:$E,$A31,movements!$D:$D,"RECEIPT",movements!$C:$C,"&lt;"&amp;CH$1+1)-SUMIFS(movements!$H:$H,movements!$E:$E,$A31,movements!$D:$D,"ISSUE",movements!$C:$C,"&lt;"&amp;CH$1+1)</f>
        <v>240</v>
      </c>
      <c r="CI31">
        <f>SUMIFS(movements!$H:$H,movements!$E:$E,$A31,movements!$D:$D,"OPENING",movements!$C:$C,"&lt;"&amp;CI$1+1)+SUMIFS(movements!$H:$H,movements!$E:$E,$A31,movements!$D:$D,"RECEIPT",movements!$C:$C,"&lt;"&amp;CI$1+1)-SUMIFS(movements!$H:$H,movements!$E:$E,$A31,movements!$D:$D,"ISSUE",movements!$C:$C,"&lt;"&amp;CI$1+1)</f>
        <v>240</v>
      </c>
      <c r="CJ31">
        <f>SUMIFS(movements!$H:$H,movements!$E:$E,$A31,movements!$D:$D,"OPENING",movements!$C:$C,"&lt;"&amp;CJ$1+1)+SUMIFS(movements!$H:$H,movements!$E:$E,$A31,movements!$D:$D,"RECEIPT",movements!$C:$C,"&lt;"&amp;CJ$1+1)-SUMIFS(movements!$H:$H,movements!$E:$E,$A31,movements!$D:$D,"ISSUE",movements!$C:$C,"&lt;"&amp;CJ$1+1)</f>
        <v>240</v>
      </c>
      <c r="CK31">
        <f>SUMIFS(movements!$H:$H,movements!$E:$E,$A31,movements!$D:$D,"OPENING",movements!$C:$C,"&lt;"&amp;CK$1+1)+SUMIFS(movements!$H:$H,movements!$E:$E,$A31,movements!$D:$D,"RECEIPT",movements!$C:$C,"&lt;"&amp;CK$1+1)-SUMIFS(movements!$H:$H,movements!$E:$E,$A31,movements!$D:$D,"ISSUE",movements!$C:$C,"&lt;"&amp;CK$1+1)</f>
        <v>240</v>
      </c>
      <c r="CL31">
        <f>SUMIFS(movements!$H:$H,movements!$E:$E,$A31,movements!$D:$D,"OPENING",movements!$C:$C,"&lt;"&amp;CL$1+1)+SUMIFS(movements!$H:$H,movements!$E:$E,$A31,movements!$D:$D,"RECEIPT",movements!$C:$C,"&lt;"&amp;CL$1+1)-SUMIFS(movements!$H:$H,movements!$E:$E,$A31,movements!$D:$D,"ISSUE",movements!$C:$C,"&lt;"&amp;CL$1+1)</f>
        <v>240</v>
      </c>
      <c r="CM31">
        <f>SUMIFS(movements!$H:$H,movements!$E:$E,$A31,movements!$D:$D,"OPENING",movements!$C:$C,"&lt;"&amp;CM$1+1)+SUMIFS(movements!$H:$H,movements!$E:$E,$A31,movements!$D:$D,"RECEIPT",movements!$C:$C,"&lt;"&amp;CM$1+1)-SUMIFS(movements!$H:$H,movements!$E:$E,$A31,movements!$D:$D,"ISSUE",movements!$C:$C,"&lt;"&amp;CM$1+1)</f>
        <v>240</v>
      </c>
      <c r="CN31">
        <f t="shared" si="2"/>
        <v>240</v>
      </c>
      <c r="CO31">
        <f>SUMIFS(movements!$H:$H,movements!$E:$E,$A31,movements!$D:$D,"ISSUE",movements!$C:$C,"&gt;="&amp;$B$1,movements!$C:$C,"&lt;"&amp;($CM$1+1))</f>
        <v>0</v>
      </c>
      <c r="CP31">
        <f t="shared" si="3"/>
        <v>0</v>
      </c>
      <c r="CQ31" t="str">
        <f t="shared" si="4"/>
        <v>期间无出库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C975-9D76-4202-8D2F-6A7A0CD9357A}">
  <dimension ref="B6:D13"/>
  <sheetViews>
    <sheetView workbookViewId="0">
      <selection activeCell="I15" sqref="I15"/>
    </sheetView>
  </sheetViews>
  <sheetFormatPr defaultRowHeight="13.8" x14ac:dyDescent="0.25"/>
  <cols>
    <col min="1" max="1" width="15.33203125" customWidth="1"/>
    <col min="2" max="2" width="16.5546875" style="5" bestFit="1" customWidth="1"/>
    <col min="3" max="3" width="12.5546875" bestFit="1" customWidth="1"/>
    <col min="4" max="4" width="16.5546875" bestFit="1" customWidth="1"/>
  </cols>
  <sheetData>
    <row r="6" spans="3:4" x14ac:dyDescent="0.25">
      <c r="C6" s="6" t="s">
        <v>13913</v>
      </c>
      <c r="D6" s="7" t="s">
        <v>13914</v>
      </c>
    </row>
    <row r="7" spans="3:4" x14ac:dyDescent="0.25">
      <c r="C7" s="3" t="s">
        <v>13905</v>
      </c>
      <c r="D7" s="5" t="s">
        <v>13912</v>
      </c>
    </row>
    <row r="8" spans="3:4" x14ac:dyDescent="0.25">
      <c r="C8" s="4" t="s">
        <v>13906</v>
      </c>
      <c r="D8" s="5">
        <v>2315.39</v>
      </c>
    </row>
    <row r="9" spans="3:4" x14ac:dyDescent="0.25">
      <c r="C9" s="4" t="s">
        <v>13907</v>
      </c>
      <c r="D9" s="5">
        <v>4384.34</v>
      </c>
    </row>
    <row r="10" spans="3:4" x14ac:dyDescent="0.25">
      <c r="C10" s="4" t="s">
        <v>13908</v>
      </c>
      <c r="D10" s="5">
        <v>0</v>
      </c>
    </row>
    <row r="11" spans="3:4" x14ac:dyDescent="0.25">
      <c r="C11" s="4" t="s">
        <v>13909</v>
      </c>
      <c r="D11" s="5">
        <v>2324</v>
      </c>
    </row>
    <row r="12" spans="3:4" x14ac:dyDescent="0.25">
      <c r="C12" s="4" t="s">
        <v>13910</v>
      </c>
      <c r="D12" s="5">
        <v>141932.52000000005</v>
      </c>
    </row>
    <row r="13" spans="3:4" x14ac:dyDescent="0.25">
      <c r="C13" s="4" t="s">
        <v>13911</v>
      </c>
      <c r="D13" s="5">
        <v>150956.25000000006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5157-C2C7-4A5D-A090-19307CD5A038}">
  <dimension ref="A1:P225"/>
  <sheetViews>
    <sheetView zoomScale="115" zoomScaleNormal="115" workbookViewId="0">
      <selection activeCell="J16" sqref="J16"/>
    </sheetView>
  </sheetViews>
  <sheetFormatPr defaultRowHeight="13.8" x14ac:dyDescent="0.25"/>
  <cols>
    <col min="1" max="1" width="11.33203125" bestFit="1" customWidth="1"/>
    <col min="2" max="2" width="8" bestFit="1" customWidth="1"/>
    <col min="3" max="3" width="10.88671875" customWidth="1"/>
    <col min="6" max="6" width="12.33203125" customWidth="1"/>
    <col min="7" max="10" width="10.88671875" customWidth="1"/>
    <col min="13" max="13" width="16.21875" customWidth="1"/>
    <col min="14" max="14" width="9.5546875" bestFit="1" customWidth="1"/>
  </cols>
  <sheetData>
    <row r="1" spans="1:16" x14ac:dyDescent="0.25">
      <c r="A1" t="s">
        <v>13887</v>
      </c>
      <c r="B1" t="s">
        <v>13888</v>
      </c>
      <c r="C1" t="s">
        <v>13889</v>
      </c>
      <c r="D1" t="s">
        <v>13890</v>
      </c>
      <c r="E1" t="s">
        <v>13891</v>
      </c>
      <c r="F1" t="s">
        <v>13892</v>
      </c>
      <c r="G1" t="s">
        <v>13893</v>
      </c>
      <c r="H1" t="s">
        <v>13894</v>
      </c>
      <c r="I1" t="s">
        <v>13895</v>
      </c>
      <c r="J1" t="s">
        <v>13896</v>
      </c>
      <c r="K1" t="s">
        <v>13899</v>
      </c>
      <c r="L1" t="s">
        <v>13900</v>
      </c>
      <c r="M1" t="s">
        <v>13901</v>
      </c>
      <c r="N1" t="s">
        <v>13902</v>
      </c>
      <c r="O1" t="s">
        <v>13903</v>
      </c>
      <c r="P1" t="s">
        <v>13904</v>
      </c>
    </row>
    <row r="2" spans="1:16" x14ac:dyDescent="0.25">
      <c r="A2" t="s">
        <v>91</v>
      </c>
      <c r="B2" t="str">
        <f>VLOOKUP(A2,batches!A:B,2,0)</f>
        <v>SKU001</v>
      </c>
      <c r="C2" t="str">
        <f>VLOOKUP(批次库存!B2,products!A:B,2,0)</f>
        <v>茉莉绿茶</v>
      </c>
      <c r="D2" t="str">
        <f>VLOOKUP(A2,batches!A:C,3,0)</f>
        <v>L001</v>
      </c>
      <c r="E2">
        <f>VLOOKUP(A2,batches!A:E,5,0)</f>
        <v>46282</v>
      </c>
      <c r="F2" t="str">
        <f>VLOOKUP(A2,batches!A:G,7,0)</f>
        <v>RELEASED</v>
      </c>
      <c r="G2">
        <f>SUMIFS(movements!H:H,movements!F:F,批次库存!A2,movements!D:D,"OPENING")</f>
        <v>80</v>
      </c>
      <c r="H2">
        <f>SUMIFS(movements!H:H,movements!F:F,批次库存!A2,movements!D:D,"RECEIPT")</f>
        <v>0</v>
      </c>
      <c r="I2">
        <f>SUMIFS(movements!H:H,movements!F:F,批次库存!A2,movements!D:D,"ISSUE")</f>
        <v>80</v>
      </c>
      <c r="J2">
        <f>G2+H2-I2</f>
        <v>0</v>
      </c>
      <c r="K2">
        <f>VLOOKUP(表2[[#This Row],[SKU]],products!A:F,6,0)</f>
        <v>79.760000000000005</v>
      </c>
      <c r="L2">
        <f>J2*表2[[#This Row],[单价]]</f>
        <v>0</v>
      </c>
      <c r="M2">
        <f t="shared" ref="M2:M65" si="0">E2-DATE(2026,9,6)</f>
        <v>11</v>
      </c>
      <c r="N2">
        <f>VLOOKUP(表2[[#This Row],[SKU]],products!A:H,8,0)</f>
        <v>30</v>
      </c>
      <c r="O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2">
        <f t="shared" ref="P2:P65" si="1">IF(AND(F2="RELEASED",M2&gt;0),J2,0)</f>
        <v>0</v>
      </c>
    </row>
    <row r="3" spans="1:16" x14ac:dyDescent="0.25">
      <c r="A3" t="s">
        <v>94</v>
      </c>
      <c r="B3" t="str">
        <f>VLOOKUP(A3,batches!A:B,2,0)</f>
        <v>SKU002</v>
      </c>
      <c r="C3" t="str">
        <f>VLOOKUP(批次库存!B3,products!A:B,2,0)</f>
        <v>红茶</v>
      </c>
      <c r="D3" t="str">
        <f>VLOOKUP(A3,batches!A:C,3,0)</f>
        <v>L002</v>
      </c>
      <c r="E3">
        <f>VLOOKUP(A3,batches!A:E,5,0)</f>
        <v>46252</v>
      </c>
      <c r="F3" t="str">
        <f>VLOOKUP(A3,batches!A:G,7,0)</f>
        <v>RELEASED</v>
      </c>
      <c r="G3">
        <f>SUMIFS(movements!H:H,movements!F:F,批次库存!A3,movements!D:D,"OPENING")</f>
        <v>80</v>
      </c>
      <c r="H3">
        <f>SUMIFS(movements!H:H,movements!F:F,批次库存!A3,movements!D:D,"RECEIPT")</f>
        <v>0</v>
      </c>
      <c r="I3">
        <f>SUMIFS(movements!H:H,movements!F:F,批次库存!A3,movements!D:D,"ISSUE")</f>
        <v>80</v>
      </c>
      <c r="J3">
        <f t="shared" ref="J3:J66" si="2">G3+H3-I3</f>
        <v>0</v>
      </c>
      <c r="K3">
        <f>VLOOKUP(表2[[#This Row],[SKU]],products!A:F,6,0)</f>
        <v>78.48</v>
      </c>
      <c r="L3">
        <f>J3*表2[[#This Row],[单价]]</f>
        <v>0</v>
      </c>
      <c r="M3">
        <f t="shared" si="0"/>
        <v>-19</v>
      </c>
      <c r="N3">
        <f>VLOOKUP(表2[[#This Row],[SKU]],products!A:H,8,0)</f>
        <v>30</v>
      </c>
      <c r="O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3">
        <f t="shared" si="1"/>
        <v>0</v>
      </c>
    </row>
    <row r="4" spans="1:16" x14ac:dyDescent="0.25">
      <c r="A4" t="s">
        <v>96</v>
      </c>
      <c r="B4" t="str">
        <f>VLOOKUP(A4,batches!A:B,2,0)</f>
        <v>SKU003</v>
      </c>
      <c r="C4" t="str">
        <f>VLOOKUP(批次库存!B4,products!A:B,2,0)</f>
        <v>乌龙茶</v>
      </c>
      <c r="D4" t="str">
        <f>VLOOKUP(A4,batches!A:C,3,0)</f>
        <v>L003</v>
      </c>
      <c r="E4">
        <f>VLOOKUP(A4,batches!A:E,5,0)</f>
        <v>46252</v>
      </c>
      <c r="F4" t="str">
        <f>VLOOKUP(A4,batches!A:G,7,0)</f>
        <v>RELEASED</v>
      </c>
      <c r="G4">
        <f>SUMIFS(movements!H:H,movements!F:F,批次库存!A4,movements!D:D,"OPENING")</f>
        <v>80</v>
      </c>
      <c r="H4">
        <f>SUMIFS(movements!H:H,movements!F:F,批次库存!A4,movements!D:D,"RECEIPT")</f>
        <v>0</v>
      </c>
      <c r="I4">
        <f>SUMIFS(movements!H:H,movements!F:F,批次库存!A4,movements!D:D,"ISSUE")</f>
        <v>80</v>
      </c>
      <c r="J4">
        <f t="shared" si="2"/>
        <v>0</v>
      </c>
      <c r="K4">
        <f>VLOOKUP(表2[[#This Row],[SKU]],products!A:F,6,0)</f>
        <v>41.99</v>
      </c>
      <c r="L4">
        <f>J4*表2[[#This Row],[单价]]</f>
        <v>0</v>
      </c>
      <c r="M4">
        <f t="shared" si="0"/>
        <v>-19</v>
      </c>
      <c r="N4">
        <f>VLOOKUP(表2[[#This Row],[SKU]],products!A:H,8,0)</f>
        <v>30</v>
      </c>
      <c r="O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4">
        <f t="shared" si="1"/>
        <v>0</v>
      </c>
    </row>
    <row r="5" spans="1:16" x14ac:dyDescent="0.25">
      <c r="A5" t="s">
        <v>98</v>
      </c>
      <c r="B5" t="str">
        <f>VLOOKUP(A5,batches!A:B,2,0)</f>
        <v>SKU004</v>
      </c>
      <c r="C5" t="str">
        <f>VLOOKUP(批次库存!B5,products!A:B,2,0)</f>
        <v>四季春茶</v>
      </c>
      <c r="D5" t="str">
        <f>VLOOKUP(A5,batches!A:C,3,0)</f>
        <v>L004</v>
      </c>
      <c r="E5">
        <f>VLOOKUP(A5,batches!A:E,5,0)</f>
        <v>46282</v>
      </c>
      <c r="F5" t="str">
        <f>VLOOKUP(A5,batches!A:G,7,0)</f>
        <v>RELEASED</v>
      </c>
      <c r="G5">
        <f>SUMIFS(movements!H:H,movements!F:F,批次库存!A5,movements!D:D,"OPENING")</f>
        <v>80</v>
      </c>
      <c r="H5">
        <f>SUMIFS(movements!H:H,movements!F:F,批次库存!A5,movements!D:D,"RECEIPT")</f>
        <v>0</v>
      </c>
      <c r="I5">
        <f>SUMIFS(movements!H:H,movements!F:F,批次库存!A5,movements!D:D,"ISSUE")</f>
        <v>80</v>
      </c>
      <c r="J5">
        <f t="shared" si="2"/>
        <v>0</v>
      </c>
      <c r="K5">
        <f>VLOOKUP(表2[[#This Row],[SKU]],products!A:F,6,0)</f>
        <v>70.39</v>
      </c>
      <c r="L5">
        <f>J5*表2[[#This Row],[单价]]</f>
        <v>0</v>
      </c>
      <c r="M5">
        <f t="shared" si="0"/>
        <v>11</v>
      </c>
      <c r="N5">
        <f>VLOOKUP(表2[[#This Row],[SKU]],products!A:H,8,0)</f>
        <v>30</v>
      </c>
      <c r="O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5">
        <f t="shared" si="1"/>
        <v>0</v>
      </c>
    </row>
    <row r="6" spans="1:16" x14ac:dyDescent="0.25">
      <c r="A6" t="s">
        <v>100</v>
      </c>
      <c r="B6" t="str">
        <f>VLOOKUP(A6,batches!A:B,2,0)</f>
        <v>SKU005</v>
      </c>
      <c r="C6" t="str">
        <f>VLOOKUP(批次库存!B6,products!A:B,2,0)</f>
        <v>桂花乌龙</v>
      </c>
      <c r="D6" t="str">
        <f>VLOOKUP(A6,batches!A:C,3,0)</f>
        <v>L005</v>
      </c>
      <c r="E6">
        <f>VLOOKUP(A6,batches!A:E,5,0)</f>
        <v>46227</v>
      </c>
      <c r="F6" t="str">
        <f>VLOOKUP(A6,batches!A:G,7,0)</f>
        <v>RELEASED</v>
      </c>
      <c r="G6">
        <f>SUMIFS(movements!H:H,movements!F:F,批次库存!A6,movements!D:D,"OPENING")</f>
        <v>80</v>
      </c>
      <c r="H6">
        <f>SUMIFS(movements!H:H,movements!F:F,批次库存!A6,movements!D:D,"RECEIPT")</f>
        <v>0</v>
      </c>
      <c r="I6">
        <f>SUMIFS(movements!H:H,movements!F:F,批次库存!A6,movements!D:D,"ISSUE")</f>
        <v>80</v>
      </c>
      <c r="J6">
        <f t="shared" si="2"/>
        <v>0</v>
      </c>
      <c r="K6">
        <f>VLOOKUP(表2[[#This Row],[SKU]],products!A:F,6,0)</f>
        <v>56.61</v>
      </c>
      <c r="L6">
        <f>J6*表2[[#This Row],[单价]]</f>
        <v>0</v>
      </c>
      <c r="M6">
        <f t="shared" si="0"/>
        <v>-44</v>
      </c>
      <c r="N6">
        <f>VLOOKUP(表2[[#This Row],[SKU]],products!A:H,8,0)</f>
        <v>30</v>
      </c>
      <c r="O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6">
        <f t="shared" si="1"/>
        <v>0</v>
      </c>
    </row>
    <row r="7" spans="1:16" x14ac:dyDescent="0.25">
      <c r="A7" t="s">
        <v>102</v>
      </c>
      <c r="B7" t="str">
        <f>VLOOKUP(A7,batches!A:B,2,0)</f>
        <v>SKU006</v>
      </c>
      <c r="C7" t="str">
        <f>VLOOKUP(批次库存!B7,products!A:B,2,0)</f>
        <v>焙火乌龙</v>
      </c>
      <c r="D7" t="str">
        <f>VLOOKUP(A7,batches!A:C,3,0)</f>
        <v>L006</v>
      </c>
      <c r="E7">
        <f>VLOOKUP(A7,batches!A:E,5,0)</f>
        <v>46362</v>
      </c>
      <c r="F7" t="str">
        <f>VLOOKUP(A7,batches!A:G,7,0)</f>
        <v>RELEASED</v>
      </c>
      <c r="G7">
        <f>SUMIFS(movements!H:H,movements!F:F,批次库存!A7,movements!D:D,"OPENING")</f>
        <v>80</v>
      </c>
      <c r="H7">
        <f>SUMIFS(movements!H:H,movements!F:F,批次库存!A7,movements!D:D,"RECEIPT")</f>
        <v>0</v>
      </c>
      <c r="I7">
        <f>SUMIFS(movements!H:H,movements!F:F,批次库存!A7,movements!D:D,"ISSUE")</f>
        <v>80</v>
      </c>
      <c r="J7">
        <f t="shared" si="2"/>
        <v>0</v>
      </c>
      <c r="K7">
        <f>VLOOKUP(表2[[#This Row],[SKU]],products!A:F,6,0)</f>
        <v>30.07</v>
      </c>
      <c r="L7">
        <f>J7*表2[[#This Row],[单价]]</f>
        <v>0</v>
      </c>
      <c r="M7">
        <f t="shared" si="0"/>
        <v>91</v>
      </c>
      <c r="N7">
        <f>VLOOKUP(表2[[#This Row],[SKU]],products!A:H,8,0)</f>
        <v>30</v>
      </c>
      <c r="O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7">
        <f t="shared" si="1"/>
        <v>0</v>
      </c>
    </row>
    <row r="8" spans="1:16" x14ac:dyDescent="0.25">
      <c r="A8" t="s">
        <v>104</v>
      </c>
      <c r="B8" t="str">
        <f>VLOOKUP(A8,batches!A:B,2,0)</f>
        <v>SKU007</v>
      </c>
      <c r="C8" t="str">
        <f>VLOOKUP(批次库存!B8,products!A:B,2,0)</f>
        <v>白桃乌龙</v>
      </c>
      <c r="D8" t="str">
        <f>VLOOKUP(A8,batches!A:C,3,0)</f>
        <v>L007</v>
      </c>
      <c r="E8">
        <f>VLOOKUP(A8,batches!A:E,5,0)</f>
        <v>46282</v>
      </c>
      <c r="F8" t="str">
        <f>VLOOKUP(A8,batches!A:G,7,0)</f>
        <v>RELEASED</v>
      </c>
      <c r="G8">
        <f>SUMIFS(movements!H:H,movements!F:F,批次库存!A8,movements!D:D,"OPENING")</f>
        <v>80</v>
      </c>
      <c r="H8">
        <f>SUMIFS(movements!H:H,movements!F:F,批次库存!A8,movements!D:D,"RECEIPT")</f>
        <v>0</v>
      </c>
      <c r="I8">
        <f>SUMIFS(movements!H:H,movements!F:F,批次库存!A8,movements!D:D,"ISSUE")</f>
        <v>80</v>
      </c>
      <c r="J8">
        <f t="shared" si="2"/>
        <v>0</v>
      </c>
      <c r="K8">
        <f>VLOOKUP(表2[[#This Row],[SKU]],products!A:F,6,0)</f>
        <v>30.79</v>
      </c>
      <c r="L8">
        <f>J8*表2[[#This Row],[单价]]</f>
        <v>0</v>
      </c>
      <c r="M8">
        <f t="shared" si="0"/>
        <v>11</v>
      </c>
      <c r="N8">
        <f>VLOOKUP(表2[[#This Row],[SKU]],products!A:H,8,0)</f>
        <v>30</v>
      </c>
      <c r="O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8">
        <f t="shared" si="1"/>
        <v>0</v>
      </c>
    </row>
    <row r="9" spans="1:16" x14ac:dyDescent="0.25">
      <c r="A9" t="s">
        <v>106</v>
      </c>
      <c r="B9" t="str">
        <f>VLOOKUP(A9,batches!A:B,2,0)</f>
        <v>SKU008</v>
      </c>
      <c r="C9" t="str">
        <f>VLOOKUP(批次库存!B9,products!A:B,2,0)</f>
        <v>普洱茶</v>
      </c>
      <c r="D9" t="str">
        <f>VLOOKUP(A9,batches!A:C,3,0)</f>
        <v>L008</v>
      </c>
      <c r="E9">
        <f>VLOOKUP(A9,batches!A:E,5,0)</f>
        <v>46227</v>
      </c>
      <c r="F9" t="str">
        <f>VLOOKUP(A9,batches!A:G,7,0)</f>
        <v>RELEASED</v>
      </c>
      <c r="G9">
        <f>SUMIFS(movements!H:H,movements!F:F,批次库存!A9,movements!D:D,"OPENING")</f>
        <v>80</v>
      </c>
      <c r="H9">
        <f>SUMIFS(movements!H:H,movements!F:F,批次库存!A9,movements!D:D,"RECEIPT")</f>
        <v>0</v>
      </c>
      <c r="I9">
        <f>SUMIFS(movements!H:H,movements!F:F,批次库存!A9,movements!D:D,"ISSUE")</f>
        <v>80</v>
      </c>
      <c r="J9">
        <f t="shared" si="2"/>
        <v>0</v>
      </c>
      <c r="K9">
        <f>VLOOKUP(表2[[#This Row],[SKU]],products!A:F,6,0)</f>
        <v>72.540000000000006</v>
      </c>
      <c r="L9">
        <f>J9*表2[[#This Row],[单价]]</f>
        <v>0</v>
      </c>
      <c r="M9">
        <f t="shared" si="0"/>
        <v>-44</v>
      </c>
      <c r="N9">
        <f>VLOOKUP(表2[[#This Row],[SKU]],products!A:H,8,0)</f>
        <v>30</v>
      </c>
      <c r="O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9">
        <f t="shared" si="1"/>
        <v>0</v>
      </c>
    </row>
    <row r="10" spans="1:16" x14ac:dyDescent="0.25">
      <c r="A10" t="s">
        <v>108</v>
      </c>
      <c r="B10" t="str">
        <f>VLOOKUP(A10,batches!A:B,2,0)</f>
        <v>SKU009</v>
      </c>
      <c r="C10" t="str">
        <f>VLOOKUP(批次库存!B10,products!A:B,2,0)</f>
        <v>龙井茶</v>
      </c>
      <c r="D10" t="str">
        <f>VLOOKUP(A10,batches!A:C,3,0)</f>
        <v>L009</v>
      </c>
      <c r="E10">
        <f>VLOOKUP(A10,batches!A:E,5,0)</f>
        <v>46282</v>
      </c>
      <c r="F10" t="str">
        <f>VLOOKUP(A10,batches!A:G,7,0)</f>
        <v>RELEASED</v>
      </c>
      <c r="G10">
        <f>SUMIFS(movements!H:H,movements!F:F,批次库存!A10,movements!D:D,"OPENING")</f>
        <v>80</v>
      </c>
      <c r="H10">
        <f>SUMIFS(movements!H:H,movements!F:F,批次库存!A10,movements!D:D,"RECEIPT")</f>
        <v>0</v>
      </c>
      <c r="I10">
        <f>SUMIFS(movements!H:H,movements!F:F,批次库存!A10,movements!D:D,"ISSUE")</f>
        <v>80</v>
      </c>
      <c r="J10">
        <f t="shared" si="2"/>
        <v>0</v>
      </c>
      <c r="K10">
        <f>VLOOKUP(表2[[#This Row],[SKU]],products!A:F,6,0)</f>
        <v>21.12</v>
      </c>
      <c r="L10">
        <f>J10*表2[[#This Row],[单价]]</f>
        <v>0</v>
      </c>
      <c r="M10">
        <f t="shared" si="0"/>
        <v>11</v>
      </c>
      <c r="N10">
        <f>VLOOKUP(表2[[#This Row],[SKU]],products!A:H,8,0)</f>
        <v>30</v>
      </c>
      <c r="O1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0">
        <f t="shared" si="1"/>
        <v>0</v>
      </c>
    </row>
    <row r="11" spans="1:16" x14ac:dyDescent="0.25">
      <c r="A11" t="s">
        <v>110</v>
      </c>
      <c r="B11" t="str">
        <f>VLOOKUP(A11,batches!A:B,2,0)</f>
        <v>SKU010</v>
      </c>
      <c r="C11" t="str">
        <f>VLOOKUP(批次库存!B11,products!A:B,2,0)</f>
        <v>栀子绿茶</v>
      </c>
      <c r="D11" t="str">
        <f>VLOOKUP(A11,batches!A:C,3,0)</f>
        <v>L010</v>
      </c>
      <c r="E11">
        <f>VLOOKUP(A11,batches!A:E,5,0)</f>
        <v>46242</v>
      </c>
      <c r="F11" t="str">
        <f>VLOOKUP(A11,batches!A:G,7,0)</f>
        <v>RELEASED</v>
      </c>
      <c r="G11">
        <f>SUMIFS(movements!H:H,movements!F:F,批次库存!A11,movements!D:D,"OPENING")</f>
        <v>80</v>
      </c>
      <c r="H11">
        <f>SUMIFS(movements!H:H,movements!F:F,批次库存!A11,movements!D:D,"RECEIPT")</f>
        <v>0</v>
      </c>
      <c r="I11">
        <f>SUMIFS(movements!H:H,movements!F:F,批次库存!A11,movements!D:D,"ISSUE")</f>
        <v>0</v>
      </c>
      <c r="J11">
        <f t="shared" si="2"/>
        <v>80</v>
      </c>
      <c r="K11">
        <f>VLOOKUP(表2[[#This Row],[SKU]],products!A:F,6,0)</f>
        <v>29.05</v>
      </c>
      <c r="L11">
        <f>J11*表2[[#This Row],[单价]]</f>
        <v>2324</v>
      </c>
      <c r="M11">
        <f t="shared" si="0"/>
        <v>-29</v>
      </c>
      <c r="N11">
        <f>VLOOKUP(表2[[#This Row],[SKU]],products!A:H,8,0)</f>
        <v>30</v>
      </c>
      <c r="O1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已到期/过期</v>
      </c>
      <c r="P11">
        <f t="shared" si="1"/>
        <v>0</v>
      </c>
    </row>
    <row r="12" spans="1:16" x14ac:dyDescent="0.25">
      <c r="A12" t="s">
        <v>112</v>
      </c>
      <c r="B12" t="str">
        <f>VLOOKUP(A12,batches!A:B,2,0)</f>
        <v>SKU011</v>
      </c>
      <c r="C12" t="str">
        <f>VLOOKUP(批次库存!B12,products!A:B,2,0)</f>
        <v>原味糖浆</v>
      </c>
      <c r="D12" t="str">
        <f>VLOOKUP(A12,batches!A:C,3,0)</f>
        <v>L011</v>
      </c>
      <c r="E12">
        <f>VLOOKUP(A12,batches!A:E,5,0)</f>
        <v>46362</v>
      </c>
      <c r="F12" t="str">
        <f>VLOOKUP(A12,batches!A:G,7,0)</f>
        <v>RELEASED</v>
      </c>
      <c r="G12">
        <f>SUMIFS(movements!H:H,movements!F:F,批次库存!A12,movements!D:D,"OPENING")</f>
        <v>80</v>
      </c>
      <c r="H12">
        <f>SUMIFS(movements!H:H,movements!F:F,批次库存!A12,movements!D:D,"RECEIPT")</f>
        <v>0</v>
      </c>
      <c r="I12">
        <f>SUMIFS(movements!H:H,movements!F:F,批次库存!A12,movements!D:D,"ISSUE")</f>
        <v>80</v>
      </c>
      <c r="J12">
        <f t="shared" si="2"/>
        <v>0</v>
      </c>
      <c r="K12">
        <f>VLOOKUP(表2[[#This Row],[SKU]],products!A:F,6,0)</f>
        <v>24.06</v>
      </c>
      <c r="L12">
        <f>J12*表2[[#This Row],[单价]]</f>
        <v>0</v>
      </c>
      <c r="M12">
        <f t="shared" si="0"/>
        <v>91</v>
      </c>
      <c r="N12">
        <f>VLOOKUP(表2[[#This Row],[SKU]],products!A:H,8,0)</f>
        <v>30</v>
      </c>
      <c r="O1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2">
        <f t="shared" si="1"/>
        <v>0</v>
      </c>
    </row>
    <row r="13" spans="1:16" x14ac:dyDescent="0.25">
      <c r="A13" t="s">
        <v>114</v>
      </c>
      <c r="B13" t="str">
        <f>VLOOKUP(A13,batches!A:B,2,0)</f>
        <v>SKU012</v>
      </c>
      <c r="C13" t="str">
        <f>VLOOKUP(批次库存!B13,products!A:B,2,0)</f>
        <v>黑糖糖浆</v>
      </c>
      <c r="D13" t="str">
        <f>VLOOKUP(A13,batches!A:C,3,0)</f>
        <v>L012</v>
      </c>
      <c r="E13">
        <f>VLOOKUP(A13,batches!A:E,5,0)</f>
        <v>46252</v>
      </c>
      <c r="F13" t="str">
        <f>VLOOKUP(A13,batches!A:G,7,0)</f>
        <v>RELEASED</v>
      </c>
      <c r="G13">
        <f>SUMIFS(movements!H:H,movements!F:F,批次库存!A13,movements!D:D,"OPENING")</f>
        <v>80</v>
      </c>
      <c r="H13">
        <f>SUMIFS(movements!H:H,movements!F:F,批次库存!A13,movements!D:D,"RECEIPT")</f>
        <v>0</v>
      </c>
      <c r="I13">
        <f>SUMIFS(movements!H:H,movements!F:F,批次库存!A13,movements!D:D,"ISSUE")</f>
        <v>80</v>
      </c>
      <c r="J13">
        <f t="shared" si="2"/>
        <v>0</v>
      </c>
      <c r="K13">
        <f>VLOOKUP(表2[[#This Row],[SKU]],products!A:F,6,0)</f>
        <v>77.959999999999994</v>
      </c>
      <c r="L13">
        <f>J13*表2[[#This Row],[单价]]</f>
        <v>0</v>
      </c>
      <c r="M13">
        <f t="shared" si="0"/>
        <v>-19</v>
      </c>
      <c r="N13">
        <f>VLOOKUP(表2[[#This Row],[SKU]],products!A:H,8,0)</f>
        <v>30</v>
      </c>
      <c r="O1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3">
        <f t="shared" si="1"/>
        <v>0</v>
      </c>
    </row>
    <row r="14" spans="1:16" x14ac:dyDescent="0.25">
      <c r="A14" t="s">
        <v>116</v>
      </c>
      <c r="B14" t="str">
        <f>VLOOKUP(A14,batches!A:B,2,0)</f>
        <v>SKU013</v>
      </c>
      <c r="C14" t="str">
        <f>VLOOKUP(批次库存!B14,products!A:B,2,0)</f>
        <v>香草糖浆</v>
      </c>
      <c r="D14" t="str">
        <f>VLOOKUP(A14,batches!A:C,3,0)</f>
        <v>L013</v>
      </c>
      <c r="E14">
        <f>VLOOKUP(A14,batches!A:E,5,0)</f>
        <v>46252</v>
      </c>
      <c r="F14" t="str">
        <f>VLOOKUP(A14,batches!A:G,7,0)</f>
        <v>RELEASED</v>
      </c>
      <c r="G14">
        <f>SUMIFS(movements!H:H,movements!F:F,批次库存!A14,movements!D:D,"OPENING")</f>
        <v>80</v>
      </c>
      <c r="H14">
        <f>SUMIFS(movements!H:H,movements!F:F,批次库存!A14,movements!D:D,"RECEIPT")</f>
        <v>0</v>
      </c>
      <c r="I14">
        <f>SUMIFS(movements!H:H,movements!F:F,批次库存!A14,movements!D:D,"ISSUE")</f>
        <v>80</v>
      </c>
      <c r="J14">
        <f t="shared" si="2"/>
        <v>0</v>
      </c>
      <c r="K14">
        <f>VLOOKUP(表2[[#This Row],[SKU]],products!A:F,6,0)</f>
        <v>70.63</v>
      </c>
      <c r="L14">
        <f>J14*表2[[#This Row],[单价]]</f>
        <v>0</v>
      </c>
      <c r="M14">
        <f t="shared" si="0"/>
        <v>-19</v>
      </c>
      <c r="N14">
        <f>VLOOKUP(表2[[#This Row],[SKU]],products!A:H,8,0)</f>
        <v>30</v>
      </c>
      <c r="O1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4">
        <f t="shared" si="1"/>
        <v>0</v>
      </c>
    </row>
    <row r="15" spans="1:16" x14ac:dyDescent="0.25">
      <c r="A15" t="s">
        <v>118</v>
      </c>
      <c r="B15" t="str">
        <f>VLOOKUP(A15,batches!A:B,2,0)</f>
        <v>SKU014</v>
      </c>
      <c r="C15" t="str">
        <f>VLOOKUP(批次库存!B15,products!A:B,2,0)</f>
        <v>焦糖糖浆</v>
      </c>
      <c r="D15" t="str">
        <f>VLOOKUP(A15,batches!A:C,3,0)</f>
        <v>L014</v>
      </c>
      <c r="E15">
        <f>VLOOKUP(A15,batches!A:E,5,0)</f>
        <v>46252</v>
      </c>
      <c r="F15" t="str">
        <f>VLOOKUP(A15,batches!A:G,7,0)</f>
        <v>RELEASED</v>
      </c>
      <c r="G15">
        <f>SUMIFS(movements!H:H,movements!F:F,批次库存!A15,movements!D:D,"OPENING")</f>
        <v>80</v>
      </c>
      <c r="H15">
        <f>SUMIFS(movements!H:H,movements!F:F,批次库存!A15,movements!D:D,"RECEIPT")</f>
        <v>0</v>
      </c>
      <c r="I15">
        <f>SUMIFS(movements!H:H,movements!F:F,批次库存!A15,movements!D:D,"ISSUE")</f>
        <v>80</v>
      </c>
      <c r="J15">
        <f t="shared" si="2"/>
        <v>0</v>
      </c>
      <c r="K15">
        <f>VLOOKUP(表2[[#This Row],[SKU]],products!A:F,6,0)</f>
        <v>70.989999999999995</v>
      </c>
      <c r="L15">
        <f>J15*表2[[#This Row],[单价]]</f>
        <v>0</v>
      </c>
      <c r="M15">
        <f t="shared" si="0"/>
        <v>-19</v>
      </c>
      <c r="N15">
        <f>VLOOKUP(表2[[#This Row],[SKU]],products!A:H,8,0)</f>
        <v>30</v>
      </c>
      <c r="O1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5">
        <f t="shared" si="1"/>
        <v>0</v>
      </c>
    </row>
    <row r="16" spans="1:16" x14ac:dyDescent="0.25">
      <c r="A16" t="s">
        <v>120</v>
      </c>
      <c r="B16" t="str">
        <f>VLOOKUP(A16,batches!A:B,2,0)</f>
        <v>SKU015</v>
      </c>
      <c r="C16" t="str">
        <f>VLOOKUP(批次库存!B16,products!A:B,2,0)</f>
        <v>果糖浆</v>
      </c>
      <c r="D16" t="str">
        <f>VLOOKUP(A16,batches!A:C,3,0)</f>
        <v>L015</v>
      </c>
      <c r="E16">
        <f>VLOOKUP(A16,batches!A:E,5,0)</f>
        <v>46282</v>
      </c>
      <c r="F16" t="str">
        <f>VLOOKUP(A16,batches!A:G,7,0)</f>
        <v>RELEASED</v>
      </c>
      <c r="G16">
        <f>SUMIFS(movements!H:H,movements!F:F,批次库存!A16,movements!D:D,"OPENING")</f>
        <v>80</v>
      </c>
      <c r="H16">
        <f>SUMIFS(movements!H:H,movements!F:F,批次库存!A16,movements!D:D,"RECEIPT")</f>
        <v>0</v>
      </c>
      <c r="I16">
        <f>SUMIFS(movements!H:H,movements!F:F,批次库存!A16,movements!D:D,"ISSUE")</f>
        <v>80</v>
      </c>
      <c r="J16">
        <f t="shared" si="2"/>
        <v>0</v>
      </c>
      <c r="K16">
        <f>VLOOKUP(表2[[#This Row],[SKU]],products!A:F,6,0)</f>
        <v>53.46</v>
      </c>
      <c r="L16">
        <f>J16*表2[[#This Row],[单价]]</f>
        <v>0</v>
      </c>
      <c r="M16">
        <f t="shared" si="0"/>
        <v>11</v>
      </c>
      <c r="N16">
        <f>VLOOKUP(表2[[#This Row],[SKU]],products!A:H,8,0)</f>
        <v>30</v>
      </c>
      <c r="O1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6">
        <f t="shared" si="1"/>
        <v>0</v>
      </c>
    </row>
    <row r="17" spans="1:16" x14ac:dyDescent="0.25">
      <c r="A17" t="s">
        <v>122</v>
      </c>
      <c r="B17" t="str">
        <f>VLOOKUP(A17,batches!A:B,2,0)</f>
        <v>SKU016</v>
      </c>
      <c r="C17" t="str">
        <f>VLOOKUP(批次库存!B17,products!A:B,2,0)</f>
        <v>常温椰浆</v>
      </c>
      <c r="D17" t="str">
        <f>VLOOKUP(A17,batches!A:C,3,0)</f>
        <v>L016</v>
      </c>
      <c r="E17">
        <f>VLOOKUP(A17,batches!A:E,5,0)</f>
        <v>46227</v>
      </c>
      <c r="F17" t="str">
        <f>VLOOKUP(A17,batches!A:G,7,0)</f>
        <v>RELEASED</v>
      </c>
      <c r="G17">
        <f>SUMIFS(movements!H:H,movements!F:F,批次库存!A17,movements!D:D,"OPENING")</f>
        <v>80</v>
      </c>
      <c r="H17">
        <f>SUMIFS(movements!H:H,movements!F:F,批次库存!A17,movements!D:D,"RECEIPT")</f>
        <v>0</v>
      </c>
      <c r="I17">
        <f>SUMIFS(movements!H:H,movements!F:F,批次库存!A17,movements!D:D,"ISSUE")</f>
        <v>80</v>
      </c>
      <c r="J17">
        <f t="shared" si="2"/>
        <v>0</v>
      </c>
      <c r="K17">
        <f>VLOOKUP(表2[[#This Row],[SKU]],products!A:F,6,0)</f>
        <v>13.06</v>
      </c>
      <c r="L17">
        <f>J17*表2[[#This Row],[单价]]</f>
        <v>0</v>
      </c>
      <c r="M17">
        <f t="shared" si="0"/>
        <v>-44</v>
      </c>
      <c r="N17">
        <f>VLOOKUP(表2[[#This Row],[SKU]],products!A:H,8,0)</f>
        <v>30</v>
      </c>
      <c r="O1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7">
        <f t="shared" si="1"/>
        <v>0</v>
      </c>
    </row>
    <row r="18" spans="1:16" x14ac:dyDescent="0.25">
      <c r="A18" t="s">
        <v>124</v>
      </c>
      <c r="B18" t="str">
        <f>VLOOKUP(A18,batches!A:B,2,0)</f>
        <v>SKU017</v>
      </c>
      <c r="C18" t="str">
        <f>VLOOKUP(批次库存!B18,products!A:B,2,0)</f>
        <v>常温椰乳</v>
      </c>
      <c r="D18" t="str">
        <f>VLOOKUP(A18,batches!A:C,3,0)</f>
        <v>L017</v>
      </c>
      <c r="E18">
        <f>VLOOKUP(A18,batches!A:E,5,0)</f>
        <v>46282</v>
      </c>
      <c r="F18" t="str">
        <f>VLOOKUP(A18,batches!A:G,7,0)</f>
        <v>RELEASED</v>
      </c>
      <c r="G18">
        <f>SUMIFS(movements!H:H,movements!F:F,批次库存!A18,movements!D:D,"OPENING")</f>
        <v>80</v>
      </c>
      <c r="H18">
        <f>SUMIFS(movements!H:H,movements!F:F,批次库存!A18,movements!D:D,"RECEIPT")</f>
        <v>0</v>
      </c>
      <c r="I18">
        <f>SUMIFS(movements!H:H,movements!F:F,批次库存!A18,movements!D:D,"ISSUE")</f>
        <v>80</v>
      </c>
      <c r="J18">
        <f t="shared" si="2"/>
        <v>0</v>
      </c>
      <c r="K18">
        <f>VLOOKUP(表2[[#This Row],[SKU]],products!A:F,6,0)</f>
        <v>39.159999999999997</v>
      </c>
      <c r="L18">
        <f>J18*表2[[#This Row],[单价]]</f>
        <v>0</v>
      </c>
      <c r="M18">
        <f t="shared" si="0"/>
        <v>11</v>
      </c>
      <c r="N18">
        <f>VLOOKUP(表2[[#This Row],[SKU]],products!A:H,8,0)</f>
        <v>30</v>
      </c>
      <c r="O1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8">
        <f t="shared" si="1"/>
        <v>0</v>
      </c>
    </row>
    <row r="19" spans="1:16" x14ac:dyDescent="0.25">
      <c r="A19" t="s">
        <v>126</v>
      </c>
      <c r="B19" t="str">
        <f>VLOOKUP(A19,batches!A:B,2,0)</f>
        <v>SKU018</v>
      </c>
      <c r="C19" t="str">
        <f>VLOOKUP(批次库存!B19,products!A:B,2,0)</f>
        <v>常温燕麦饮</v>
      </c>
      <c r="D19" t="str">
        <f>VLOOKUP(A19,batches!A:C,3,0)</f>
        <v>L018</v>
      </c>
      <c r="E19">
        <f>VLOOKUP(A19,batches!A:E,5,0)</f>
        <v>46282</v>
      </c>
      <c r="F19" t="str">
        <f>VLOOKUP(A19,batches!A:G,7,0)</f>
        <v>RELEASED</v>
      </c>
      <c r="G19">
        <f>SUMIFS(movements!H:H,movements!F:F,批次库存!A19,movements!D:D,"OPENING")</f>
        <v>80</v>
      </c>
      <c r="H19">
        <f>SUMIFS(movements!H:H,movements!F:F,批次库存!A19,movements!D:D,"RECEIPT")</f>
        <v>0</v>
      </c>
      <c r="I19">
        <f>SUMIFS(movements!H:H,movements!F:F,批次库存!A19,movements!D:D,"ISSUE")</f>
        <v>80</v>
      </c>
      <c r="J19">
        <f t="shared" si="2"/>
        <v>0</v>
      </c>
      <c r="K19">
        <f>VLOOKUP(表2[[#This Row],[SKU]],products!A:F,6,0)</f>
        <v>63.65</v>
      </c>
      <c r="L19">
        <f>J19*表2[[#This Row],[单价]]</f>
        <v>0</v>
      </c>
      <c r="M19">
        <f t="shared" si="0"/>
        <v>11</v>
      </c>
      <c r="N19">
        <f>VLOOKUP(表2[[#This Row],[SKU]],products!A:H,8,0)</f>
        <v>30</v>
      </c>
      <c r="O1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9">
        <f t="shared" si="1"/>
        <v>0</v>
      </c>
    </row>
    <row r="20" spans="1:16" x14ac:dyDescent="0.25">
      <c r="A20" t="s">
        <v>128</v>
      </c>
      <c r="B20" t="str">
        <f>VLOOKUP(A20,batches!A:B,2,0)</f>
        <v>SKU019</v>
      </c>
      <c r="C20" t="str">
        <f>VLOOKUP(批次库存!B20,products!A:B,2,0)</f>
        <v>常温全脂奶</v>
      </c>
      <c r="D20" t="str">
        <f>VLOOKUP(A20,batches!A:C,3,0)</f>
        <v>L019</v>
      </c>
      <c r="E20">
        <f>VLOOKUP(A20,batches!A:E,5,0)</f>
        <v>46227</v>
      </c>
      <c r="F20" t="str">
        <f>VLOOKUP(A20,batches!A:G,7,0)</f>
        <v>RELEASED</v>
      </c>
      <c r="G20">
        <f>SUMIFS(movements!H:H,movements!F:F,批次库存!A20,movements!D:D,"OPENING")</f>
        <v>80</v>
      </c>
      <c r="H20">
        <f>SUMIFS(movements!H:H,movements!F:F,批次库存!A20,movements!D:D,"RECEIPT")</f>
        <v>0</v>
      </c>
      <c r="I20">
        <f>SUMIFS(movements!H:H,movements!F:F,批次库存!A20,movements!D:D,"ISSUE")</f>
        <v>80</v>
      </c>
      <c r="J20">
        <f t="shared" si="2"/>
        <v>0</v>
      </c>
      <c r="K20">
        <f>VLOOKUP(表2[[#This Row],[SKU]],products!A:F,6,0)</f>
        <v>81.96</v>
      </c>
      <c r="L20">
        <f>J20*表2[[#This Row],[单价]]</f>
        <v>0</v>
      </c>
      <c r="M20">
        <f t="shared" si="0"/>
        <v>-44</v>
      </c>
      <c r="N20">
        <f>VLOOKUP(表2[[#This Row],[SKU]],products!A:H,8,0)</f>
        <v>30</v>
      </c>
      <c r="O2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20">
        <f t="shared" si="1"/>
        <v>0</v>
      </c>
    </row>
    <row r="21" spans="1:16" x14ac:dyDescent="0.25">
      <c r="A21" t="s">
        <v>130</v>
      </c>
      <c r="B21" t="str">
        <f>VLOOKUP(A21,batches!A:B,2,0)</f>
        <v>SKU020</v>
      </c>
      <c r="C21" t="str">
        <f>VLOOKUP(批次库存!B21,products!A:B,2,0)</f>
        <v>常温厚乳</v>
      </c>
      <c r="D21" t="str">
        <f>VLOOKUP(A21,batches!A:C,3,0)</f>
        <v>L020</v>
      </c>
      <c r="E21">
        <f>VLOOKUP(A21,batches!A:E,5,0)</f>
        <v>46282</v>
      </c>
      <c r="F21" t="str">
        <f>VLOOKUP(A21,batches!A:G,7,0)</f>
        <v>RELEASED</v>
      </c>
      <c r="G21">
        <f>SUMIFS(movements!H:H,movements!F:F,批次库存!A21,movements!D:D,"OPENING")</f>
        <v>80</v>
      </c>
      <c r="H21">
        <f>SUMIFS(movements!H:H,movements!F:F,批次库存!A21,movements!D:D,"RECEIPT")</f>
        <v>0</v>
      </c>
      <c r="I21">
        <f>SUMIFS(movements!H:H,movements!F:F,批次库存!A21,movements!D:D,"ISSUE")</f>
        <v>80</v>
      </c>
      <c r="J21">
        <f t="shared" si="2"/>
        <v>0</v>
      </c>
      <c r="K21">
        <f>VLOOKUP(表2[[#This Row],[SKU]],products!A:F,6,0)</f>
        <v>65.56</v>
      </c>
      <c r="L21">
        <f>J21*表2[[#This Row],[单价]]</f>
        <v>0</v>
      </c>
      <c r="M21">
        <f t="shared" si="0"/>
        <v>11</v>
      </c>
      <c r="N21">
        <f>VLOOKUP(表2[[#This Row],[SKU]],products!A:H,8,0)</f>
        <v>30</v>
      </c>
      <c r="O2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21">
        <f t="shared" si="1"/>
        <v>0</v>
      </c>
    </row>
    <row r="22" spans="1:16" x14ac:dyDescent="0.25">
      <c r="A22" t="s">
        <v>132</v>
      </c>
      <c r="B22" t="str">
        <f>VLOOKUP(A22,batches!A:B,2,0)</f>
        <v>SKU021</v>
      </c>
      <c r="C22" t="str">
        <f>VLOOKUP(批次库存!B22,products!A:B,2,0)</f>
        <v>500ml杯</v>
      </c>
      <c r="D22" t="str">
        <f>VLOOKUP(A22,batches!A:C,3,0)</f>
        <v>L021</v>
      </c>
      <c r="E22">
        <f>VLOOKUP(A22,batches!A:E,5,0)</f>
        <v>46547</v>
      </c>
      <c r="F22" t="str">
        <f>VLOOKUP(A22,batches!A:G,7,0)</f>
        <v>RELEASED</v>
      </c>
      <c r="G22">
        <f>SUMIFS(movements!H:H,movements!F:F,批次库存!A22,movements!D:D,"OPENING")</f>
        <v>80</v>
      </c>
      <c r="H22">
        <f>SUMIFS(movements!H:H,movements!F:F,批次库存!A22,movements!D:D,"RECEIPT")</f>
        <v>0</v>
      </c>
      <c r="I22">
        <f>SUMIFS(movements!H:H,movements!F:F,批次库存!A22,movements!D:D,"ISSUE")</f>
        <v>80</v>
      </c>
      <c r="J22">
        <f t="shared" si="2"/>
        <v>0</v>
      </c>
      <c r="K22">
        <f>VLOOKUP(表2[[#This Row],[SKU]],products!A:F,6,0)</f>
        <v>20.77</v>
      </c>
      <c r="L22">
        <f>J22*表2[[#This Row],[单价]]</f>
        <v>0</v>
      </c>
      <c r="M22">
        <f t="shared" si="0"/>
        <v>276</v>
      </c>
      <c r="N22">
        <f>VLOOKUP(表2[[#This Row],[SKU]],products!A:H,8,0)</f>
        <v>60</v>
      </c>
      <c r="O2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22">
        <f t="shared" si="1"/>
        <v>0</v>
      </c>
    </row>
    <row r="23" spans="1:16" x14ac:dyDescent="0.25">
      <c r="A23" t="s">
        <v>134</v>
      </c>
      <c r="B23" t="str">
        <f>VLOOKUP(A23,batches!A:B,2,0)</f>
        <v>SKU022</v>
      </c>
      <c r="C23" t="str">
        <f>VLOOKUP(批次库存!B23,products!A:B,2,0)</f>
        <v>700ml杯</v>
      </c>
      <c r="D23" t="str">
        <f>VLOOKUP(A23,batches!A:C,3,0)</f>
        <v>L022</v>
      </c>
      <c r="E23">
        <f>VLOOKUP(A23,batches!A:E,5,0)</f>
        <v>46547</v>
      </c>
      <c r="F23" t="str">
        <f>VLOOKUP(A23,batches!A:G,7,0)</f>
        <v>RELEASED</v>
      </c>
      <c r="G23">
        <f>SUMIFS(movements!H:H,movements!F:F,批次库存!A23,movements!D:D,"OPENING")</f>
        <v>80</v>
      </c>
      <c r="H23">
        <f>SUMIFS(movements!H:H,movements!F:F,批次库存!A23,movements!D:D,"RECEIPT")</f>
        <v>0</v>
      </c>
      <c r="I23">
        <f>SUMIFS(movements!H:H,movements!F:F,批次库存!A23,movements!D:D,"ISSUE")</f>
        <v>80</v>
      </c>
      <c r="J23">
        <f t="shared" si="2"/>
        <v>0</v>
      </c>
      <c r="K23">
        <f>VLOOKUP(表2[[#This Row],[SKU]],products!A:F,6,0)</f>
        <v>16.36</v>
      </c>
      <c r="L23">
        <f>J23*表2[[#This Row],[单价]]</f>
        <v>0</v>
      </c>
      <c r="M23">
        <f t="shared" si="0"/>
        <v>276</v>
      </c>
      <c r="N23">
        <f>VLOOKUP(表2[[#This Row],[SKU]],products!A:H,8,0)</f>
        <v>60</v>
      </c>
      <c r="O2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23">
        <f t="shared" si="1"/>
        <v>0</v>
      </c>
    </row>
    <row r="24" spans="1:16" x14ac:dyDescent="0.25">
      <c r="A24" t="s">
        <v>136</v>
      </c>
      <c r="B24" t="str">
        <f>VLOOKUP(A24,batches!A:B,2,0)</f>
        <v>SKU023</v>
      </c>
      <c r="C24" t="str">
        <f>VLOOKUP(批次库存!B24,products!A:B,2,0)</f>
        <v>500ml杯盖</v>
      </c>
      <c r="D24" t="str">
        <f>VLOOKUP(A24,batches!A:C,3,0)</f>
        <v>L023</v>
      </c>
      <c r="E24">
        <f>VLOOKUP(A24,batches!A:E,5,0)</f>
        <v>46547</v>
      </c>
      <c r="F24" t="str">
        <f>VLOOKUP(A24,batches!A:G,7,0)</f>
        <v>RELEASED</v>
      </c>
      <c r="G24">
        <f>SUMIFS(movements!H:H,movements!F:F,批次库存!A24,movements!D:D,"OPENING")</f>
        <v>80</v>
      </c>
      <c r="H24">
        <f>SUMIFS(movements!H:H,movements!F:F,批次库存!A24,movements!D:D,"RECEIPT")</f>
        <v>0</v>
      </c>
      <c r="I24">
        <f>SUMIFS(movements!H:H,movements!F:F,批次库存!A24,movements!D:D,"ISSUE")</f>
        <v>80</v>
      </c>
      <c r="J24">
        <f t="shared" si="2"/>
        <v>0</v>
      </c>
      <c r="K24">
        <f>VLOOKUP(表2[[#This Row],[SKU]],products!A:F,6,0)</f>
        <v>12.46</v>
      </c>
      <c r="L24">
        <f>J24*表2[[#This Row],[单价]]</f>
        <v>0</v>
      </c>
      <c r="M24">
        <f t="shared" si="0"/>
        <v>276</v>
      </c>
      <c r="N24">
        <f>VLOOKUP(表2[[#This Row],[SKU]],products!A:H,8,0)</f>
        <v>60</v>
      </c>
      <c r="O2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24">
        <f t="shared" si="1"/>
        <v>0</v>
      </c>
    </row>
    <row r="25" spans="1:16" x14ac:dyDescent="0.25">
      <c r="A25" t="s">
        <v>138</v>
      </c>
      <c r="B25" t="str">
        <f>VLOOKUP(A25,batches!A:B,2,0)</f>
        <v>SKU024</v>
      </c>
      <c r="C25" t="str">
        <f>VLOOKUP(批次库存!B25,products!A:B,2,0)</f>
        <v>700ml杯盖</v>
      </c>
      <c r="D25" t="str">
        <f>VLOOKUP(A25,batches!A:C,3,0)</f>
        <v>L024</v>
      </c>
      <c r="E25">
        <f>VLOOKUP(A25,batches!A:E,5,0)</f>
        <v>46547</v>
      </c>
      <c r="F25" t="str">
        <f>VLOOKUP(A25,batches!A:G,7,0)</f>
        <v>RELEASED</v>
      </c>
      <c r="G25">
        <f>SUMIFS(movements!H:H,movements!F:F,批次库存!A25,movements!D:D,"OPENING")</f>
        <v>80</v>
      </c>
      <c r="H25">
        <f>SUMIFS(movements!H:H,movements!F:F,批次库存!A25,movements!D:D,"RECEIPT")</f>
        <v>0</v>
      </c>
      <c r="I25">
        <f>SUMIFS(movements!H:H,movements!F:F,批次库存!A25,movements!D:D,"ISSUE")</f>
        <v>80</v>
      </c>
      <c r="J25">
        <f t="shared" si="2"/>
        <v>0</v>
      </c>
      <c r="K25">
        <f>VLOOKUP(表2[[#This Row],[SKU]],products!A:F,6,0)</f>
        <v>19.8</v>
      </c>
      <c r="L25">
        <f>J25*表2[[#This Row],[单价]]</f>
        <v>0</v>
      </c>
      <c r="M25">
        <f t="shared" si="0"/>
        <v>276</v>
      </c>
      <c r="N25">
        <f>VLOOKUP(表2[[#This Row],[SKU]],products!A:H,8,0)</f>
        <v>60</v>
      </c>
      <c r="O2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25">
        <f t="shared" si="1"/>
        <v>0</v>
      </c>
    </row>
    <row r="26" spans="1:16" x14ac:dyDescent="0.25">
      <c r="A26" t="s">
        <v>140</v>
      </c>
      <c r="B26" t="str">
        <f>VLOOKUP(A26,batches!A:B,2,0)</f>
        <v>SKU025</v>
      </c>
      <c r="C26" t="str">
        <f>VLOOKUP(批次库存!B26,products!A:B,2,0)</f>
        <v>粗吸管</v>
      </c>
      <c r="D26" t="str">
        <f>VLOOKUP(A26,batches!A:C,3,0)</f>
        <v>L025</v>
      </c>
      <c r="E26">
        <f>VLOOKUP(A26,batches!A:E,5,0)</f>
        <v>46547</v>
      </c>
      <c r="F26" t="str">
        <f>VLOOKUP(A26,batches!A:G,7,0)</f>
        <v>RELEASED</v>
      </c>
      <c r="G26">
        <f>SUMIFS(movements!H:H,movements!F:F,批次库存!A26,movements!D:D,"OPENING")</f>
        <v>80</v>
      </c>
      <c r="H26">
        <f>SUMIFS(movements!H:H,movements!F:F,批次库存!A26,movements!D:D,"RECEIPT")</f>
        <v>0</v>
      </c>
      <c r="I26">
        <f>SUMIFS(movements!H:H,movements!F:F,批次库存!A26,movements!D:D,"ISSUE")</f>
        <v>80</v>
      </c>
      <c r="J26">
        <f t="shared" si="2"/>
        <v>0</v>
      </c>
      <c r="K26">
        <f>VLOOKUP(表2[[#This Row],[SKU]],products!A:F,6,0)</f>
        <v>39.42</v>
      </c>
      <c r="L26">
        <f>J26*表2[[#This Row],[单价]]</f>
        <v>0</v>
      </c>
      <c r="M26">
        <f t="shared" si="0"/>
        <v>276</v>
      </c>
      <c r="N26">
        <f>VLOOKUP(表2[[#This Row],[SKU]],products!A:H,8,0)</f>
        <v>60</v>
      </c>
      <c r="O2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26">
        <f t="shared" si="1"/>
        <v>0</v>
      </c>
    </row>
    <row r="27" spans="1:16" x14ac:dyDescent="0.25">
      <c r="A27" t="s">
        <v>142</v>
      </c>
      <c r="B27" t="str">
        <f>VLOOKUP(A27,batches!A:B,2,0)</f>
        <v>SKU026</v>
      </c>
      <c r="C27" t="str">
        <f>VLOOKUP(批次库存!B27,products!A:B,2,0)</f>
        <v>细吸管</v>
      </c>
      <c r="D27" t="str">
        <f>VLOOKUP(A27,batches!A:C,3,0)</f>
        <v>L026</v>
      </c>
      <c r="E27">
        <f>VLOOKUP(A27,batches!A:E,5,0)</f>
        <v>46547</v>
      </c>
      <c r="F27" t="str">
        <f>VLOOKUP(A27,batches!A:G,7,0)</f>
        <v>RELEASED</v>
      </c>
      <c r="G27">
        <f>SUMIFS(movements!H:H,movements!F:F,批次库存!A27,movements!D:D,"OPENING")</f>
        <v>80</v>
      </c>
      <c r="H27">
        <f>SUMIFS(movements!H:H,movements!F:F,批次库存!A27,movements!D:D,"RECEIPT")</f>
        <v>0</v>
      </c>
      <c r="I27">
        <f>SUMIFS(movements!H:H,movements!F:F,批次库存!A27,movements!D:D,"ISSUE")</f>
        <v>80</v>
      </c>
      <c r="J27">
        <f t="shared" si="2"/>
        <v>0</v>
      </c>
      <c r="K27">
        <f>VLOOKUP(表2[[#This Row],[SKU]],products!A:F,6,0)</f>
        <v>14.19</v>
      </c>
      <c r="L27">
        <f>J27*表2[[#This Row],[单价]]</f>
        <v>0</v>
      </c>
      <c r="M27">
        <f t="shared" si="0"/>
        <v>276</v>
      </c>
      <c r="N27">
        <f>VLOOKUP(表2[[#This Row],[SKU]],products!A:H,8,0)</f>
        <v>60</v>
      </c>
      <c r="O2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27">
        <f t="shared" si="1"/>
        <v>0</v>
      </c>
    </row>
    <row r="28" spans="1:16" x14ac:dyDescent="0.25">
      <c r="A28" t="s">
        <v>144</v>
      </c>
      <c r="B28" t="str">
        <f>VLOOKUP(A28,batches!A:B,2,0)</f>
        <v>SKU027</v>
      </c>
      <c r="C28" t="str">
        <f>VLOOKUP(批次库存!B28,products!A:B,2,0)</f>
        <v>单杯袋</v>
      </c>
      <c r="D28" t="str">
        <f>VLOOKUP(A28,batches!A:C,3,0)</f>
        <v>L027</v>
      </c>
      <c r="E28">
        <f>VLOOKUP(A28,batches!A:E,5,0)</f>
        <v>46547</v>
      </c>
      <c r="F28" t="str">
        <f>VLOOKUP(A28,batches!A:G,7,0)</f>
        <v>RELEASED</v>
      </c>
      <c r="G28">
        <f>SUMIFS(movements!H:H,movements!F:F,批次库存!A28,movements!D:D,"OPENING")</f>
        <v>80</v>
      </c>
      <c r="H28">
        <f>SUMIFS(movements!H:H,movements!F:F,批次库存!A28,movements!D:D,"RECEIPT")</f>
        <v>0</v>
      </c>
      <c r="I28">
        <f>SUMIFS(movements!H:H,movements!F:F,批次库存!A28,movements!D:D,"ISSUE")</f>
        <v>80</v>
      </c>
      <c r="J28">
        <f t="shared" si="2"/>
        <v>0</v>
      </c>
      <c r="K28">
        <f>VLOOKUP(表2[[#This Row],[SKU]],products!A:F,6,0)</f>
        <v>30.89</v>
      </c>
      <c r="L28">
        <f>J28*表2[[#This Row],[单价]]</f>
        <v>0</v>
      </c>
      <c r="M28">
        <f t="shared" si="0"/>
        <v>276</v>
      </c>
      <c r="N28">
        <f>VLOOKUP(表2[[#This Row],[SKU]],products!A:H,8,0)</f>
        <v>60</v>
      </c>
      <c r="O2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28">
        <f t="shared" si="1"/>
        <v>0</v>
      </c>
    </row>
    <row r="29" spans="1:16" x14ac:dyDescent="0.25">
      <c r="A29" t="s">
        <v>146</v>
      </c>
      <c r="B29" t="str">
        <f>VLOOKUP(A29,batches!A:B,2,0)</f>
        <v>SKU028</v>
      </c>
      <c r="C29" t="str">
        <f>VLOOKUP(批次库存!B29,products!A:B,2,0)</f>
        <v>双杯袋</v>
      </c>
      <c r="D29" t="str">
        <f>VLOOKUP(A29,batches!A:C,3,0)</f>
        <v>L028</v>
      </c>
      <c r="E29">
        <f>VLOOKUP(A29,batches!A:E,5,0)</f>
        <v>46547</v>
      </c>
      <c r="F29" t="str">
        <f>VLOOKUP(A29,batches!A:G,7,0)</f>
        <v>RELEASED</v>
      </c>
      <c r="G29">
        <f>SUMIFS(movements!H:H,movements!F:F,批次库存!A29,movements!D:D,"OPENING")</f>
        <v>80</v>
      </c>
      <c r="H29">
        <f>SUMIFS(movements!H:H,movements!F:F,批次库存!A29,movements!D:D,"RECEIPT")</f>
        <v>0</v>
      </c>
      <c r="I29">
        <f>SUMIFS(movements!H:H,movements!F:F,批次库存!A29,movements!D:D,"ISSUE")</f>
        <v>80</v>
      </c>
      <c r="J29">
        <f t="shared" si="2"/>
        <v>0</v>
      </c>
      <c r="K29">
        <f>VLOOKUP(表2[[#This Row],[SKU]],products!A:F,6,0)</f>
        <v>55.53</v>
      </c>
      <c r="L29">
        <f>J29*表2[[#This Row],[单价]]</f>
        <v>0</v>
      </c>
      <c r="M29">
        <f t="shared" si="0"/>
        <v>276</v>
      </c>
      <c r="N29">
        <f>VLOOKUP(表2[[#This Row],[SKU]],products!A:H,8,0)</f>
        <v>60</v>
      </c>
      <c r="O2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29">
        <f t="shared" si="1"/>
        <v>0</v>
      </c>
    </row>
    <row r="30" spans="1:16" x14ac:dyDescent="0.25">
      <c r="A30" t="s">
        <v>148</v>
      </c>
      <c r="B30" t="str">
        <f>VLOOKUP(A30,batches!A:B,2,0)</f>
        <v>SKU029</v>
      </c>
      <c r="C30" t="str">
        <f>VLOOKUP(批次库存!B30,products!A:B,2,0)</f>
        <v>封口膜</v>
      </c>
      <c r="D30" t="str">
        <f>VLOOKUP(A30,batches!A:C,3,0)</f>
        <v>L029</v>
      </c>
      <c r="E30">
        <f>VLOOKUP(A30,batches!A:E,5,0)</f>
        <v>46547</v>
      </c>
      <c r="F30" t="str">
        <f>VLOOKUP(A30,batches!A:G,7,0)</f>
        <v>RELEASED</v>
      </c>
      <c r="G30">
        <f>SUMIFS(movements!H:H,movements!F:F,批次库存!A30,movements!D:D,"OPENING")</f>
        <v>240</v>
      </c>
      <c r="H30">
        <f>SUMIFS(movements!H:H,movements!F:F,批次库存!A30,movements!D:D,"RECEIPT")</f>
        <v>0</v>
      </c>
      <c r="I30">
        <f>SUMIFS(movements!H:H,movements!F:F,批次库存!A30,movements!D:D,"ISSUE")</f>
        <v>28</v>
      </c>
      <c r="J30">
        <f t="shared" si="2"/>
        <v>212</v>
      </c>
      <c r="K30">
        <f>VLOOKUP(表2[[#This Row],[SKU]],products!A:F,6,0)</f>
        <v>52.7</v>
      </c>
      <c r="L30">
        <f>J30*表2[[#This Row],[单价]]</f>
        <v>11172.400000000001</v>
      </c>
      <c r="M30">
        <f t="shared" si="0"/>
        <v>276</v>
      </c>
      <c r="N30">
        <f>VLOOKUP(表2[[#This Row],[SKU]],products!A:H,8,0)</f>
        <v>60</v>
      </c>
      <c r="O3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30">
        <f t="shared" si="1"/>
        <v>212</v>
      </c>
    </row>
    <row r="31" spans="1:16" x14ac:dyDescent="0.25">
      <c r="A31" t="s">
        <v>150</v>
      </c>
      <c r="B31" t="str">
        <f>VLOOKUP(A31,batches!A:B,2,0)</f>
        <v>SKU030</v>
      </c>
      <c r="C31" t="str">
        <f>VLOOKUP(批次库存!B31,products!A:B,2,0)</f>
        <v>纸巾</v>
      </c>
      <c r="D31" t="str">
        <f>VLOOKUP(A31,batches!A:C,3,0)</f>
        <v>L030</v>
      </c>
      <c r="E31">
        <f>VLOOKUP(A31,batches!A:E,5,0)</f>
        <v>46547</v>
      </c>
      <c r="F31" t="str">
        <f>VLOOKUP(A31,batches!A:G,7,0)</f>
        <v>RELEASED</v>
      </c>
      <c r="G31">
        <f>SUMIFS(movements!H:H,movements!F:F,批次库存!A31,movements!D:D,"OPENING")</f>
        <v>240</v>
      </c>
      <c r="H31">
        <f>SUMIFS(movements!H:H,movements!F:F,批次库存!A31,movements!D:D,"RECEIPT")</f>
        <v>0</v>
      </c>
      <c r="I31">
        <f>SUMIFS(movements!H:H,movements!F:F,批次库存!A31,movements!D:D,"ISSUE")</f>
        <v>0</v>
      </c>
      <c r="J31">
        <f t="shared" si="2"/>
        <v>240</v>
      </c>
      <c r="K31">
        <f>VLOOKUP(表2[[#This Row],[SKU]],products!A:F,6,0)</f>
        <v>27.65</v>
      </c>
      <c r="L31">
        <f>J31*表2[[#This Row],[单价]]</f>
        <v>6636</v>
      </c>
      <c r="M31">
        <f t="shared" si="0"/>
        <v>276</v>
      </c>
      <c r="N31">
        <f>VLOOKUP(表2[[#This Row],[SKU]],products!A:H,8,0)</f>
        <v>60</v>
      </c>
      <c r="O3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31">
        <f t="shared" si="1"/>
        <v>240</v>
      </c>
    </row>
    <row r="32" spans="1:16" x14ac:dyDescent="0.25">
      <c r="A32" t="s">
        <v>152</v>
      </c>
      <c r="B32" t="str">
        <f>VLOOKUP(A32,batches!A:B,2,0)</f>
        <v>SKU001</v>
      </c>
      <c r="C32" t="str">
        <f>VLOOKUP(批次库存!B32,products!A:B,2,0)</f>
        <v>茉莉绿茶</v>
      </c>
      <c r="D32" t="str">
        <f>VLOOKUP(A32,batches!A:C,3,0)</f>
        <v>L001</v>
      </c>
      <c r="E32">
        <f>VLOOKUP(A32,batches!A:E,5,0)</f>
        <v>46234</v>
      </c>
      <c r="F32" t="str">
        <f>VLOOKUP(A32,batches!A:G,7,0)</f>
        <v>RELEASED</v>
      </c>
      <c r="G32">
        <f>SUMIFS(movements!H:H,movements!F:F,批次库存!A32,movements!D:D,"OPENING")</f>
        <v>0</v>
      </c>
      <c r="H32">
        <f>SUMIFS(movements!H:H,movements!F:F,批次库存!A32,movements!D:D,"RECEIPT")</f>
        <v>80</v>
      </c>
      <c r="I32">
        <f>SUMIFS(movements!H:H,movements!F:F,批次库存!A32,movements!D:D,"ISSUE")</f>
        <v>80</v>
      </c>
      <c r="J32">
        <f t="shared" si="2"/>
        <v>0</v>
      </c>
      <c r="K32">
        <f>VLOOKUP(表2[[#This Row],[SKU]],products!A:F,6,0)</f>
        <v>79.760000000000005</v>
      </c>
      <c r="L32">
        <f>J32*表2[[#This Row],[单价]]</f>
        <v>0</v>
      </c>
      <c r="M32">
        <f t="shared" si="0"/>
        <v>-37</v>
      </c>
      <c r="N32">
        <f>VLOOKUP(表2[[#This Row],[SKU]],products!A:H,8,0)</f>
        <v>30</v>
      </c>
      <c r="O3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32">
        <f t="shared" si="1"/>
        <v>0</v>
      </c>
    </row>
    <row r="33" spans="1:16" x14ac:dyDescent="0.25">
      <c r="A33" t="s">
        <v>153</v>
      </c>
      <c r="B33" t="str">
        <f>VLOOKUP(A33,batches!A:B,2,0)</f>
        <v>SKU002</v>
      </c>
      <c r="C33" t="str">
        <f>VLOOKUP(批次库存!B33,products!A:B,2,0)</f>
        <v>红茶</v>
      </c>
      <c r="D33" t="str">
        <f>VLOOKUP(A33,batches!A:C,3,0)</f>
        <v>L002</v>
      </c>
      <c r="E33">
        <f>VLOOKUP(A33,batches!A:E,5,0)</f>
        <v>46289</v>
      </c>
      <c r="F33" t="str">
        <f>VLOOKUP(A33,batches!A:G,7,0)</f>
        <v>RELEASED</v>
      </c>
      <c r="G33">
        <f>SUMIFS(movements!H:H,movements!F:F,批次库存!A33,movements!D:D,"OPENING")</f>
        <v>0</v>
      </c>
      <c r="H33">
        <f>SUMIFS(movements!H:H,movements!F:F,批次库存!A33,movements!D:D,"RECEIPT")</f>
        <v>81</v>
      </c>
      <c r="I33">
        <f>SUMIFS(movements!H:H,movements!F:F,批次库存!A33,movements!D:D,"ISSUE")</f>
        <v>81</v>
      </c>
      <c r="J33">
        <f t="shared" si="2"/>
        <v>0</v>
      </c>
      <c r="K33">
        <f>VLOOKUP(表2[[#This Row],[SKU]],products!A:F,6,0)</f>
        <v>78.48</v>
      </c>
      <c r="L33">
        <f>J33*表2[[#This Row],[单价]]</f>
        <v>0</v>
      </c>
      <c r="M33">
        <f t="shared" si="0"/>
        <v>18</v>
      </c>
      <c r="N33">
        <f>VLOOKUP(表2[[#This Row],[SKU]],products!A:H,8,0)</f>
        <v>30</v>
      </c>
      <c r="O3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33">
        <f t="shared" si="1"/>
        <v>0</v>
      </c>
    </row>
    <row r="34" spans="1:16" x14ac:dyDescent="0.25">
      <c r="A34" t="s">
        <v>154</v>
      </c>
      <c r="B34" t="str">
        <f>VLOOKUP(A34,batches!A:B,2,0)</f>
        <v>SKU003</v>
      </c>
      <c r="C34" t="str">
        <f>VLOOKUP(批次库存!B34,products!A:B,2,0)</f>
        <v>乌龙茶</v>
      </c>
      <c r="D34" t="str">
        <f>VLOOKUP(A34,batches!A:C,3,0)</f>
        <v>L003</v>
      </c>
      <c r="E34">
        <f>VLOOKUP(A34,batches!A:E,5,0)</f>
        <v>46259</v>
      </c>
      <c r="F34" t="str">
        <f>VLOOKUP(A34,batches!A:G,7,0)</f>
        <v>RELEASED</v>
      </c>
      <c r="G34">
        <f>SUMIFS(movements!H:H,movements!F:F,批次库存!A34,movements!D:D,"OPENING")</f>
        <v>0</v>
      </c>
      <c r="H34">
        <f>SUMIFS(movements!H:H,movements!F:F,批次库存!A34,movements!D:D,"RECEIPT")</f>
        <v>67</v>
      </c>
      <c r="I34">
        <f>SUMIFS(movements!H:H,movements!F:F,批次库存!A34,movements!D:D,"ISSUE")</f>
        <v>67</v>
      </c>
      <c r="J34">
        <f t="shared" si="2"/>
        <v>0</v>
      </c>
      <c r="K34">
        <f>VLOOKUP(表2[[#This Row],[SKU]],products!A:F,6,0)</f>
        <v>41.99</v>
      </c>
      <c r="L34">
        <f>J34*表2[[#This Row],[单价]]</f>
        <v>0</v>
      </c>
      <c r="M34">
        <f t="shared" si="0"/>
        <v>-12</v>
      </c>
      <c r="N34">
        <f>VLOOKUP(表2[[#This Row],[SKU]],products!A:H,8,0)</f>
        <v>30</v>
      </c>
      <c r="O3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34">
        <f t="shared" si="1"/>
        <v>0</v>
      </c>
    </row>
    <row r="35" spans="1:16" x14ac:dyDescent="0.25">
      <c r="A35" t="s">
        <v>155</v>
      </c>
      <c r="B35" t="str">
        <f>VLOOKUP(A35,batches!A:B,2,0)</f>
        <v>SKU004</v>
      </c>
      <c r="C35" t="str">
        <f>VLOOKUP(批次库存!B35,products!A:B,2,0)</f>
        <v>四季春茶</v>
      </c>
      <c r="D35" t="str">
        <f>VLOOKUP(A35,batches!A:C,3,0)</f>
        <v>L004</v>
      </c>
      <c r="E35">
        <f>VLOOKUP(A35,batches!A:E,5,0)</f>
        <v>46259</v>
      </c>
      <c r="F35" t="str">
        <f>VLOOKUP(A35,batches!A:G,7,0)</f>
        <v>RELEASED</v>
      </c>
      <c r="G35">
        <f>SUMIFS(movements!H:H,movements!F:F,批次库存!A35,movements!D:D,"OPENING")</f>
        <v>0</v>
      </c>
      <c r="H35">
        <f>SUMIFS(movements!H:H,movements!F:F,批次库存!A35,movements!D:D,"RECEIPT")</f>
        <v>68</v>
      </c>
      <c r="I35">
        <f>SUMIFS(movements!H:H,movements!F:F,批次库存!A35,movements!D:D,"ISSUE")</f>
        <v>68</v>
      </c>
      <c r="J35">
        <f t="shared" si="2"/>
        <v>0</v>
      </c>
      <c r="K35">
        <f>VLOOKUP(表2[[#This Row],[SKU]],products!A:F,6,0)</f>
        <v>70.39</v>
      </c>
      <c r="L35">
        <f>J35*表2[[#This Row],[单价]]</f>
        <v>0</v>
      </c>
      <c r="M35">
        <f t="shared" si="0"/>
        <v>-12</v>
      </c>
      <c r="N35">
        <f>VLOOKUP(表2[[#This Row],[SKU]],products!A:H,8,0)</f>
        <v>30</v>
      </c>
      <c r="O3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35">
        <f t="shared" si="1"/>
        <v>0</v>
      </c>
    </row>
    <row r="36" spans="1:16" x14ac:dyDescent="0.25">
      <c r="A36" t="s">
        <v>156</v>
      </c>
      <c r="B36" t="str">
        <f>VLOOKUP(A36,batches!A:B,2,0)</f>
        <v>SKU005</v>
      </c>
      <c r="C36" t="str">
        <f>VLOOKUP(批次库存!B36,products!A:B,2,0)</f>
        <v>桂花乌龙</v>
      </c>
      <c r="D36" t="str">
        <f>VLOOKUP(A36,batches!A:C,3,0)</f>
        <v>L005</v>
      </c>
      <c r="E36">
        <f>VLOOKUP(A36,batches!A:E,5,0)</f>
        <v>46369</v>
      </c>
      <c r="F36" t="str">
        <f>VLOOKUP(A36,batches!A:G,7,0)</f>
        <v>RELEASED</v>
      </c>
      <c r="G36">
        <f>SUMIFS(movements!H:H,movements!F:F,批次库存!A36,movements!D:D,"OPENING")</f>
        <v>0</v>
      </c>
      <c r="H36">
        <f>SUMIFS(movements!H:H,movements!F:F,批次库存!A36,movements!D:D,"RECEIPT")</f>
        <v>99</v>
      </c>
      <c r="I36">
        <f>SUMIFS(movements!H:H,movements!F:F,批次库存!A36,movements!D:D,"ISSUE")</f>
        <v>99</v>
      </c>
      <c r="J36">
        <f t="shared" si="2"/>
        <v>0</v>
      </c>
      <c r="K36">
        <f>VLOOKUP(表2[[#This Row],[SKU]],products!A:F,6,0)</f>
        <v>56.61</v>
      </c>
      <c r="L36">
        <f>J36*表2[[#This Row],[单价]]</f>
        <v>0</v>
      </c>
      <c r="M36">
        <f t="shared" si="0"/>
        <v>98</v>
      </c>
      <c r="N36">
        <f>VLOOKUP(表2[[#This Row],[SKU]],products!A:H,8,0)</f>
        <v>30</v>
      </c>
      <c r="O3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36">
        <f t="shared" si="1"/>
        <v>0</v>
      </c>
    </row>
    <row r="37" spans="1:16" x14ac:dyDescent="0.25">
      <c r="A37" t="s">
        <v>157</v>
      </c>
      <c r="B37" t="str">
        <f>VLOOKUP(A37,batches!A:B,2,0)</f>
        <v>SKU006</v>
      </c>
      <c r="C37" t="str">
        <f>VLOOKUP(批次库存!B37,products!A:B,2,0)</f>
        <v>焙火乌龙</v>
      </c>
      <c r="D37" t="str">
        <f>VLOOKUP(A37,batches!A:C,3,0)</f>
        <v>L006</v>
      </c>
      <c r="E37">
        <f>VLOOKUP(A37,batches!A:E,5,0)</f>
        <v>46289</v>
      </c>
      <c r="F37" t="str">
        <f>VLOOKUP(A37,batches!A:G,7,0)</f>
        <v>RELEASED</v>
      </c>
      <c r="G37">
        <f>SUMIFS(movements!H:H,movements!F:F,批次库存!A37,movements!D:D,"OPENING")</f>
        <v>0</v>
      </c>
      <c r="H37">
        <f>SUMIFS(movements!H:H,movements!F:F,批次库存!A37,movements!D:D,"RECEIPT")</f>
        <v>78</v>
      </c>
      <c r="I37">
        <f>SUMIFS(movements!H:H,movements!F:F,批次库存!A37,movements!D:D,"ISSUE")</f>
        <v>78</v>
      </c>
      <c r="J37">
        <f t="shared" si="2"/>
        <v>0</v>
      </c>
      <c r="K37">
        <f>VLOOKUP(表2[[#This Row],[SKU]],products!A:F,6,0)</f>
        <v>30.07</v>
      </c>
      <c r="L37">
        <f>J37*表2[[#This Row],[单价]]</f>
        <v>0</v>
      </c>
      <c r="M37">
        <f t="shared" si="0"/>
        <v>18</v>
      </c>
      <c r="N37">
        <f>VLOOKUP(表2[[#This Row],[SKU]],products!A:H,8,0)</f>
        <v>30</v>
      </c>
      <c r="O3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37">
        <f t="shared" si="1"/>
        <v>0</v>
      </c>
    </row>
    <row r="38" spans="1:16" x14ac:dyDescent="0.25">
      <c r="A38" t="s">
        <v>158</v>
      </c>
      <c r="B38" t="str">
        <f>VLOOKUP(A38,batches!A:B,2,0)</f>
        <v>SKU007</v>
      </c>
      <c r="C38" t="str">
        <f>VLOOKUP(批次库存!B38,products!A:B,2,0)</f>
        <v>白桃乌龙</v>
      </c>
      <c r="D38" t="str">
        <f>VLOOKUP(A38,batches!A:C,3,0)</f>
        <v>L007</v>
      </c>
      <c r="E38">
        <f>VLOOKUP(A38,batches!A:E,5,0)</f>
        <v>46234</v>
      </c>
      <c r="F38" t="str">
        <f>VLOOKUP(A38,batches!A:G,7,0)</f>
        <v>RELEASED</v>
      </c>
      <c r="G38">
        <f>SUMIFS(movements!H:H,movements!F:F,批次库存!A38,movements!D:D,"OPENING")</f>
        <v>0</v>
      </c>
      <c r="H38">
        <f>SUMIFS(movements!H:H,movements!F:F,批次库存!A38,movements!D:D,"RECEIPT")</f>
        <v>99</v>
      </c>
      <c r="I38">
        <f>SUMIFS(movements!H:H,movements!F:F,批次库存!A38,movements!D:D,"ISSUE")</f>
        <v>99</v>
      </c>
      <c r="J38">
        <f t="shared" si="2"/>
        <v>0</v>
      </c>
      <c r="K38">
        <f>VLOOKUP(表2[[#This Row],[SKU]],products!A:F,6,0)</f>
        <v>30.79</v>
      </c>
      <c r="L38">
        <f>J38*表2[[#This Row],[单价]]</f>
        <v>0</v>
      </c>
      <c r="M38">
        <f t="shared" si="0"/>
        <v>-37</v>
      </c>
      <c r="N38">
        <f>VLOOKUP(表2[[#This Row],[SKU]],products!A:H,8,0)</f>
        <v>30</v>
      </c>
      <c r="O3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38">
        <f t="shared" si="1"/>
        <v>0</v>
      </c>
    </row>
    <row r="39" spans="1:16" x14ac:dyDescent="0.25">
      <c r="A39" t="s">
        <v>159</v>
      </c>
      <c r="B39" t="str">
        <f>VLOOKUP(A39,batches!A:B,2,0)</f>
        <v>SKU008</v>
      </c>
      <c r="C39" t="str">
        <f>VLOOKUP(批次库存!B39,products!A:B,2,0)</f>
        <v>普洱茶</v>
      </c>
      <c r="D39" t="str">
        <f>VLOOKUP(A39,batches!A:C,3,0)</f>
        <v>L008</v>
      </c>
      <c r="E39">
        <f>VLOOKUP(A39,batches!A:E,5,0)</f>
        <v>46234</v>
      </c>
      <c r="F39" t="str">
        <f>VLOOKUP(A39,batches!A:G,7,0)</f>
        <v>RELEASED</v>
      </c>
      <c r="G39">
        <f>SUMIFS(movements!H:H,movements!F:F,批次库存!A39,movements!D:D,"OPENING")</f>
        <v>0</v>
      </c>
      <c r="H39">
        <f>SUMIFS(movements!H:H,movements!F:F,批次库存!A39,movements!D:D,"RECEIPT")</f>
        <v>92</v>
      </c>
      <c r="I39">
        <f>SUMIFS(movements!H:H,movements!F:F,批次库存!A39,movements!D:D,"ISSUE")</f>
        <v>92</v>
      </c>
      <c r="J39">
        <f t="shared" si="2"/>
        <v>0</v>
      </c>
      <c r="K39">
        <f>VLOOKUP(表2[[#This Row],[SKU]],products!A:F,6,0)</f>
        <v>72.540000000000006</v>
      </c>
      <c r="L39">
        <f>J39*表2[[#This Row],[单价]]</f>
        <v>0</v>
      </c>
      <c r="M39">
        <f t="shared" si="0"/>
        <v>-37</v>
      </c>
      <c r="N39">
        <f>VLOOKUP(表2[[#This Row],[SKU]],products!A:H,8,0)</f>
        <v>30</v>
      </c>
      <c r="O3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39">
        <f t="shared" si="1"/>
        <v>0</v>
      </c>
    </row>
    <row r="40" spans="1:16" x14ac:dyDescent="0.25">
      <c r="A40" t="s">
        <v>160</v>
      </c>
      <c r="B40" t="str">
        <f>VLOOKUP(A40,batches!A:B,2,0)</f>
        <v>SKU009</v>
      </c>
      <c r="C40" t="str">
        <f>VLOOKUP(批次库存!B40,products!A:B,2,0)</f>
        <v>龙井茶</v>
      </c>
      <c r="D40" t="str">
        <f>VLOOKUP(A40,batches!A:C,3,0)</f>
        <v>L009</v>
      </c>
      <c r="E40">
        <f>VLOOKUP(A40,batches!A:E,5,0)</f>
        <v>46259</v>
      </c>
      <c r="F40" t="str">
        <f>VLOOKUP(A40,batches!A:G,7,0)</f>
        <v>RELEASED</v>
      </c>
      <c r="G40">
        <f>SUMIFS(movements!H:H,movements!F:F,批次库存!A40,movements!D:D,"OPENING")</f>
        <v>0</v>
      </c>
      <c r="H40">
        <f>SUMIFS(movements!H:H,movements!F:F,批次库存!A40,movements!D:D,"RECEIPT")</f>
        <v>76</v>
      </c>
      <c r="I40">
        <f>SUMIFS(movements!H:H,movements!F:F,批次库存!A40,movements!D:D,"ISSUE")</f>
        <v>76</v>
      </c>
      <c r="J40">
        <f t="shared" si="2"/>
        <v>0</v>
      </c>
      <c r="K40">
        <f>VLOOKUP(表2[[#This Row],[SKU]],products!A:F,6,0)</f>
        <v>21.12</v>
      </c>
      <c r="L40">
        <f>J40*表2[[#This Row],[单价]]</f>
        <v>0</v>
      </c>
      <c r="M40">
        <f t="shared" si="0"/>
        <v>-12</v>
      </c>
      <c r="N40">
        <f>VLOOKUP(表2[[#This Row],[SKU]],products!A:H,8,0)</f>
        <v>30</v>
      </c>
      <c r="O4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40">
        <f t="shared" si="1"/>
        <v>0</v>
      </c>
    </row>
    <row r="41" spans="1:16" x14ac:dyDescent="0.25">
      <c r="A41" t="s">
        <v>161</v>
      </c>
      <c r="B41" t="str">
        <f>VLOOKUP(A41,batches!A:B,2,0)</f>
        <v>SKU010</v>
      </c>
      <c r="C41" t="str">
        <f>VLOOKUP(批次库存!B41,products!A:B,2,0)</f>
        <v>栀子绿茶</v>
      </c>
      <c r="D41" t="str">
        <f>VLOOKUP(A41,batches!A:C,3,0)</f>
        <v>L010</v>
      </c>
      <c r="E41">
        <f>VLOOKUP(A41,batches!A:E,5,0)</f>
        <v>46289</v>
      </c>
      <c r="F41" t="str">
        <f>VLOOKUP(A41,batches!A:G,7,0)</f>
        <v>RELEASED</v>
      </c>
      <c r="G41">
        <f>SUMIFS(movements!H:H,movements!F:F,批次库存!A41,movements!D:D,"OPENING")</f>
        <v>0</v>
      </c>
      <c r="H41">
        <f>SUMIFS(movements!H:H,movements!F:F,批次库存!A41,movements!D:D,"RECEIPT")</f>
        <v>86</v>
      </c>
      <c r="I41">
        <f>SUMIFS(movements!H:H,movements!F:F,批次库存!A41,movements!D:D,"ISSUE")</f>
        <v>0</v>
      </c>
      <c r="J41">
        <f t="shared" si="2"/>
        <v>86</v>
      </c>
      <c r="K41">
        <f>VLOOKUP(表2[[#This Row],[SKU]],products!A:F,6,0)</f>
        <v>29.05</v>
      </c>
      <c r="L41">
        <f>J41*表2[[#This Row],[单价]]</f>
        <v>2498.3000000000002</v>
      </c>
      <c r="M41">
        <f t="shared" si="0"/>
        <v>18</v>
      </c>
      <c r="N41">
        <f>VLOOKUP(表2[[#This Row],[SKU]],products!A:H,8,0)</f>
        <v>30</v>
      </c>
      <c r="O4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临期</v>
      </c>
      <c r="P41">
        <f t="shared" si="1"/>
        <v>86</v>
      </c>
    </row>
    <row r="42" spans="1:16" x14ac:dyDescent="0.25">
      <c r="A42" t="s">
        <v>162</v>
      </c>
      <c r="B42" t="str">
        <f>VLOOKUP(A42,batches!A:B,2,0)</f>
        <v>SKU011</v>
      </c>
      <c r="C42" t="str">
        <f>VLOOKUP(批次库存!B42,products!A:B,2,0)</f>
        <v>原味糖浆</v>
      </c>
      <c r="D42" t="str">
        <f>VLOOKUP(A42,batches!A:C,3,0)</f>
        <v>L011</v>
      </c>
      <c r="E42">
        <f>VLOOKUP(A42,batches!A:E,5,0)</f>
        <v>46234</v>
      </c>
      <c r="F42" t="str">
        <f>VLOOKUP(A42,batches!A:G,7,0)</f>
        <v>RELEASED</v>
      </c>
      <c r="G42">
        <f>SUMIFS(movements!H:H,movements!F:F,批次库存!A42,movements!D:D,"OPENING")</f>
        <v>0</v>
      </c>
      <c r="H42">
        <f>SUMIFS(movements!H:H,movements!F:F,批次库存!A42,movements!D:D,"RECEIPT")</f>
        <v>80</v>
      </c>
      <c r="I42">
        <f>SUMIFS(movements!H:H,movements!F:F,批次库存!A42,movements!D:D,"ISSUE")</f>
        <v>80</v>
      </c>
      <c r="J42">
        <f t="shared" si="2"/>
        <v>0</v>
      </c>
      <c r="K42">
        <f>VLOOKUP(表2[[#This Row],[SKU]],products!A:F,6,0)</f>
        <v>24.06</v>
      </c>
      <c r="L42">
        <f>J42*表2[[#This Row],[单价]]</f>
        <v>0</v>
      </c>
      <c r="M42">
        <f t="shared" si="0"/>
        <v>-37</v>
      </c>
      <c r="N42">
        <f>VLOOKUP(表2[[#This Row],[SKU]],products!A:H,8,0)</f>
        <v>30</v>
      </c>
      <c r="O4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42">
        <f t="shared" si="1"/>
        <v>0</v>
      </c>
    </row>
    <row r="43" spans="1:16" x14ac:dyDescent="0.25">
      <c r="A43" t="s">
        <v>163</v>
      </c>
      <c r="B43" t="str">
        <f>VLOOKUP(A43,batches!A:B,2,0)</f>
        <v>SKU012</v>
      </c>
      <c r="C43" t="str">
        <f>VLOOKUP(批次库存!B43,products!A:B,2,0)</f>
        <v>黑糖糖浆</v>
      </c>
      <c r="D43" t="str">
        <f>VLOOKUP(A43,batches!A:C,3,0)</f>
        <v>L012</v>
      </c>
      <c r="E43">
        <f>VLOOKUP(A43,batches!A:E,5,0)</f>
        <v>46369</v>
      </c>
      <c r="F43" t="str">
        <f>VLOOKUP(A43,batches!A:G,7,0)</f>
        <v>RELEASED</v>
      </c>
      <c r="G43">
        <f>SUMIFS(movements!H:H,movements!F:F,批次库存!A43,movements!D:D,"OPENING")</f>
        <v>0</v>
      </c>
      <c r="H43">
        <f>SUMIFS(movements!H:H,movements!F:F,批次库存!A43,movements!D:D,"RECEIPT")</f>
        <v>60</v>
      </c>
      <c r="I43">
        <f>SUMIFS(movements!H:H,movements!F:F,批次库存!A43,movements!D:D,"ISSUE")</f>
        <v>0</v>
      </c>
      <c r="J43">
        <f t="shared" si="2"/>
        <v>60</v>
      </c>
      <c r="K43">
        <f>VLOOKUP(表2[[#This Row],[SKU]],products!A:F,6,0)</f>
        <v>77.959999999999994</v>
      </c>
      <c r="L43">
        <f>J43*表2[[#This Row],[单价]]</f>
        <v>4677.5999999999995</v>
      </c>
      <c r="M43">
        <f t="shared" si="0"/>
        <v>98</v>
      </c>
      <c r="N43">
        <f>VLOOKUP(表2[[#This Row],[SKU]],products!A:H,8,0)</f>
        <v>30</v>
      </c>
      <c r="O4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43">
        <f t="shared" si="1"/>
        <v>60</v>
      </c>
    </row>
    <row r="44" spans="1:16" x14ac:dyDescent="0.25">
      <c r="A44" t="s">
        <v>164</v>
      </c>
      <c r="B44" t="str">
        <f>VLOOKUP(A44,batches!A:B,2,0)</f>
        <v>SKU013</v>
      </c>
      <c r="C44" t="str">
        <f>VLOOKUP(批次库存!B44,products!A:B,2,0)</f>
        <v>香草糖浆</v>
      </c>
      <c r="D44" t="str">
        <f>VLOOKUP(A44,batches!A:C,3,0)</f>
        <v>L013</v>
      </c>
      <c r="E44">
        <f>VLOOKUP(A44,batches!A:E,5,0)</f>
        <v>46234</v>
      </c>
      <c r="F44" t="str">
        <f>VLOOKUP(A44,batches!A:G,7,0)</f>
        <v>RELEASED</v>
      </c>
      <c r="G44">
        <f>SUMIFS(movements!H:H,movements!F:F,批次库存!A44,movements!D:D,"OPENING")</f>
        <v>0</v>
      </c>
      <c r="H44">
        <f>SUMIFS(movements!H:H,movements!F:F,批次库存!A44,movements!D:D,"RECEIPT")</f>
        <v>68</v>
      </c>
      <c r="I44">
        <f>SUMIFS(movements!H:H,movements!F:F,批次库存!A44,movements!D:D,"ISSUE")</f>
        <v>68</v>
      </c>
      <c r="J44">
        <f t="shared" si="2"/>
        <v>0</v>
      </c>
      <c r="K44">
        <f>VLOOKUP(表2[[#This Row],[SKU]],products!A:F,6,0)</f>
        <v>70.63</v>
      </c>
      <c r="L44">
        <f>J44*表2[[#This Row],[单价]]</f>
        <v>0</v>
      </c>
      <c r="M44">
        <f t="shared" si="0"/>
        <v>-37</v>
      </c>
      <c r="N44">
        <f>VLOOKUP(表2[[#This Row],[SKU]],products!A:H,8,0)</f>
        <v>30</v>
      </c>
      <c r="O4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44">
        <f t="shared" si="1"/>
        <v>0</v>
      </c>
    </row>
    <row r="45" spans="1:16" x14ac:dyDescent="0.25">
      <c r="A45" t="s">
        <v>165</v>
      </c>
      <c r="B45" t="str">
        <f>VLOOKUP(A45,batches!A:B,2,0)</f>
        <v>SKU014</v>
      </c>
      <c r="C45" t="str">
        <f>VLOOKUP(批次库存!B45,products!A:B,2,0)</f>
        <v>焦糖糖浆</v>
      </c>
      <c r="D45" t="str">
        <f>VLOOKUP(A45,batches!A:C,3,0)</f>
        <v>L014</v>
      </c>
      <c r="E45">
        <f>VLOOKUP(A45,batches!A:E,5,0)</f>
        <v>46259</v>
      </c>
      <c r="F45" t="str">
        <f>VLOOKUP(A45,batches!A:G,7,0)</f>
        <v>RELEASED</v>
      </c>
      <c r="G45">
        <f>SUMIFS(movements!H:H,movements!F:F,批次库存!A45,movements!D:D,"OPENING")</f>
        <v>0</v>
      </c>
      <c r="H45">
        <f>SUMIFS(movements!H:H,movements!F:F,批次库存!A45,movements!D:D,"RECEIPT")</f>
        <v>82</v>
      </c>
      <c r="I45">
        <f>SUMIFS(movements!H:H,movements!F:F,批次库存!A45,movements!D:D,"ISSUE")</f>
        <v>82</v>
      </c>
      <c r="J45">
        <f t="shared" si="2"/>
        <v>0</v>
      </c>
      <c r="K45">
        <f>VLOOKUP(表2[[#This Row],[SKU]],products!A:F,6,0)</f>
        <v>70.989999999999995</v>
      </c>
      <c r="L45">
        <f>J45*表2[[#This Row],[单价]]</f>
        <v>0</v>
      </c>
      <c r="M45">
        <f t="shared" si="0"/>
        <v>-12</v>
      </c>
      <c r="N45">
        <f>VLOOKUP(表2[[#This Row],[SKU]],products!A:H,8,0)</f>
        <v>30</v>
      </c>
      <c r="O4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45">
        <f t="shared" si="1"/>
        <v>0</v>
      </c>
    </row>
    <row r="46" spans="1:16" x14ac:dyDescent="0.25">
      <c r="A46" t="s">
        <v>166</v>
      </c>
      <c r="B46" t="str">
        <f>VLOOKUP(A46,batches!A:B,2,0)</f>
        <v>SKU015</v>
      </c>
      <c r="C46" t="str">
        <f>VLOOKUP(批次库存!B46,products!A:B,2,0)</f>
        <v>果糖浆</v>
      </c>
      <c r="D46" t="str">
        <f>VLOOKUP(A46,batches!A:C,3,0)</f>
        <v>L015</v>
      </c>
      <c r="E46">
        <f>VLOOKUP(A46,batches!A:E,5,0)</f>
        <v>46234</v>
      </c>
      <c r="F46" t="str">
        <f>VLOOKUP(A46,batches!A:G,7,0)</f>
        <v>RELEASED</v>
      </c>
      <c r="G46">
        <f>SUMIFS(movements!H:H,movements!F:F,批次库存!A46,movements!D:D,"OPENING")</f>
        <v>0</v>
      </c>
      <c r="H46">
        <f>SUMIFS(movements!H:H,movements!F:F,批次库存!A46,movements!D:D,"RECEIPT")</f>
        <v>68</v>
      </c>
      <c r="I46">
        <f>SUMIFS(movements!H:H,movements!F:F,批次库存!A46,movements!D:D,"ISSUE")</f>
        <v>68</v>
      </c>
      <c r="J46">
        <f t="shared" si="2"/>
        <v>0</v>
      </c>
      <c r="K46">
        <f>VLOOKUP(表2[[#This Row],[SKU]],products!A:F,6,0)</f>
        <v>53.46</v>
      </c>
      <c r="L46">
        <f>J46*表2[[#This Row],[单价]]</f>
        <v>0</v>
      </c>
      <c r="M46">
        <f t="shared" si="0"/>
        <v>-37</v>
      </c>
      <c r="N46">
        <f>VLOOKUP(表2[[#This Row],[SKU]],products!A:H,8,0)</f>
        <v>30</v>
      </c>
      <c r="O4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46">
        <f t="shared" si="1"/>
        <v>0</v>
      </c>
    </row>
    <row r="47" spans="1:16" x14ac:dyDescent="0.25">
      <c r="A47" t="s">
        <v>167</v>
      </c>
      <c r="B47" t="str">
        <f>VLOOKUP(A47,batches!A:B,2,0)</f>
        <v>SKU016</v>
      </c>
      <c r="C47" t="str">
        <f>VLOOKUP(批次库存!B47,products!A:B,2,0)</f>
        <v>常温椰浆</v>
      </c>
      <c r="D47" t="str">
        <f>VLOOKUP(A47,batches!A:C,3,0)</f>
        <v>L016</v>
      </c>
      <c r="E47">
        <f>VLOOKUP(A47,batches!A:E,5,0)</f>
        <v>46369</v>
      </c>
      <c r="F47" t="str">
        <f>VLOOKUP(A47,batches!A:G,7,0)</f>
        <v>RELEASED</v>
      </c>
      <c r="G47">
        <f>SUMIFS(movements!H:H,movements!F:F,批次库存!A47,movements!D:D,"OPENING")</f>
        <v>0</v>
      </c>
      <c r="H47">
        <f>SUMIFS(movements!H:H,movements!F:F,批次库存!A47,movements!D:D,"RECEIPT")</f>
        <v>83</v>
      </c>
      <c r="I47">
        <f>SUMIFS(movements!H:H,movements!F:F,批次库存!A47,movements!D:D,"ISSUE")</f>
        <v>83</v>
      </c>
      <c r="J47">
        <f t="shared" si="2"/>
        <v>0</v>
      </c>
      <c r="K47">
        <f>VLOOKUP(表2[[#This Row],[SKU]],products!A:F,6,0)</f>
        <v>13.06</v>
      </c>
      <c r="L47">
        <f>J47*表2[[#This Row],[单价]]</f>
        <v>0</v>
      </c>
      <c r="M47">
        <f t="shared" si="0"/>
        <v>98</v>
      </c>
      <c r="N47">
        <f>VLOOKUP(表2[[#This Row],[SKU]],products!A:H,8,0)</f>
        <v>30</v>
      </c>
      <c r="O4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47">
        <f t="shared" si="1"/>
        <v>0</v>
      </c>
    </row>
    <row r="48" spans="1:16" x14ac:dyDescent="0.25">
      <c r="A48" t="s">
        <v>168</v>
      </c>
      <c r="B48" t="str">
        <f>VLOOKUP(A48,batches!A:B,2,0)</f>
        <v>SKU017</v>
      </c>
      <c r="C48" t="str">
        <f>VLOOKUP(批次库存!B48,products!A:B,2,0)</f>
        <v>常温椰乳</v>
      </c>
      <c r="D48" t="str">
        <f>VLOOKUP(A48,batches!A:C,3,0)</f>
        <v>L017</v>
      </c>
      <c r="E48">
        <f>VLOOKUP(A48,batches!A:E,5,0)</f>
        <v>46289</v>
      </c>
      <c r="F48" t="str">
        <f>VLOOKUP(A48,batches!A:G,7,0)</f>
        <v>RELEASED</v>
      </c>
      <c r="G48">
        <f>SUMIFS(movements!H:H,movements!F:F,批次库存!A48,movements!D:D,"OPENING")</f>
        <v>0</v>
      </c>
      <c r="H48">
        <f>SUMIFS(movements!H:H,movements!F:F,批次库存!A48,movements!D:D,"RECEIPT")</f>
        <v>92</v>
      </c>
      <c r="I48">
        <f>SUMIFS(movements!H:H,movements!F:F,批次库存!A48,movements!D:D,"ISSUE")</f>
        <v>92</v>
      </c>
      <c r="J48">
        <f t="shared" si="2"/>
        <v>0</v>
      </c>
      <c r="K48">
        <f>VLOOKUP(表2[[#This Row],[SKU]],products!A:F,6,0)</f>
        <v>39.159999999999997</v>
      </c>
      <c r="L48">
        <f>J48*表2[[#This Row],[单价]]</f>
        <v>0</v>
      </c>
      <c r="M48">
        <f t="shared" si="0"/>
        <v>18</v>
      </c>
      <c r="N48">
        <f>VLOOKUP(表2[[#This Row],[SKU]],products!A:H,8,0)</f>
        <v>30</v>
      </c>
      <c r="O4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48">
        <f t="shared" si="1"/>
        <v>0</v>
      </c>
    </row>
    <row r="49" spans="1:16" x14ac:dyDescent="0.25">
      <c r="A49" t="s">
        <v>169</v>
      </c>
      <c r="B49" t="str">
        <f>VLOOKUP(A49,batches!A:B,2,0)</f>
        <v>SKU018</v>
      </c>
      <c r="C49" t="str">
        <f>VLOOKUP(批次库存!B49,products!A:B,2,0)</f>
        <v>常温燕麦饮</v>
      </c>
      <c r="D49" t="str">
        <f>VLOOKUP(A49,batches!A:C,3,0)</f>
        <v>L018</v>
      </c>
      <c r="E49">
        <f>VLOOKUP(A49,batches!A:E,5,0)</f>
        <v>46259</v>
      </c>
      <c r="F49" t="str">
        <f>VLOOKUP(A49,batches!A:G,7,0)</f>
        <v>RELEASED</v>
      </c>
      <c r="G49">
        <f>SUMIFS(movements!H:H,movements!F:F,批次库存!A49,movements!D:D,"OPENING")</f>
        <v>0</v>
      </c>
      <c r="H49">
        <f>SUMIFS(movements!H:H,movements!F:F,批次库存!A49,movements!D:D,"RECEIPT")</f>
        <v>79</v>
      </c>
      <c r="I49">
        <f>SUMIFS(movements!H:H,movements!F:F,批次库存!A49,movements!D:D,"ISSUE")</f>
        <v>79</v>
      </c>
      <c r="J49">
        <f t="shared" si="2"/>
        <v>0</v>
      </c>
      <c r="K49">
        <f>VLOOKUP(表2[[#This Row],[SKU]],products!A:F,6,0)</f>
        <v>63.65</v>
      </c>
      <c r="L49">
        <f>J49*表2[[#This Row],[单价]]</f>
        <v>0</v>
      </c>
      <c r="M49">
        <f t="shared" si="0"/>
        <v>-12</v>
      </c>
      <c r="N49">
        <f>VLOOKUP(表2[[#This Row],[SKU]],products!A:H,8,0)</f>
        <v>30</v>
      </c>
      <c r="O4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49">
        <f t="shared" si="1"/>
        <v>0</v>
      </c>
    </row>
    <row r="50" spans="1:16" x14ac:dyDescent="0.25">
      <c r="A50" t="s">
        <v>170</v>
      </c>
      <c r="B50" t="str">
        <f>VLOOKUP(A50,batches!A:B,2,0)</f>
        <v>SKU019</v>
      </c>
      <c r="C50" t="str">
        <f>VLOOKUP(批次库存!B50,products!A:B,2,0)</f>
        <v>常温全脂奶</v>
      </c>
      <c r="D50" t="str">
        <f>VLOOKUP(A50,batches!A:C,3,0)</f>
        <v>L019</v>
      </c>
      <c r="E50">
        <f>VLOOKUP(A50,batches!A:E,5,0)</f>
        <v>46369</v>
      </c>
      <c r="F50" t="str">
        <f>VLOOKUP(A50,batches!A:G,7,0)</f>
        <v>RELEASED</v>
      </c>
      <c r="G50">
        <f>SUMIFS(movements!H:H,movements!F:F,批次库存!A50,movements!D:D,"OPENING")</f>
        <v>0</v>
      </c>
      <c r="H50">
        <f>SUMIFS(movements!H:H,movements!F:F,批次库存!A50,movements!D:D,"RECEIPT")</f>
        <v>99</v>
      </c>
      <c r="I50">
        <f>SUMIFS(movements!H:H,movements!F:F,批次库存!A50,movements!D:D,"ISSUE")</f>
        <v>99</v>
      </c>
      <c r="J50">
        <f t="shared" si="2"/>
        <v>0</v>
      </c>
      <c r="K50">
        <f>VLOOKUP(表2[[#This Row],[SKU]],products!A:F,6,0)</f>
        <v>81.96</v>
      </c>
      <c r="L50">
        <f>J50*表2[[#This Row],[单价]]</f>
        <v>0</v>
      </c>
      <c r="M50">
        <f t="shared" si="0"/>
        <v>98</v>
      </c>
      <c r="N50">
        <f>VLOOKUP(表2[[#This Row],[SKU]],products!A:H,8,0)</f>
        <v>30</v>
      </c>
      <c r="O5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50">
        <f t="shared" si="1"/>
        <v>0</v>
      </c>
    </row>
    <row r="51" spans="1:16" x14ac:dyDescent="0.25">
      <c r="A51" t="s">
        <v>171</v>
      </c>
      <c r="B51" t="str">
        <f>VLOOKUP(A51,batches!A:B,2,0)</f>
        <v>SKU020</v>
      </c>
      <c r="C51" t="str">
        <f>VLOOKUP(批次库存!B51,products!A:B,2,0)</f>
        <v>常温厚乳</v>
      </c>
      <c r="D51" t="str">
        <f>VLOOKUP(A51,batches!A:C,3,0)</f>
        <v>L020</v>
      </c>
      <c r="E51">
        <f>VLOOKUP(A51,batches!A:E,5,0)</f>
        <v>46369</v>
      </c>
      <c r="F51" t="str">
        <f>VLOOKUP(A51,batches!A:G,7,0)</f>
        <v>RELEASED</v>
      </c>
      <c r="G51">
        <f>SUMIFS(movements!H:H,movements!F:F,批次库存!A51,movements!D:D,"OPENING")</f>
        <v>0</v>
      </c>
      <c r="H51">
        <f>SUMIFS(movements!H:H,movements!F:F,批次库存!A51,movements!D:D,"RECEIPT")</f>
        <v>68</v>
      </c>
      <c r="I51">
        <f>SUMIFS(movements!H:H,movements!F:F,批次库存!A51,movements!D:D,"ISSUE")</f>
        <v>55</v>
      </c>
      <c r="J51">
        <f t="shared" si="2"/>
        <v>13</v>
      </c>
      <c r="K51">
        <f>VLOOKUP(表2[[#This Row],[SKU]],products!A:F,6,0)</f>
        <v>65.56</v>
      </c>
      <c r="L51">
        <f>J51*表2[[#This Row],[单价]]</f>
        <v>852.28</v>
      </c>
      <c r="M51">
        <f t="shared" si="0"/>
        <v>98</v>
      </c>
      <c r="N51">
        <f>VLOOKUP(表2[[#This Row],[SKU]],products!A:H,8,0)</f>
        <v>30</v>
      </c>
      <c r="O5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51">
        <f t="shared" si="1"/>
        <v>13</v>
      </c>
    </row>
    <row r="52" spans="1:16" x14ac:dyDescent="0.25">
      <c r="A52" t="s">
        <v>172</v>
      </c>
      <c r="B52" t="str">
        <f>VLOOKUP(A52,batches!A:B,2,0)</f>
        <v>SKU021</v>
      </c>
      <c r="C52" t="str">
        <f>VLOOKUP(批次库存!B52,products!A:B,2,0)</f>
        <v>500ml杯</v>
      </c>
      <c r="D52" t="str">
        <f>VLOOKUP(A52,batches!A:C,3,0)</f>
        <v>L021</v>
      </c>
      <c r="E52">
        <f>VLOOKUP(A52,batches!A:E,5,0)</f>
        <v>46554</v>
      </c>
      <c r="F52" t="str">
        <f>VLOOKUP(A52,batches!A:G,7,0)</f>
        <v>RELEASED</v>
      </c>
      <c r="G52">
        <f>SUMIFS(movements!H:H,movements!F:F,批次库存!A52,movements!D:D,"OPENING")</f>
        <v>0</v>
      </c>
      <c r="H52">
        <f>SUMIFS(movements!H:H,movements!F:F,批次库存!A52,movements!D:D,"RECEIPT")</f>
        <v>87</v>
      </c>
      <c r="I52">
        <f>SUMIFS(movements!H:H,movements!F:F,批次库存!A52,movements!D:D,"ISSUE")</f>
        <v>87</v>
      </c>
      <c r="J52">
        <f t="shared" si="2"/>
        <v>0</v>
      </c>
      <c r="K52">
        <f>VLOOKUP(表2[[#This Row],[SKU]],products!A:F,6,0)</f>
        <v>20.77</v>
      </c>
      <c r="L52">
        <f>J52*表2[[#This Row],[单价]]</f>
        <v>0</v>
      </c>
      <c r="M52">
        <f t="shared" si="0"/>
        <v>283</v>
      </c>
      <c r="N52">
        <f>VLOOKUP(表2[[#This Row],[SKU]],products!A:H,8,0)</f>
        <v>60</v>
      </c>
      <c r="O5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52">
        <f t="shared" si="1"/>
        <v>0</v>
      </c>
    </row>
    <row r="53" spans="1:16" x14ac:dyDescent="0.25">
      <c r="A53" t="s">
        <v>173</v>
      </c>
      <c r="B53" t="str">
        <f>VLOOKUP(A53,batches!A:B,2,0)</f>
        <v>SKU022</v>
      </c>
      <c r="C53" t="str">
        <f>VLOOKUP(批次库存!B53,products!A:B,2,0)</f>
        <v>700ml杯</v>
      </c>
      <c r="D53" t="str">
        <f>VLOOKUP(A53,batches!A:C,3,0)</f>
        <v>L022</v>
      </c>
      <c r="E53">
        <f>VLOOKUP(A53,batches!A:E,5,0)</f>
        <v>46554</v>
      </c>
      <c r="F53" t="str">
        <f>VLOOKUP(A53,batches!A:G,7,0)</f>
        <v>RELEASED</v>
      </c>
      <c r="G53">
        <f>SUMIFS(movements!H:H,movements!F:F,批次库存!A53,movements!D:D,"OPENING")</f>
        <v>0</v>
      </c>
      <c r="H53">
        <f>SUMIFS(movements!H:H,movements!F:F,批次库存!A53,movements!D:D,"RECEIPT")</f>
        <v>84</v>
      </c>
      <c r="I53">
        <f>SUMIFS(movements!H:H,movements!F:F,批次库存!A53,movements!D:D,"ISSUE")</f>
        <v>84</v>
      </c>
      <c r="J53">
        <f t="shared" si="2"/>
        <v>0</v>
      </c>
      <c r="K53">
        <f>VLOOKUP(表2[[#This Row],[SKU]],products!A:F,6,0)</f>
        <v>16.36</v>
      </c>
      <c r="L53">
        <f>J53*表2[[#This Row],[单价]]</f>
        <v>0</v>
      </c>
      <c r="M53">
        <f t="shared" si="0"/>
        <v>283</v>
      </c>
      <c r="N53">
        <f>VLOOKUP(表2[[#This Row],[SKU]],products!A:H,8,0)</f>
        <v>60</v>
      </c>
      <c r="O5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53">
        <f t="shared" si="1"/>
        <v>0</v>
      </c>
    </row>
    <row r="54" spans="1:16" x14ac:dyDescent="0.25">
      <c r="A54" t="s">
        <v>174</v>
      </c>
      <c r="B54" t="str">
        <f>VLOOKUP(A54,batches!A:B,2,0)</f>
        <v>SKU023</v>
      </c>
      <c r="C54" t="str">
        <f>VLOOKUP(批次库存!B54,products!A:B,2,0)</f>
        <v>500ml杯盖</v>
      </c>
      <c r="D54" t="str">
        <f>VLOOKUP(A54,batches!A:C,3,0)</f>
        <v>L023</v>
      </c>
      <c r="E54">
        <f>VLOOKUP(A54,batches!A:E,5,0)</f>
        <v>46554</v>
      </c>
      <c r="F54" t="str">
        <f>VLOOKUP(A54,batches!A:G,7,0)</f>
        <v>RELEASED</v>
      </c>
      <c r="G54">
        <f>SUMIFS(movements!H:H,movements!F:F,批次库存!A54,movements!D:D,"OPENING")</f>
        <v>0</v>
      </c>
      <c r="H54">
        <f>SUMIFS(movements!H:H,movements!F:F,批次库存!A54,movements!D:D,"RECEIPT")</f>
        <v>78</v>
      </c>
      <c r="I54">
        <f>SUMIFS(movements!H:H,movements!F:F,批次库存!A54,movements!D:D,"ISSUE")</f>
        <v>78</v>
      </c>
      <c r="J54">
        <f t="shared" si="2"/>
        <v>0</v>
      </c>
      <c r="K54">
        <f>VLOOKUP(表2[[#This Row],[SKU]],products!A:F,6,0)</f>
        <v>12.46</v>
      </c>
      <c r="L54">
        <f>J54*表2[[#This Row],[单价]]</f>
        <v>0</v>
      </c>
      <c r="M54">
        <f t="shared" si="0"/>
        <v>283</v>
      </c>
      <c r="N54">
        <f>VLOOKUP(表2[[#This Row],[SKU]],products!A:H,8,0)</f>
        <v>60</v>
      </c>
      <c r="O5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54">
        <f t="shared" si="1"/>
        <v>0</v>
      </c>
    </row>
    <row r="55" spans="1:16" x14ac:dyDescent="0.25">
      <c r="A55" t="s">
        <v>175</v>
      </c>
      <c r="B55" t="str">
        <f>VLOOKUP(A55,batches!A:B,2,0)</f>
        <v>SKU024</v>
      </c>
      <c r="C55" t="str">
        <f>VLOOKUP(批次库存!B55,products!A:B,2,0)</f>
        <v>700ml杯盖</v>
      </c>
      <c r="D55" t="str">
        <f>VLOOKUP(A55,batches!A:C,3,0)</f>
        <v>L024</v>
      </c>
      <c r="E55">
        <f>VLOOKUP(A55,batches!A:E,5,0)</f>
        <v>46554</v>
      </c>
      <c r="F55" t="str">
        <f>VLOOKUP(A55,batches!A:G,7,0)</f>
        <v>RELEASED</v>
      </c>
      <c r="G55">
        <f>SUMIFS(movements!H:H,movements!F:F,批次库存!A55,movements!D:D,"OPENING")</f>
        <v>0</v>
      </c>
      <c r="H55">
        <f>SUMIFS(movements!H:H,movements!F:F,批次库存!A55,movements!D:D,"RECEIPT")</f>
        <v>74</v>
      </c>
      <c r="I55">
        <f>SUMIFS(movements!H:H,movements!F:F,批次库存!A55,movements!D:D,"ISSUE")</f>
        <v>74</v>
      </c>
      <c r="J55">
        <f t="shared" si="2"/>
        <v>0</v>
      </c>
      <c r="K55">
        <f>VLOOKUP(表2[[#This Row],[SKU]],products!A:F,6,0)</f>
        <v>19.8</v>
      </c>
      <c r="L55">
        <f>J55*表2[[#This Row],[单价]]</f>
        <v>0</v>
      </c>
      <c r="M55">
        <f t="shared" si="0"/>
        <v>283</v>
      </c>
      <c r="N55">
        <f>VLOOKUP(表2[[#This Row],[SKU]],products!A:H,8,0)</f>
        <v>60</v>
      </c>
      <c r="O5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55">
        <f t="shared" si="1"/>
        <v>0</v>
      </c>
    </row>
    <row r="56" spans="1:16" x14ac:dyDescent="0.25">
      <c r="A56" t="s">
        <v>176</v>
      </c>
      <c r="B56" t="str">
        <f>VLOOKUP(A56,batches!A:B,2,0)</f>
        <v>SKU025</v>
      </c>
      <c r="C56" t="str">
        <f>VLOOKUP(批次库存!B56,products!A:B,2,0)</f>
        <v>粗吸管</v>
      </c>
      <c r="D56" t="str">
        <f>VLOOKUP(A56,batches!A:C,3,0)</f>
        <v>L025</v>
      </c>
      <c r="E56">
        <f>VLOOKUP(A56,batches!A:E,5,0)</f>
        <v>46554</v>
      </c>
      <c r="F56" t="str">
        <f>VLOOKUP(A56,batches!A:G,7,0)</f>
        <v>RELEASED</v>
      </c>
      <c r="G56">
        <f>SUMIFS(movements!H:H,movements!F:F,批次库存!A56,movements!D:D,"OPENING")</f>
        <v>0</v>
      </c>
      <c r="H56">
        <f>SUMIFS(movements!H:H,movements!F:F,批次库存!A56,movements!D:D,"RECEIPT")</f>
        <v>67</v>
      </c>
      <c r="I56">
        <f>SUMIFS(movements!H:H,movements!F:F,批次库存!A56,movements!D:D,"ISSUE")</f>
        <v>67</v>
      </c>
      <c r="J56">
        <f t="shared" si="2"/>
        <v>0</v>
      </c>
      <c r="K56">
        <f>VLOOKUP(表2[[#This Row],[SKU]],products!A:F,6,0)</f>
        <v>39.42</v>
      </c>
      <c r="L56">
        <f>J56*表2[[#This Row],[单价]]</f>
        <v>0</v>
      </c>
      <c r="M56">
        <f t="shared" si="0"/>
        <v>283</v>
      </c>
      <c r="N56">
        <f>VLOOKUP(表2[[#This Row],[SKU]],products!A:H,8,0)</f>
        <v>60</v>
      </c>
      <c r="O5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56">
        <f t="shared" si="1"/>
        <v>0</v>
      </c>
    </row>
    <row r="57" spans="1:16" x14ac:dyDescent="0.25">
      <c r="A57" t="s">
        <v>177</v>
      </c>
      <c r="B57" t="str">
        <f>VLOOKUP(A57,batches!A:B,2,0)</f>
        <v>SKU026</v>
      </c>
      <c r="C57" t="str">
        <f>VLOOKUP(批次库存!B57,products!A:B,2,0)</f>
        <v>细吸管</v>
      </c>
      <c r="D57" t="str">
        <f>VLOOKUP(A57,batches!A:C,3,0)</f>
        <v>L026</v>
      </c>
      <c r="E57">
        <f>VLOOKUP(A57,batches!A:E,5,0)</f>
        <v>46554</v>
      </c>
      <c r="F57" t="str">
        <f>VLOOKUP(A57,batches!A:G,7,0)</f>
        <v>RELEASED</v>
      </c>
      <c r="G57">
        <f>SUMIFS(movements!H:H,movements!F:F,批次库存!A57,movements!D:D,"OPENING")</f>
        <v>0</v>
      </c>
      <c r="H57">
        <f>SUMIFS(movements!H:H,movements!F:F,批次库存!A57,movements!D:D,"RECEIPT")</f>
        <v>77</v>
      </c>
      <c r="I57">
        <f>SUMIFS(movements!H:H,movements!F:F,批次库存!A57,movements!D:D,"ISSUE")</f>
        <v>77</v>
      </c>
      <c r="J57">
        <f t="shared" si="2"/>
        <v>0</v>
      </c>
      <c r="K57">
        <f>VLOOKUP(表2[[#This Row],[SKU]],products!A:F,6,0)</f>
        <v>14.19</v>
      </c>
      <c r="L57">
        <f>J57*表2[[#This Row],[单价]]</f>
        <v>0</v>
      </c>
      <c r="M57">
        <f t="shared" si="0"/>
        <v>283</v>
      </c>
      <c r="N57">
        <f>VLOOKUP(表2[[#This Row],[SKU]],products!A:H,8,0)</f>
        <v>60</v>
      </c>
      <c r="O5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57">
        <f t="shared" si="1"/>
        <v>0</v>
      </c>
    </row>
    <row r="58" spans="1:16" x14ac:dyDescent="0.25">
      <c r="A58" t="s">
        <v>178</v>
      </c>
      <c r="B58" t="str">
        <f>VLOOKUP(A58,batches!A:B,2,0)</f>
        <v>SKU027</v>
      </c>
      <c r="C58" t="str">
        <f>VLOOKUP(批次库存!B58,products!A:B,2,0)</f>
        <v>单杯袋</v>
      </c>
      <c r="D58" t="str">
        <f>VLOOKUP(A58,batches!A:C,3,0)</f>
        <v>L027</v>
      </c>
      <c r="E58">
        <f>VLOOKUP(A58,batches!A:E,5,0)</f>
        <v>46554</v>
      </c>
      <c r="F58" t="str">
        <f>VLOOKUP(A58,batches!A:G,7,0)</f>
        <v>RELEASED</v>
      </c>
      <c r="G58">
        <f>SUMIFS(movements!H:H,movements!F:F,批次库存!A58,movements!D:D,"OPENING")</f>
        <v>0</v>
      </c>
      <c r="H58">
        <f>SUMIFS(movements!H:H,movements!F:F,批次库存!A58,movements!D:D,"RECEIPT")</f>
        <v>73</v>
      </c>
      <c r="I58">
        <f>SUMIFS(movements!H:H,movements!F:F,批次库存!A58,movements!D:D,"ISSUE")</f>
        <v>73</v>
      </c>
      <c r="J58">
        <f t="shared" si="2"/>
        <v>0</v>
      </c>
      <c r="K58">
        <f>VLOOKUP(表2[[#This Row],[SKU]],products!A:F,6,0)</f>
        <v>30.89</v>
      </c>
      <c r="L58">
        <f>J58*表2[[#This Row],[单价]]</f>
        <v>0</v>
      </c>
      <c r="M58">
        <f t="shared" si="0"/>
        <v>283</v>
      </c>
      <c r="N58">
        <f>VLOOKUP(表2[[#This Row],[SKU]],products!A:H,8,0)</f>
        <v>60</v>
      </c>
      <c r="O5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58">
        <f t="shared" si="1"/>
        <v>0</v>
      </c>
    </row>
    <row r="59" spans="1:16" x14ac:dyDescent="0.25">
      <c r="A59" t="s">
        <v>179</v>
      </c>
      <c r="B59" t="str">
        <f>VLOOKUP(A59,batches!A:B,2,0)</f>
        <v>SKU028</v>
      </c>
      <c r="C59" t="str">
        <f>VLOOKUP(批次库存!B59,products!A:B,2,0)</f>
        <v>双杯袋</v>
      </c>
      <c r="D59" t="str">
        <f>VLOOKUP(A59,batches!A:C,3,0)</f>
        <v>L028</v>
      </c>
      <c r="E59">
        <f>VLOOKUP(A59,batches!A:E,5,0)</f>
        <v>46554</v>
      </c>
      <c r="F59" t="str">
        <f>VLOOKUP(A59,batches!A:G,7,0)</f>
        <v>RELEASED</v>
      </c>
      <c r="G59">
        <f>SUMIFS(movements!H:H,movements!F:F,批次库存!A59,movements!D:D,"OPENING")</f>
        <v>0</v>
      </c>
      <c r="H59">
        <f>SUMIFS(movements!H:H,movements!F:F,批次库存!A59,movements!D:D,"RECEIPT")</f>
        <v>71</v>
      </c>
      <c r="I59">
        <f>SUMIFS(movements!H:H,movements!F:F,批次库存!A59,movements!D:D,"ISSUE")</f>
        <v>71</v>
      </c>
      <c r="J59">
        <f t="shared" si="2"/>
        <v>0</v>
      </c>
      <c r="K59">
        <f>VLOOKUP(表2[[#This Row],[SKU]],products!A:F,6,0)</f>
        <v>55.53</v>
      </c>
      <c r="L59">
        <f>J59*表2[[#This Row],[单价]]</f>
        <v>0</v>
      </c>
      <c r="M59">
        <f t="shared" si="0"/>
        <v>283</v>
      </c>
      <c r="N59">
        <f>VLOOKUP(表2[[#This Row],[SKU]],products!A:H,8,0)</f>
        <v>60</v>
      </c>
      <c r="O5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59">
        <f t="shared" si="1"/>
        <v>0</v>
      </c>
    </row>
    <row r="60" spans="1:16" x14ac:dyDescent="0.25">
      <c r="A60" t="s">
        <v>180</v>
      </c>
      <c r="B60" t="str">
        <f>VLOOKUP(A60,batches!A:B,2,0)</f>
        <v>SKU001</v>
      </c>
      <c r="C60" t="str">
        <f>VLOOKUP(批次库存!B60,products!A:B,2,0)</f>
        <v>茉莉绿茶</v>
      </c>
      <c r="D60" t="str">
        <f>VLOOKUP(A60,batches!A:C,3,0)</f>
        <v>L001</v>
      </c>
      <c r="E60">
        <f>VLOOKUP(A60,batches!A:E,5,0)</f>
        <v>46376</v>
      </c>
      <c r="F60" t="str">
        <f>VLOOKUP(A60,batches!A:G,7,0)</f>
        <v>RELEASED</v>
      </c>
      <c r="G60">
        <f>SUMIFS(movements!H:H,movements!F:F,批次库存!A60,movements!D:D,"OPENING")</f>
        <v>0</v>
      </c>
      <c r="H60">
        <f>SUMIFS(movements!H:H,movements!F:F,批次库存!A60,movements!D:D,"RECEIPT")</f>
        <v>96</v>
      </c>
      <c r="I60">
        <f>SUMIFS(movements!H:H,movements!F:F,批次库存!A60,movements!D:D,"ISSUE")</f>
        <v>96</v>
      </c>
      <c r="J60">
        <f t="shared" si="2"/>
        <v>0</v>
      </c>
      <c r="K60">
        <f>VLOOKUP(表2[[#This Row],[SKU]],products!A:F,6,0)</f>
        <v>79.760000000000005</v>
      </c>
      <c r="L60">
        <f>J60*表2[[#This Row],[单价]]</f>
        <v>0</v>
      </c>
      <c r="M60">
        <f t="shared" si="0"/>
        <v>105</v>
      </c>
      <c r="N60">
        <f>VLOOKUP(表2[[#This Row],[SKU]],products!A:H,8,0)</f>
        <v>30</v>
      </c>
      <c r="O6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60">
        <f t="shared" si="1"/>
        <v>0</v>
      </c>
    </row>
    <row r="61" spans="1:16" x14ac:dyDescent="0.25">
      <c r="A61" t="s">
        <v>181</v>
      </c>
      <c r="B61" t="str">
        <f>VLOOKUP(A61,batches!A:B,2,0)</f>
        <v>SKU002</v>
      </c>
      <c r="C61" t="str">
        <f>VLOOKUP(批次库存!B61,products!A:B,2,0)</f>
        <v>红茶</v>
      </c>
      <c r="D61" t="str">
        <f>VLOOKUP(A61,batches!A:C,3,0)</f>
        <v>L002</v>
      </c>
      <c r="E61">
        <f>VLOOKUP(A61,batches!A:E,5,0)</f>
        <v>46376</v>
      </c>
      <c r="F61" t="str">
        <f>VLOOKUP(A61,batches!A:G,7,0)</f>
        <v>RELEASED</v>
      </c>
      <c r="G61">
        <f>SUMIFS(movements!H:H,movements!F:F,批次库存!A61,movements!D:D,"OPENING")</f>
        <v>0</v>
      </c>
      <c r="H61">
        <f>SUMIFS(movements!H:H,movements!F:F,批次库存!A61,movements!D:D,"RECEIPT")</f>
        <v>83</v>
      </c>
      <c r="I61">
        <f>SUMIFS(movements!H:H,movements!F:F,批次库存!A61,movements!D:D,"ISSUE")</f>
        <v>83</v>
      </c>
      <c r="J61">
        <f t="shared" si="2"/>
        <v>0</v>
      </c>
      <c r="K61">
        <f>VLOOKUP(表2[[#This Row],[SKU]],products!A:F,6,0)</f>
        <v>78.48</v>
      </c>
      <c r="L61">
        <f>J61*表2[[#This Row],[单价]]</f>
        <v>0</v>
      </c>
      <c r="M61">
        <f t="shared" si="0"/>
        <v>105</v>
      </c>
      <c r="N61">
        <f>VLOOKUP(表2[[#This Row],[SKU]],products!A:H,8,0)</f>
        <v>30</v>
      </c>
      <c r="O6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61">
        <f t="shared" si="1"/>
        <v>0</v>
      </c>
    </row>
    <row r="62" spans="1:16" x14ac:dyDescent="0.25">
      <c r="A62" t="s">
        <v>182</v>
      </c>
      <c r="B62" t="str">
        <f>VLOOKUP(A62,batches!A:B,2,0)</f>
        <v>SKU003</v>
      </c>
      <c r="C62" t="str">
        <f>VLOOKUP(批次库存!B62,products!A:B,2,0)</f>
        <v>乌龙茶</v>
      </c>
      <c r="D62" t="str">
        <f>VLOOKUP(A62,batches!A:C,3,0)</f>
        <v>L003</v>
      </c>
      <c r="E62">
        <f>VLOOKUP(A62,batches!A:E,5,0)</f>
        <v>46266</v>
      </c>
      <c r="F62" t="str">
        <f>VLOOKUP(A62,batches!A:G,7,0)</f>
        <v>RELEASED</v>
      </c>
      <c r="G62">
        <f>SUMIFS(movements!H:H,movements!F:F,批次库存!A62,movements!D:D,"OPENING")</f>
        <v>0</v>
      </c>
      <c r="H62">
        <f>SUMIFS(movements!H:H,movements!F:F,批次库存!A62,movements!D:D,"RECEIPT")</f>
        <v>85</v>
      </c>
      <c r="I62">
        <f>SUMIFS(movements!H:H,movements!F:F,批次库存!A62,movements!D:D,"ISSUE")</f>
        <v>85</v>
      </c>
      <c r="J62">
        <f t="shared" si="2"/>
        <v>0</v>
      </c>
      <c r="K62">
        <f>VLOOKUP(表2[[#This Row],[SKU]],products!A:F,6,0)</f>
        <v>41.99</v>
      </c>
      <c r="L62">
        <f>J62*表2[[#This Row],[单价]]</f>
        <v>0</v>
      </c>
      <c r="M62">
        <f t="shared" si="0"/>
        <v>-5</v>
      </c>
      <c r="N62">
        <f>VLOOKUP(表2[[#This Row],[SKU]],products!A:H,8,0)</f>
        <v>30</v>
      </c>
      <c r="O6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62">
        <f t="shared" si="1"/>
        <v>0</v>
      </c>
    </row>
    <row r="63" spans="1:16" x14ac:dyDescent="0.25">
      <c r="A63" t="s">
        <v>183</v>
      </c>
      <c r="B63" t="str">
        <f>VLOOKUP(A63,batches!A:B,2,0)</f>
        <v>SKU004</v>
      </c>
      <c r="C63" t="str">
        <f>VLOOKUP(批次库存!B63,products!A:B,2,0)</f>
        <v>四季春茶</v>
      </c>
      <c r="D63" t="str">
        <f>VLOOKUP(A63,batches!A:C,3,0)</f>
        <v>L004</v>
      </c>
      <c r="E63">
        <f>VLOOKUP(A63,batches!A:E,5,0)</f>
        <v>46376</v>
      </c>
      <c r="F63" t="str">
        <f>VLOOKUP(A63,batches!A:G,7,0)</f>
        <v>RELEASED</v>
      </c>
      <c r="G63">
        <f>SUMIFS(movements!H:H,movements!F:F,批次库存!A63,movements!D:D,"OPENING")</f>
        <v>0</v>
      </c>
      <c r="H63">
        <f>SUMIFS(movements!H:H,movements!F:F,批次库存!A63,movements!D:D,"RECEIPT")</f>
        <v>99</v>
      </c>
      <c r="I63">
        <f>SUMIFS(movements!H:H,movements!F:F,批次库存!A63,movements!D:D,"ISSUE")</f>
        <v>99</v>
      </c>
      <c r="J63">
        <f t="shared" si="2"/>
        <v>0</v>
      </c>
      <c r="K63">
        <f>VLOOKUP(表2[[#This Row],[SKU]],products!A:F,6,0)</f>
        <v>70.39</v>
      </c>
      <c r="L63">
        <f>J63*表2[[#This Row],[单价]]</f>
        <v>0</v>
      </c>
      <c r="M63">
        <f t="shared" si="0"/>
        <v>105</v>
      </c>
      <c r="N63">
        <f>VLOOKUP(表2[[#This Row],[SKU]],products!A:H,8,0)</f>
        <v>30</v>
      </c>
      <c r="O6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63">
        <f t="shared" si="1"/>
        <v>0</v>
      </c>
    </row>
    <row r="64" spans="1:16" x14ac:dyDescent="0.25">
      <c r="A64" t="s">
        <v>184</v>
      </c>
      <c r="B64" t="str">
        <f>VLOOKUP(A64,batches!A:B,2,0)</f>
        <v>SKU005</v>
      </c>
      <c r="C64" t="str">
        <f>VLOOKUP(批次库存!B64,products!A:B,2,0)</f>
        <v>桂花乌龙</v>
      </c>
      <c r="D64" t="str">
        <f>VLOOKUP(A64,batches!A:C,3,0)</f>
        <v>L005</v>
      </c>
      <c r="E64">
        <f>VLOOKUP(A64,batches!A:E,5,0)</f>
        <v>46296</v>
      </c>
      <c r="F64" t="str">
        <f>VLOOKUP(A64,batches!A:G,7,0)</f>
        <v>RELEASED</v>
      </c>
      <c r="G64">
        <f>SUMIFS(movements!H:H,movements!F:F,批次库存!A64,movements!D:D,"OPENING")</f>
        <v>0</v>
      </c>
      <c r="H64">
        <f>SUMIFS(movements!H:H,movements!F:F,批次库存!A64,movements!D:D,"RECEIPT")</f>
        <v>71</v>
      </c>
      <c r="I64">
        <f>SUMIFS(movements!H:H,movements!F:F,批次库存!A64,movements!D:D,"ISSUE")</f>
        <v>71</v>
      </c>
      <c r="J64">
        <f t="shared" si="2"/>
        <v>0</v>
      </c>
      <c r="K64">
        <f>VLOOKUP(表2[[#This Row],[SKU]],products!A:F,6,0)</f>
        <v>56.61</v>
      </c>
      <c r="L64">
        <f>J64*表2[[#This Row],[单价]]</f>
        <v>0</v>
      </c>
      <c r="M64">
        <f t="shared" si="0"/>
        <v>25</v>
      </c>
      <c r="N64">
        <f>VLOOKUP(表2[[#This Row],[SKU]],products!A:H,8,0)</f>
        <v>30</v>
      </c>
      <c r="O6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64">
        <f t="shared" si="1"/>
        <v>0</v>
      </c>
    </row>
    <row r="65" spans="1:16" x14ac:dyDescent="0.25">
      <c r="A65" t="s">
        <v>185</v>
      </c>
      <c r="B65" t="str">
        <f>VLOOKUP(A65,batches!A:B,2,0)</f>
        <v>SKU006</v>
      </c>
      <c r="C65" t="str">
        <f>VLOOKUP(批次库存!B65,products!A:B,2,0)</f>
        <v>焙火乌龙</v>
      </c>
      <c r="D65" t="str">
        <f>VLOOKUP(A65,batches!A:C,3,0)</f>
        <v>L006</v>
      </c>
      <c r="E65">
        <f>VLOOKUP(A65,batches!A:E,5,0)</f>
        <v>46241</v>
      </c>
      <c r="F65" t="str">
        <f>VLOOKUP(A65,batches!A:G,7,0)</f>
        <v>RELEASED</v>
      </c>
      <c r="G65">
        <f>SUMIFS(movements!H:H,movements!F:F,批次库存!A65,movements!D:D,"OPENING")</f>
        <v>0</v>
      </c>
      <c r="H65">
        <f>SUMIFS(movements!H:H,movements!F:F,批次库存!A65,movements!D:D,"RECEIPT")</f>
        <v>71</v>
      </c>
      <c r="I65">
        <f>SUMIFS(movements!H:H,movements!F:F,批次库存!A65,movements!D:D,"ISSUE")</f>
        <v>71</v>
      </c>
      <c r="J65">
        <f t="shared" si="2"/>
        <v>0</v>
      </c>
      <c r="K65">
        <f>VLOOKUP(表2[[#This Row],[SKU]],products!A:F,6,0)</f>
        <v>30.07</v>
      </c>
      <c r="L65">
        <f>J65*表2[[#This Row],[单价]]</f>
        <v>0</v>
      </c>
      <c r="M65">
        <f t="shared" si="0"/>
        <v>-30</v>
      </c>
      <c r="N65">
        <f>VLOOKUP(表2[[#This Row],[SKU]],products!A:H,8,0)</f>
        <v>30</v>
      </c>
      <c r="O6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65">
        <f t="shared" si="1"/>
        <v>0</v>
      </c>
    </row>
    <row r="66" spans="1:16" x14ac:dyDescent="0.25">
      <c r="A66" t="s">
        <v>186</v>
      </c>
      <c r="B66" t="str">
        <f>VLOOKUP(A66,batches!A:B,2,0)</f>
        <v>SKU009</v>
      </c>
      <c r="C66" t="str">
        <f>VLOOKUP(批次库存!B66,products!A:B,2,0)</f>
        <v>龙井茶</v>
      </c>
      <c r="D66" t="str">
        <f>VLOOKUP(A66,batches!A:C,3,0)</f>
        <v>L009</v>
      </c>
      <c r="E66">
        <f>VLOOKUP(A66,batches!A:E,5,0)</f>
        <v>46241</v>
      </c>
      <c r="F66" t="str">
        <f>VLOOKUP(A66,batches!A:G,7,0)</f>
        <v>RELEASED</v>
      </c>
      <c r="G66">
        <f>SUMIFS(movements!H:H,movements!F:F,批次库存!A66,movements!D:D,"OPENING")</f>
        <v>0</v>
      </c>
      <c r="H66">
        <f>SUMIFS(movements!H:H,movements!F:F,批次库存!A66,movements!D:D,"RECEIPT")</f>
        <v>71</v>
      </c>
      <c r="I66">
        <f>SUMIFS(movements!H:H,movements!F:F,批次库存!A66,movements!D:D,"ISSUE")</f>
        <v>71</v>
      </c>
      <c r="J66">
        <f t="shared" si="2"/>
        <v>0</v>
      </c>
      <c r="K66">
        <f>VLOOKUP(表2[[#This Row],[SKU]],products!A:F,6,0)</f>
        <v>21.12</v>
      </c>
      <c r="L66">
        <f>J66*表2[[#This Row],[单价]]</f>
        <v>0</v>
      </c>
      <c r="M66">
        <f t="shared" ref="M66:M129" si="3">E66-DATE(2026,9,6)</f>
        <v>-30</v>
      </c>
      <c r="N66">
        <f>VLOOKUP(表2[[#This Row],[SKU]],products!A:H,8,0)</f>
        <v>30</v>
      </c>
      <c r="O6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66">
        <f t="shared" ref="P66:P129" si="4">IF(AND(F66="RELEASED",M66&gt;0),J66,0)</f>
        <v>0</v>
      </c>
    </row>
    <row r="67" spans="1:16" x14ac:dyDescent="0.25">
      <c r="A67" t="s">
        <v>187</v>
      </c>
      <c r="B67" t="str">
        <f>VLOOKUP(A67,batches!A:B,2,0)</f>
        <v>SKU011</v>
      </c>
      <c r="C67" t="str">
        <f>VLOOKUP(批次库存!B67,products!A:B,2,0)</f>
        <v>原味糖浆</v>
      </c>
      <c r="D67" t="str">
        <f>VLOOKUP(A67,batches!A:C,3,0)</f>
        <v>L011</v>
      </c>
      <c r="E67">
        <f>VLOOKUP(A67,batches!A:E,5,0)</f>
        <v>46376</v>
      </c>
      <c r="F67" t="str">
        <f>VLOOKUP(A67,batches!A:G,7,0)</f>
        <v>RELEASED</v>
      </c>
      <c r="G67">
        <f>SUMIFS(movements!H:H,movements!F:F,批次库存!A67,movements!D:D,"OPENING")</f>
        <v>0</v>
      </c>
      <c r="H67">
        <f>SUMIFS(movements!H:H,movements!F:F,批次库存!A67,movements!D:D,"RECEIPT")</f>
        <v>98</v>
      </c>
      <c r="I67">
        <f>SUMIFS(movements!H:H,movements!F:F,批次库存!A67,movements!D:D,"ISSUE")</f>
        <v>98</v>
      </c>
      <c r="J67">
        <f t="shared" ref="J67:J130" si="5">G67+H67-I67</f>
        <v>0</v>
      </c>
      <c r="K67">
        <f>VLOOKUP(表2[[#This Row],[SKU]],products!A:F,6,0)</f>
        <v>24.06</v>
      </c>
      <c r="L67">
        <f>J67*表2[[#This Row],[单价]]</f>
        <v>0</v>
      </c>
      <c r="M67">
        <f t="shared" si="3"/>
        <v>105</v>
      </c>
      <c r="N67">
        <f>VLOOKUP(表2[[#This Row],[SKU]],products!A:H,8,0)</f>
        <v>30</v>
      </c>
      <c r="O6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67">
        <f t="shared" si="4"/>
        <v>0</v>
      </c>
    </row>
    <row r="68" spans="1:16" x14ac:dyDescent="0.25">
      <c r="A68" t="s">
        <v>188</v>
      </c>
      <c r="B68" t="str">
        <f>VLOOKUP(A68,batches!A:B,2,0)</f>
        <v>SKU012</v>
      </c>
      <c r="C68" t="str">
        <f>VLOOKUP(批次库存!B68,products!A:B,2,0)</f>
        <v>黑糖糖浆</v>
      </c>
      <c r="D68" t="str">
        <f>VLOOKUP(A68,batches!A:C,3,0)</f>
        <v>L012</v>
      </c>
      <c r="E68">
        <f>VLOOKUP(A68,batches!A:E,5,0)</f>
        <v>46241</v>
      </c>
      <c r="F68" t="str">
        <f>VLOOKUP(A68,batches!A:G,7,0)</f>
        <v>RELEASED</v>
      </c>
      <c r="G68">
        <f>SUMIFS(movements!H:H,movements!F:F,批次库存!A68,movements!D:D,"OPENING")</f>
        <v>0</v>
      </c>
      <c r="H68">
        <f>SUMIFS(movements!H:H,movements!F:F,批次库存!A68,movements!D:D,"RECEIPT")</f>
        <v>80</v>
      </c>
      <c r="I68">
        <f>SUMIFS(movements!H:H,movements!F:F,批次库存!A68,movements!D:D,"ISSUE")</f>
        <v>80</v>
      </c>
      <c r="J68">
        <f t="shared" si="5"/>
        <v>0</v>
      </c>
      <c r="K68">
        <f>VLOOKUP(表2[[#This Row],[SKU]],products!A:F,6,0)</f>
        <v>77.959999999999994</v>
      </c>
      <c r="L68">
        <f>J68*表2[[#This Row],[单价]]</f>
        <v>0</v>
      </c>
      <c r="M68">
        <f t="shared" si="3"/>
        <v>-30</v>
      </c>
      <c r="N68">
        <f>VLOOKUP(表2[[#This Row],[SKU]],products!A:H,8,0)</f>
        <v>30</v>
      </c>
      <c r="O6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68">
        <f t="shared" si="4"/>
        <v>0</v>
      </c>
    </row>
    <row r="69" spans="1:16" x14ac:dyDescent="0.25">
      <c r="A69" t="s">
        <v>189</v>
      </c>
      <c r="B69" t="str">
        <f>VLOOKUP(A69,batches!A:B,2,0)</f>
        <v>SKU014</v>
      </c>
      <c r="C69" t="str">
        <f>VLOOKUP(批次库存!B69,products!A:B,2,0)</f>
        <v>焦糖糖浆</v>
      </c>
      <c r="D69" t="str">
        <f>VLOOKUP(A69,batches!A:C,3,0)</f>
        <v>L014</v>
      </c>
      <c r="E69">
        <f>VLOOKUP(A69,batches!A:E,5,0)</f>
        <v>46376</v>
      </c>
      <c r="F69" t="str">
        <f>VLOOKUP(A69,batches!A:G,7,0)</f>
        <v>RELEASED</v>
      </c>
      <c r="G69">
        <f>SUMIFS(movements!H:H,movements!F:F,批次库存!A69,movements!D:D,"OPENING")</f>
        <v>0</v>
      </c>
      <c r="H69">
        <f>SUMIFS(movements!H:H,movements!F:F,批次库存!A69,movements!D:D,"RECEIPT")</f>
        <v>69</v>
      </c>
      <c r="I69">
        <f>SUMIFS(movements!H:H,movements!F:F,批次库存!A69,movements!D:D,"ISSUE")</f>
        <v>0</v>
      </c>
      <c r="J69">
        <f t="shared" si="5"/>
        <v>69</v>
      </c>
      <c r="K69">
        <f>VLOOKUP(表2[[#This Row],[SKU]],products!A:F,6,0)</f>
        <v>70.989999999999995</v>
      </c>
      <c r="L69">
        <f>J69*表2[[#This Row],[单价]]</f>
        <v>4898.3099999999995</v>
      </c>
      <c r="M69">
        <f t="shared" si="3"/>
        <v>105</v>
      </c>
      <c r="N69">
        <f>VLOOKUP(表2[[#This Row],[SKU]],products!A:H,8,0)</f>
        <v>30</v>
      </c>
      <c r="O6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69">
        <f t="shared" si="4"/>
        <v>69</v>
      </c>
    </row>
    <row r="70" spans="1:16" x14ac:dyDescent="0.25">
      <c r="A70" t="s">
        <v>190</v>
      </c>
      <c r="B70" t="str">
        <f>VLOOKUP(A70,batches!A:B,2,0)</f>
        <v>SKU015</v>
      </c>
      <c r="C70" t="str">
        <f>VLOOKUP(批次库存!B70,products!A:B,2,0)</f>
        <v>果糖浆</v>
      </c>
      <c r="D70" t="str">
        <f>VLOOKUP(A70,batches!A:C,3,0)</f>
        <v>L015</v>
      </c>
      <c r="E70">
        <f>VLOOKUP(A70,batches!A:E,5,0)</f>
        <v>46296</v>
      </c>
      <c r="F70" t="str">
        <f>VLOOKUP(A70,batches!A:G,7,0)</f>
        <v>RELEASED</v>
      </c>
      <c r="G70">
        <f>SUMIFS(movements!H:H,movements!F:F,批次库存!A70,movements!D:D,"OPENING")</f>
        <v>0</v>
      </c>
      <c r="H70">
        <f>SUMIFS(movements!H:H,movements!F:F,批次库存!A70,movements!D:D,"RECEIPT")</f>
        <v>75</v>
      </c>
      <c r="I70">
        <f>SUMIFS(movements!H:H,movements!F:F,批次库存!A70,movements!D:D,"ISSUE")</f>
        <v>75</v>
      </c>
      <c r="J70">
        <f t="shared" si="5"/>
        <v>0</v>
      </c>
      <c r="K70">
        <f>VLOOKUP(表2[[#This Row],[SKU]],products!A:F,6,0)</f>
        <v>53.46</v>
      </c>
      <c r="L70">
        <f>J70*表2[[#This Row],[单价]]</f>
        <v>0</v>
      </c>
      <c r="M70">
        <f t="shared" si="3"/>
        <v>25</v>
      </c>
      <c r="N70">
        <f>VLOOKUP(表2[[#This Row],[SKU]],products!A:H,8,0)</f>
        <v>30</v>
      </c>
      <c r="O7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70">
        <f t="shared" si="4"/>
        <v>0</v>
      </c>
    </row>
    <row r="71" spans="1:16" x14ac:dyDescent="0.25">
      <c r="A71" t="s">
        <v>191</v>
      </c>
      <c r="B71" t="str">
        <f>VLOOKUP(A71,batches!A:B,2,0)</f>
        <v>SKU016</v>
      </c>
      <c r="C71" t="str">
        <f>VLOOKUP(批次库存!B71,products!A:B,2,0)</f>
        <v>常温椰浆</v>
      </c>
      <c r="D71" t="str">
        <f>VLOOKUP(A71,batches!A:C,3,0)</f>
        <v>L016</v>
      </c>
      <c r="E71">
        <f>VLOOKUP(A71,batches!A:E,5,0)</f>
        <v>46376</v>
      </c>
      <c r="F71" t="str">
        <f>VLOOKUP(A71,batches!A:G,7,0)</f>
        <v>RELEASED</v>
      </c>
      <c r="G71">
        <f>SUMIFS(movements!H:H,movements!F:F,批次库存!A71,movements!D:D,"OPENING")</f>
        <v>0</v>
      </c>
      <c r="H71">
        <f>SUMIFS(movements!H:H,movements!F:F,批次库存!A71,movements!D:D,"RECEIPT")</f>
        <v>89</v>
      </c>
      <c r="I71">
        <f>SUMIFS(movements!H:H,movements!F:F,批次库存!A71,movements!D:D,"ISSUE")</f>
        <v>9</v>
      </c>
      <c r="J71">
        <f t="shared" si="5"/>
        <v>80</v>
      </c>
      <c r="K71">
        <f>VLOOKUP(表2[[#This Row],[SKU]],products!A:F,6,0)</f>
        <v>13.06</v>
      </c>
      <c r="L71">
        <f>J71*表2[[#This Row],[单价]]</f>
        <v>1044.8</v>
      </c>
      <c r="M71">
        <f t="shared" si="3"/>
        <v>105</v>
      </c>
      <c r="N71">
        <f>VLOOKUP(表2[[#This Row],[SKU]],products!A:H,8,0)</f>
        <v>30</v>
      </c>
      <c r="O7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71">
        <f t="shared" si="4"/>
        <v>80</v>
      </c>
    </row>
    <row r="72" spans="1:16" x14ac:dyDescent="0.25">
      <c r="A72" t="s">
        <v>192</v>
      </c>
      <c r="B72" t="str">
        <f>VLOOKUP(A72,batches!A:B,2,0)</f>
        <v>SKU019</v>
      </c>
      <c r="C72" t="str">
        <f>VLOOKUP(批次库存!B72,products!A:B,2,0)</f>
        <v>常温全脂奶</v>
      </c>
      <c r="D72" t="str">
        <f>VLOOKUP(A72,batches!A:C,3,0)</f>
        <v>L019</v>
      </c>
      <c r="E72">
        <f>VLOOKUP(A72,batches!A:E,5,0)</f>
        <v>46296</v>
      </c>
      <c r="F72" t="str">
        <f>VLOOKUP(A72,batches!A:G,7,0)</f>
        <v>RELEASED</v>
      </c>
      <c r="G72">
        <f>SUMIFS(movements!H:H,movements!F:F,批次库存!A72,movements!D:D,"OPENING")</f>
        <v>0</v>
      </c>
      <c r="H72">
        <f>SUMIFS(movements!H:H,movements!F:F,批次库存!A72,movements!D:D,"RECEIPT")</f>
        <v>69</v>
      </c>
      <c r="I72">
        <f>SUMIFS(movements!H:H,movements!F:F,批次库存!A72,movements!D:D,"ISSUE")</f>
        <v>69</v>
      </c>
      <c r="J72">
        <f t="shared" si="5"/>
        <v>0</v>
      </c>
      <c r="K72">
        <f>VLOOKUP(表2[[#This Row],[SKU]],products!A:F,6,0)</f>
        <v>81.96</v>
      </c>
      <c r="L72">
        <f>J72*表2[[#This Row],[单价]]</f>
        <v>0</v>
      </c>
      <c r="M72">
        <f t="shared" si="3"/>
        <v>25</v>
      </c>
      <c r="N72">
        <f>VLOOKUP(表2[[#This Row],[SKU]],products!A:H,8,0)</f>
        <v>30</v>
      </c>
      <c r="O7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72">
        <f t="shared" si="4"/>
        <v>0</v>
      </c>
    </row>
    <row r="73" spans="1:16" x14ac:dyDescent="0.25">
      <c r="A73" t="s">
        <v>193</v>
      </c>
      <c r="B73" t="str">
        <f>VLOOKUP(A73,batches!A:B,2,0)</f>
        <v>SKU020</v>
      </c>
      <c r="C73" t="str">
        <f>VLOOKUP(批次库存!B73,products!A:B,2,0)</f>
        <v>常温厚乳</v>
      </c>
      <c r="D73" t="str">
        <f>VLOOKUP(A73,batches!A:C,3,0)</f>
        <v>L020</v>
      </c>
      <c r="E73">
        <f>VLOOKUP(A73,batches!A:E,5,0)</f>
        <v>46376</v>
      </c>
      <c r="F73" t="str">
        <f>VLOOKUP(A73,batches!A:G,7,0)</f>
        <v>RELEASED</v>
      </c>
      <c r="G73">
        <f>SUMIFS(movements!H:H,movements!F:F,批次库存!A73,movements!D:D,"OPENING")</f>
        <v>0</v>
      </c>
      <c r="H73">
        <f>SUMIFS(movements!H:H,movements!F:F,批次库存!A73,movements!D:D,"RECEIPT")</f>
        <v>76</v>
      </c>
      <c r="I73">
        <f>SUMIFS(movements!H:H,movements!F:F,批次库存!A73,movements!D:D,"ISSUE")</f>
        <v>0</v>
      </c>
      <c r="J73">
        <f t="shared" si="5"/>
        <v>76</v>
      </c>
      <c r="K73">
        <f>VLOOKUP(表2[[#This Row],[SKU]],products!A:F,6,0)</f>
        <v>65.56</v>
      </c>
      <c r="L73">
        <f>J73*表2[[#This Row],[单价]]</f>
        <v>4982.5600000000004</v>
      </c>
      <c r="M73">
        <f t="shared" si="3"/>
        <v>105</v>
      </c>
      <c r="N73">
        <f>VLOOKUP(表2[[#This Row],[SKU]],products!A:H,8,0)</f>
        <v>30</v>
      </c>
      <c r="O7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73">
        <f t="shared" si="4"/>
        <v>76</v>
      </c>
    </row>
    <row r="74" spans="1:16" x14ac:dyDescent="0.25">
      <c r="A74" t="s">
        <v>194</v>
      </c>
      <c r="B74" t="str">
        <f>VLOOKUP(A74,batches!A:B,2,0)</f>
        <v>SKU021</v>
      </c>
      <c r="C74" t="str">
        <f>VLOOKUP(批次库存!B74,products!A:B,2,0)</f>
        <v>500ml杯</v>
      </c>
      <c r="D74" t="str">
        <f>VLOOKUP(A74,batches!A:C,3,0)</f>
        <v>L021</v>
      </c>
      <c r="E74">
        <f>VLOOKUP(A74,batches!A:E,5,0)</f>
        <v>46561</v>
      </c>
      <c r="F74" t="str">
        <f>VLOOKUP(A74,batches!A:G,7,0)</f>
        <v>RELEASED</v>
      </c>
      <c r="G74">
        <f>SUMIFS(movements!H:H,movements!F:F,批次库存!A74,movements!D:D,"OPENING")</f>
        <v>0</v>
      </c>
      <c r="H74">
        <f>SUMIFS(movements!H:H,movements!F:F,批次库存!A74,movements!D:D,"RECEIPT")</f>
        <v>64</v>
      </c>
      <c r="I74">
        <f>SUMIFS(movements!H:H,movements!F:F,批次库存!A74,movements!D:D,"ISSUE")</f>
        <v>64</v>
      </c>
      <c r="J74">
        <f t="shared" si="5"/>
        <v>0</v>
      </c>
      <c r="K74">
        <f>VLOOKUP(表2[[#This Row],[SKU]],products!A:F,6,0)</f>
        <v>20.77</v>
      </c>
      <c r="L74">
        <f>J74*表2[[#This Row],[单价]]</f>
        <v>0</v>
      </c>
      <c r="M74">
        <f t="shared" si="3"/>
        <v>290</v>
      </c>
      <c r="N74">
        <f>VLOOKUP(表2[[#This Row],[SKU]],products!A:H,8,0)</f>
        <v>60</v>
      </c>
      <c r="O7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74">
        <f t="shared" si="4"/>
        <v>0</v>
      </c>
    </row>
    <row r="75" spans="1:16" x14ac:dyDescent="0.25">
      <c r="A75" t="s">
        <v>195</v>
      </c>
      <c r="B75" t="str">
        <f>VLOOKUP(A75,batches!A:B,2,0)</f>
        <v>SKU022</v>
      </c>
      <c r="C75" t="str">
        <f>VLOOKUP(批次库存!B75,products!A:B,2,0)</f>
        <v>700ml杯</v>
      </c>
      <c r="D75" t="str">
        <f>VLOOKUP(A75,batches!A:C,3,0)</f>
        <v>L022</v>
      </c>
      <c r="E75">
        <f>VLOOKUP(A75,batches!A:E,5,0)</f>
        <v>46561</v>
      </c>
      <c r="F75" t="str">
        <f>VLOOKUP(A75,batches!A:G,7,0)</f>
        <v>RELEASED</v>
      </c>
      <c r="G75">
        <f>SUMIFS(movements!H:H,movements!F:F,批次库存!A75,movements!D:D,"OPENING")</f>
        <v>0</v>
      </c>
      <c r="H75">
        <f>SUMIFS(movements!H:H,movements!F:F,批次库存!A75,movements!D:D,"RECEIPT")</f>
        <v>72</v>
      </c>
      <c r="I75">
        <f>SUMIFS(movements!H:H,movements!F:F,批次库存!A75,movements!D:D,"ISSUE")</f>
        <v>72</v>
      </c>
      <c r="J75">
        <f t="shared" si="5"/>
        <v>0</v>
      </c>
      <c r="K75">
        <f>VLOOKUP(表2[[#This Row],[SKU]],products!A:F,6,0)</f>
        <v>16.36</v>
      </c>
      <c r="L75">
        <f>J75*表2[[#This Row],[单价]]</f>
        <v>0</v>
      </c>
      <c r="M75">
        <f t="shared" si="3"/>
        <v>290</v>
      </c>
      <c r="N75">
        <f>VLOOKUP(表2[[#This Row],[SKU]],products!A:H,8,0)</f>
        <v>60</v>
      </c>
      <c r="O7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75">
        <f t="shared" si="4"/>
        <v>0</v>
      </c>
    </row>
    <row r="76" spans="1:16" x14ac:dyDescent="0.25">
      <c r="A76" t="s">
        <v>196</v>
      </c>
      <c r="B76" t="str">
        <f>VLOOKUP(A76,batches!A:B,2,0)</f>
        <v>SKU023</v>
      </c>
      <c r="C76" t="str">
        <f>VLOOKUP(批次库存!B76,products!A:B,2,0)</f>
        <v>500ml杯盖</v>
      </c>
      <c r="D76" t="str">
        <f>VLOOKUP(A76,batches!A:C,3,0)</f>
        <v>L023</v>
      </c>
      <c r="E76">
        <f>VLOOKUP(A76,batches!A:E,5,0)</f>
        <v>46561</v>
      </c>
      <c r="F76" t="str">
        <f>VLOOKUP(A76,batches!A:G,7,0)</f>
        <v>RELEASED</v>
      </c>
      <c r="G76">
        <f>SUMIFS(movements!H:H,movements!F:F,批次库存!A76,movements!D:D,"OPENING")</f>
        <v>0</v>
      </c>
      <c r="H76">
        <f>SUMIFS(movements!H:H,movements!F:F,批次库存!A76,movements!D:D,"RECEIPT")</f>
        <v>84</v>
      </c>
      <c r="I76">
        <f>SUMIFS(movements!H:H,movements!F:F,批次库存!A76,movements!D:D,"ISSUE")</f>
        <v>84</v>
      </c>
      <c r="J76">
        <f t="shared" si="5"/>
        <v>0</v>
      </c>
      <c r="K76">
        <f>VLOOKUP(表2[[#This Row],[SKU]],products!A:F,6,0)</f>
        <v>12.46</v>
      </c>
      <c r="L76">
        <f>J76*表2[[#This Row],[单价]]</f>
        <v>0</v>
      </c>
      <c r="M76">
        <f t="shared" si="3"/>
        <v>290</v>
      </c>
      <c r="N76">
        <f>VLOOKUP(表2[[#This Row],[SKU]],products!A:H,8,0)</f>
        <v>60</v>
      </c>
      <c r="O7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76">
        <f t="shared" si="4"/>
        <v>0</v>
      </c>
    </row>
    <row r="77" spans="1:16" x14ac:dyDescent="0.25">
      <c r="A77" t="s">
        <v>197</v>
      </c>
      <c r="B77" t="str">
        <f>VLOOKUP(A77,batches!A:B,2,0)</f>
        <v>SKU024</v>
      </c>
      <c r="C77" t="str">
        <f>VLOOKUP(批次库存!B77,products!A:B,2,0)</f>
        <v>700ml杯盖</v>
      </c>
      <c r="D77" t="str">
        <f>VLOOKUP(A77,batches!A:C,3,0)</f>
        <v>L024</v>
      </c>
      <c r="E77">
        <f>VLOOKUP(A77,batches!A:E,5,0)</f>
        <v>46561</v>
      </c>
      <c r="F77" t="str">
        <f>VLOOKUP(A77,batches!A:G,7,0)</f>
        <v>RELEASED</v>
      </c>
      <c r="G77">
        <f>SUMIFS(movements!H:H,movements!F:F,批次库存!A77,movements!D:D,"OPENING")</f>
        <v>0</v>
      </c>
      <c r="H77">
        <f>SUMIFS(movements!H:H,movements!F:F,批次库存!A77,movements!D:D,"RECEIPT")</f>
        <v>77</v>
      </c>
      <c r="I77">
        <f>SUMIFS(movements!H:H,movements!F:F,批次库存!A77,movements!D:D,"ISSUE")</f>
        <v>77</v>
      </c>
      <c r="J77">
        <f t="shared" si="5"/>
        <v>0</v>
      </c>
      <c r="K77">
        <f>VLOOKUP(表2[[#This Row],[SKU]],products!A:F,6,0)</f>
        <v>19.8</v>
      </c>
      <c r="L77">
        <f>J77*表2[[#This Row],[单价]]</f>
        <v>0</v>
      </c>
      <c r="M77">
        <f t="shared" si="3"/>
        <v>290</v>
      </c>
      <c r="N77">
        <f>VLOOKUP(表2[[#This Row],[SKU]],products!A:H,8,0)</f>
        <v>60</v>
      </c>
      <c r="O7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77">
        <f t="shared" si="4"/>
        <v>0</v>
      </c>
    </row>
    <row r="78" spans="1:16" x14ac:dyDescent="0.25">
      <c r="A78" t="s">
        <v>198</v>
      </c>
      <c r="B78" t="str">
        <f>VLOOKUP(A78,batches!A:B,2,0)</f>
        <v>SKU025</v>
      </c>
      <c r="C78" t="str">
        <f>VLOOKUP(批次库存!B78,products!A:B,2,0)</f>
        <v>粗吸管</v>
      </c>
      <c r="D78" t="str">
        <f>VLOOKUP(A78,batches!A:C,3,0)</f>
        <v>L025</v>
      </c>
      <c r="E78">
        <f>VLOOKUP(A78,batches!A:E,5,0)</f>
        <v>46561</v>
      </c>
      <c r="F78" t="str">
        <f>VLOOKUP(A78,batches!A:G,7,0)</f>
        <v>RELEASED</v>
      </c>
      <c r="G78">
        <f>SUMIFS(movements!H:H,movements!F:F,批次库存!A78,movements!D:D,"OPENING")</f>
        <v>0</v>
      </c>
      <c r="H78">
        <f>SUMIFS(movements!H:H,movements!F:F,批次库存!A78,movements!D:D,"RECEIPT")</f>
        <v>67</v>
      </c>
      <c r="I78">
        <f>SUMIFS(movements!H:H,movements!F:F,批次库存!A78,movements!D:D,"ISSUE")</f>
        <v>67</v>
      </c>
      <c r="J78">
        <f t="shared" si="5"/>
        <v>0</v>
      </c>
      <c r="K78">
        <f>VLOOKUP(表2[[#This Row],[SKU]],products!A:F,6,0)</f>
        <v>39.42</v>
      </c>
      <c r="L78">
        <f>J78*表2[[#This Row],[单价]]</f>
        <v>0</v>
      </c>
      <c r="M78">
        <f t="shared" si="3"/>
        <v>290</v>
      </c>
      <c r="N78">
        <f>VLOOKUP(表2[[#This Row],[SKU]],products!A:H,8,0)</f>
        <v>60</v>
      </c>
      <c r="O7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78">
        <f t="shared" si="4"/>
        <v>0</v>
      </c>
    </row>
    <row r="79" spans="1:16" x14ac:dyDescent="0.25">
      <c r="A79" t="s">
        <v>199</v>
      </c>
      <c r="B79" t="str">
        <f>VLOOKUP(A79,batches!A:B,2,0)</f>
        <v>SKU027</v>
      </c>
      <c r="C79" t="str">
        <f>VLOOKUP(批次库存!B79,products!A:B,2,0)</f>
        <v>单杯袋</v>
      </c>
      <c r="D79" t="str">
        <f>VLOOKUP(A79,batches!A:C,3,0)</f>
        <v>L027</v>
      </c>
      <c r="E79">
        <f>VLOOKUP(A79,batches!A:E,5,0)</f>
        <v>46561</v>
      </c>
      <c r="F79" t="str">
        <f>VLOOKUP(A79,batches!A:G,7,0)</f>
        <v>RELEASED</v>
      </c>
      <c r="G79">
        <f>SUMIFS(movements!H:H,movements!F:F,批次库存!A79,movements!D:D,"OPENING")</f>
        <v>0</v>
      </c>
      <c r="H79">
        <f>SUMIFS(movements!H:H,movements!F:F,批次库存!A79,movements!D:D,"RECEIPT")</f>
        <v>67</v>
      </c>
      <c r="I79">
        <f>SUMIFS(movements!H:H,movements!F:F,批次库存!A79,movements!D:D,"ISSUE")</f>
        <v>67</v>
      </c>
      <c r="J79">
        <f t="shared" si="5"/>
        <v>0</v>
      </c>
      <c r="K79">
        <f>VLOOKUP(表2[[#This Row],[SKU]],products!A:F,6,0)</f>
        <v>30.89</v>
      </c>
      <c r="L79">
        <f>J79*表2[[#This Row],[单价]]</f>
        <v>0</v>
      </c>
      <c r="M79">
        <f t="shared" si="3"/>
        <v>290</v>
      </c>
      <c r="N79">
        <f>VLOOKUP(表2[[#This Row],[SKU]],products!A:H,8,0)</f>
        <v>60</v>
      </c>
      <c r="O7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79">
        <f t="shared" si="4"/>
        <v>0</v>
      </c>
    </row>
    <row r="80" spans="1:16" x14ac:dyDescent="0.25">
      <c r="A80" t="s">
        <v>200</v>
      </c>
      <c r="B80" t="str">
        <f>VLOOKUP(A80,batches!A:B,2,0)</f>
        <v>SKU028</v>
      </c>
      <c r="C80" t="str">
        <f>VLOOKUP(批次库存!B80,products!A:B,2,0)</f>
        <v>双杯袋</v>
      </c>
      <c r="D80" t="str">
        <f>VLOOKUP(A80,batches!A:C,3,0)</f>
        <v>L028</v>
      </c>
      <c r="E80">
        <f>VLOOKUP(A80,batches!A:E,5,0)</f>
        <v>46561</v>
      </c>
      <c r="F80" t="str">
        <f>VLOOKUP(A80,batches!A:G,7,0)</f>
        <v>RELEASED</v>
      </c>
      <c r="G80">
        <f>SUMIFS(movements!H:H,movements!F:F,批次库存!A80,movements!D:D,"OPENING")</f>
        <v>0</v>
      </c>
      <c r="H80">
        <f>SUMIFS(movements!H:H,movements!F:F,批次库存!A80,movements!D:D,"RECEIPT")</f>
        <v>91</v>
      </c>
      <c r="I80">
        <f>SUMIFS(movements!H:H,movements!F:F,批次库存!A80,movements!D:D,"ISSUE")</f>
        <v>91</v>
      </c>
      <c r="J80">
        <f t="shared" si="5"/>
        <v>0</v>
      </c>
      <c r="K80">
        <f>VLOOKUP(表2[[#This Row],[SKU]],products!A:F,6,0)</f>
        <v>55.53</v>
      </c>
      <c r="L80">
        <f>J80*表2[[#This Row],[单价]]</f>
        <v>0</v>
      </c>
      <c r="M80">
        <f t="shared" si="3"/>
        <v>290</v>
      </c>
      <c r="N80">
        <f>VLOOKUP(表2[[#This Row],[SKU]],products!A:H,8,0)</f>
        <v>60</v>
      </c>
      <c r="O8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80">
        <f t="shared" si="4"/>
        <v>0</v>
      </c>
    </row>
    <row r="81" spans="1:16" x14ac:dyDescent="0.25">
      <c r="A81" t="s">
        <v>201</v>
      </c>
      <c r="B81" t="str">
        <f>VLOOKUP(A81,batches!A:B,2,0)</f>
        <v>SKU001</v>
      </c>
      <c r="C81" t="str">
        <f>VLOOKUP(批次库存!B81,products!A:B,2,0)</f>
        <v>茉莉绿茶</v>
      </c>
      <c r="D81" t="str">
        <f>VLOOKUP(A81,batches!A:C,3,0)</f>
        <v>L001</v>
      </c>
      <c r="E81">
        <f>VLOOKUP(A81,batches!A:E,5,0)</f>
        <v>46383</v>
      </c>
      <c r="F81" t="str">
        <f>VLOOKUP(A81,batches!A:G,7,0)</f>
        <v>RELEASED</v>
      </c>
      <c r="G81">
        <f>SUMIFS(movements!H:H,movements!F:F,批次库存!A81,movements!D:D,"OPENING")</f>
        <v>0</v>
      </c>
      <c r="H81">
        <f>SUMIFS(movements!H:H,movements!F:F,批次库存!A81,movements!D:D,"RECEIPT")</f>
        <v>76</v>
      </c>
      <c r="I81">
        <f>SUMIFS(movements!H:H,movements!F:F,批次库存!A81,movements!D:D,"ISSUE")</f>
        <v>76</v>
      </c>
      <c r="J81">
        <f t="shared" si="5"/>
        <v>0</v>
      </c>
      <c r="K81">
        <f>VLOOKUP(表2[[#This Row],[SKU]],products!A:F,6,0)</f>
        <v>79.760000000000005</v>
      </c>
      <c r="L81">
        <f>J81*表2[[#This Row],[单价]]</f>
        <v>0</v>
      </c>
      <c r="M81">
        <f t="shared" si="3"/>
        <v>112</v>
      </c>
      <c r="N81">
        <f>VLOOKUP(表2[[#This Row],[SKU]],products!A:H,8,0)</f>
        <v>30</v>
      </c>
      <c r="O8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81">
        <f t="shared" si="4"/>
        <v>0</v>
      </c>
    </row>
    <row r="82" spans="1:16" x14ac:dyDescent="0.25">
      <c r="A82" t="s">
        <v>202</v>
      </c>
      <c r="B82" t="str">
        <f>VLOOKUP(A82,batches!A:B,2,0)</f>
        <v>SKU002</v>
      </c>
      <c r="C82" t="str">
        <f>VLOOKUP(批次库存!B82,products!A:B,2,0)</f>
        <v>红茶</v>
      </c>
      <c r="D82" t="str">
        <f>VLOOKUP(A82,batches!A:C,3,0)</f>
        <v>L002</v>
      </c>
      <c r="E82">
        <f>VLOOKUP(A82,batches!A:E,5,0)</f>
        <v>46383</v>
      </c>
      <c r="F82" t="str">
        <f>VLOOKUP(A82,batches!A:G,7,0)</f>
        <v>RELEASED</v>
      </c>
      <c r="G82">
        <f>SUMIFS(movements!H:H,movements!F:F,批次库存!A82,movements!D:D,"OPENING")</f>
        <v>0</v>
      </c>
      <c r="H82">
        <f>SUMIFS(movements!H:H,movements!F:F,批次库存!A82,movements!D:D,"RECEIPT")</f>
        <v>65</v>
      </c>
      <c r="I82">
        <f>SUMIFS(movements!H:H,movements!F:F,批次库存!A82,movements!D:D,"ISSUE")</f>
        <v>30</v>
      </c>
      <c r="J82">
        <f t="shared" si="5"/>
        <v>35</v>
      </c>
      <c r="K82">
        <f>VLOOKUP(表2[[#This Row],[SKU]],products!A:F,6,0)</f>
        <v>78.48</v>
      </c>
      <c r="L82">
        <f>J82*表2[[#This Row],[单价]]</f>
        <v>2746.8</v>
      </c>
      <c r="M82">
        <f t="shared" si="3"/>
        <v>112</v>
      </c>
      <c r="N82">
        <f>VLOOKUP(表2[[#This Row],[SKU]],products!A:H,8,0)</f>
        <v>30</v>
      </c>
      <c r="O8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82">
        <f t="shared" si="4"/>
        <v>35</v>
      </c>
    </row>
    <row r="83" spans="1:16" x14ac:dyDescent="0.25">
      <c r="A83" t="s">
        <v>203</v>
      </c>
      <c r="B83" t="str">
        <f>VLOOKUP(A83,batches!A:B,2,0)</f>
        <v>SKU003</v>
      </c>
      <c r="C83" t="str">
        <f>VLOOKUP(批次库存!B83,products!A:B,2,0)</f>
        <v>乌龙茶</v>
      </c>
      <c r="D83" t="str">
        <f>VLOOKUP(A83,batches!A:C,3,0)</f>
        <v>L003</v>
      </c>
      <c r="E83">
        <f>VLOOKUP(A83,batches!A:E,5,0)</f>
        <v>46303</v>
      </c>
      <c r="F83" t="str">
        <f>VLOOKUP(A83,batches!A:G,7,0)</f>
        <v>RELEASED</v>
      </c>
      <c r="G83">
        <f>SUMIFS(movements!H:H,movements!F:F,批次库存!A83,movements!D:D,"OPENING")</f>
        <v>0</v>
      </c>
      <c r="H83">
        <f>SUMIFS(movements!H:H,movements!F:F,批次库存!A83,movements!D:D,"RECEIPT")</f>
        <v>86</v>
      </c>
      <c r="I83">
        <f>SUMIFS(movements!H:H,movements!F:F,批次库存!A83,movements!D:D,"ISSUE")</f>
        <v>86</v>
      </c>
      <c r="J83">
        <f t="shared" si="5"/>
        <v>0</v>
      </c>
      <c r="K83">
        <f>VLOOKUP(表2[[#This Row],[SKU]],products!A:F,6,0)</f>
        <v>41.99</v>
      </c>
      <c r="L83">
        <f>J83*表2[[#This Row],[单价]]</f>
        <v>0</v>
      </c>
      <c r="M83">
        <f t="shared" si="3"/>
        <v>32</v>
      </c>
      <c r="N83">
        <f>VLOOKUP(表2[[#This Row],[SKU]],products!A:H,8,0)</f>
        <v>30</v>
      </c>
      <c r="O8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83">
        <f t="shared" si="4"/>
        <v>0</v>
      </c>
    </row>
    <row r="84" spans="1:16" x14ac:dyDescent="0.25">
      <c r="A84" t="s">
        <v>204</v>
      </c>
      <c r="B84" t="str">
        <f>VLOOKUP(A84,batches!A:B,2,0)</f>
        <v>SKU004</v>
      </c>
      <c r="C84" t="str">
        <f>VLOOKUP(批次库存!B84,products!A:B,2,0)</f>
        <v>四季春茶</v>
      </c>
      <c r="D84" t="str">
        <f>VLOOKUP(A84,batches!A:C,3,0)</f>
        <v>L004</v>
      </c>
      <c r="E84">
        <f>VLOOKUP(A84,batches!A:E,5,0)</f>
        <v>46248</v>
      </c>
      <c r="F84" t="str">
        <f>VLOOKUP(A84,batches!A:G,7,0)</f>
        <v>RELEASED</v>
      </c>
      <c r="G84">
        <f>SUMIFS(movements!H:H,movements!F:F,批次库存!A84,movements!D:D,"OPENING")</f>
        <v>0</v>
      </c>
      <c r="H84">
        <f>SUMIFS(movements!H:H,movements!F:F,批次库存!A84,movements!D:D,"RECEIPT")</f>
        <v>75</v>
      </c>
      <c r="I84">
        <f>SUMIFS(movements!H:H,movements!F:F,批次库存!A84,movements!D:D,"ISSUE")</f>
        <v>75</v>
      </c>
      <c r="J84">
        <f t="shared" si="5"/>
        <v>0</v>
      </c>
      <c r="K84">
        <f>VLOOKUP(表2[[#This Row],[SKU]],products!A:F,6,0)</f>
        <v>70.39</v>
      </c>
      <c r="L84">
        <f>J84*表2[[#This Row],[单价]]</f>
        <v>0</v>
      </c>
      <c r="M84">
        <f t="shared" si="3"/>
        <v>-23</v>
      </c>
      <c r="N84">
        <f>VLOOKUP(表2[[#This Row],[SKU]],products!A:H,8,0)</f>
        <v>30</v>
      </c>
      <c r="O8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84">
        <f t="shared" si="4"/>
        <v>0</v>
      </c>
    </row>
    <row r="85" spans="1:16" x14ac:dyDescent="0.25">
      <c r="A85" t="s">
        <v>205</v>
      </c>
      <c r="B85" t="str">
        <f>VLOOKUP(A85,batches!A:B,2,0)</f>
        <v>SKU005</v>
      </c>
      <c r="C85" t="str">
        <f>VLOOKUP(批次库存!B85,products!A:B,2,0)</f>
        <v>桂花乌龙</v>
      </c>
      <c r="D85" t="str">
        <f>VLOOKUP(A85,batches!A:C,3,0)</f>
        <v>L005</v>
      </c>
      <c r="E85">
        <f>VLOOKUP(A85,batches!A:E,5,0)</f>
        <v>46383</v>
      </c>
      <c r="F85" t="str">
        <f>VLOOKUP(A85,batches!A:G,7,0)</f>
        <v>RELEASED</v>
      </c>
      <c r="G85">
        <f>SUMIFS(movements!H:H,movements!F:F,批次库存!A85,movements!D:D,"OPENING")</f>
        <v>0</v>
      </c>
      <c r="H85">
        <f>SUMIFS(movements!H:H,movements!F:F,批次库存!A85,movements!D:D,"RECEIPT")</f>
        <v>85</v>
      </c>
      <c r="I85">
        <f>SUMIFS(movements!H:H,movements!F:F,批次库存!A85,movements!D:D,"ISSUE")</f>
        <v>85</v>
      </c>
      <c r="J85">
        <f t="shared" si="5"/>
        <v>0</v>
      </c>
      <c r="K85">
        <f>VLOOKUP(表2[[#This Row],[SKU]],products!A:F,6,0)</f>
        <v>56.61</v>
      </c>
      <c r="L85">
        <f>J85*表2[[#This Row],[单价]]</f>
        <v>0</v>
      </c>
      <c r="M85">
        <f t="shared" si="3"/>
        <v>112</v>
      </c>
      <c r="N85">
        <f>VLOOKUP(表2[[#This Row],[SKU]],products!A:H,8,0)</f>
        <v>30</v>
      </c>
      <c r="O8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85">
        <f t="shared" si="4"/>
        <v>0</v>
      </c>
    </row>
    <row r="86" spans="1:16" x14ac:dyDescent="0.25">
      <c r="A86" t="s">
        <v>206</v>
      </c>
      <c r="B86" t="str">
        <f>VLOOKUP(A86,batches!A:B,2,0)</f>
        <v>SKU006</v>
      </c>
      <c r="C86" t="str">
        <f>VLOOKUP(批次库存!B86,products!A:B,2,0)</f>
        <v>焙火乌龙</v>
      </c>
      <c r="D86" t="str">
        <f>VLOOKUP(A86,batches!A:C,3,0)</f>
        <v>L006</v>
      </c>
      <c r="E86">
        <f>VLOOKUP(A86,batches!A:E,5,0)</f>
        <v>46383</v>
      </c>
      <c r="F86" t="str">
        <f>VLOOKUP(A86,batches!A:G,7,0)</f>
        <v>RELEASED</v>
      </c>
      <c r="G86">
        <f>SUMIFS(movements!H:H,movements!F:F,批次库存!A86,movements!D:D,"OPENING")</f>
        <v>0</v>
      </c>
      <c r="H86">
        <f>SUMIFS(movements!H:H,movements!F:F,批次库存!A86,movements!D:D,"RECEIPT")</f>
        <v>90</v>
      </c>
      <c r="I86">
        <f>SUMIFS(movements!H:H,movements!F:F,批次库存!A86,movements!D:D,"ISSUE")</f>
        <v>90</v>
      </c>
      <c r="J86">
        <f t="shared" si="5"/>
        <v>0</v>
      </c>
      <c r="K86">
        <f>VLOOKUP(表2[[#This Row],[SKU]],products!A:F,6,0)</f>
        <v>30.07</v>
      </c>
      <c r="L86">
        <f>J86*表2[[#This Row],[单价]]</f>
        <v>0</v>
      </c>
      <c r="M86">
        <f t="shared" si="3"/>
        <v>112</v>
      </c>
      <c r="N86">
        <f>VLOOKUP(表2[[#This Row],[SKU]],products!A:H,8,0)</f>
        <v>30</v>
      </c>
      <c r="O8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86">
        <f t="shared" si="4"/>
        <v>0</v>
      </c>
    </row>
    <row r="87" spans="1:16" x14ac:dyDescent="0.25">
      <c r="A87" t="s">
        <v>207</v>
      </c>
      <c r="B87" t="str">
        <f>VLOOKUP(A87,batches!A:B,2,0)</f>
        <v>SKU008</v>
      </c>
      <c r="C87" t="str">
        <f>VLOOKUP(批次库存!B87,products!A:B,2,0)</f>
        <v>普洱茶</v>
      </c>
      <c r="D87" t="str">
        <f>VLOOKUP(A87,batches!A:C,3,0)</f>
        <v>L008</v>
      </c>
      <c r="E87">
        <f>VLOOKUP(A87,batches!A:E,5,0)</f>
        <v>46273</v>
      </c>
      <c r="F87" t="str">
        <f>VLOOKUP(A87,batches!A:G,7,0)</f>
        <v>RELEASED</v>
      </c>
      <c r="G87">
        <f>SUMIFS(movements!H:H,movements!F:F,批次库存!A87,movements!D:D,"OPENING")</f>
        <v>0</v>
      </c>
      <c r="H87">
        <f>SUMIFS(movements!H:H,movements!F:F,批次库存!A87,movements!D:D,"RECEIPT")</f>
        <v>92</v>
      </c>
      <c r="I87">
        <f>SUMIFS(movements!H:H,movements!F:F,批次库存!A87,movements!D:D,"ISSUE")</f>
        <v>92</v>
      </c>
      <c r="J87">
        <f t="shared" si="5"/>
        <v>0</v>
      </c>
      <c r="K87">
        <f>VLOOKUP(表2[[#This Row],[SKU]],products!A:F,6,0)</f>
        <v>72.540000000000006</v>
      </c>
      <c r="L87">
        <f>J87*表2[[#This Row],[单价]]</f>
        <v>0</v>
      </c>
      <c r="M87">
        <f t="shared" si="3"/>
        <v>2</v>
      </c>
      <c r="N87">
        <f>VLOOKUP(表2[[#This Row],[SKU]],products!A:H,8,0)</f>
        <v>30</v>
      </c>
      <c r="O8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87">
        <f t="shared" si="4"/>
        <v>0</v>
      </c>
    </row>
    <row r="88" spans="1:16" x14ac:dyDescent="0.25">
      <c r="A88" t="s">
        <v>208</v>
      </c>
      <c r="B88" t="str">
        <f>VLOOKUP(A88,batches!A:B,2,0)</f>
        <v>SKU013</v>
      </c>
      <c r="C88" t="str">
        <f>VLOOKUP(批次库存!B88,products!A:B,2,0)</f>
        <v>香草糖浆</v>
      </c>
      <c r="D88" t="str">
        <f>VLOOKUP(A88,batches!A:C,3,0)</f>
        <v>L013</v>
      </c>
      <c r="E88">
        <f>VLOOKUP(A88,batches!A:E,5,0)</f>
        <v>46248</v>
      </c>
      <c r="F88" t="str">
        <f>VLOOKUP(A88,batches!A:G,7,0)</f>
        <v>RELEASED</v>
      </c>
      <c r="G88">
        <f>SUMIFS(movements!H:H,movements!F:F,批次库存!A88,movements!D:D,"OPENING")</f>
        <v>0</v>
      </c>
      <c r="H88">
        <f>SUMIFS(movements!H:H,movements!F:F,批次库存!A88,movements!D:D,"RECEIPT")</f>
        <v>63</v>
      </c>
      <c r="I88">
        <f>SUMIFS(movements!H:H,movements!F:F,批次库存!A88,movements!D:D,"ISSUE")</f>
        <v>63</v>
      </c>
      <c r="J88">
        <f t="shared" si="5"/>
        <v>0</v>
      </c>
      <c r="K88">
        <f>VLOOKUP(表2[[#This Row],[SKU]],products!A:F,6,0)</f>
        <v>70.63</v>
      </c>
      <c r="L88">
        <f>J88*表2[[#This Row],[单价]]</f>
        <v>0</v>
      </c>
      <c r="M88">
        <f t="shared" si="3"/>
        <v>-23</v>
      </c>
      <c r="N88">
        <f>VLOOKUP(表2[[#This Row],[SKU]],products!A:H,8,0)</f>
        <v>30</v>
      </c>
      <c r="O8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88">
        <f t="shared" si="4"/>
        <v>0</v>
      </c>
    </row>
    <row r="89" spans="1:16" x14ac:dyDescent="0.25">
      <c r="A89" t="s">
        <v>209</v>
      </c>
      <c r="B89" t="str">
        <f>VLOOKUP(A89,batches!A:B,2,0)</f>
        <v>SKU017</v>
      </c>
      <c r="C89" t="str">
        <f>VLOOKUP(批次库存!B89,products!A:B,2,0)</f>
        <v>常温椰乳</v>
      </c>
      <c r="D89" t="str">
        <f>VLOOKUP(A89,batches!A:C,3,0)</f>
        <v>L017</v>
      </c>
      <c r="E89">
        <f>VLOOKUP(A89,batches!A:E,5,0)</f>
        <v>46248</v>
      </c>
      <c r="F89" t="str">
        <f>VLOOKUP(A89,batches!A:G,7,0)</f>
        <v>RELEASED</v>
      </c>
      <c r="G89">
        <f>SUMIFS(movements!H:H,movements!F:F,批次库存!A89,movements!D:D,"OPENING")</f>
        <v>0</v>
      </c>
      <c r="H89">
        <f>SUMIFS(movements!H:H,movements!F:F,批次库存!A89,movements!D:D,"RECEIPT")</f>
        <v>95</v>
      </c>
      <c r="I89">
        <f>SUMIFS(movements!H:H,movements!F:F,批次库存!A89,movements!D:D,"ISSUE")</f>
        <v>95</v>
      </c>
      <c r="J89">
        <f t="shared" si="5"/>
        <v>0</v>
      </c>
      <c r="K89">
        <f>VLOOKUP(表2[[#This Row],[SKU]],products!A:F,6,0)</f>
        <v>39.159999999999997</v>
      </c>
      <c r="L89">
        <f>J89*表2[[#This Row],[单价]]</f>
        <v>0</v>
      </c>
      <c r="M89">
        <f t="shared" si="3"/>
        <v>-23</v>
      </c>
      <c r="N89">
        <f>VLOOKUP(表2[[#This Row],[SKU]],products!A:H,8,0)</f>
        <v>30</v>
      </c>
      <c r="O8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89">
        <f t="shared" si="4"/>
        <v>0</v>
      </c>
    </row>
    <row r="90" spans="1:16" x14ac:dyDescent="0.25">
      <c r="A90" t="s">
        <v>210</v>
      </c>
      <c r="B90" t="str">
        <f>VLOOKUP(A90,batches!A:B,2,0)</f>
        <v>SKU018</v>
      </c>
      <c r="C90" t="str">
        <f>VLOOKUP(批次库存!B90,products!A:B,2,0)</f>
        <v>常温燕麦饮</v>
      </c>
      <c r="D90" t="str">
        <f>VLOOKUP(A90,batches!A:C,3,0)</f>
        <v>L018</v>
      </c>
      <c r="E90">
        <f>VLOOKUP(A90,batches!A:E,5,0)</f>
        <v>46248</v>
      </c>
      <c r="F90" t="str">
        <f>VLOOKUP(A90,batches!A:G,7,0)</f>
        <v>RELEASED</v>
      </c>
      <c r="G90">
        <f>SUMIFS(movements!H:H,movements!F:F,批次库存!A90,movements!D:D,"OPENING")</f>
        <v>0</v>
      </c>
      <c r="H90">
        <f>SUMIFS(movements!H:H,movements!F:F,批次库存!A90,movements!D:D,"RECEIPT")</f>
        <v>76</v>
      </c>
      <c r="I90">
        <f>SUMIFS(movements!H:H,movements!F:F,批次库存!A90,movements!D:D,"ISSUE")</f>
        <v>76</v>
      </c>
      <c r="J90">
        <f t="shared" si="5"/>
        <v>0</v>
      </c>
      <c r="K90">
        <f>VLOOKUP(表2[[#This Row],[SKU]],products!A:F,6,0)</f>
        <v>63.65</v>
      </c>
      <c r="L90">
        <f>J90*表2[[#This Row],[单价]]</f>
        <v>0</v>
      </c>
      <c r="M90">
        <f t="shared" si="3"/>
        <v>-23</v>
      </c>
      <c r="N90">
        <f>VLOOKUP(表2[[#This Row],[SKU]],products!A:H,8,0)</f>
        <v>30</v>
      </c>
      <c r="O9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90">
        <f t="shared" si="4"/>
        <v>0</v>
      </c>
    </row>
    <row r="91" spans="1:16" x14ac:dyDescent="0.25">
      <c r="A91" t="s">
        <v>211</v>
      </c>
      <c r="B91" t="str">
        <f>VLOOKUP(A91,batches!A:B,2,0)</f>
        <v>SKU020</v>
      </c>
      <c r="C91" t="str">
        <f>VLOOKUP(批次库存!B91,products!A:B,2,0)</f>
        <v>常温厚乳</v>
      </c>
      <c r="D91" t="str">
        <f>VLOOKUP(A91,batches!A:C,3,0)</f>
        <v>L020</v>
      </c>
      <c r="E91">
        <f>VLOOKUP(A91,batches!A:E,5,0)</f>
        <v>46303</v>
      </c>
      <c r="F91" t="str">
        <f>VLOOKUP(A91,batches!A:G,7,0)</f>
        <v>RELEASED</v>
      </c>
      <c r="G91">
        <f>SUMIFS(movements!H:H,movements!F:F,批次库存!A91,movements!D:D,"OPENING")</f>
        <v>0</v>
      </c>
      <c r="H91">
        <f>SUMIFS(movements!H:H,movements!F:F,批次库存!A91,movements!D:D,"RECEIPT")</f>
        <v>96</v>
      </c>
      <c r="I91">
        <f>SUMIFS(movements!H:H,movements!F:F,批次库存!A91,movements!D:D,"ISSUE")</f>
        <v>96</v>
      </c>
      <c r="J91">
        <f t="shared" si="5"/>
        <v>0</v>
      </c>
      <c r="K91">
        <f>VLOOKUP(表2[[#This Row],[SKU]],products!A:F,6,0)</f>
        <v>65.56</v>
      </c>
      <c r="L91">
        <f>J91*表2[[#This Row],[单价]]</f>
        <v>0</v>
      </c>
      <c r="M91">
        <f t="shared" si="3"/>
        <v>32</v>
      </c>
      <c r="N91">
        <f>VLOOKUP(表2[[#This Row],[SKU]],products!A:H,8,0)</f>
        <v>30</v>
      </c>
      <c r="O9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91">
        <f t="shared" si="4"/>
        <v>0</v>
      </c>
    </row>
    <row r="92" spans="1:16" x14ac:dyDescent="0.25">
      <c r="A92" t="s">
        <v>212</v>
      </c>
      <c r="B92" t="str">
        <f>VLOOKUP(A92,batches!A:B,2,0)</f>
        <v>SKU025</v>
      </c>
      <c r="C92" t="str">
        <f>VLOOKUP(批次库存!B92,products!A:B,2,0)</f>
        <v>粗吸管</v>
      </c>
      <c r="D92" t="str">
        <f>VLOOKUP(A92,batches!A:C,3,0)</f>
        <v>L025</v>
      </c>
      <c r="E92">
        <f>VLOOKUP(A92,batches!A:E,5,0)</f>
        <v>46568</v>
      </c>
      <c r="F92" t="str">
        <f>VLOOKUP(A92,batches!A:G,7,0)</f>
        <v>RELEASED</v>
      </c>
      <c r="G92">
        <f>SUMIFS(movements!H:H,movements!F:F,批次库存!A92,movements!D:D,"OPENING")</f>
        <v>0</v>
      </c>
      <c r="H92">
        <f>SUMIFS(movements!H:H,movements!F:F,批次库存!A92,movements!D:D,"RECEIPT")</f>
        <v>100</v>
      </c>
      <c r="I92">
        <f>SUMIFS(movements!H:H,movements!F:F,批次库存!A92,movements!D:D,"ISSUE")</f>
        <v>100</v>
      </c>
      <c r="J92">
        <f t="shared" si="5"/>
        <v>0</v>
      </c>
      <c r="K92">
        <f>VLOOKUP(表2[[#This Row],[SKU]],products!A:F,6,0)</f>
        <v>39.42</v>
      </c>
      <c r="L92">
        <f>J92*表2[[#This Row],[单价]]</f>
        <v>0</v>
      </c>
      <c r="M92">
        <f t="shared" si="3"/>
        <v>297</v>
      </c>
      <c r="N92">
        <f>VLOOKUP(表2[[#This Row],[SKU]],products!A:H,8,0)</f>
        <v>60</v>
      </c>
      <c r="O9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92">
        <f t="shared" si="4"/>
        <v>0</v>
      </c>
    </row>
    <row r="93" spans="1:16" x14ac:dyDescent="0.25">
      <c r="A93" t="s">
        <v>213</v>
      </c>
      <c r="B93" t="str">
        <f>VLOOKUP(A93,batches!A:B,2,0)</f>
        <v>SKU026</v>
      </c>
      <c r="C93" t="str">
        <f>VLOOKUP(批次库存!B93,products!A:B,2,0)</f>
        <v>细吸管</v>
      </c>
      <c r="D93" t="str">
        <f>VLOOKUP(A93,batches!A:C,3,0)</f>
        <v>L026</v>
      </c>
      <c r="E93">
        <f>VLOOKUP(A93,batches!A:E,5,0)</f>
        <v>46568</v>
      </c>
      <c r="F93" t="str">
        <f>VLOOKUP(A93,batches!A:G,7,0)</f>
        <v>RELEASED</v>
      </c>
      <c r="G93">
        <f>SUMIFS(movements!H:H,movements!F:F,批次库存!A93,movements!D:D,"OPENING")</f>
        <v>0</v>
      </c>
      <c r="H93">
        <f>SUMIFS(movements!H:H,movements!F:F,批次库存!A93,movements!D:D,"RECEIPT")</f>
        <v>77</v>
      </c>
      <c r="I93">
        <f>SUMIFS(movements!H:H,movements!F:F,批次库存!A93,movements!D:D,"ISSUE")</f>
        <v>77</v>
      </c>
      <c r="J93">
        <f t="shared" si="5"/>
        <v>0</v>
      </c>
      <c r="K93">
        <f>VLOOKUP(表2[[#This Row],[SKU]],products!A:F,6,0)</f>
        <v>14.19</v>
      </c>
      <c r="L93">
        <f>J93*表2[[#This Row],[单价]]</f>
        <v>0</v>
      </c>
      <c r="M93">
        <f t="shared" si="3"/>
        <v>297</v>
      </c>
      <c r="N93">
        <f>VLOOKUP(表2[[#This Row],[SKU]],products!A:H,8,0)</f>
        <v>60</v>
      </c>
      <c r="O9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93">
        <f t="shared" si="4"/>
        <v>0</v>
      </c>
    </row>
    <row r="94" spans="1:16" x14ac:dyDescent="0.25">
      <c r="A94" t="s">
        <v>214</v>
      </c>
      <c r="B94" t="str">
        <f>VLOOKUP(A94,batches!A:B,2,0)</f>
        <v>SKU001</v>
      </c>
      <c r="C94" t="str">
        <f>VLOOKUP(批次库存!B94,products!A:B,2,0)</f>
        <v>茉莉绿茶</v>
      </c>
      <c r="D94" t="str">
        <f>VLOOKUP(A94,batches!A:C,3,0)</f>
        <v>L001</v>
      </c>
      <c r="E94">
        <f>VLOOKUP(A94,batches!A:E,5,0)</f>
        <v>46310</v>
      </c>
      <c r="F94" t="str">
        <f>VLOOKUP(A94,batches!A:G,7,0)</f>
        <v>RELEASED</v>
      </c>
      <c r="G94">
        <f>SUMIFS(movements!H:H,movements!F:F,批次库存!A94,movements!D:D,"OPENING")</f>
        <v>0</v>
      </c>
      <c r="H94">
        <f>SUMIFS(movements!H:H,movements!F:F,批次库存!A94,movements!D:D,"RECEIPT")</f>
        <v>76</v>
      </c>
      <c r="I94">
        <f>SUMIFS(movements!H:H,movements!F:F,批次库存!A94,movements!D:D,"ISSUE")</f>
        <v>76</v>
      </c>
      <c r="J94">
        <f t="shared" si="5"/>
        <v>0</v>
      </c>
      <c r="K94">
        <f>VLOOKUP(表2[[#This Row],[SKU]],products!A:F,6,0)</f>
        <v>79.760000000000005</v>
      </c>
      <c r="L94">
        <f>J94*表2[[#This Row],[单价]]</f>
        <v>0</v>
      </c>
      <c r="M94">
        <f t="shared" si="3"/>
        <v>39</v>
      </c>
      <c r="N94">
        <f>VLOOKUP(表2[[#This Row],[SKU]],products!A:H,8,0)</f>
        <v>30</v>
      </c>
      <c r="O9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94">
        <f t="shared" si="4"/>
        <v>0</v>
      </c>
    </row>
    <row r="95" spans="1:16" x14ac:dyDescent="0.25">
      <c r="A95" t="s">
        <v>215</v>
      </c>
      <c r="B95" t="str">
        <f>VLOOKUP(A95,batches!A:B,2,0)</f>
        <v>SKU002</v>
      </c>
      <c r="C95" t="str">
        <f>VLOOKUP(批次库存!B95,products!A:B,2,0)</f>
        <v>红茶</v>
      </c>
      <c r="D95" t="str">
        <f>VLOOKUP(A95,batches!A:C,3,0)</f>
        <v>L002</v>
      </c>
      <c r="E95">
        <f>VLOOKUP(A95,batches!A:E,5,0)</f>
        <v>46280</v>
      </c>
      <c r="F95" t="str">
        <f>VLOOKUP(A95,batches!A:G,7,0)</f>
        <v>RELEASED</v>
      </c>
      <c r="G95">
        <f>SUMIFS(movements!H:H,movements!F:F,批次库存!A95,movements!D:D,"OPENING")</f>
        <v>0</v>
      </c>
      <c r="H95">
        <f>SUMIFS(movements!H:H,movements!F:F,批次库存!A95,movements!D:D,"RECEIPT")</f>
        <v>86</v>
      </c>
      <c r="I95">
        <f>SUMIFS(movements!H:H,movements!F:F,批次库存!A95,movements!D:D,"ISSUE")</f>
        <v>86</v>
      </c>
      <c r="J95">
        <f t="shared" si="5"/>
        <v>0</v>
      </c>
      <c r="K95">
        <f>VLOOKUP(表2[[#This Row],[SKU]],products!A:F,6,0)</f>
        <v>78.48</v>
      </c>
      <c r="L95">
        <f>J95*表2[[#This Row],[单价]]</f>
        <v>0</v>
      </c>
      <c r="M95">
        <f t="shared" si="3"/>
        <v>9</v>
      </c>
      <c r="N95">
        <f>VLOOKUP(表2[[#This Row],[SKU]],products!A:H,8,0)</f>
        <v>30</v>
      </c>
      <c r="O9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95">
        <f t="shared" si="4"/>
        <v>0</v>
      </c>
    </row>
    <row r="96" spans="1:16" x14ac:dyDescent="0.25">
      <c r="A96" t="s">
        <v>216</v>
      </c>
      <c r="B96" t="str">
        <f>VLOOKUP(A96,batches!A:B,2,0)</f>
        <v>SKU003</v>
      </c>
      <c r="C96" t="str">
        <f>VLOOKUP(批次库存!B96,products!A:B,2,0)</f>
        <v>乌龙茶</v>
      </c>
      <c r="D96" t="str">
        <f>VLOOKUP(A96,batches!A:C,3,0)</f>
        <v>L003</v>
      </c>
      <c r="E96">
        <f>VLOOKUP(A96,batches!A:E,5,0)</f>
        <v>46255</v>
      </c>
      <c r="F96" t="str">
        <f>VLOOKUP(A96,batches!A:G,7,0)</f>
        <v>RELEASED</v>
      </c>
      <c r="G96">
        <f>SUMIFS(movements!H:H,movements!F:F,批次库存!A96,movements!D:D,"OPENING")</f>
        <v>0</v>
      </c>
      <c r="H96">
        <f>SUMIFS(movements!H:H,movements!F:F,批次库存!A96,movements!D:D,"RECEIPT")</f>
        <v>62</v>
      </c>
      <c r="I96">
        <f>SUMIFS(movements!H:H,movements!F:F,批次库存!A96,movements!D:D,"ISSUE")</f>
        <v>62</v>
      </c>
      <c r="J96">
        <f t="shared" si="5"/>
        <v>0</v>
      </c>
      <c r="K96">
        <f>VLOOKUP(表2[[#This Row],[SKU]],products!A:F,6,0)</f>
        <v>41.99</v>
      </c>
      <c r="L96">
        <f>J96*表2[[#This Row],[单价]]</f>
        <v>0</v>
      </c>
      <c r="M96">
        <f t="shared" si="3"/>
        <v>-16</v>
      </c>
      <c r="N96">
        <f>VLOOKUP(表2[[#This Row],[SKU]],products!A:H,8,0)</f>
        <v>30</v>
      </c>
      <c r="O9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96">
        <f t="shared" si="4"/>
        <v>0</v>
      </c>
    </row>
    <row r="97" spans="1:16" x14ac:dyDescent="0.25">
      <c r="A97" t="s">
        <v>217</v>
      </c>
      <c r="B97" t="str">
        <f>VLOOKUP(A97,batches!A:B,2,0)</f>
        <v>SKU004</v>
      </c>
      <c r="C97" t="str">
        <f>VLOOKUP(批次库存!B97,products!A:B,2,0)</f>
        <v>四季春茶</v>
      </c>
      <c r="D97" t="str">
        <f>VLOOKUP(A97,batches!A:C,3,0)</f>
        <v>L004</v>
      </c>
      <c r="E97">
        <f>VLOOKUP(A97,batches!A:E,5,0)</f>
        <v>46255</v>
      </c>
      <c r="F97" t="str">
        <f>VLOOKUP(A97,batches!A:G,7,0)</f>
        <v>RELEASED</v>
      </c>
      <c r="G97">
        <f>SUMIFS(movements!H:H,movements!F:F,批次库存!A97,movements!D:D,"OPENING")</f>
        <v>0</v>
      </c>
      <c r="H97">
        <f>SUMIFS(movements!H:H,movements!F:F,批次库存!A97,movements!D:D,"RECEIPT")</f>
        <v>87</v>
      </c>
      <c r="I97">
        <f>SUMIFS(movements!H:H,movements!F:F,批次库存!A97,movements!D:D,"ISSUE")</f>
        <v>87</v>
      </c>
      <c r="J97">
        <f t="shared" si="5"/>
        <v>0</v>
      </c>
      <c r="K97">
        <f>VLOOKUP(表2[[#This Row],[SKU]],products!A:F,6,0)</f>
        <v>70.39</v>
      </c>
      <c r="L97">
        <f>J97*表2[[#This Row],[单价]]</f>
        <v>0</v>
      </c>
      <c r="M97">
        <f t="shared" si="3"/>
        <v>-16</v>
      </c>
      <c r="N97">
        <f>VLOOKUP(表2[[#This Row],[SKU]],products!A:H,8,0)</f>
        <v>30</v>
      </c>
      <c r="O9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97">
        <f t="shared" si="4"/>
        <v>0</v>
      </c>
    </row>
    <row r="98" spans="1:16" x14ac:dyDescent="0.25">
      <c r="A98" t="s">
        <v>218</v>
      </c>
      <c r="B98" t="str">
        <f>VLOOKUP(A98,batches!A:B,2,0)</f>
        <v>SKU005</v>
      </c>
      <c r="C98" t="str">
        <f>VLOOKUP(批次库存!B98,products!A:B,2,0)</f>
        <v>桂花乌龙</v>
      </c>
      <c r="D98" t="str">
        <f>VLOOKUP(A98,batches!A:C,3,0)</f>
        <v>L005</v>
      </c>
      <c r="E98">
        <f>VLOOKUP(A98,batches!A:E,5,0)</f>
        <v>46390</v>
      </c>
      <c r="F98" t="str">
        <f>VLOOKUP(A98,batches!A:G,7,0)</f>
        <v>RELEASED</v>
      </c>
      <c r="G98">
        <f>SUMIFS(movements!H:H,movements!F:F,批次库存!A98,movements!D:D,"OPENING")</f>
        <v>0</v>
      </c>
      <c r="H98">
        <f>SUMIFS(movements!H:H,movements!F:F,批次库存!A98,movements!D:D,"RECEIPT")</f>
        <v>72</v>
      </c>
      <c r="I98">
        <f>SUMIFS(movements!H:H,movements!F:F,批次库存!A98,movements!D:D,"ISSUE")</f>
        <v>64</v>
      </c>
      <c r="J98">
        <f t="shared" si="5"/>
        <v>8</v>
      </c>
      <c r="K98">
        <f>VLOOKUP(表2[[#This Row],[SKU]],products!A:F,6,0)</f>
        <v>56.61</v>
      </c>
      <c r="L98">
        <f>J98*表2[[#This Row],[单价]]</f>
        <v>452.88</v>
      </c>
      <c r="M98">
        <f t="shared" si="3"/>
        <v>119</v>
      </c>
      <c r="N98">
        <f>VLOOKUP(表2[[#This Row],[SKU]],products!A:H,8,0)</f>
        <v>30</v>
      </c>
      <c r="O9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98">
        <f t="shared" si="4"/>
        <v>8</v>
      </c>
    </row>
    <row r="99" spans="1:16" x14ac:dyDescent="0.25">
      <c r="A99" t="s">
        <v>219</v>
      </c>
      <c r="B99" t="str">
        <f>VLOOKUP(A99,batches!A:B,2,0)</f>
        <v>SKU006</v>
      </c>
      <c r="C99" t="str">
        <f>VLOOKUP(批次库存!B99,products!A:B,2,0)</f>
        <v>焙火乌龙</v>
      </c>
      <c r="D99" t="str">
        <f>VLOOKUP(A99,batches!A:C,3,0)</f>
        <v>L006</v>
      </c>
      <c r="E99">
        <f>VLOOKUP(A99,batches!A:E,5,0)</f>
        <v>46390</v>
      </c>
      <c r="F99" t="str">
        <f>VLOOKUP(A99,batches!A:G,7,0)</f>
        <v>HOLD</v>
      </c>
      <c r="G99">
        <f>SUMIFS(movements!H:H,movements!F:F,批次库存!A99,movements!D:D,"OPENING")</f>
        <v>0</v>
      </c>
      <c r="H99">
        <f>SUMIFS(movements!H:H,movements!F:F,批次库存!A99,movements!D:D,"RECEIPT")</f>
        <v>77</v>
      </c>
      <c r="I99">
        <f>SUMIFS(movements!H:H,movements!F:F,批次库存!A99,movements!D:D,"ISSUE")</f>
        <v>0</v>
      </c>
      <c r="J99">
        <f t="shared" si="5"/>
        <v>77</v>
      </c>
      <c r="K99">
        <f>VLOOKUP(表2[[#This Row],[SKU]],products!A:F,6,0)</f>
        <v>30.07</v>
      </c>
      <c r="L99">
        <f>J99*表2[[#This Row],[单价]]</f>
        <v>2315.39</v>
      </c>
      <c r="M99">
        <f t="shared" si="3"/>
        <v>119</v>
      </c>
      <c r="N99">
        <f>VLOOKUP(表2[[#This Row],[SKU]],products!A:H,8,0)</f>
        <v>30</v>
      </c>
      <c r="O9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冻结待检</v>
      </c>
      <c r="P99">
        <f t="shared" si="4"/>
        <v>0</v>
      </c>
    </row>
    <row r="100" spans="1:16" x14ac:dyDescent="0.25">
      <c r="A100" t="s">
        <v>221</v>
      </c>
      <c r="B100" t="str">
        <f>VLOOKUP(A100,batches!A:B,2,0)</f>
        <v>SKU007</v>
      </c>
      <c r="C100" t="str">
        <f>VLOOKUP(批次库存!B100,products!A:B,2,0)</f>
        <v>白桃乌龙</v>
      </c>
      <c r="D100" t="str">
        <f>VLOOKUP(A100,batches!A:C,3,0)</f>
        <v>L007</v>
      </c>
      <c r="E100">
        <f>VLOOKUP(A100,batches!A:E,5,0)</f>
        <v>46255</v>
      </c>
      <c r="F100" t="str">
        <f>VLOOKUP(A100,batches!A:G,7,0)</f>
        <v>RELEASED</v>
      </c>
      <c r="G100">
        <f>SUMIFS(movements!H:H,movements!F:F,批次库存!A100,movements!D:D,"OPENING")</f>
        <v>0</v>
      </c>
      <c r="H100">
        <f>SUMIFS(movements!H:H,movements!F:F,批次库存!A100,movements!D:D,"RECEIPT")</f>
        <v>64</v>
      </c>
      <c r="I100">
        <f>SUMIFS(movements!H:H,movements!F:F,批次库存!A100,movements!D:D,"ISSUE")</f>
        <v>64</v>
      </c>
      <c r="J100">
        <f t="shared" si="5"/>
        <v>0</v>
      </c>
      <c r="K100">
        <f>VLOOKUP(表2[[#This Row],[SKU]],products!A:F,6,0)</f>
        <v>30.79</v>
      </c>
      <c r="L100">
        <f>J100*表2[[#This Row],[单价]]</f>
        <v>0</v>
      </c>
      <c r="M100">
        <f t="shared" si="3"/>
        <v>-16</v>
      </c>
      <c r="N100">
        <f>VLOOKUP(表2[[#This Row],[SKU]],products!A:H,8,0)</f>
        <v>30</v>
      </c>
      <c r="O10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00">
        <f t="shared" si="4"/>
        <v>0</v>
      </c>
    </row>
    <row r="101" spans="1:16" x14ac:dyDescent="0.25">
      <c r="A101" t="s">
        <v>222</v>
      </c>
      <c r="B101" t="str">
        <f>VLOOKUP(A101,batches!A:B,2,0)</f>
        <v>SKU009</v>
      </c>
      <c r="C101" t="str">
        <f>VLOOKUP(批次库存!B101,products!A:B,2,0)</f>
        <v>龙井茶</v>
      </c>
      <c r="D101" t="str">
        <f>VLOOKUP(A101,batches!A:C,3,0)</f>
        <v>L009</v>
      </c>
      <c r="E101">
        <f>VLOOKUP(A101,batches!A:E,5,0)</f>
        <v>46280</v>
      </c>
      <c r="F101" t="str">
        <f>VLOOKUP(A101,batches!A:G,7,0)</f>
        <v>RELEASED</v>
      </c>
      <c r="G101">
        <f>SUMIFS(movements!H:H,movements!F:F,批次库存!A101,movements!D:D,"OPENING")</f>
        <v>0</v>
      </c>
      <c r="H101">
        <f>SUMIFS(movements!H:H,movements!F:F,批次库存!A101,movements!D:D,"RECEIPT")</f>
        <v>68</v>
      </c>
      <c r="I101">
        <f>SUMIFS(movements!H:H,movements!F:F,批次库存!A101,movements!D:D,"ISSUE")</f>
        <v>68</v>
      </c>
      <c r="J101">
        <f t="shared" si="5"/>
        <v>0</v>
      </c>
      <c r="K101">
        <f>VLOOKUP(表2[[#This Row],[SKU]],products!A:F,6,0)</f>
        <v>21.12</v>
      </c>
      <c r="L101">
        <f>J101*表2[[#This Row],[单价]]</f>
        <v>0</v>
      </c>
      <c r="M101">
        <f t="shared" si="3"/>
        <v>9</v>
      </c>
      <c r="N101">
        <f>VLOOKUP(表2[[#This Row],[SKU]],products!A:H,8,0)</f>
        <v>30</v>
      </c>
      <c r="O10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01">
        <f t="shared" si="4"/>
        <v>0</v>
      </c>
    </row>
    <row r="102" spans="1:16" x14ac:dyDescent="0.25">
      <c r="A102" t="s">
        <v>223</v>
      </c>
      <c r="B102" t="str">
        <f>VLOOKUP(A102,batches!A:B,2,0)</f>
        <v>SKU011</v>
      </c>
      <c r="C102" t="str">
        <f>VLOOKUP(批次库存!B102,products!A:B,2,0)</f>
        <v>原味糖浆</v>
      </c>
      <c r="D102" t="str">
        <f>VLOOKUP(A102,batches!A:C,3,0)</f>
        <v>L011</v>
      </c>
      <c r="E102">
        <f>VLOOKUP(A102,batches!A:E,5,0)</f>
        <v>46310</v>
      </c>
      <c r="F102" t="str">
        <f>VLOOKUP(A102,batches!A:G,7,0)</f>
        <v>RELEASED</v>
      </c>
      <c r="G102">
        <f>SUMIFS(movements!H:H,movements!F:F,批次库存!A102,movements!D:D,"OPENING")</f>
        <v>0</v>
      </c>
      <c r="H102">
        <f>SUMIFS(movements!H:H,movements!F:F,批次库存!A102,movements!D:D,"RECEIPT")</f>
        <v>63</v>
      </c>
      <c r="I102">
        <f>SUMIFS(movements!H:H,movements!F:F,批次库存!A102,movements!D:D,"ISSUE")</f>
        <v>63</v>
      </c>
      <c r="J102">
        <f t="shared" si="5"/>
        <v>0</v>
      </c>
      <c r="K102">
        <f>VLOOKUP(表2[[#This Row],[SKU]],products!A:F,6,0)</f>
        <v>24.06</v>
      </c>
      <c r="L102">
        <f>J102*表2[[#This Row],[单价]]</f>
        <v>0</v>
      </c>
      <c r="M102">
        <f t="shared" si="3"/>
        <v>39</v>
      </c>
      <c r="N102">
        <f>VLOOKUP(表2[[#This Row],[SKU]],products!A:H,8,0)</f>
        <v>30</v>
      </c>
      <c r="O10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02">
        <f t="shared" si="4"/>
        <v>0</v>
      </c>
    </row>
    <row r="103" spans="1:16" x14ac:dyDescent="0.25">
      <c r="A103" t="s">
        <v>224</v>
      </c>
      <c r="B103" t="str">
        <f>VLOOKUP(A103,batches!A:B,2,0)</f>
        <v>SKU012</v>
      </c>
      <c r="C103" t="str">
        <f>VLOOKUP(批次库存!B103,products!A:B,2,0)</f>
        <v>黑糖糖浆</v>
      </c>
      <c r="D103" t="str">
        <f>VLOOKUP(A103,batches!A:C,3,0)</f>
        <v>L012</v>
      </c>
      <c r="E103">
        <f>VLOOKUP(A103,batches!A:E,5,0)</f>
        <v>46280</v>
      </c>
      <c r="F103" t="str">
        <f>VLOOKUP(A103,batches!A:G,7,0)</f>
        <v>RELEASED</v>
      </c>
      <c r="G103">
        <f>SUMIFS(movements!H:H,movements!F:F,批次库存!A103,movements!D:D,"OPENING")</f>
        <v>0</v>
      </c>
      <c r="H103">
        <f>SUMIFS(movements!H:H,movements!F:F,批次库存!A103,movements!D:D,"RECEIPT")</f>
        <v>70</v>
      </c>
      <c r="I103">
        <f>SUMIFS(movements!H:H,movements!F:F,批次库存!A103,movements!D:D,"ISSUE")</f>
        <v>70</v>
      </c>
      <c r="J103">
        <f t="shared" si="5"/>
        <v>0</v>
      </c>
      <c r="K103">
        <f>VLOOKUP(表2[[#This Row],[SKU]],products!A:F,6,0)</f>
        <v>77.959999999999994</v>
      </c>
      <c r="L103">
        <f>J103*表2[[#This Row],[单价]]</f>
        <v>0</v>
      </c>
      <c r="M103">
        <f t="shared" si="3"/>
        <v>9</v>
      </c>
      <c r="N103">
        <f>VLOOKUP(表2[[#This Row],[SKU]],products!A:H,8,0)</f>
        <v>30</v>
      </c>
      <c r="O10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03">
        <f t="shared" si="4"/>
        <v>0</v>
      </c>
    </row>
    <row r="104" spans="1:16" x14ac:dyDescent="0.25">
      <c r="A104" t="s">
        <v>225</v>
      </c>
      <c r="B104" t="str">
        <f>VLOOKUP(A104,batches!A:B,2,0)</f>
        <v>SKU014</v>
      </c>
      <c r="C104" t="str">
        <f>VLOOKUP(批次库存!B104,products!A:B,2,0)</f>
        <v>焦糖糖浆</v>
      </c>
      <c r="D104" t="str">
        <f>VLOOKUP(A104,batches!A:C,3,0)</f>
        <v>L014</v>
      </c>
      <c r="E104">
        <f>VLOOKUP(A104,batches!A:E,5,0)</f>
        <v>46310</v>
      </c>
      <c r="F104" t="str">
        <f>VLOOKUP(A104,batches!A:G,7,0)</f>
        <v>RELEASED</v>
      </c>
      <c r="G104">
        <f>SUMIFS(movements!H:H,movements!F:F,批次库存!A104,movements!D:D,"OPENING")</f>
        <v>0</v>
      </c>
      <c r="H104">
        <f>SUMIFS(movements!H:H,movements!F:F,批次库存!A104,movements!D:D,"RECEIPT")</f>
        <v>69</v>
      </c>
      <c r="I104">
        <f>SUMIFS(movements!H:H,movements!F:F,批次库存!A104,movements!D:D,"ISSUE")</f>
        <v>69</v>
      </c>
      <c r="J104">
        <f t="shared" si="5"/>
        <v>0</v>
      </c>
      <c r="K104">
        <f>VLOOKUP(表2[[#This Row],[SKU]],products!A:F,6,0)</f>
        <v>70.989999999999995</v>
      </c>
      <c r="L104">
        <f>J104*表2[[#This Row],[单价]]</f>
        <v>0</v>
      </c>
      <c r="M104">
        <f t="shared" si="3"/>
        <v>39</v>
      </c>
      <c r="N104">
        <f>VLOOKUP(表2[[#This Row],[SKU]],products!A:H,8,0)</f>
        <v>30</v>
      </c>
      <c r="O10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04">
        <f t="shared" si="4"/>
        <v>0</v>
      </c>
    </row>
    <row r="105" spans="1:16" x14ac:dyDescent="0.25">
      <c r="A105" t="s">
        <v>226</v>
      </c>
      <c r="B105" t="str">
        <f>VLOOKUP(A105,batches!A:B,2,0)</f>
        <v>SKU016</v>
      </c>
      <c r="C105" t="str">
        <f>VLOOKUP(批次库存!B105,products!A:B,2,0)</f>
        <v>常温椰浆</v>
      </c>
      <c r="D105" t="str">
        <f>VLOOKUP(A105,batches!A:C,3,0)</f>
        <v>L016</v>
      </c>
      <c r="E105">
        <f>VLOOKUP(A105,batches!A:E,5,0)</f>
        <v>46255</v>
      </c>
      <c r="F105" t="str">
        <f>VLOOKUP(A105,batches!A:G,7,0)</f>
        <v>RELEASED</v>
      </c>
      <c r="G105">
        <f>SUMIFS(movements!H:H,movements!F:F,批次库存!A105,movements!D:D,"OPENING")</f>
        <v>0</v>
      </c>
      <c r="H105">
        <f>SUMIFS(movements!H:H,movements!F:F,批次库存!A105,movements!D:D,"RECEIPT")</f>
        <v>60</v>
      </c>
      <c r="I105">
        <f>SUMIFS(movements!H:H,movements!F:F,批次库存!A105,movements!D:D,"ISSUE")</f>
        <v>60</v>
      </c>
      <c r="J105">
        <f t="shared" si="5"/>
        <v>0</v>
      </c>
      <c r="K105">
        <f>VLOOKUP(表2[[#This Row],[SKU]],products!A:F,6,0)</f>
        <v>13.06</v>
      </c>
      <c r="L105">
        <f>J105*表2[[#This Row],[单价]]</f>
        <v>0</v>
      </c>
      <c r="M105">
        <f t="shared" si="3"/>
        <v>-16</v>
      </c>
      <c r="N105">
        <f>VLOOKUP(表2[[#This Row],[SKU]],products!A:H,8,0)</f>
        <v>30</v>
      </c>
      <c r="O10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05">
        <f t="shared" si="4"/>
        <v>0</v>
      </c>
    </row>
    <row r="106" spans="1:16" x14ac:dyDescent="0.25">
      <c r="A106" t="s">
        <v>227</v>
      </c>
      <c r="B106" t="str">
        <f>VLOOKUP(A106,batches!A:B,2,0)</f>
        <v>SKU021</v>
      </c>
      <c r="C106" t="str">
        <f>VLOOKUP(批次库存!B106,products!A:B,2,0)</f>
        <v>500ml杯</v>
      </c>
      <c r="D106" t="str">
        <f>VLOOKUP(A106,batches!A:C,3,0)</f>
        <v>L021</v>
      </c>
      <c r="E106">
        <f>VLOOKUP(A106,batches!A:E,5,0)</f>
        <v>46575</v>
      </c>
      <c r="F106" t="str">
        <f>VLOOKUP(A106,batches!A:G,7,0)</f>
        <v>RELEASED</v>
      </c>
      <c r="G106">
        <f>SUMIFS(movements!H:H,movements!F:F,批次库存!A106,movements!D:D,"OPENING")</f>
        <v>0</v>
      </c>
      <c r="H106">
        <f>SUMIFS(movements!H:H,movements!F:F,批次库存!A106,movements!D:D,"RECEIPT")</f>
        <v>90</v>
      </c>
      <c r="I106">
        <f>SUMIFS(movements!H:H,movements!F:F,批次库存!A106,movements!D:D,"ISSUE")</f>
        <v>90</v>
      </c>
      <c r="J106">
        <f t="shared" si="5"/>
        <v>0</v>
      </c>
      <c r="K106">
        <f>VLOOKUP(表2[[#This Row],[SKU]],products!A:F,6,0)</f>
        <v>20.77</v>
      </c>
      <c r="L106">
        <f>J106*表2[[#This Row],[单价]]</f>
        <v>0</v>
      </c>
      <c r="M106">
        <f t="shared" si="3"/>
        <v>304</v>
      </c>
      <c r="N106">
        <f>VLOOKUP(表2[[#This Row],[SKU]],products!A:H,8,0)</f>
        <v>60</v>
      </c>
      <c r="O10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06">
        <f t="shared" si="4"/>
        <v>0</v>
      </c>
    </row>
    <row r="107" spans="1:16" x14ac:dyDescent="0.25">
      <c r="A107" t="s">
        <v>228</v>
      </c>
      <c r="B107" t="str">
        <f>VLOOKUP(A107,batches!A:B,2,0)</f>
        <v>SKU022</v>
      </c>
      <c r="C107" t="str">
        <f>VLOOKUP(批次库存!B107,products!A:B,2,0)</f>
        <v>700ml杯</v>
      </c>
      <c r="D107" t="str">
        <f>VLOOKUP(A107,batches!A:C,3,0)</f>
        <v>L022</v>
      </c>
      <c r="E107">
        <f>VLOOKUP(A107,batches!A:E,5,0)</f>
        <v>46575</v>
      </c>
      <c r="F107" t="str">
        <f>VLOOKUP(A107,batches!A:G,7,0)</f>
        <v>RELEASED</v>
      </c>
      <c r="G107">
        <f>SUMIFS(movements!H:H,movements!F:F,批次库存!A107,movements!D:D,"OPENING")</f>
        <v>0</v>
      </c>
      <c r="H107">
        <f>SUMIFS(movements!H:H,movements!F:F,批次库存!A107,movements!D:D,"RECEIPT")</f>
        <v>63</v>
      </c>
      <c r="I107">
        <f>SUMIFS(movements!H:H,movements!F:F,批次库存!A107,movements!D:D,"ISSUE")</f>
        <v>63</v>
      </c>
      <c r="J107">
        <f t="shared" si="5"/>
        <v>0</v>
      </c>
      <c r="K107">
        <f>VLOOKUP(表2[[#This Row],[SKU]],products!A:F,6,0)</f>
        <v>16.36</v>
      </c>
      <c r="L107">
        <f>J107*表2[[#This Row],[单价]]</f>
        <v>0</v>
      </c>
      <c r="M107">
        <f t="shared" si="3"/>
        <v>304</v>
      </c>
      <c r="N107">
        <f>VLOOKUP(表2[[#This Row],[SKU]],products!A:H,8,0)</f>
        <v>60</v>
      </c>
      <c r="O10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07">
        <f t="shared" si="4"/>
        <v>0</v>
      </c>
    </row>
    <row r="108" spans="1:16" x14ac:dyDescent="0.25">
      <c r="A108" t="s">
        <v>229</v>
      </c>
      <c r="B108" t="str">
        <f>VLOOKUP(A108,batches!A:B,2,0)</f>
        <v>SKU024</v>
      </c>
      <c r="C108" t="str">
        <f>VLOOKUP(批次库存!B108,products!A:B,2,0)</f>
        <v>700ml杯盖</v>
      </c>
      <c r="D108" t="str">
        <f>VLOOKUP(A108,batches!A:C,3,0)</f>
        <v>L024</v>
      </c>
      <c r="E108">
        <f>VLOOKUP(A108,batches!A:E,5,0)</f>
        <v>46575</v>
      </c>
      <c r="F108" t="str">
        <f>VLOOKUP(A108,batches!A:G,7,0)</f>
        <v>RELEASED</v>
      </c>
      <c r="G108">
        <f>SUMIFS(movements!H:H,movements!F:F,批次库存!A108,movements!D:D,"OPENING")</f>
        <v>0</v>
      </c>
      <c r="H108">
        <f>SUMIFS(movements!H:H,movements!F:F,批次库存!A108,movements!D:D,"RECEIPT")</f>
        <v>92</v>
      </c>
      <c r="I108">
        <f>SUMIFS(movements!H:H,movements!F:F,批次库存!A108,movements!D:D,"ISSUE")</f>
        <v>92</v>
      </c>
      <c r="J108">
        <f t="shared" si="5"/>
        <v>0</v>
      </c>
      <c r="K108">
        <f>VLOOKUP(表2[[#This Row],[SKU]],products!A:F,6,0)</f>
        <v>19.8</v>
      </c>
      <c r="L108">
        <f>J108*表2[[#This Row],[单价]]</f>
        <v>0</v>
      </c>
      <c r="M108">
        <f t="shared" si="3"/>
        <v>304</v>
      </c>
      <c r="N108">
        <f>VLOOKUP(表2[[#This Row],[SKU]],products!A:H,8,0)</f>
        <v>60</v>
      </c>
      <c r="O10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08">
        <f t="shared" si="4"/>
        <v>0</v>
      </c>
    </row>
    <row r="109" spans="1:16" x14ac:dyDescent="0.25">
      <c r="A109" t="s">
        <v>230</v>
      </c>
      <c r="B109" t="str">
        <f>VLOOKUP(A109,batches!A:B,2,0)</f>
        <v>SKU027</v>
      </c>
      <c r="C109" t="str">
        <f>VLOOKUP(批次库存!B109,products!A:B,2,0)</f>
        <v>单杯袋</v>
      </c>
      <c r="D109" t="str">
        <f>VLOOKUP(A109,batches!A:C,3,0)</f>
        <v>L027</v>
      </c>
      <c r="E109">
        <f>VLOOKUP(A109,batches!A:E,5,0)</f>
        <v>46575</v>
      </c>
      <c r="F109" t="str">
        <f>VLOOKUP(A109,batches!A:G,7,0)</f>
        <v>RELEASED</v>
      </c>
      <c r="G109">
        <f>SUMIFS(movements!H:H,movements!F:F,批次库存!A109,movements!D:D,"OPENING")</f>
        <v>0</v>
      </c>
      <c r="H109">
        <f>SUMIFS(movements!H:H,movements!F:F,批次库存!A109,movements!D:D,"RECEIPT")</f>
        <v>62</v>
      </c>
      <c r="I109">
        <f>SUMIFS(movements!H:H,movements!F:F,批次库存!A109,movements!D:D,"ISSUE")</f>
        <v>62</v>
      </c>
      <c r="J109">
        <f t="shared" si="5"/>
        <v>0</v>
      </c>
      <c r="K109">
        <f>VLOOKUP(表2[[#This Row],[SKU]],products!A:F,6,0)</f>
        <v>30.89</v>
      </c>
      <c r="L109">
        <f>J109*表2[[#This Row],[单价]]</f>
        <v>0</v>
      </c>
      <c r="M109">
        <f t="shared" si="3"/>
        <v>304</v>
      </c>
      <c r="N109">
        <f>VLOOKUP(表2[[#This Row],[SKU]],products!A:H,8,0)</f>
        <v>60</v>
      </c>
      <c r="O10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09">
        <f t="shared" si="4"/>
        <v>0</v>
      </c>
    </row>
    <row r="110" spans="1:16" x14ac:dyDescent="0.25">
      <c r="A110" t="s">
        <v>231</v>
      </c>
      <c r="B110" t="str">
        <f>VLOOKUP(A110,batches!A:B,2,0)</f>
        <v>SKU002</v>
      </c>
      <c r="C110" t="str">
        <f>VLOOKUP(批次库存!B110,products!A:B,2,0)</f>
        <v>红茶</v>
      </c>
      <c r="D110" t="str">
        <f>VLOOKUP(A110,batches!A:C,3,0)</f>
        <v>L002</v>
      </c>
      <c r="E110">
        <f>VLOOKUP(A110,batches!A:E,5,0)</f>
        <v>46317</v>
      </c>
      <c r="F110" t="str">
        <f>VLOOKUP(A110,batches!A:G,7,0)</f>
        <v>RELEASED</v>
      </c>
      <c r="G110">
        <f>SUMIFS(movements!H:H,movements!F:F,批次库存!A110,movements!D:D,"OPENING")</f>
        <v>0</v>
      </c>
      <c r="H110">
        <f>SUMIFS(movements!H:H,movements!F:F,批次库存!A110,movements!D:D,"RECEIPT")</f>
        <v>98</v>
      </c>
      <c r="I110">
        <f>SUMIFS(movements!H:H,movements!F:F,批次库存!A110,movements!D:D,"ISSUE")</f>
        <v>98</v>
      </c>
      <c r="J110">
        <f t="shared" si="5"/>
        <v>0</v>
      </c>
      <c r="K110">
        <f>VLOOKUP(表2[[#This Row],[SKU]],products!A:F,6,0)</f>
        <v>78.48</v>
      </c>
      <c r="L110">
        <f>J110*表2[[#This Row],[单价]]</f>
        <v>0</v>
      </c>
      <c r="M110">
        <f t="shared" si="3"/>
        <v>46</v>
      </c>
      <c r="N110">
        <f>VLOOKUP(表2[[#This Row],[SKU]],products!A:H,8,0)</f>
        <v>30</v>
      </c>
      <c r="O11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10">
        <f t="shared" si="4"/>
        <v>0</v>
      </c>
    </row>
    <row r="111" spans="1:16" x14ac:dyDescent="0.25">
      <c r="A111" t="s">
        <v>232</v>
      </c>
      <c r="B111" t="str">
        <f>VLOOKUP(A111,batches!A:B,2,0)</f>
        <v>SKU003</v>
      </c>
      <c r="C111" t="str">
        <f>VLOOKUP(批次库存!B111,products!A:B,2,0)</f>
        <v>乌龙茶</v>
      </c>
      <c r="D111" t="str">
        <f>VLOOKUP(A111,batches!A:C,3,0)</f>
        <v>L003</v>
      </c>
      <c r="E111">
        <f>VLOOKUP(A111,batches!A:E,5,0)</f>
        <v>46397</v>
      </c>
      <c r="F111" t="str">
        <f>VLOOKUP(A111,batches!A:G,7,0)</f>
        <v>RELEASED</v>
      </c>
      <c r="G111">
        <f>SUMIFS(movements!H:H,movements!F:F,批次库存!A111,movements!D:D,"OPENING")</f>
        <v>0</v>
      </c>
      <c r="H111">
        <f>SUMIFS(movements!H:H,movements!F:F,批次库存!A111,movements!D:D,"RECEIPT")</f>
        <v>67</v>
      </c>
      <c r="I111">
        <f>SUMIFS(movements!H:H,movements!F:F,批次库存!A111,movements!D:D,"ISSUE")</f>
        <v>67</v>
      </c>
      <c r="J111">
        <f t="shared" si="5"/>
        <v>0</v>
      </c>
      <c r="K111">
        <f>VLOOKUP(表2[[#This Row],[SKU]],products!A:F,6,0)</f>
        <v>41.99</v>
      </c>
      <c r="L111">
        <f>J111*表2[[#This Row],[单价]]</f>
        <v>0</v>
      </c>
      <c r="M111">
        <f t="shared" si="3"/>
        <v>126</v>
      </c>
      <c r="N111">
        <f>VLOOKUP(表2[[#This Row],[SKU]],products!A:H,8,0)</f>
        <v>30</v>
      </c>
      <c r="O11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11">
        <f t="shared" si="4"/>
        <v>0</v>
      </c>
    </row>
    <row r="112" spans="1:16" x14ac:dyDescent="0.25">
      <c r="A112" t="s">
        <v>233</v>
      </c>
      <c r="B112" t="str">
        <f>VLOOKUP(A112,batches!A:B,2,0)</f>
        <v>SKU004</v>
      </c>
      <c r="C112" t="str">
        <f>VLOOKUP(批次库存!B112,products!A:B,2,0)</f>
        <v>四季春茶</v>
      </c>
      <c r="D112" t="str">
        <f>VLOOKUP(A112,batches!A:C,3,0)</f>
        <v>L004</v>
      </c>
      <c r="E112">
        <f>VLOOKUP(A112,batches!A:E,5,0)</f>
        <v>46397</v>
      </c>
      <c r="F112" t="str">
        <f>VLOOKUP(A112,batches!A:G,7,0)</f>
        <v>RELEASED</v>
      </c>
      <c r="G112">
        <f>SUMIFS(movements!H:H,movements!F:F,批次库存!A112,movements!D:D,"OPENING")</f>
        <v>0</v>
      </c>
      <c r="H112">
        <f>SUMIFS(movements!H:H,movements!F:F,批次库存!A112,movements!D:D,"RECEIPT")</f>
        <v>87</v>
      </c>
      <c r="I112">
        <f>SUMIFS(movements!H:H,movements!F:F,批次库存!A112,movements!D:D,"ISSUE")</f>
        <v>87</v>
      </c>
      <c r="J112">
        <f t="shared" si="5"/>
        <v>0</v>
      </c>
      <c r="K112">
        <f>VLOOKUP(表2[[#This Row],[SKU]],products!A:F,6,0)</f>
        <v>70.39</v>
      </c>
      <c r="L112">
        <f>J112*表2[[#This Row],[单价]]</f>
        <v>0</v>
      </c>
      <c r="M112">
        <f t="shared" si="3"/>
        <v>126</v>
      </c>
      <c r="N112">
        <f>VLOOKUP(表2[[#This Row],[SKU]],products!A:H,8,0)</f>
        <v>30</v>
      </c>
      <c r="O11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12">
        <f t="shared" si="4"/>
        <v>0</v>
      </c>
    </row>
    <row r="113" spans="1:16" x14ac:dyDescent="0.25">
      <c r="A113" t="s">
        <v>234</v>
      </c>
      <c r="B113" t="str">
        <f>VLOOKUP(A113,batches!A:B,2,0)</f>
        <v>SKU005</v>
      </c>
      <c r="C113" t="str">
        <f>VLOOKUP(批次库存!B113,products!A:B,2,0)</f>
        <v>桂花乌龙</v>
      </c>
      <c r="D113" t="str">
        <f>VLOOKUP(A113,batches!A:C,3,0)</f>
        <v>L005</v>
      </c>
      <c r="E113">
        <f>VLOOKUP(A113,batches!A:E,5,0)</f>
        <v>46317</v>
      </c>
      <c r="F113" t="str">
        <f>VLOOKUP(A113,batches!A:G,7,0)</f>
        <v>RELEASED</v>
      </c>
      <c r="G113">
        <f>SUMIFS(movements!H:H,movements!F:F,批次库存!A113,movements!D:D,"OPENING")</f>
        <v>0</v>
      </c>
      <c r="H113">
        <f>SUMIFS(movements!H:H,movements!F:F,批次库存!A113,movements!D:D,"RECEIPT")</f>
        <v>93</v>
      </c>
      <c r="I113">
        <f>SUMIFS(movements!H:H,movements!F:F,批次库存!A113,movements!D:D,"ISSUE")</f>
        <v>93</v>
      </c>
      <c r="J113">
        <f t="shared" si="5"/>
        <v>0</v>
      </c>
      <c r="K113">
        <f>VLOOKUP(表2[[#This Row],[SKU]],products!A:F,6,0)</f>
        <v>56.61</v>
      </c>
      <c r="L113">
        <f>J113*表2[[#This Row],[单价]]</f>
        <v>0</v>
      </c>
      <c r="M113">
        <f t="shared" si="3"/>
        <v>46</v>
      </c>
      <c r="N113">
        <f>VLOOKUP(表2[[#This Row],[SKU]],products!A:H,8,0)</f>
        <v>30</v>
      </c>
      <c r="O11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13">
        <f t="shared" si="4"/>
        <v>0</v>
      </c>
    </row>
    <row r="114" spans="1:16" x14ac:dyDescent="0.25">
      <c r="A114" t="s">
        <v>235</v>
      </c>
      <c r="B114" t="str">
        <f>VLOOKUP(A114,batches!A:B,2,0)</f>
        <v>SKU006</v>
      </c>
      <c r="C114" t="str">
        <f>VLOOKUP(批次库存!B114,products!A:B,2,0)</f>
        <v>焙火乌龙</v>
      </c>
      <c r="D114" t="str">
        <f>VLOOKUP(A114,batches!A:C,3,0)</f>
        <v>L006</v>
      </c>
      <c r="E114">
        <f>VLOOKUP(A114,batches!A:E,5,0)</f>
        <v>46287</v>
      </c>
      <c r="F114" t="str">
        <f>VLOOKUP(A114,batches!A:G,7,0)</f>
        <v>RELEASED</v>
      </c>
      <c r="G114">
        <f>SUMIFS(movements!H:H,movements!F:F,批次库存!A114,movements!D:D,"OPENING")</f>
        <v>0</v>
      </c>
      <c r="H114">
        <f>SUMIFS(movements!H:H,movements!F:F,批次库存!A114,movements!D:D,"RECEIPT")</f>
        <v>78</v>
      </c>
      <c r="I114">
        <f>SUMIFS(movements!H:H,movements!F:F,批次库存!A114,movements!D:D,"ISSUE")</f>
        <v>78</v>
      </c>
      <c r="J114">
        <f t="shared" si="5"/>
        <v>0</v>
      </c>
      <c r="K114">
        <f>VLOOKUP(表2[[#This Row],[SKU]],products!A:F,6,0)</f>
        <v>30.07</v>
      </c>
      <c r="L114">
        <f>J114*表2[[#This Row],[单价]]</f>
        <v>0</v>
      </c>
      <c r="M114">
        <f t="shared" si="3"/>
        <v>16</v>
      </c>
      <c r="N114">
        <f>VLOOKUP(表2[[#This Row],[SKU]],products!A:H,8,0)</f>
        <v>30</v>
      </c>
      <c r="O11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14">
        <f t="shared" si="4"/>
        <v>0</v>
      </c>
    </row>
    <row r="115" spans="1:16" x14ac:dyDescent="0.25">
      <c r="A115" t="s">
        <v>236</v>
      </c>
      <c r="B115" t="str">
        <f>VLOOKUP(A115,batches!A:B,2,0)</f>
        <v>SKU007</v>
      </c>
      <c r="C115" t="str">
        <f>VLOOKUP(批次库存!B115,products!A:B,2,0)</f>
        <v>白桃乌龙</v>
      </c>
      <c r="D115" t="str">
        <f>VLOOKUP(A115,batches!A:C,3,0)</f>
        <v>L007</v>
      </c>
      <c r="E115">
        <f>VLOOKUP(A115,batches!A:E,5,0)</f>
        <v>46397</v>
      </c>
      <c r="F115" t="str">
        <f>VLOOKUP(A115,batches!A:G,7,0)</f>
        <v>RELEASED</v>
      </c>
      <c r="G115">
        <f>SUMIFS(movements!H:H,movements!F:F,批次库存!A115,movements!D:D,"OPENING")</f>
        <v>0</v>
      </c>
      <c r="H115">
        <f>SUMIFS(movements!H:H,movements!F:F,批次库存!A115,movements!D:D,"RECEIPT")</f>
        <v>64</v>
      </c>
      <c r="I115">
        <f>SUMIFS(movements!H:H,movements!F:F,批次库存!A115,movements!D:D,"ISSUE")</f>
        <v>41</v>
      </c>
      <c r="J115">
        <f t="shared" si="5"/>
        <v>23</v>
      </c>
      <c r="K115">
        <f>VLOOKUP(表2[[#This Row],[SKU]],products!A:F,6,0)</f>
        <v>30.79</v>
      </c>
      <c r="L115">
        <f>J115*表2[[#This Row],[单价]]</f>
        <v>708.17</v>
      </c>
      <c r="M115">
        <f t="shared" si="3"/>
        <v>126</v>
      </c>
      <c r="N115">
        <f>VLOOKUP(表2[[#This Row],[SKU]],products!A:H,8,0)</f>
        <v>30</v>
      </c>
      <c r="O11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15">
        <f t="shared" si="4"/>
        <v>23</v>
      </c>
    </row>
    <row r="116" spans="1:16" x14ac:dyDescent="0.25">
      <c r="A116" t="s">
        <v>237</v>
      </c>
      <c r="B116" t="str">
        <f>VLOOKUP(A116,batches!A:B,2,0)</f>
        <v>SKU013</v>
      </c>
      <c r="C116" t="str">
        <f>VLOOKUP(批次库存!B116,products!A:B,2,0)</f>
        <v>香草糖浆</v>
      </c>
      <c r="D116" t="str">
        <f>VLOOKUP(A116,batches!A:C,3,0)</f>
        <v>L013</v>
      </c>
      <c r="E116">
        <f>VLOOKUP(A116,batches!A:E,5,0)</f>
        <v>46287</v>
      </c>
      <c r="F116" t="str">
        <f>VLOOKUP(A116,batches!A:G,7,0)</f>
        <v>RELEASED</v>
      </c>
      <c r="G116">
        <f>SUMIFS(movements!H:H,movements!F:F,批次库存!A116,movements!D:D,"OPENING")</f>
        <v>0</v>
      </c>
      <c r="H116">
        <f>SUMIFS(movements!H:H,movements!F:F,批次库存!A116,movements!D:D,"RECEIPT")</f>
        <v>74</v>
      </c>
      <c r="I116">
        <f>SUMIFS(movements!H:H,movements!F:F,批次库存!A116,movements!D:D,"ISSUE")</f>
        <v>74</v>
      </c>
      <c r="J116">
        <f t="shared" si="5"/>
        <v>0</v>
      </c>
      <c r="K116">
        <f>VLOOKUP(表2[[#This Row],[SKU]],products!A:F,6,0)</f>
        <v>70.63</v>
      </c>
      <c r="L116">
        <f>J116*表2[[#This Row],[单价]]</f>
        <v>0</v>
      </c>
      <c r="M116">
        <f t="shared" si="3"/>
        <v>16</v>
      </c>
      <c r="N116">
        <f>VLOOKUP(表2[[#This Row],[SKU]],products!A:H,8,0)</f>
        <v>30</v>
      </c>
      <c r="O11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16">
        <f t="shared" si="4"/>
        <v>0</v>
      </c>
    </row>
    <row r="117" spans="1:16" x14ac:dyDescent="0.25">
      <c r="A117" t="s">
        <v>238</v>
      </c>
      <c r="B117" t="str">
        <f>VLOOKUP(A117,batches!A:B,2,0)</f>
        <v>SKU015</v>
      </c>
      <c r="C117" t="str">
        <f>VLOOKUP(批次库存!B117,products!A:B,2,0)</f>
        <v>果糖浆</v>
      </c>
      <c r="D117" t="str">
        <f>VLOOKUP(A117,batches!A:C,3,0)</f>
        <v>L015</v>
      </c>
      <c r="E117">
        <f>VLOOKUP(A117,batches!A:E,5,0)</f>
        <v>46287</v>
      </c>
      <c r="F117" t="str">
        <f>VLOOKUP(A117,batches!A:G,7,0)</f>
        <v>RELEASED</v>
      </c>
      <c r="G117">
        <f>SUMIFS(movements!H:H,movements!F:F,批次库存!A117,movements!D:D,"OPENING")</f>
        <v>0</v>
      </c>
      <c r="H117">
        <f>SUMIFS(movements!H:H,movements!F:F,批次库存!A117,movements!D:D,"RECEIPT")</f>
        <v>77</v>
      </c>
      <c r="I117">
        <f>SUMIFS(movements!H:H,movements!F:F,批次库存!A117,movements!D:D,"ISSUE")</f>
        <v>77</v>
      </c>
      <c r="J117">
        <f t="shared" si="5"/>
        <v>0</v>
      </c>
      <c r="K117">
        <f>VLOOKUP(表2[[#This Row],[SKU]],products!A:F,6,0)</f>
        <v>53.46</v>
      </c>
      <c r="L117">
        <f>J117*表2[[#This Row],[单价]]</f>
        <v>0</v>
      </c>
      <c r="M117">
        <f t="shared" si="3"/>
        <v>16</v>
      </c>
      <c r="N117">
        <f>VLOOKUP(表2[[#This Row],[SKU]],products!A:H,8,0)</f>
        <v>30</v>
      </c>
      <c r="O11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17">
        <f t="shared" si="4"/>
        <v>0</v>
      </c>
    </row>
    <row r="118" spans="1:16" x14ac:dyDescent="0.25">
      <c r="A118" t="s">
        <v>239</v>
      </c>
      <c r="B118" t="str">
        <f>VLOOKUP(A118,batches!A:B,2,0)</f>
        <v>SKU018</v>
      </c>
      <c r="C118" t="str">
        <f>VLOOKUP(批次库存!B118,products!A:B,2,0)</f>
        <v>常温燕麦饮</v>
      </c>
      <c r="D118" t="str">
        <f>VLOOKUP(A118,batches!A:C,3,0)</f>
        <v>L018</v>
      </c>
      <c r="E118">
        <f>VLOOKUP(A118,batches!A:E,5,0)</f>
        <v>46317</v>
      </c>
      <c r="F118" t="str">
        <f>VLOOKUP(A118,batches!A:G,7,0)</f>
        <v>RELEASED</v>
      </c>
      <c r="G118">
        <f>SUMIFS(movements!H:H,movements!F:F,批次库存!A118,movements!D:D,"OPENING")</f>
        <v>0</v>
      </c>
      <c r="H118">
        <f>SUMIFS(movements!H:H,movements!F:F,批次库存!A118,movements!D:D,"RECEIPT")</f>
        <v>76</v>
      </c>
      <c r="I118">
        <f>SUMIFS(movements!H:H,movements!F:F,批次库存!A118,movements!D:D,"ISSUE")</f>
        <v>76</v>
      </c>
      <c r="J118">
        <f t="shared" si="5"/>
        <v>0</v>
      </c>
      <c r="K118">
        <f>VLOOKUP(表2[[#This Row],[SKU]],products!A:F,6,0)</f>
        <v>63.65</v>
      </c>
      <c r="L118">
        <f>J118*表2[[#This Row],[单价]]</f>
        <v>0</v>
      </c>
      <c r="M118">
        <f t="shared" si="3"/>
        <v>46</v>
      </c>
      <c r="N118">
        <f>VLOOKUP(表2[[#This Row],[SKU]],products!A:H,8,0)</f>
        <v>30</v>
      </c>
      <c r="O11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18">
        <f t="shared" si="4"/>
        <v>0</v>
      </c>
    </row>
    <row r="119" spans="1:16" x14ac:dyDescent="0.25">
      <c r="A119" t="s">
        <v>240</v>
      </c>
      <c r="B119" t="str">
        <f>VLOOKUP(A119,batches!A:B,2,0)</f>
        <v>SKU019</v>
      </c>
      <c r="C119" t="str">
        <f>VLOOKUP(批次库存!B119,products!A:B,2,0)</f>
        <v>常温全脂奶</v>
      </c>
      <c r="D119" t="str">
        <f>VLOOKUP(A119,batches!A:C,3,0)</f>
        <v>L019</v>
      </c>
      <c r="E119">
        <f>VLOOKUP(A119,batches!A:E,5,0)</f>
        <v>46397</v>
      </c>
      <c r="F119" t="str">
        <f>VLOOKUP(A119,batches!A:G,7,0)</f>
        <v>RELEASED</v>
      </c>
      <c r="G119">
        <f>SUMIFS(movements!H:H,movements!F:F,批次库存!A119,movements!D:D,"OPENING")</f>
        <v>0</v>
      </c>
      <c r="H119">
        <f>SUMIFS(movements!H:H,movements!F:F,批次库存!A119,movements!D:D,"RECEIPT")</f>
        <v>69</v>
      </c>
      <c r="I119">
        <f>SUMIFS(movements!H:H,movements!F:F,批次库存!A119,movements!D:D,"ISSUE")</f>
        <v>69</v>
      </c>
      <c r="J119">
        <f t="shared" si="5"/>
        <v>0</v>
      </c>
      <c r="K119">
        <f>VLOOKUP(表2[[#This Row],[SKU]],products!A:F,6,0)</f>
        <v>81.96</v>
      </c>
      <c r="L119">
        <f>J119*表2[[#This Row],[单价]]</f>
        <v>0</v>
      </c>
      <c r="M119">
        <f t="shared" si="3"/>
        <v>126</v>
      </c>
      <c r="N119">
        <f>VLOOKUP(表2[[#This Row],[SKU]],products!A:H,8,0)</f>
        <v>30</v>
      </c>
      <c r="O11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19">
        <f t="shared" si="4"/>
        <v>0</v>
      </c>
    </row>
    <row r="120" spans="1:16" x14ac:dyDescent="0.25">
      <c r="A120" t="s">
        <v>241</v>
      </c>
      <c r="B120" t="str">
        <f>VLOOKUP(A120,batches!A:B,2,0)</f>
        <v>SKU022</v>
      </c>
      <c r="C120" t="str">
        <f>VLOOKUP(批次库存!B120,products!A:B,2,0)</f>
        <v>700ml杯</v>
      </c>
      <c r="D120" t="str">
        <f>VLOOKUP(A120,batches!A:C,3,0)</f>
        <v>L022</v>
      </c>
      <c r="E120">
        <f>VLOOKUP(A120,batches!A:E,5,0)</f>
        <v>46582</v>
      </c>
      <c r="F120" t="str">
        <f>VLOOKUP(A120,batches!A:G,7,0)</f>
        <v>RELEASED</v>
      </c>
      <c r="G120">
        <f>SUMIFS(movements!H:H,movements!F:F,批次库存!A120,movements!D:D,"OPENING")</f>
        <v>0</v>
      </c>
      <c r="H120">
        <f>SUMIFS(movements!H:H,movements!F:F,批次库存!A120,movements!D:D,"RECEIPT")</f>
        <v>92</v>
      </c>
      <c r="I120">
        <f>SUMIFS(movements!H:H,movements!F:F,批次库存!A120,movements!D:D,"ISSUE")</f>
        <v>92</v>
      </c>
      <c r="J120">
        <f t="shared" si="5"/>
        <v>0</v>
      </c>
      <c r="K120">
        <f>VLOOKUP(表2[[#This Row],[SKU]],products!A:F,6,0)</f>
        <v>16.36</v>
      </c>
      <c r="L120">
        <f>J120*表2[[#This Row],[单价]]</f>
        <v>0</v>
      </c>
      <c r="M120">
        <f t="shared" si="3"/>
        <v>311</v>
      </c>
      <c r="N120">
        <f>VLOOKUP(表2[[#This Row],[SKU]],products!A:H,8,0)</f>
        <v>60</v>
      </c>
      <c r="O12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20">
        <f t="shared" si="4"/>
        <v>0</v>
      </c>
    </row>
    <row r="121" spans="1:16" x14ac:dyDescent="0.25">
      <c r="A121" t="s">
        <v>242</v>
      </c>
      <c r="B121" t="str">
        <f>VLOOKUP(A121,batches!A:B,2,0)</f>
        <v>SKU023</v>
      </c>
      <c r="C121" t="str">
        <f>VLOOKUP(批次库存!B121,products!A:B,2,0)</f>
        <v>500ml杯盖</v>
      </c>
      <c r="D121" t="str">
        <f>VLOOKUP(A121,batches!A:C,3,0)</f>
        <v>L023</v>
      </c>
      <c r="E121">
        <f>VLOOKUP(A121,batches!A:E,5,0)</f>
        <v>46582</v>
      </c>
      <c r="F121" t="str">
        <f>VLOOKUP(A121,batches!A:G,7,0)</f>
        <v>RELEASED</v>
      </c>
      <c r="G121">
        <f>SUMIFS(movements!H:H,movements!F:F,批次库存!A121,movements!D:D,"OPENING")</f>
        <v>0</v>
      </c>
      <c r="H121">
        <f>SUMIFS(movements!H:H,movements!F:F,批次库存!A121,movements!D:D,"RECEIPT")</f>
        <v>83</v>
      </c>
      <c r="I121">
        <f>SUMIFS(movements!H:H,movements!F:F,批次库存!A121,movements!D:D,"ISSUE")</f>
        <v>83</v>
      </c>
      <c r="J121">
        <f t="shared" si="5"/>
        <v>0</v>
      </c>
      <c r="K121">
        <f>VLOOKUP(表2[[#This Row],[SKU]],products!A:F,6,0)</f>
        <v>12.46</v>
      </c>
      <c r="L121">
        <f>J121*表2[[#This Row],[单价]]</f>
        <v>0</v>
      </c>
      <c r="M121">
        <f t="shared" si="3"/>
        <v>311</v>
      </c>
      <c r="N121">
        <f>VLOOKUP(表2[[#This Row],[SKU]],products!A:H,8,0)</f>
        <v>60</v>
      </c>
      <c r="O12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21">
        <f t="shared" si="4"/>
        <v>0</v>
      </c>
    </row>
    <row r="122" spans="1:16" x14ac:dyDescent="0.25">
      <c r="A122" t="s">
        <v>243</v>
      </c>
      <c r="B122" t="str">
        <f>VLOOKUP(A122,batches!A:B,2,0)</f>
        <v>SKU028</v>
      </c>
      <c r="C122" t="str">
        <f>VLOOKUP(批次库存!B122,products!A:B,2,0)</f>
        <v>双杯袋</v>
      </c>
      <c r="D122" t="str">
        <f>VLOOKUP(A122,batches!A:C,3,0)</f>
        <v>L028</v>
      </c>
      <c r="E122">
        <f>VLOOKUP(A122,batches!A:E,5,0)</f>
        <v>46582</v>
      </c>
      <c r="F122" t="str">
        <f>VLOOKUP(A122,batches!A:G,7,0)</f>
        <v>RELEASED</v>
      </c>
      <c r="G122">
        <f>SUMIFS(movements!H:H,movements!F:F,批次库存!A122,movements!D:D,"OPENING")</f>
        <v>0</v>
      </c>
      <c r="H122">
        <f>SUMIFS(movements!H:H,movements!F:F,批次库存!A122,movements!D:D,"RECEIPT")</f>
        <v>70</v>
      </c>
      <c r="I122">
        <f>SUMIFS(movements!H:H,movements!F:F,批次库存!A122,movements!D:D,"ISSUE")</f>
        <v>70</v>
      </c>
      <c r="J122">
        <f t="shared" si="5"/>
        <v>0</v>
      </c>
      <c r="K122">
        <f>VLOOKUP(表2[[#This Row],[SKU]],products!A:F,6,0)</f>
        <v>55.53</v>
      </c>
      <c r="L122">
        <f>J122*表2[[#This Row],[单价]]</f>
        <v>0</v>
      </c>
      <c r="M122">
        <f t="shared" si="3"/>
        <v>311</v>
      </c>
      <c r="N122">
        <f>VLOOKUP(表2[[#This Row],[SKU]],products!A:H,8,0)</f>
        <v>60</v>
      </c>
      <c r="O12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22">
        <f t="shared" si="4"/>
        <v>0</v>
      </c>
    </row>
    <row r="123" spans="1:16" x14ac:dyDescent="0.25">
      <c r="A123" t="s">
        <v>244</v>
      </c>
      <c r="B123" t="str">
        <f>VLOOKUP(A123,batches!A:B,2,0)</f>
        <v>SKU002</v>
      </c>
      <c r="C123" t="str">
        <f>VLOOKUP(批次库存!B123,products!A:B,2,0)</f>
        <v>红茶</v>
      </c>
      <c r="D123" t="str">
        <f>VLOOKUP(A123,batches!A:C,3,0)</f>
        <v>L002</v>
      </c>
      <c r="E123">
        <f>VLOOKUP(A123,batches!A:E,5,0)</f>
        <v>46324</v>
      </c>
      <c r="F123" t="str">
        <f>VLOOKUP(A123,batches!A:G,7,0)</f>
        <v>RELEASED</v>
      </c>
      <c r="G123">
        <f>SUMIFS(movements!H:H,movements!F:F,批次库存!A123,movements!D:D,"OPENING")</f>
        <v>0</v>
      </c>
      <c r="H123">
        <f>SUMIFS(movements!H:H,movements!F:F,批次库存!A123,movements!D:D,"RECEIPT")</f>
        <v>85</v>
      </c>
      <c r="I123">
        <f>SUMIFS(movements!H:H,movements!F:F,批次库存!A123,movements!D:D,"ISSUE")</f>
        <v>85</v>
      </c>
      <c r="J123">
        <f t="shared" si="5"/>
        <v>0</v>
      </c>
      <c r="K123">
        <f>VLOOKUP(表2[[#This Row],[SKU]],products!A:F,6,0)</f>
        <v>78.48</v>
      </c>
      <c r="L123">
        <f>J123*表2[[#This Row],[单价]]</f>
        <v>0</v>
      </c>
      <c r="M123">
        <f t="shared" si="3"/>
        <v>53</v>
      </c>
      <c r="N123">
        <f>VLOOKUP(表2[[#This Row],[SKU]],products!A:H,8,0)</f>
        <v>30</v>
      </c>
      <c r="O12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23">
        <f t="shared" si="4"/>
        <v>0</v>
      </c>
    </row>
    <row r="124" spans="1:16" x14ac:dyDescent="0.25">
      <c r="A124" t="s">
        <v>245</v>
      </c>
      <c r="B124" t="str">
        <f>VLOOKUP(A124,batches!A:B,2,0)</f>
        <v>SKU003</v>
      </c>
      <c r="C124" t="str">
        <f>VLOOKUP(批次库存!B124,products!A:B,2,0)</f>
        <v>乌龙茶</v>
      </c>
      <c r="D124" t="str">
        <f>VLOOKUP(A124,batches!A:C,3,0)</f>
        <v>L003</v>
      </c>
      <c r="E124">
        <f>VLOOKUP(A124,batches!A:E,5,0)</f>
        <v>46404</v>
      </c>
      <c r="F124" t="str">
        <f>VLOOKUP(A124,batches!A:G,7,0)</f>
        <v>RELEASED</v>
      </c>
      <c r="G124">
        <f>SUMIFS(movements!H:H,movements!F:F,批次库存!A124,movements!D:D,"OPENING")</f>
        <v>0</v>
      </c>
      <c r="H124">
        <f>SUMIFS(movements!H:H,movements!F:F,批次库存!A124,movements!D:D,"RECEIPT")</f>
        <v>99</v>
      </c>
      <c r="I124">
        <f>SUMIFS(movements!H:H,movements!F:F,批次库存!A124,movements!D:D,"ISSUE")</f>
        <v>99</v>
      </c>
      <c r="J124">
        <f t="shared" si="5"/>
        <v>0</v>
      </c>
      <c r="K124">
        <f>VLOOKUP(表2[[#This Row],[SKU]],products!A:F,6,0)</f>
        <v>41.99</v>
      </c>
      <c r="L124">
        <f>J124*表2[[#This Row],[单价]]</f>
        <v>0</v>
      </c>
      <c r="M124">
        <f t="shared" si="3"/>
        <v>133</v>
      </c>
      <c r="N124">
        <f>VLOOKUP(表2[[#This Row],[SKU]],products!A:H,8,0)</f>
        <v>30</v>
      </c>
      <c r="O12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24">
        <f t="shared" si="4"/>
        <v>0</v>
      </c>
    </row>
    <row r="125" spans="1:16" x14ac:dyDescent="0.25">
      <c r="A125" t="s">
        <v>246</v>
      </c>
      <c r="B125" t="str">
        <f>VLOOKUP(A125,batches!A:B,2,0)</f>
        <v>SKU004</v>
      </c>
      <c r="C125" t="str">
        <f>VLOOKUP(批次库存!B125,products!A:B,2,0)</f>
        <v>四季春茶</v>
      </c>
      <c r="D125" t="str">
        <f>VLOOKUP(A125,batches!A:C,3,0)</f>
        <v>L004</v>
      </c>
      <c r="E125">
        <f>VLOOKUP(A125,batches!A:E,5,0)</f>
        <v>46269</v>
      </c>
      <c r="F125" t="str">
        <f>VLOOKUP(A125,batches!A:G,7,0)</f>
        <v>RELEASED</v>
      </c>
      <c r="G125">
        <f>SUMIFS(movements!H:H,movements!F:F,批次库存!A125,movements!D:D,"OPENING")</f>
        <v>0</v>
      </c>
      <c r="H125">
        <f>SUMIFS(movements!H:H,movements!F:F,批次库存!A125,movements!D:D,"RECEIPT")</f>
        <v>77</v>
      </c>
      <c r="I125">
        <f>SUMIFS(movements!H:H,movements!F:F,批次库存!A125,movements!D:D,"ISSUE")</f>
        <v>77</v>
      </c>
      <c r="J125">
        <f t="shared" si="5"/>
        <v>0</v>
      </c>
      <c r="K125">
        <f>VLOOKUP(表2[[#This Row],[SKU]],products!A:F,6,0)</f>
        <v>70.39</v>
      </c>
      <c r="L125">
        <f>J125*表2[[#This Row],[单价]]</f>
        <v>0</v>
      </c>
      <c r="M125">
        <f t="shared" si="3"/>
        <v>-2</v>
      </c>
      <c r="N125">
        <f>VLOOKUP(表2[[#This Row],[SKU]],products!A:H,8,0)</f>
        <v>30</v>
      </c>
      <c r="O12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25">
        <f t="shared" si="4"/>
        <v>0</v>
      </c>
    </row>
    <row r="126" spans="1:16" x14ac:dyDescent="0.25">
      <c r="A126" t="s">
        <v>247</v>
      </c>
      <c r="B126" t="str">
        <f>VLOOKUP(A126,batches!A:B,2,0)</f>
        <v>SKU005</v>
      </c>
      <c r="C126" t="str">
        <f>VLOOKUP(批次库存!B126,products!A:B,2,0)</f>
        <v>桂花乌龙</v>
      </c>
      <c r="D126" t="str">
        <f>VLOOKUP(A126,batches!A:C,3,0)</f>
        <v>L005</v>
      </c>
      <c r="E126">
        <f>VLOOKUP(A126,batches!A:E,5,0)</f>
        <v>46294</v>
      </c>
      <c r="F126" t="str">
        <f>VLOOKUP(A126,batches!A:G,7,0)</f>
        <v>RELEASED</v>
      </c>
      <c r="G126">
        <f>SUMIFS(movements!H:H,movements!F:F,批次库存!A126,movements!D:D,"OPENING")</f>
        <v>0</v>
      </c>
      <c r="H126">
        <f>SUMIFS(movements!H:H,movements!F:F,批次库存!A126,movements!D:D,"RECEIPT")</f>
        <v>65</v>
      </c>
      <c r="I126">
        <f>SUMIFS(movements!H:H,movements!F:F,批次库存!A126,movements!D:D,"ISSUE")</f>
        <v>65</v>
      </c>
      <c r="J126">
        <f t="shared" si="5"/>
        <v>0</v>
      </c>
      <c r="K126">
        <f>VLOOKUP(表2[[#This Row],[SKU]],products!A:F,6,0)</f>
        <v>56.61</v>
      </c>
      <c r="L126">
        <f>J126*表2[[#This Row],[单价]]</f>
        <v>0</v>
      </c>
      <c r="M126">
        <f t="shared" si="3"/>
        <v>23</v>
      </c>
      <c r="N126">
        <f>VLOOKUP(表2[[#This Row],[SKU]],products!A:H,8,0)</f>
        <v>30</v>
      </c>
      <c r="O12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26">
        <f t="shared" si="4"/>
        <v>0</v>
      </c>
    </row>
    <row r="127" spans="1:16" x14ac:dyDescent="0.25">
      <c r="A127" t="s">
        <v>248</v>
      </c>
      <c r="B127" t="str">
        <f>VLOOKUP(A127,batches!A:B,2,0)</f>
        <v>SKU006</v>
      </c>
      <c r="C127" t="str">
        <f>VLOOKUP(批次库存!B127,products!A:B,2,0)</f>
        <v>焙火乌龙</v>
      </c>
      <c r="D127" t="str">
        <f>VLOOKUP(A127,batches!A:C,3,0)</f>
        <v>L006</v>
      </c>
      <c r="E127">
        <f>VLOOKUP(A127,batches!A:E,5,0)</f>
        <v>46269</v>
      </c>
      <c r="F127" t="str">
        <f>VLOOKUP(A127,batches!A:G,7,0)</f>
        <v>RELEASED</v>
      </c>
      <c r="G127">
        <f>SUMIFS(movements!H:H,movements!F:F,批次库存!A127,movements!D:D,"OPENING")</f>
        <v>0</v>
      </c>
      <c r="H127">
        <f>SUMIFS(movements!H:H,movements!F:F,批次库存!A127,movements!D:D,"RECEIPT")</f>
        <v>93</v>
      </c>
      <c r="I127">
        <f>SUMIFS(movements!H:H,movements!F:F,批次库存!A127,movements!D:D,"ISSUE")</f>
        <v>93</v>
      </c>
      <c r="J127">
        <f t="shared" si="5"/>
        <v>0</v>
      </c>
      <c r="K127">
        <f>VLOOKUP(表2[[#This Row],[SKU]],products!A:F,6,0)</f>
        <v>30.07</v>
      </c>
      <c r="L127">
        <f>J127*表2[[#This Row],[单价]]</f>
        <v>0</v>
      </c>
      <c r="M127">
        <f t="shared" si="3"/>
        <v>-2</v>
      </c>
      <c r="N127">
        <f>VLOOKUP(表2[[#This Row],[SKU]],products!A:H,8,0)</f>
        <v>30</v>
      </c>
      <c r="O12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27">
        <f t="shared" si="4"/>
        <v>0</v>
      </c>
    </row>
    <row r="128" spans="1:16" x14ac:dyDescent="0.25">
      <c r="A128" t="s">
        <v>249</v>
      </c>
      <c r="B128" t="str">
        <f>VLOOKUP(A128,batches!A:B,2,0)</f>
        <v>SKU007</v>
      </c>
      <c r="C128" t="str">
        <f>VLOOKUP(批次库存!B128,products!A:B,2,0)</f>
        <v>白桃乌龙</v>
      </c>
      <c r="D128" t="str">
        <f>VLOOKUP(A128,batches!A:C,3,0)</f>
        <v>L007</v>
      </c>
      <c r="E128">
        <f>VLOOKUP(A128,batches!A:E,5,0)</f>
        <v>46324</v>
      </c>
      <c r="F128" t="str">
        <f>VLOOKUP(A128,batches!A:G,7,0)</f>
        <v>RELEASED</v>
      </c>
      <c r="G128">
        <f>SUMIFS(movements!H:H,movements!F:F,批次库存!A128,movements!D:D,"OPENING")</f>
        <v>0</v>
      </c>
      <c r="H128">
        <f>SUMIFS(movements!H:H,movements!F:F,批次库存!A128,movements!D:D,"RECEIPT")</f>
        <v>91</v>
      </c>
      <c r="I128">
        <f>SUMIFS(movements!H:H,movements!F:F,批次库存!A128,movements!D:D,"ISSUE")</f>
        <v>91</v>
      </c>
      <c r="J128">
        <f t="shared" si="5"/>
        <v>0</v>
      </c>
      <c r="K128">
        <f>VLOOKUP(表2[[#This Row],[SKU]],products!A:F,6,0)</f>
        <v>30.79</v>
      </c>
      <c r="L128">
        <f>J128*表2[[#This Row],[单价]]</f>
        <v>0</v>
      </c>
      <c r="M128">
        <f t="shared" si="3"/>
        <v>53</v>
      </c>
      <c r="N128">
        <f>VLOOKUP(表2[[#This Row],[SKU]],products!A:H,8,0)</f>
        <v>30</v>
      </c>
      <c r="O12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28">
        <f t="shared" si="4"/>
        <v>0</v>
      </c>
    </row>
    <row r="129" spans="1:16" x14ac:dyDescent="0.25">
      <c r="A129" t="s">
        <v>250</v>
      </c>
      <c r="B129" t="str">
        <f>VLOOKUP(A129,batches!A:B,2,0)</f>
        <v>SKU008</v>
      </c>
      <c r="C129" t="str">
        <f>VLOOKUP(批次库存!B129,products!A:B,2,0)</f>
        <v>普洱茶</v>
      </c>
      <c r="D129" t="str">
        <f>VLOOKUP(A129,batches!A:C,3,0)</f>
        <v>L008</v>
      </c>
      <c r="E129">
        <f>VLOOKUP(A129,batches!A:E,5,0)</f>
        <v>46269</v>
      </c>
      <c r="F129" t="str">
        <f>VLOOKUP(A129,batches!A:G,7,0)</f>
        <v>RELEASED</v>
      </c>
      <c r="G129">
        <f>SUMIFS(movements!H:H,movements!F:F,批次库存!A129,movements!D:D,"OPENING")</f>
        <v>0</v>
      </c>
      <c r="H129">
        <f>SUMIFS(movements!H:H,movements!F:F,批次库存!A129,movements!D:D,"RECEIPT")</f>
        <v>88</v>
      </c>
      <c r="I129">
        <f>SUMIFS(movements!H:H,movements!F:F,批次库存!A129,movements!D:D,"ISSUE")</f>
        <v>88</v>
      </c>
      <c r="J129">
        <f t="shared" si="5"/>
        <v>0</v>
      </c>
      <c r="K129">
        <f>VLOOKUP(表2[[#This Row],[SKU]],products!A:F,6,0)</f>
        <v>72.540000000000006</v>
      </c>
      <c r="L129">
        <f>J129*表2[[#This Row],[单价]]</f>
        <v>0</v>
      </c>
      <c r="M129">
        <f t="shared" si="3"/>
        <v>-2</v>
      </c>
      <c r="N129">
        <f>VLOOKUP(表2[[#This Row],[SKU]],products!A:H,8,0)</f>
        <v>30</v>
      </c>
      <c r="O12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29">
        <f t="shared" si="4"/>
        <v>0</v>
      </c>
    </row>
    <row r="130" spans="1:16" x14ac:dyDescent="0.25">
      <c r="A130" t="s">
        <v>251</v>
      </c>
      <c r="B130" t="str">
        <f>VLOOKUP(A130,batches!A:B,2,0)</f>
        <v>SKU009</v>
      </c>
      <c r="C130" t="str">
        <f>VLOOKUP(批次库存!B130,products!A:B,2,0)</f>
        <v>龙井茶</v>
      </c>
      <c r="D130" t="str">
        <f>VLOOKUP(A130,batches!A:C,3,0)</f>
        <v>L009</v>
      </c>
      <c r="E130">
        <f>VLOOKUP(A130,batches!A:E,5,0)</f>
        <v>46269</v>
      </c>
      <c r="F130" t="str">
        <f>VLOOKUP(A130,batches!A:G,7,0)</f>
        <v>RELEASED</v>
      </c>
      <c r="G130">
        <f>SUMIFS(movements!H:H,movements!F:F,批次库存!A130,movements!D:D,"OPENING")</f>
        <v>0</v>
      </c>
      <c r="H130">
        <f>SUMIFS(movements!H:H,movements!F:F,批次库存!A130,movements!D:D,"RECEIPT")</f>
        <v>83</v>
      </c>
      <c r="I130">
        <f>SUMIFS(movements!H:H,movements!F:F,批次库存!A130,movements!D:D,"ISSUE")</f>
        <v>83</v>
      </c>
      <c r="J130">
        <f t="shared" si="5"/>
        <v>0</v>
      </c>
      <c r="K130">
        <f>VLOOKUP(表2[[#This Row],[SKU]],products!A:F,6,0)</f>
        <v>21.12</v>
      </c>
      <c r="L130">
        <f>J130*表2[[#This Row],[单价]]</f>
        <v>0</v>
      </c>
      <c r="M130">
        <f t="shared" ref="M130:M193" si="6">E130-DATE(2026,9,6)</f>
        <v>-2</v>
      </c>
      <c r="N130">
        <f>VLOOKUP(表2[[#This Row],[SKU]],products!A:H,8,0)</f>
        <v>30</v>
      </c>
      <c r="O13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30">
        <f t="shared" ref="P130:P193" si="7">IF(AND(F130="RELEASED",M130&gt;0),J130,0)</f>
        <v>0</v>
      </c>
    </row>
    <row r="131" spans="1:16" x14ac:dyDescent="0.25">
      <c r="A131" t="s">
        <v>252</v>
      </c>
      <c r="B131" t="str">
        <f>VLOOKUP(A131,batches!A:B,2,0)</f>
        <v>SKU011</v>
      </c>
      <c r="C131" t="str">
        <f>VLOOKUP(批次库存!B131,products!A:B,2,0)</f>
        <v>原味糖浆</v>
      </c>
      <c r="D131" t="str">
        <f>VLOOKUP(A131,batches!A:C,3,0)</f>
        <v>L011</v>
      </c>
      <c r="E131">
        <f>VLOOKUP(A131,batches!A:E,5,0)</f>
        <v>46324</v>
      </c>
      <c r="F131" t="str">
        <f>VLOOKUP(A131,batches!A:G,7,0)</f>
        <v>RELEASED</v>
      </c>
      <c r="G131">
        <f>SUMIFS(movements!H:H,movements!F:F,批次库存!A131,movements!D:D,"OPENING")</f>
        <v>0</v>
      </c>
      <c r="H131">
        <f>SUMIFS(movements!H:H,movements!F:F,批次库存!A131,movements!D:D,"RECEIPT")</f>
        <v>85</v>
      </c>
      <c r="I131">
        <f>SUMIFS(movements!H:H,movements!F:F,批次库存!A131,movements!D:D,"ISSUE")</f>
        <v>85</v>
      </c>
      <c r="J131">
        <f t="shared" ref="J131:J194" si="8">G131+H131-I131</f>
        <v>0</v>
      </c>
      <c r="K131">
        <f>VLOOKUP(表2[[#This Row],[SKU]],products!A:F,6,0)</f>
        <v>24.06</v>
      </c>
      <c r="L131">
        <f>J131*表2[[#This Row],[单价]]</f>
        <v>0</v>
      </c>
      <c r="M131">
        <f t="shared" si="6"/>
        <v>53</v>
      </c>
      <c r="N131">
        <f>VLOOKUP(表2[[#This Row],[SKU]],products!A:H,8,0)</f>
        <v>30</v>
      </c>
      <c r="O13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31">
        <f t="shared" si="7"/>
        <v>0</v>
      </c>
    </row>
    <row r="132" spans="1:16" x14ac:dyDescent="0.25">
      <c r="A132" t="s">
        <v>253</v>
      </c>
      <c r="B132" t="str">
        <f>VLOOKUP(A132,batches!A:B,2,0)</f>
        <v>SKU016</v>
      </c>
      <c r="C132" t="str">
        <f>VLOOKUP(批次库存!B132,products!A:B,2,0)</f>
        <v>常温椰浆</v>
      </c>
      <c r="D132" t="str">
        <f>VLOOKUP(A132,batches!A:C,3,0)</f>
        <v>L016</v>
      </c>
      <c r="E132">
        <f>VLOOKUP(A132,batches!A:E,5,0)</f>
        <v>46294</v>
      </c>
      <c r="F132" t="str">
        <f>VLOOKUP(A132,batches!A:G,7,0)</f>
        <v>RELEASED</v>
      </c>
      <c r="G132">
        <f>SUMIFS(movements!H:H,movements!F:F,批次库存!A132,movements!D:D,"OPENING")</f>
        <v>0</v>
      </c>
      <c r="H132">
        <f>SUMIFS(movements!H:H,movements!F:F,批次库存!A132,movements!D:D,"RECEIPT")</f>
        <v>97</v>
      </c>
      <c r="I132">
        <f>SUMIFS(movements!H:H,movements!F:F,批次库存!A132,movements!D:D,"ISSUE")</f>
        <v>97</v>
      </c>
      <c r="J132">
        <f t="shared" si="8"/>
        <v>0</v>
      </c>
      <c r="K132">
        <f>VLOOKUP(表2[[#This Row],[SKU]],products!A:F,6,0)</f>
        <v>13.06</v>
      </c>
      <c r="L132">
        <f>J132*表2[[#This Row],[单价]]</f>
        <v>0</v>
      </c>
      <c r="M132">
        <f t="shared" si="6"/>
        <v>23</v>
      </c>
      <c r="N132">
        <f>VLOOKUP(表2[[#This Row],[SKU]],products!A:H,8,0)</f>
        <v>30</v>
      </c>
      <c r="O13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32">
        <f t="shared" si="7"/>
        <v>0</v>
      </c>
    </row>
    <row r="133" spans="1:16" x14ac:dyDescent="0.25">
      <c r="A133" t="s">
        <v>254</v>
      </c>
      <c r="B133" t="str">
        <f>VLOOKUP(A133,batches!A:B,2,0)</f>
        <v>SKU017</v>
      </c>
      <c r="C133" t="str">
        <f>VLOOKUP(批次库存!B133,products!A:B,2,0)</f>
        <v>常温椰乳</v>
      </c>
      <c r="D133" t="str">
        <f>VLOOKUP(A133,batches!A:C,3,0)</f>
        <v>L017</v>
      </c>
      <c r="E133">
        <f>VLOOKUP(A133,batches!A:E,5,0)</f>
        <v>46324</v>
      </c>
      <c r="F133" t="str">
        <f>VLOOKUP(A133,batches!A:G,7,0)</f>
        <v>RELEASED</v>
      </c>
      <c r="G133">
        <f>SUMIFS(movements!H:H,movements!F:F,批次库存!A133,movements!D:D,"OPENING")</f>
        <v>0</v>
      </c>
      <c r="H133">
        <f>SUMIFS(movements!H:H,movements!F:F,批次库存!A133,movements!D:D,"RECEIPT")</f>
        <v>98</v>
      </c>
      <c r="I133">
        <f>SUMIFS(movements!H:H,movements!F:F,批次库存!A133,movements!D:D,"ISSUE")</f>
        <v>98</v>
      </c>
      <c r="J133">
        <f t="shared" si="8"/>
        <v>0</v>
      </c>
      <c r="K133">
        <f>VLOOKUP(表2[[#This Row],[SKU]],products!A:F,6,0)</f>
        <v>39.159999999999997</v>
      </c>
      <c r="L133">
        <f>J133*表2[[#This Row],[单价]]</f>
        <v>0</v>
      </c>
      <c r="M133">
        <f t="shared" si="6"/>
        <v>53</v>
      </c>
      <c r="N133">
        <f>VLOOKUP(表2[[#This Row],[SKU]],products!A:H,8,0)</f>
        <v>30</v>
      </c>
      <c r="O13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33">
        <f t="shared" si="7"/>
        <v>0</v>
      </c>
    </row>
    <row r="134" spans="1:16" x14ac:dyDescent="0.25">
      <c r="A134" t="s">
        <v>255</v>
      </c>
      <c r="B134" t="str">
        <f>VLOOKUP(A134,batches!A:B,2,0)</f>
        <v>SKU020</v>
      </c>
      <c r="C134" t="str">
        <f>VLOOKUP(批次库存!B134,products!A:B,2,0)</f>
        <v>常温厚乳</v>
      </c>
      <c r="D134" t="str">
        <f>VLOOKUP(A134,batches!A:C,3,0)</f>
        <v>L020</v>
      </c>
      <c r="E134">
        <f>VLOOKUP(A134,batches!A:E,5,0)</f>
        <v>46269</v>
      </c>
      <c r="F134" t="str">
        <f>VLOOKUP(A134,batches!A:G,7,0)</f>
        <v>RELEASED</v>
      </c>
      <c r="G134">
        <f>SUMIFS(movements!H:H,movements!F:F,批次库存!A134,movements!D:D,"OPENING")</f>
        <v>0</v>
      </c>
      <c r="H134">
        <f>SUMIFS(movements!H:H,movements!F:F,批次库存!A134,movements!D:D,"RECEIPT")</f>
        <v>93</v>
      </c>
      <c r="I134">
        <f>SUMIFS(movements!H:H,movements!F:F,批次库存!A134,movements!D:D,"ISSUE")</f>
        <v>93</v>
      </c>
      <c r="J134">
        <f t="shared" si="8"/>
        <v>0</v>
      </c>
      <c r="K134">
        <f>VLOOKUP(表2[[#This Row],[SKU]],products!A:F,6,0)</f>
        <v>65.56</v>
      </c>
      <c r="L134">
        <f>J134*表2[[#This Row],[单价]]</f>
        <v>0</v>
      </c>
      <c r="M134">
        <f t="shared" si="6"/>
        <v>-2</v>
      </c>
      <c r="N134">
        <f>VLOOKUP(表2[[#This Row],[SKU]],products!A:H,8,0)</f>
        <v>30</v>
      </c>
      <c r="O13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34">
        <f t="shared" si="7"/>
        <v>0</v>
      </c>
    </row>
    <row r="135" spans="1:16" x14ac:dyDescent="0.25">
      <c r="A135" t="s">
        <v>256</v>
      </c>
      <c r="B135" t="str">
        <f>VLOOKUP(A135,batches!A:B,2,0)</f>
        <v>SKU024</v>
      </c>
      <c r="C135" t="str">
        <f>VLOOKUP(批次库存!B135,products!A:B,2,0)</f>
        <v>700ml杯盖</v>
      </c>
      <c r="D135" t="str">
        <f>VLOOKUP(A135,batches!A:C,3,0)</f>
        <v>L024</v>
      </c>
      <c r="E135">
        <f>VLOOKUP(A135,batches!A:E,5,0)</f>
        <v>46589</v>
      </c>
      <c r="F135" t="str">
        <f>VLOOKUP(A135,batches!A:G,7,0)</f>
        <v>RELEASED</v>
      </c>
      <c r="G135">
        <f>SUMIFS(movements!H:H,movements!F:F,批次库存!A135,movements!D:D,"OPENING")</f>
        <v>0</v>
      </c>
      <c r="H135">
        <f>SUMIFS(movements!H:H,movements!F:F,批次库存!A135,movements!D:D,"RECEIPT")</f>
        <v>84</v>
      </c>
      <c r="I135">
        <f>SUMIFS(movements!H:H,movements!F:F,批次库存!A135,movements!D:D,"ISSUE")</f>
        <v>48</v>
      </c>
      <c r="J135">
        <f t="shared" si="8"/>
        <v>36</v>
      </c>
      <c r="K135">
        <f>VLOOKUP(表2[[#This Row],[SKU]],products!A:F,6,0)</f>
        <v>19.8</v>
      </c>
      <c r="L135">
        <f>J135*表2[[#This Row],[单价]]</f>
        <v>712.80000000000007</v>
      </c>
      <c r="M135">
        <f t="shared" si="6"/>
        <v>318</v>
      </c>
      <c r="N135">
        <f>VLOOKUP(表2[[#This Row],[SKU]],products!A:H,8,0)</f>
        <v>60</v>
      </c>
      <c r="O13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35">
        <f t="shared" si="7"/>
        <v>36</v>
      </c>
    </row>
    <row r="136" spans="1:16" x14ac:dyDescent="0.25">
      <c r="A136" t="s">
        <v>257</v>
      </c>
      <c r="B136" t="str">
        <f>VLOOKUP(A136,batches!A:B,2,0)</f>
        <v>SKU025</v>
      </c>
      <c r="C136" t="str">
        <f>VLOOKUP(批次库存!B136,products!A:B,2,0)</f>
        <v>粗吸管</v>
      </c>
      <c r="D136" t="str">
        <f>VLOOKUP(A136,batches!A:C,3,0)</f>
        <v>L025</v>
      </c>
      <c r="E136">
        <f>VLOOKUP(A136,batches!A:E,5,0)</f>
        <v>46589</v>
      </c>
      <c r="F136" t="str">
        <f>VLOOKUP(A136,batches!A:G,7,0)</f>
        <v>RELEASED</v>
      </c>
      <c r="G136">
        <f>SUMIFS(movements!H:H,movements!F:F,批次库存!A136,movements!D:D,"OPENING")</f>
        <v>0</v>
      </c>
      <c r="H136">
        <f>SUMIFS(movements!H:H,movements!F:F,批次库存!A136,movements!D:D,"RECEIPT")</f>
        <v>62</v>
      </c>
      <c r="I136">
        <f>SUMIFS(movements!H:H,movements!F:F,批次库存!A136,movements!D:D,"ISSUE")</f>
        <v>62</v>
      </c>
      <c r="J136">
        <f t="shared" si="8"/>
        <v>0</v>
      </c>
      <c r="K136">
        <f>VLOOKUP(表2[[#This Row],[SKU]],products!A:F,6,0)</f>
        <v>39.42</v>
      </c>
      <c r="L136">
        <f>J136*表2[[#This Row],[单价]]</f>
        <v>0</v>
      </c>
      <c r="M136">
        <f t="shared" si="6"/>
        <v>318</v>
      </c>
      <c r="N136">
        <f>VLOOKUP(表2[[#This Row],[SKU]],products!A:H,8,0)</f>
        <v>60</v>
      </c>
      <c r="O13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36">
        <f t="shared" si="7"/>
        <v>0</v>
      </c>
    </row>
    <row r="137" spans="1:16" x14ac:dyDescent="0.25">
      <c r="A137" t="s">
        <v>258</v>
      </c>
      <c r="B137" t="str">
        <f>VLOOKUP(A137,batches!A:B,2,0)</f>
        <v>SKU026</v>
      </c>
      <c r="C137" t="str">
        <f>VLOOKUP(批次库存!B137,products!A:B,2,0)</f>
        <v>细吸管</v>
      </c>
      <c r="D137" t="str">
        <f>VLOOKUP(A137,batches!A:C,3,0)</f>
        <v>L026</v>
      </c>
      <c r="E137">
        <f>VLOOKUP(A137,batches!A:E,5,0)</f>
        <v>46589</v>
      </c>
      <c r="F137" t="str">
        <f>VLOOKUP(A137,batches!A:G,7,0)</f>
        <v>RELEASED</v>
      </c>
      <c r="G137">
        <f>SUMIFS(movements!H:H,movements!F:F,批次库存!A137,movements!D:D,"OPENING")</f>
        <v>0</v>
      </c>
      <c r="H137">
        <f>SUMIFS(movements!H:H,movements!F:F,批次库存!A137,movements!D:D,"RECEIPT")</f>
        <v>93</v>
      </c>
      <c r="I137">
        <f>SUMIFS(movements!H:H,movements!F:F,批次库存!A137,movements!D:D,"ISSUE")</f>
        <v>93</v>
      </c>
      <c r="J137">
        <f t="shared" si="8"/>
        <v>0</v>
      </c>
      <c r="K137">
        <f>VLOOKUP(表2[[#This Row],[SKU]],products!A:F,6,0)</f>
        <v>14.19</v>
      </c>
      <c r="L137">
        <f>J137*表2[[#This Row],[单价]]</f>
        <v>0</v>
      </c>
      <c r="M137">
        <f t="shared" si="6"/>
        <v>318</v>
      </c>
      <c r="N137">
        <f>VLOOKUP(表2[[#This Row],[SKU]],products!A:H,8,0)</f>
        <v>60</v>
      </c>
      <c r="O13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37">
        <f t="shared" si="7"/>
        <v>0</v>
      </c>
    </row>
    <row r="138" spans="1:16" x14ac:dyDescent="0.25">
      <c r="A138" t="s">
        <v>259</v>
      </c>
      <c r="B138" t="str">
        <f>VLOOKUP(A138,batches!A:B,2,0)</f>
        <v>SKU027</v>
      </c>
      <c r="C138" t="str">
        <f>VLOOKUP(批次库存!B138,products!A:B,2,0)</f>
        <v>单杯袋</v>
      </c>
      <c r="D138" t="str">
        <f>VLOOKUP(A138,batches!A:C,3,0)</f>
        <v>L027</v>
      </c>
      <c r="E138">
        <f>VLOOKUP(A138,batches!A:E,5,0)</f>
        <v>46589</v>
      </c>
      <c r="F138" t="str">
        <f>VLOOKUP(A138,batches!A:G,7,0)</f>
        <v>RELEASED</v>
      </c>
      <c r="G138">
        <f>SUMIFS(movements!H:H,movements!F:F,批次库存!A138,movements!D:D,"OPENING")</f>
        <v>0</v>
      </c>
      <c r="H138">
        <f>SUMIFS(movements!H:H,movements!F:F,批次库存!A138,movements!D:D,"RECEIPT")</f>
        <v>70</v>
      </c>
      <c r="I138">
        <f>SUMIFS(movements!H:H,movements!F:F,批次库存!A138,movements!D:D,"ISSUE")</f>
        <v>70</v>
      </c>
      <c r="J138">
        <f t="shared" si="8"/>
        <v>0</v>
      </c>
      <c r="K138">
        <f>VLOOKUP(表2[[#This Row],[SKU]],products!A:F,6,0)</f>
        <v>30.89</v>
      </c>
      <c r="L138">
        <f>J138*表2[[#This Row],[单价]]</f>
        <v>0</v>
      </c>
      <c r="M138">
        <f t="shared" si="6"/>
        <v>318</v>
      </c>
      <c r="N138">
        <f>VLOOKUP(表2[[#This Row],[SKU]],products!A:H,8,0)</f>
        <v>60</v>
      </c>
      <c r="O13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38">
        <f t="shared" si="7"/>
        <v>0</v>
      </c>
    </row>
    <row r="139" spans="1:16" x14ac:dyDescent="0.25">
      <c r="A139" t="s">
        <v>260</v>
      </c>
      <c r="B139" t="str">
        <f>VLOOKUP(A139,batches!A:B,2,0)</f>
        <v>SKU002</v>
      </c>
      <c r="C139" t="str">
        <f>VLOOKUP(批次库存!B139,products!A:B,2,0)</f>
        <v>红茶</v>
      </c>
      <c r="D139" t="str">
        <f>VLOOKUP(A139,batches!A:C,3,0)</f>
        <v>L002</v>
      </c>
      <c r="E139">
        <f>VLOOKUP(A139,batches!A:E,5,0)</f>
        <v>46301</v>
      </c>
      <c r="F139" t="str">
        <f>VLOOKUP(A139,batches!A:G,7,0)</f>
        <v>RELEASED</v>
      </c>
      <c r="G139">
        <f>SUMIFS(movements!H:H,movements!F:F,批次库存!A139,movements!D:D,"OPENING")</f>
        <v>0</v>
      </c>
      <c r="H139">
        <f>SUMIFS(movements!H:H,movements!F:F,批次库存!A139,movements!D:D,"RECEIPT")</f>
        <v>60</v>
      </c>
      <c r="I139">
        <f>SUMIFS(movements!H:H,movements!F:F,批次库存!A139,movements!D:D,"ISSUE")</f>
        <v>60</v>
      </c>
      <c r="J139">
        <f t="shared" si="8"/>
        <v>0</v>
      </c>
      <c r="K139">
        <f>VLOOKUP(表2[[#This Row],[SKU]],products!A:F,6,0)</f>
        <v>78.48</v>
      </c>
      <c r="L139">
        <f>J139*表2[[#This Row],[单价]]</f>
        <v>0</v>
      </c>
      <c r="M139">
        <f t="shared" si="6"/>
        <v>30</v>
      </c>
      <c r="N139">
        <f>VLOOKUP(表2[[#This Row],[SKU]],products!A:H,8,0)</f>
        <v>30</v>
      </c>
      <c r="O13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39">
        <f t="shared" si="7"/>
        <v>0</v>
      </c>
    </row>
    <row r="140" spans="1:16" x14ac:dyDescent="0.25">
      <c r="A140" t="s">
        <v>261</v>
      </c>
      <c r="B140" t="str">
        <f>VLOOKUP(A140,batches!A:B,2,0)</f>
        <v>SKU003</v>
      </c>
      <c r="C140" t="str">
        <f>VLOOKUP(批次库存!B140,products!A:B,2,0)</f>
        <v>乌龙茶</v>
      </c>
      <c r="D140" t="str">
        <f>VLOOKUP(A140,batches!A:C,3,0)</f>
        <v>L003</v>
      </c>
      <c r="E140">
        <f>VLOOKUP(A140,batches!A:E,5,0)</f>
        <v>46411</v>
      </c>
      <c r="F140" t="str">
        <f>VLOOKUP(A140,batches!A:G,7,0)</f>
        <v>RELEASED</v>
      </c>
      <c r="G140">
        <f>SUMIFS(movements!H:H,movements!F:F,批次库存!A140,movements!D:D,"OPENING")</f>
        <v>0</v>
      </c>
      <c r="H140">
        <f>SUMIFS(movements!H:H,movements!F:F,批次库存!A140,movements!D:D,"RECEIPT")</f>
        <v>72</v>
      </c>
      <c r="I140">
        <f>SUMIFS(movements!H:H,movements!F:F,批次库存!A140,movements!D:D,"ISSUE")</f>
        <v>72</v>
      </c>
      <c r="J140">
        <f t="shared" si="8"/>
        <v>0</v>
      </c>
      <c r="K140">
        <f>VLOOKUP(表2[[#This Row],[SKU]],products!A:F,6,0)</f>
        <v>41.99</v>
      </c>
      <c r="L140">
        <f>J140*表2[[#This Row],[单价]]</f>
        <v>0</v>
      </c>
      <c r="M140">
        <f t="shared" si="6"/>
        <v>140</v>
      </c>
      <c r="N140">
        <f>VLOOKUP(表2[[#This Row],[SKU]],products!A:H,8,0)</f>
        <v>30</v>
      </c>
      <c r="O14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40">
        <f t="shared" si="7"/>
        <v>0</v>
      </c>
    </row>
    <row r="141" spans="1:16" x14ac:dyDescent="0.25">
      <c r="A141" t="s">
        <v>262</v>
      </c>
      <c r="B141" t="str">
        <f>VLOOKUP(A141,batches!A:B,2,0)</f>
        <v>SKU004</v>
      </c>
      <c r="C141" t="str">
        <f>VLOOKUP(批次库存!B141,products!A:B,2,0)</f>
        <v>四季春茶</v>
      </c>
      <c r="D141" t="str">
        <f>VLOOKUP(A141,batches!A:C,3,0)</f>
        <v>L004</v>
      </c>
      <c r="E141">
        <f>VLOOKUP(A141,batches!A:E,5,0)</f>
        <v>46411</v>
      </c>
      <c r="F141" t="str">
        <f>VLOOKUP(A141,batches!A:G,7,0)</f>
        <v>RELEASED</v>
      </c>
      <c r="G141">
        <f>SUMIFS(movements!H:H,movements!F:F,批次库存!A141,movements!D:D,"OPENING")</f>
        <v>0</v>
      </c>
      <c r="H141">
        <f>SUMIFS(movements!H:H,movements!F:F,批次库存!A141,movements!D:D,"RECEIPT")</f>
        <v>79</v>
      </c>
      <c r="I141">
        <f>SUMIFS(movements!H:H,movements!F:F,批次库存!A141,movements!D:D,"ISSUE")</f>
        <v>79</v>
      </c>
      <c r="J141">
        <f t="shared" si="8"/>
        <v>0</v>
      </c>
      <c r="K141">
        <f>VLOOKUP(表2[[#This Row],[SKU]],products!A:F,6,0)</f>
        <v>70.39</v>
      </c>
      <c r="L141">
        <f>J141*表2[[#This Row],[单价]]</f>
        <v>0</v>
      </c>
      <c r="M141">
        <f t="shared" si="6"/>
        <v>140</v>
      </c>
      <c r="N141">
        <f>VLOOKUP(表2[[#This Row],[SKU]],products!A:H,8,0)</f>
        <v>30</v>
      </c>
      <c r="O14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41">
        <f t="shared" si="7"/>
        <v>0</v>
      </c>
    </row>
    <row r="142" spans="1:16" x14ac:dyDescent="0.25">
      <c r="A142" t="s">
        <v>263</v>
      </c>
      <c r="B142" t="str">
        <f>VLOOKUP(A142,batches!A:B,2,0)</f>
        <v>SKU005</v>
      </c>
      <c r="C142" t="str">
        <f>VLOOKUP(批次库存!B142,products!A:B,2,0)</f>
        <v>桂花乌龙</v>
      </c>
      <c r="D142" t="str">
        <f>VLOOKUP(A142,batches!A:C,3,0)</f>
        <v>L005</v>
      </c>
      <c r="E142">
        <f>VLOOKUP(A142,batches!A:E,5,0)</f>
        <v>46301</v>
      </c>
      <c r="F142" t="str">
        <f>VLOOKUP(A142,batches!A:G,7,0)</f>
        <v>RELEASED</v>
      </c>
      <c r="G142">
        <f>SUMIFS(movements!H:H,movements!F:F,批次库存!A142,movements!D:D,"OPENING")</f>
        <v>0</v>
      </c>
      <c r="H142">
        <f>SUMIFS(movements!H:H,movements!F:F,批次库存!A142,movements!D:D,"RECEIPT")</f>
        <v>87</v>
      </c>
      <c r="I142">
        <f>SUMIFS(movements!H:H,movements!F:F,批次库存!A142,movements!D:D,"ISSUE")</f>
        <v>87</v>
      </c>
      <c r="J142">
        <f t="shared" si="8"/>
        <v>0</v>
      </c>
      <c r="K142">
        <f>VLOOKUP(表2[[#This Row],[SKU]],products!A:F,6,0)</f>
        <v>56.61</v>
      </c>
      <c r="L142">
        <f>J142*表2[[#This Row],[单价]]</f>
        <v>0</v>
      </c>
      <c r="M142">
        <f t="shared" si="6"/>
        <v>30</v>
      </c>
      <c r="N142">
        <f>VLOOKUP(表2[[#This Row],[SKU]],products!A:H,8,0)</f>
        <v>30</v>
      </c>
      <c r="O14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42">
        <f t="shared" si="7"/>
        <v>0</v>
      </c>
    </row>
    <row r="143" spans="1:16" x14ac:dyDescent="0.25">
      <c r="A143" t="s">
        <v>264</v>
      </c>
      <c r="B143" t="str">
        <f>VLOOKUP(A143,batches!A:B,2,0)</f>
        <v>SKU006</v>
      </c>
      <c r="C143" t="str">
        <f>VLOOKUP(批次库存!B143,products!A:B,2,0)</f>
        <v>焙火乌龙</v>
      </c>
      <c r="D143" t="str">
        <f>VLOOKUP(A143,batches!A:C,3,0)</f>
        <v>L006</v>
      </c>
      <c r="E143">
        <f>VLOOKUP(A143,batches!A:E,5,0)</f>
        <v>46276</v>
      </c>
      <c r="F143" t="str">
        <f>VLOOKUP(A143,batches!A:G,7,0)</f>
        <v>RELEASED</v>
      </c>
      <c r="G143">
        <f>SUMIFS(movements!H:H,movements!F:F,批次库存!A143,movements!D:D,"OPENING")</f>
        <v>0</v>
      </c>
      <c r="H143">
        <f>SUMIFS(movements!H:H,movements!F:F,批次库存!A143,movements!D:D,"RECEIPT")</f>
        <v>83</v>
      </c>
      <c r="I143">
        <f>SUMIFS(movements!H:H,movements!F:F,批次库存!A143,movements!D:D,"ISSUE")</f>
        <v>83</v>
      </c>
      <c r="J143">
        <f t="shared" si="8"/>
        <v>0</v>
      </c>
      <c r="K143">
        <f>VLOOKUP(表2[[#This Row],[SKU]],products!A:F,6,0)</f>
        <v>30.07</v>
      </c>
      <c r="L143">
        <f>J143*表2[[#This Row],[单价]]</f>
        <v>0</v>
      </c>
      <c r="M143">
        <f t="shared" si="6"/>
        <v>5</v>
      </c>
      <c r="N143">
        <f>VLOOKUP(表2[[#This Row],[SKU]],products!A:H,8,0)</f>
        <v>30</v>
      </c>
      <c r="O14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43">
        <f t="shared" si="7"/>
        <v>0</v>
      </c>
    </row>
    <row r="144" spans="1:16" x14ac:dyDescent="0.25">
      <c r="A144" t="s">
        <v>265</v>
      </c>
      <c r="B144" t="str">
        <f>VLOOKUP(A144,batches!A:B,2,0)</f>
        <v>SKU012</v>
      </c>
      <c r="C144" t="str">
        <f>VLOOKUP(批次库存!B144,products!A:B,2,0)</f>
        <v>黑糖糖浆</v>
      </c>
      <c r="D144" t="str">
        <f>VLOOKUP(A144,batches!A:C,3,0)</f>
        <v>L012</v>
      </c>
      <c r="E144">
        <f>VLOOKUP(A144,batches!A:E,5,0)</f>
        <v>46331</v>
      </c>
      <c r="F144" t="str">
        <f>VLOOKUP(A144,batches!A:G,7,0)</f>
        <v>RELEASED</v>
      </c>
      <c r="G144">
        <f>SUMIFS(movements!H:H,movements!F:F,批次库存!A144,movements!D:D,"OPENING")</f>
        <v>0</v>
      </c>
      <c r="H144">
        <f>SUMIFS(movements!H:H,movements!F:F,批次库存!A144,movements!D:D,"RECEIPT")</f>
        <v>69</v>
      </c>
      <c r="I144">
        <f>SUMIFS(movements!H:H,movements!F:F,批次库存!A144,movements!D:D,"ISSUE")</f>
        <v>55</v>
      </c>
      <c r="J144">
        <f t="shared" si="8"/>
        <v>14</v>
      </c>
      <c r="K144">
        <f>VLOOKUP(表2[[#This Row],[SKU]],products!A:F,6,0)</f>
        <v>77.959999999999994</v>
      </c>
      <c r="L144">
        <f>J144*表2[[#This Row],[单价]]</f>
        <v>1091.4399999999998</v>
      </c>
      <c r="M144">
        <f t="shared" si="6"/>
        <v>60</v>
      </c>
      <c r="N144">
        <f>VLOOKUP(表2[[#This Row],[SKU]],products!A:H,8,0)</f>
        <v>30</v>
      </c>
      <c r="O14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44">
        <f t="shared" si="7"/>
        <v>14</v>
      </c>
    </row>
    <row r="145" spans="1:16" x14ac:dyDescent="0.25">
      <c r="A145" t="s">
        <v>266</v>
      </c>
      <c r="B145" t="str">
        <f>VLOOKUP(A145,batches!A:B,2,0)</f>
        <v>SKU013</v>
      </c>
      <c r="C145" t="str">
        <f>VLOOKUP(批次库存!B145,products!A:B,2,0)</f>
        <v>香草糖浆</v>
      </c>
      <c r="D145" t="str">
        <f>VLOOKUP(A145,batches!A:C,3,0)</f>
        <v>L013</v>
      </c>
      <c r="E145">
        <f>VLOOKUP(A145,batches!A:E,5,0)</f>
        <v>46276</v>
      </c>
      <c r="F145" t="str">
        <f>VLOOKUP(A145,batches!A:G,7,0)</f>
        <v>RELEASED</v>
      </c>
      <c r="G145">
        <f>SUMIFS(movements!H:H,movements!F:F,批次库存!A145,movements!D:D,"OPENING")</f>
        <v>0</v>
      </c>
      <c r="H145">
        <f>SUMIFS(movements!H:H,movements!F:F,批次库存!A145,movements!D:D,"RECEIPT")</f>
        <v>71</v>
      </c>
      <c r="I145">
        <f>SUMIFS(movements!H:H,movements!F:F,批次库存!A145,movements!D:D,"ISSUE")</f>
        <v>71</v>
      </c>
      <c r="J145">
        <f t="shared" si="8"/>
        <v>0</v>
      </c>
      <c r="K145">
        <f>VLOOKUP(表2[[#This Row],[SKU]],products!A:F,6,0)</f>
        <v>70.63</v>
      </c>
      <c r="L145">
        <f>J145*表2[[#This Row],[单价]]</f>
        <v>0</v>
      </c>
      <c r="M145">
        <f t="shared" si="6"/>
        <v>5</v>
      </c>
      <c r="N145">
        <f>VLOOKUP(表2[[#This Row],[SKU]],products!A:H,8,0)</f>
        <v>30</v>
      </c>
      <c r="O14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45">
        <f t="shared" si="7"/>
        <v>0</v>
      </c>
    </row>
    <row r="146" spans="1:16" x14ac:dyDescent="0.25">
      <c r="A146" t="s">
        <v>267</v>
      </c>
      <c r="B146" t="str">
        <f>VLOOKUP(A146,batches!A:B,2,0)</f>
        <v>SKU014</v>
      </c>
      <c r="C146" t="str">
        <f>VLOOKUP(批次库存!B146,products!A:B,2,0)</f>
        <v>焦糖糖浆</v>
      </c>
      <c r="D146" t="str">
        <f>VLOOKUP(A146,batches!A:C,3,0)</f>
        <v>L014</v>
      </c>
      <c r="E146">
        <f>VLOOKUP(A146,batches!A:E,5,0)</f>
        <v>46276</v>
      </c>
      <c r="F146" t="str">
        <f>VLOOKUP(A146,batches!A:G,7,0)</f>
        <v>RELEASED</v>
      </c>
      <c r="G146">
        <f>SUMIFS(movements!H:H,movements!F:F,批次库存!A146,movements!D:D,"OPENING")</f>
        <v>0</v>
      </c>
      <c r="H146">
        <f>SUMIFS(movements!H:H,movements!F:F,批次库存!A146,movements!D:D,"RECEIPT")</f>
        <v>86</v>
      </c>
      <c r="I146">
        <f>SUMIFS(movements!H:H,movements!F:F,批次库存!A146,movements!D:D,"ISSUE")</f>
        <v>86</v>
      </c>
      <c r="J146">
        <f t="shared" si="8"/>
        <v>0</v>
      </c>
      <c r="K146">
        <f>VLOOKUP(表2[[#This Row],[SKU]],products!A:F,6,0)</f>
        <v>70.989999999999995</v>
      </c>
      <c r="L146">
        <f>J146*表2[[#This Row],[单价]]</f>
        <v>0</v>
      </c>
      <c r="M146">
        <f t="shared" si="6"/>
        <v>5</v>
      </c>
      <c r="N146">
        <f>VLOOKUP(表2[[#This Row],[SKU]],products!A:H,8,0)</f>
        <v>30</v>
      </c>
      <c r="O14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46">
        <f t="shared" si="7"/>
        <v>0</v>
      </c>
    </row>
    <row r="147" spans="1:16" x14ac:dyDescent="0.25">
      <c r="A147" t="s">
        <v>268</v>
      </c>
      <c r="B147" t="str">
        <f>VLOOKUP(A147,batches!A:B,2,0)</f>
        <v>SKU015</v>
      </c>
      <c r="C147" t="str">
        <f>VLOOKUP(批次库存!B147,products!A:B,2,0)</f>
        <v>果糖浆</v>
      </c>
      <c r="D147" t="str">
        <f>VLOOKUP(A147,batches!A:C,3,0)</f>
        <v>L015</v>
      </c>
      <c r="E147">
        <f>VLOOKUP(A147,batches!A:E,5,0)</f>
        <v>46331</v>
      </c>
      <c r="F147" t="str">
        <f>VLOOKUP(A147,batches!A:G,7,0)</f>
        <v>RELEASED</v>
      </c>
      <c r="G147">
        <f>SUMIFS(movements!H:H,movements!F:F,批次库存!A147,movements!D:D,"OPENING")</f>
        <v>0</v>
      </c>
      <c r="H147">
        <f>SUMIFS(movements!H:H,movements!F:F,批次库存!A147,movements!D:D,"RECEIPT")</f>
        <v>63</v>
      </c>
      <c r="I147">
        <f>SUMIFS(movements!H:H,movements!F:F,批次库存!A147,movements!D:D,"ISSUE")</f>
        <v>63</v>
      </c>
      <c r="J147">
        <f t="shared" si="8"/>
        <v>0</v>
      </c>
      <c r="K147">
        <f>VLOOKUP(表2[[#This Row],[SKU]],products!A:F,6,0)</f>
        <v>53.46</v>
      </c>
      <c r="L147">
        <f>J147*表2[[#This Row],[单价]]</f>
        <v>0</v>
      </c>
      <c r="M147">
        <f t="shared" si="6"/>
        <v>60</v>
      </c>
      <c r="N147">
        <f>VLOOKUP(表2[[#This Row],[SKU]],products!A:H,8,0)</f>
        <v>30</v>
      </c>
      <c r="O14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47">
        <f t="shared" si="7"/>
        <v>0</v>
      </c>
    </row>
    <row r="148" spans="1:16" x14ac:dyDescent="0.25">
      <c r="A148" t="s">
        <v>269</v>
      </c>
      <c r="B148" t="str">
        <f>VLOOKUP(A148,batches!A:B,2,0)</f>
        <v>SKU019</v>
      </c>
      <c r="C148" t="str">
        <f>VLOOKUP(批次库存!B148,products!A:B,2,0)</f>
        <v>常温全脂奶</v>
      </c>
      <c r="D148" t="str">
        <f>VLOOKUP(A148,batches!A:C,3,0)</f>
        <v>L019</v>
      </c>
      <c r="E148">
        <f>VLOOKUP(A148,batches!A:E,5,0)</f>
        <v>46411</v>
      </c>
      <c r="F148" t="str">
        <f>VLOOKUP(A148,batches!A:G,7,0)</f>
        <v>RELEASED</v>
      </c>
      <c r="G148">
        <f>SUMIFS(movements!H:H,movements!F:F,批次库存!A148,movements!D:D,"OPENING")</f>
        <v>0</v>
      </c>
      <c r="H148">
        <f>SUMIFS(movements!H:H,movements!F:F,批次库存!A148,movements!D:D,"RECEIPT")</f>
        <v>85</v>
      </c>
      <c r="I148">
        <f>SUMIFS(movements!H:H,movements!F:F,批次库存!A148,movements!D:D,"ISSUE")</f>
        <v>45</v>
      </c>
      <c r="J148">
        <f t="shared" si="8"/>
        <v>40</v>
      </c>
      <c r="K148">
        <f>VLOOKUP(表2[[#This Row],[SKU]],products!A:F,6,0)</f>
        <v>81.96</v>
      </c>
      <c r="L148">
        <f>J148*表2[[#This Row],[单价]]</f>
        <v>3278.3999999999996</v>
      </c>
      <c r="M148">
        <f t="shared" si="6"/>
        <v>140</v>
      </c>
      <c r="N148">
        <f>VLOOKUP(表2[[#This Row],[SKU]],products!A:H,8,0)</f>
        <v>30</v>
      </c>
      <c r="O14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48">
        <f t="shared" si="7"/>
        <v>40</v>
      </c>
    </row>
    <row r="149" spans="1:16" x14ac:dyDescent="0.25">
      <c r="A149" t="s">
        <v>270</v>
      </c>
      <c r="B149" t="str">
        <f>VLOOKUP(A149,batches!A:B,2,0)</f>
        <v>SKU021</v>
      </c>
      <c r="C149" t="str">
        <f>VLOOKUP(批次库存!B149,products!A:B,2,0)</f>
        <v>500ml杯</v>
      </c>
      <c r="D149" t="str">
        <f>VLOOKUP(A149,batches!A:C,3,0)</f>
        <v>L021</v>
      </c>
      <c r="E149">
        <f>VLOOKUP(A149,batches!A:E,5,0)</f>
        <v>46596</v>
      </c>
      <c r="F149" t="str">
        <f>VLOOKUP(A149,batches!A:G,7,0)</f>
        <v>RELEASED</v>
      </c>
      <c r="G149">
        <f>SUMIFS(movements!H:H,movements!F:F,批次库存!A149,movements!D:D,"OPENING")</f>
        <v>0</v>
      </c>
      <c r="H149">
        <f>SUMIFS(movements!H:H,movements!F:F,批次库存!A149,movements!D:D,"RECEIPT")</f>
        <v>60</v>
      </c>
      <c r="I149">
        <f>SUMIFS(movements!H:H,movements!F:F,批次库存!A149,movements!D:D,"ISSUE")</f>
        <v>60</v>
      </c>
      <c r="J149">
        <f t="shared" si="8"/>
        <v>0</v>
      </c>
      <c r="K149">
        <f>VLOOKUP(表2[[#This Row],[SKU]],products!A:F,6,0)</f>
        <v>20.77</v>
      </c>
      <c r="L149">
        <f>J149*表2[[#This Row],[单价]]</f>
        <v>0</v>
      </c>
      <c r="M149">
        <f t="shared" si="6"/>
        <v>325</v>
      </c>
      <c r="N149">
        <f>VLOOKUP(表2[[#This Row],[SKU]],products!A:H,8,0)</f>
        <v>60</v>
      </c>
      <c r="O14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49">
        <f t="shared" si="7"/>
        <v>0</v>
      </c>
    </row>
    <row r="150" spans="1:16" x14ac:dyDescent="0.25">
      <c r="A150" t="s">
        <v>271</v>
      </c>
      <c r="B150" t="str">
        <f>VLOOKUP(A150,batches!A:B,2,0)</f>
        <v>SKU023</v>
      </c>
      <c r="C150" t="str">
        <f>VLOOKUP(批次库存!B150,products!A:B,2,0)</f>
        <v>500ml杯盖</v>
      </c>
      <c r="D150" t="str">
        <f>VLOOKUP(A150,batches!A:C,3,0)</f>
        <v>L023</v>
      </c>
      <c r="E150">
        <f>VLOOKUP(A150,batches!A:E,5,0)</f>
        <v>46596</v>
      </c>
      <c r="F150" t="str">
        <f>VLOOKUP(A150,batches!A:G,7,0)</f>
        <v>RELEASED</v>
      </c>
      <c r="G150">
        <f>SUMIFS(movements!H:H,movements!F:F,批次库存!A150,movements!D:D,"OPENING")</f>
        <v>0</v>
      </c>
      <c r="H150">
        <f>SUMIFS(movements!H:H,movements!F:F,批次库存!A150,movements!D:D,"RECEIPT")</f>
        <v>81</v>
      </c>
      <c r="I150">
        <f>SUMIFS(movements!H:H,movements!F:F,批次库存!A150,movements!D:D,"ISSUE")</f>
        <v>81</v>
      </c>
      <c r="J150">
        <f t="shared" si="8"/>
        <v>0</v>
      </c>
      <c r="K150">
        <f>VLOOKUP(表2[[#This Row],[SKU]],products!A:F,6,0)</f>
        <v>12.46</v>
      </c>
      <c r="L150">
        <f>J150*表2[[#This Row],[单价]]</f>
        <v>0</v>
      </c>
      <c r="M150">
        <f t="shared" si="6"/>
        <v>325</v>
      </c>
      <c r="N150">
        <f>VLOOKUP(表2[[#This Row],[SKU]],products!A:H,8,0)</f>
        <v>60</v>
      </c>
      <c r="O15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50">
        <f t="shared" si="7"/>
        <v>0</v>
      </c>
    </row>
    <row r="151" spans="1:16" x14ac:dyDescent="0.25">
      <c r="A151" t="s">
        <v>272</v>
      </c>
      <c r="B151" t="str">
        <f>VLOOKUP(A151,batches!A:B,2,0)</f>
        <v>SKU027</v>
      </c>
      <c r="C151" t="str">
        <f>VLOOKUP(批次库存!B151,products!A:B,2,0)</f>
        <v>单杯袋</v>
      </c>
      <c r="D151" t="str">
        <f>VLOOKUP(A151,batches!A:C,3,0)</f>
        <v>L027</v>
      </c>
      <c r="E151">
        <f>VLOOKUP(A151,batches!A:E,5,0)</f>
        <v>46596</v>
      </c>
      <c r="F151" t="str">
        <f>VLOOKUP(A151,batches!A:G,7,0)</f>
        <v>RELEASED</v>
      </c>
      <c r="G151">
        <f>SUMIFS(movements!H:H,movements!F:F,批次库存!A151,movements!D:D,"OPENING")</f>
        <v>0</v>
      </c>
      <c r="H151">
        <f>SUMIFS(movements!H:H,movements!F:F,批次库存!A151,movements!D:D,"RECEIPT")</f>
        <v>74</v>
      </c>
      <c r="I151">
        <f>SUMIFS(movements!H:H,movements!F:F,批次库存!A151,movements!D:D,"ISSUE")</f>
        <v>74</v>
      </c>
      <c r="J151">
        <f t="shared" si="8"/>
        <v>0</v>
      </c>
      <c r="K151">
        <f>VLOOKUP(表2[[#This Row],[SKU]],products!A:F,6,0)</f>
        <v>30.89</v>
      </c>
      <c r="L151">
        <f>J151*表2[[#This Row],[单价]]</f>
        <v>0</v>
      </c>
      <c r="M151">
        <f t="shared" si="6"/>
        <v>325</v>
      </c>
      <c r="N151">
        <f>VLOOKUP(表2[[#This Row],[SKU]],products!A:H,8,0)</f>
        <v>60</v>
      </c>
      <c r="O15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51">
        <f t="shared" si="7"/>
        <v>0</v>
      </c>
    </row>
    <row r="152" spans="1:16" x14ac:dyDescent="0.25">
      <c r="A152" t="s">
        <v>273</v>
      </c>
      <c r="B152" t="str">
        <f>VLOOKUP(A152,batches!A:B,2,0)</f>
        <v>SKU028</v>
      </c>
      <c r="C152" t="str">
        <f>VLOOKUP(批次库存!B152,products!A:B,2,0)</f>
        <v>双杯袋</v>
      </c>
      <c r="D152" t="str">
        <f>VLOOKUP(A152,batches!A:C,3,0)</f>
        <v>L028</v>
      </c>
      <c r="E152">
        <f>VLOOKUP(A152,batches!A:E,5,0)</f>
        <v>46596</v>
      </c>
      <c r="F152" t="str">
        <f>VLOOKUP(A152,batches!A:G,7,0)</f>
        <v>RELEASED</v>
      </c>
      <c r="G152">
        <f>SUMIFS(movements!H:H,movements!F:F,批次库存!A152,movements!D:D,"OPENING")</f>
        <v>0</v>
      </c>
      <c r="H152">
        <f>SUMIFS(movements!H:H,movements!F:F,批次库存!A152,movements!D:D,"RECEIPT")</f>
        <v>86</v>
      </c>
      <c r="I152">
        <f>SUMIFS(movements!H:H,movements!F:F,批次库存!A152,movements!D:D,"ISSUE")</f>
        <v>86</v>
      </c>
      <c r="J152">
        <f t="shared" si="8"/>
        <v>0</v>
      </c>
      <c r="K152">
        <f>VLOOKUP(表2[[#This Row],[SKU]],products!A:F,6,0)</f>
        <v>55.53</v>
      </c>
      <c r="L152">
        <f>J152*表2[[#This Row],[单价]]</f>
        <v>0</v>
      </c>
      <c r="M152">
        <f t="shared" si="6"/>
        <v>325</v>
      </c>
      <c r="N152">
        <f>VLOOKUP(表2[[#This Row],[SKU]],products!A:H,8,0)</f>
        <v>60</v>
      </c>
      <c r="O15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52">
        <f t="shared" si="7"/>
        <v>0</v>
      </c>
    </row>
    <row r="153" spans="1:16" x14ac:dyDescent="0.25">
      <c r="A153" t="s">
        <v>274</v>
      </c>
      <c r="B153" t="str">
        <f>VLOOKUP(A153,batches!A:B,2,0)</f>
        <v>SKU001</v>
      </c>
      <c r="C153" t="str">
        <f>VLOOKUP(批次库存!B153,products!A:B,2,0)</f>
        <v>茉莉绿茶</v>
      </c>
      <c r="D153" t="str">
        <f>VLOOKUP(A153,batches!A:C,3,0)</f>
        <v>L001</v>
      </c>
      <c r="E153">
        <f>VLOOKUP(A153,batches!A:E,5,0)</f>
        <v>46418</v>
      </c>
      <c r="F153" t="str">
        <f>VLOOKUP(A153,batches!A:G,7,0)</f>
        <v>RELEASED</v>
      </c>
      <c r="G153">
        <f>SUMIFS(movements!H:H,movements!F:F,批次库存!A153,movements!D:D,"OPENING")</f>
        <v>0</v>
      </c>
      <c r="H153">
        <f>SUMIFS(movements!H:H,movements!F:F,批次库存!A153,movements!D:D,"RECEIPT")</f>
        <v>88</v>
      </c>
      <c r="I153">
        <f>SUMIFS(movements!H:H,movements!F:F,批次库存!A153,movements!D:D,"ISSUE")</f>
        <v>88</v>
      </c>
      <c r="J153">
        <f t="shared" si="8"/>
        <v>0</v>
      </c>
      <c r="K153">
        <f>VLOOKUP(表2[[#This Row],[SKU]],products!A:F,6,0)</f>
        <v>79.760000000000005</v>
      </c>
      <c r="L153">
        <f>J153*表2[[#This Row],[单价]]</f>
        <v>0</v>
      </c>
      <c r="M153">
        <f t="shared" si="6"/>
        <v>147</v>
      </c>
      <c r="N153">
        <f>VLOOKUP(表2[[#This Row],[SKU]],products!A:H,8,0)</f>
        <v>30</v>
      </c>
      <c r="O15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53">
        <f t="shared" si="7"/>
        <v>0</v>
      </c>
    </row>
    <row r="154" spans="1:16" x14ac:dyDescent="0.25">
      <c r="A154" t="s">
        <v>275</v>
      </c>
      <c r="B154" t="str">
        <f>VLOOKUP(A154,batches!A:B,2,0)</f>
        <v>SKU002</v>
      </c>
      <c r="C154" t="str">
        <f>VLOOKUP(批次库存!B154,products!A:B,2,0)</f>
        <v>红茶</v>
      </c>
      <c r="D154" t="str">
        <f>VLOOKUP(A154,batches!A:C,3,0)</f>
        <v>L002</v>
      </c>
      <c r="E154">
        <f>VLOOKUP(A154,batches!A:E,5,0)</f>
        <v>46308</v>
      </c>
      <c r="F154" t="str">
        <f>VLOOKUP(A154,batches!A:G,7,0)</f>
        <v>RELEASED</v>
      </c>
      <c r="G154">
        <f>SUMIFS(movements!H:H,movements!F:F,批次库存!A154,movements!D:D,"OPENING")</f>
        <v>0</v>
      </c>
      <c r="H154">
        <f>SUMIFS(movements!H:H,movements!F:F,批次库存!A154,movements!D:D,"RECEIPT")</f>
        <v>90</v>
      </c>
      <c r="I154">
        <f>SUMIFS(movements!H:H,movements!F:F,批次库存!A154,movements!D:D,"ISSUE")</f>
        <v>90</v>
      </c>
      <c r="J154">
        <f t="shared" si="8"/>
        <v>0</v>
      </c>
      <c r="K154">
        <f>VLOOKUP(表2[[#This Row],[SKU]],products!A:F,6,0)</f>
        <v>78.48</v>
      </c>
      <c r="L154">
        <f>J154*表2[[#This Row],[单价]]</f>
        <v>0</v>
      </c>
      <c r="M154">
        <f t="shared" si="6"/>
        <v>37</v>
      </c>
      <c r="N154">
        <f>VLOOKUP(表2[[#This Row],[SKU]],products!A:H,8,0)</f>
        <v>30</v>
      </c>
      <c r="O15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54">
        <f t="shared" si="7"/>
        <v>0</v>
      </c>
    </row>
    <row r="155" spans="1:16" x14ac:dyDescent="0.25">
      <c r="A155" t="s">
        <v>276</v>
      </c>
      <c r="B155" t="str">
        <f>VLOOKUP(A155,batches!A:B,2,0)</f>
        <v>SKU003</v>
      </c>
      <c r="C155" t="str">
        <f>VLOOKUP(批次库存!B155,products!A:B,2,0)</f>
        <v>乌龙茶</v>
      </c>
      <c r="D155" t="str">
        <f>VLOOKUP(A155,batches!A:C,3,0)</f>
        <v>L003</v>
      </c>
      <c r="E155">
        <f>VLOOKUP(A155,batches!A:E,5,0)</f>
        <v>46308</v>
      </c>
      <c r="F155" t="str">
        <f>VLOOKUP(A155,batches!A:G,7,0)</f>
        <v>RELEASED</v>
      </c>
      <c r="G155">
        <f>SUMIFS(movements!H:H,movements!F:F,批次库存!A155,movements!D:D,"OPENING")</f>
        <v>0</v>
      </c>
      <c r="H155">
        <f>SUMIFS(movements!H:H,movements!F:F,批次库存!A155,movements!D:D,"RECEIPT")</f>
        <v>68</v>
      </c>
      <c r="I155">
        <f>SUMIFS(movements!H:H,movements!F:F,批次库存!A155,movements!D:D,"ISSUE")</f>
        <v>68</v>
      </c>
      <c r="J155">
        <f t="shared" si="8"/>
        <v>0</v>
      </c>
      <c r="K155">
        <f>VLOOKUP(表2[[#This Row],[SKU]],products!A:F,6,0)</f>
        <v>41.99</v>
      </c>
      <c r="L155">
        <f>J155*表2[[#This Row],[单价]]</f>
        <v>0</v>
      </c>
      <c r="M155">
        <f t="shared" si="6"/>
        <v>37</v>
      </c>
      <c r="N155">
        <f>VLOOKUP(表2[[#This Row],[SKU]],products!A:H,8,0)</f>
        <v>30</v>
      </c>
      <c r="O15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55">
        <f t="shared" si="7"/>
        <v>0</v>
      </c>
    </row>
    <row r="156" spans="1:16" x14ac:dyDescent="0.25">
      <c r="A156" t="s">
        <v>277</v>
      </c>
      <c r="B156" t="str">
        <f>VLOOKUP(A156,batches!A:B,2,0)</f>
        <v>SKU004</v>
      </c>
      <c r="C156" t="str">
        <f>VLOOKUP(批次库存!B156,products!A:B,2,0)</f>
        <v>四季春茶</v>
      </c>
      <c r="D156" t="str">
        <f>VLOOKUP(A156,batches!A:C,3,0)</f>
        <v>L004</v>
      </c>
      <c r="E156">
        <f>VLOOKUP(A156,batches!A:E,5,0)</f>
        <v>46418</v>
      </c>
      <c r="F156" t="str">
        <f>VLOOKUP(A156,batches!A:G,7,0)</f>
        <v>RELEASED</v>
      </c>
      <c r="G156">
        <f>SUMIFS(movements!H:H,movements!F:F,批次库存!A156,movements!D:D,"OPENING")</f>
        <v>0</v>
      </c>
      <c r="H156">
        <f>SUMIFS(movements!H:H,movements!F:F,批次库存!A156,movements!D:D,"RECEIPT")</f>
        <v>84</v>
      </c>
      <c r="I156">
        <f>SUMIFS(movements!H:H,movements!F:F,批次库存!A156,movements!D:D,"ISSUE")</f>
        <v>84</v>
      </c>
      <c r="J156">
        <f t="shared" si="8"/>
        <v>0</v>
      </c>
      <c r="K156">
        <f>VLOOKUP(表2[[#This Row],[SKU]],products!A:F,6,0)</f>
        <v>70.39</v>
      </c>
      <c r="L156">
        <f>J156*表2[[#This Row],[单价]]</f>
        <v>0</v>
      </c>
      <c r="M156">
        <f t="shared" si="6"/>
        <v>147</v>
      </c>
      <c r="N156">
        <f>VLOOKUP(表2[[#This Row],[SKU]],products!A:H,8,0)</f>
        <v>30</v>
      </c>
      <c r="O15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56">
        <f t="shared" si="7"/>
        <v>0</v>
      </c>
    </row>
    <row r="157" spans="1:16" x14ac:dyDescent="0.25">
      <c r="A157" t="s">
        <v>278</v>
      </c>
      <c r="B157" t="str">
        <f>VLOOKUP(A157,batches!A:B,2,0)</f>
        <v>SKU005</v>
      </c>
      <c r="C157" t="str">
        <f>VLOOKUP(批次库存!B157,products!A:B,2,0)</f>
        <v>桂花乌龙</v>
      </c>
      <c r="D157" t="str">
        <f>VLOOKUP(A157,batches!A:C,3,0)</f>
        <v>L005</v>
      </c>
      <c r="E157">
        <f>VLOOKUP(A157,batches!A:E,5,0)</f>
        <v>46283</v>
      </c>
      <c r="F157" t="str">
        <f>VLOOKUP(A157,batches!A:G,7,0)</f>
        <v>RELEASED</v>
      </c>
      <c r="G157">
        <f>SUMIFS(movements!H:H,movements!F:F,批次库存!A157,movements!D:D,"OPENING")</f>
        <v>0</v>
      </c>
      <c r="H157">
        <f>SUMIFS(movements!H:H,movements!F:F,批次库存!A157,movements!D:D,"RECEIPT")</f>
        <v>74</v>
      </c>
      <c r="I157">
        <f>SUMIFS(movements!H:H,movements!F:F,批次库存!A157,movements!D:D,"ISSUE")</f>
        <v>74</v>
      </c>
      <c r="J157">
        <f t="shared" si="8"/>
        <v>0</v>
      </c>
      <c r="K157">
        <f>VLOOKUP(表2[[#This Row],[SKU]],products!A:F,6,0)</f>
        <v>56.61</v>
      </c>
      <c r="L157">
        <f>J157*表2[[#This Row],[单价]]</f>
        <v>0</v>
      </c>
      <c r="M157">
        <f t="shared" si="6"/>
        <v>12</v>
      </c>
      <c r="N157">
        <f>VLOOKUP(表2[[#This Row],[SKU]],products!A:H,8,0)</f>
        <v>30</v>
      </c>
      <c r="O15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57">
        <f t="shared" si="7"/>
        <v>0</v>
      </c>
    </row>
    <row r="158" spans="1:16" x14ac:dyDescent="0.25">
      <c r="A158" t="s">
        <v>279</v>
      </c>
      <c r="B158" t="str">
        <f>VLOOKUP(A158,batches!A:B,2,0)</f>
        <v>SKU006</v>
      </c>
      <c r="C158" t="str">
        <f>VLOOKUP(批次库存!B158,products!A:B,2,0)</f>
        <v>焙火乌龙</v>
      </c>
      <c r="D158" t="str">
        <f>VLOOKUP(A158,batches!A:C,3,0)</f>
        <v>L006</v>
      </c>
      <c r="E158">
        <f>VLOOKUP(A158,batches!A:E,5,0)</f>
        <v>46418</v>
      </c>
      <c r="F158" t="str">
        <f>VLOOKUP(A158,batches!A:G,7,0)</f>
        <v>RELEASED</v>
      </c>
      <c r="G158">
        <f>SUMIFS(movements!H:H,movements!F:F,批次库存!A158,movements!D:D,"OPENING")</f>
        <v>0</v>
      </c>
      <c r="H158">
        <f>SUMIFS(movements!H:H,movements!F:F,批次库存!A158,movements!D:D,"RECEIPT")</f>
        <v>65</v>
      </c>
      <c r="I158">
        <f>SUMIFS(movements!H:H,movements!F:F,批次库存!A158,movements!D:D,"ISSUE")</f>
        <v>49</v>
      </c>
      <c r="J158">
        <f t="shared" si="8"/>
        <v>16</v>
      </c>
      <c r="K158">
        <f>VLOOKUP(表2[[#This Row],[SKU]],products!A:F,6,0)</f>
        <v>30.07</v>
      </c>
      <c r="L158">
        <f>J158*表2[[#This Row],[单价]]</f>
        <v>481.12</v>
      </c>
      <c r="M158">
        <f t="shared" si="6"/>
        <v>147</v>
      </c>
      <c r="N158">
        <f>VLOOKUP(表2[[#This Row],[SKU]],products!A:H,8,0)</f>
        <v>30</v>
      </c>
      <c r="O15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58">
        <f t="shared" si="7"/>
        <v>16</v>
      </c>
    </row>
    <row r="159" spans="1:16" x14ac:dyDescent="0.25">
      <c r="A159" t="s">
        <v>280</v>
      </c>
      <c r="B159" t="str">
        <f>VLOOKUP(A159,batches!A:B,2,0)</f>
        <v>SKU009</v>
      </c>
      <c r="C159" t="str">
        <f>VLOOKUP(批次库存!B159,products!A:B,2,0)</f>
        <v>龙井茶</v>
      </c>
      <c r="D159" t="str">
        <f>VLOOKUP(A159,batches!A:C,3,0)</f>
        <v>L009</v>
      </c>
      <c r="E159">
        <f>VLOOKUP(A159,batches!A:E,5,0)</f>
        <v>46418</v>
      </c>
      <c r="F159" t="str">
        <f>VLOOKUP(A159,batches!A:G,7,0)</f>
        <v>RELEASED</v>
      </c>
      <c r="G159">
        <f>SUMIFS(movements!H:H,movements!F:F,批次库存!A159,movements!D:D,"OPENING")</f>
        <v>0</v>
      </c>
      <c r="H159">
        <f>SUMIFS(movements!H:H,movements!F:F,批次库存!A159,movements!D:D,"RECEIPT")</f>
        <v>78</v>
      </c>
      <c r="I159">
        <f>SUMIFS(movements!H:H,movements!F:F,批次库存!A159,movements!D:D,"ISSUE")</f>
        <v>5</v>
      </c>
      <c r="J159">
        <f t="shared" si="8"/>
        <v>73</v>
      </c>
      <c r="K159">
        <f>VLOOKUP(表2[[#This Row],[SKU]],products!A:F,6,0)</f>
        <v>21.12</v>
      </c>
      <c r="L159">
        <f>J159*表2[[#This Row],[单价]]</f>
        <v>1541.76</v>
      </c>
      <c r="M159">
        <f t="shared" si="6"/>
        <v>147</v>
      </c>
      <c r="N159">
        <f>VLOOKUP(表2[[#This Row],[SKU]],products!A:H,8,0)</f>
        <v>30</v>
      </c>
      <c r="O15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59">
        <f t="shared" si="7"/>
        <v>73</v>
      </c>
    </row>
    <row r="160" spans="1:16" x14ac:dyDescent="0.25">
      <c r="A160" t="s">
        <v>281</v>
      </c>
      <c r="B160" t="str">
        <f>VLOOKUP(A160,batches!A:B,2,0)</f>
        <v>SKU011</v>
      </c>
      <c r="C160" t="str">
        <f>VLOOKUP(批次库存!B160,products!A:B,2,0)</f>
        <v>原味糖浆</v>
      </c>
      <c r="D160" t="str">
        <f>VLOOKUP(A160,batches!A:C,3,0)</f>
        <v>L011</v>
      </c>
      <c r="E160">
        <f>VLOOKUP(A160,batches!A:E,5,0)</f>
        <v>46418</v>
      </c>
      <c r="F160" t="str">
        <f>VLOOKUP(A160,batches!A:G,7,0)</f>
        <v>RELEASED</v>
      </c>
      <c r="G160">
        <f>SUMIFS(movements!H:H,movements!F:F,批次库存!A160,movements!D:D,"OPENING")</f>
        <v>0</v>
      </c>
      <c r="H160">
        <f>SUMIFS(movements!H:H,movements!F:F,批次库存!A160,movements!D:D,"RECEIPT")</f>
        <v>85</v>
      </c>
      <c r="I160">
        <f>SUMIFS(movements!H:H,movements!F:F,批次库存!A160,movements!D:D,"ISSUE")</f>
        <v>57</v>
      </c>
      <c r="J160">
        <f t="shared" si="8"/>
        <v>28</v>
      </c>
      <c r="K160">
        <f>VLOOKUP(表2[[#This Row],[SKU]],products!A:F,6,0)</f>
        <v>24.06</v>
      </c>
      <c r="L160">
        <f>J160*表2[[#This Row],[单价]]</f>
        <v>673.68</v>
      </c>
      <c r="M160">
        <f t="shared" si="6"/>
        <v>147</v>
      </c>
      <c r="N160">
        <f>VLOOKUP(表2[[#This Row],[SKU]],products!A:H,8,0)</f>
        <v>30</v>
      </c>
      <c r="O16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60">
        <f t="shared" si="7"/>
        <v>28</v>
      </c>
    </row>
    <row r="161" spans="1:16" x14ac:dyDescent="0.25">
      <c r="A161" t="s">
        <v>282</v>
      </c>
      <c r="B161" t="str">
        <f>VLOOKUP(A161,batches!A:B,2,0)</f>
        <v>SKU015</v>
      </c>
      <c r="C161" t="str">
        <f>VLOOKUP(批次库存!B161,products!A:B,2,0)</f>
        <v>果糖浆</v>
      </c>
      <c r="D161" t="str">
        <f>VLOOKUP(A161,batches!A:C,3,0)</f>
        <v>L015</v>
      </c>
      <c r="E161">
        <f>VLOOKUP(A161,batches!A:E,5,0)</f>
        <v>46418</v>
      </c>
      <c r="F161" t="str">
        <f>VLOOKUP(A161,batches!A:G,7,0)</f>
        <v>RELEASED</v>
      </c>
      <c r="G161">
        <f>SUMIFS(movements!H:H,movements!F:F,批次库存!A161,movements!D:D,"OPENING")</f>
        <v>0</v>
      </c>
      <c r="H161">
        <f>SUMIFS(movements!H:H,movements!F:F,批次库存!A161,movements!D:D,"RECEIPT")</f>
        <v>100</v>
      </c>
      <c r="I161">
        <f>SUMIFS(movements!H:H,movements!F:F,批次库存!A161,movements!D:D,"ISSUE")</f>
        <v>16</v>
      </c>
      <c r="J161">
        <f t="shared" si="8"/>
        <v>84</v>
      </c>
      <c r="K161">
        <f>VLOOKUP(表2[[#This Row],[SKU]],products!A:F,6,0)</f>
        <v>53.46</v>
      </c>
      <c r="L161">
        <f>J161*表2[[#This Row],[单价]]</f>
        <v>4490.6400000000003</v>
      </c>
      <c r="M161">
        <f t="shared" si="6"/>
        <v>147</v>
      </c>
      <c r="N161">
        <f>VLOOKUP(表2[[#This Row],[SKU]],products!A:H,8,0)</f>
        <v>30</v>
      </c>
      <c r="O16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61">
        <f t="shared" si="7"/>
        <v>84</v>
      </c>
    </row>
    <row r="162" spans="1:16" x14ac:dyDescent="0.25">
      <c r="A162" t="s">
        <v>283</v>
      </c>
      <c r="B162" t="str">
        <f>VLOOKUP(A162,batches!A:B,2,0)</f>
        <v>SKU021</v>
      </c>
      <c r="C162" t="str">
        <f>VLOOKUP(批次库存!B162,products!A:B,2,0)</f>
        <v>500ml杯</v>
      </c>
      <c r="D162" t="str">
        <f>VLOOKUP(A162,batches!A:C,3,0)</f>
        <v>L021</v>
      </c>
      <c r="E162">
        <f>VLOOKUP(A162,batches!A:E,5,0)</f>
        <v>46603</v>
      </c>
      <c r="F162" t="str">
        <f>VLOOKUP(A162,batches!A:G,7,0)</f>
        <v>RELEASED</v>
      </c>
      <c r="G162">
        <f>SUMIFS(movements!H:H,movements!F:F,批次库存!A162,movements!D:D,"OPENING")</f>
        <v>0</v>
      </c>
      <c r="H162">
        <f>SUMIFS(movements!H:H,movements!F:F,批次库存!A162,movements!D:D,"RECEIPT")</f>
        <v>97</v>
      </c>
      <c r="I162">
        <f>SUMIFS(movements!H:H,movements!F:F,批次库存!A162,movements!D:D,"ISSUE")</f>
        <v>62</v>
      </c>
      <c r="J162">
        <f t="shared" si="8"/>
        <v>35</v>
      </c>
      <c r="K162">
        <f>VLOOKUP(表2[[#This Row],[SKU]],products!A:F,6,0)</f>
        <v>20.77</v>
      </c>
      <c r="L162">
        <f>J162*表2[[#This Row],[单价]]</f>
        <v>726.94999999999993</v>
      </c>
      <c r="M162">
        <f t="shared" si="6"/>
        <v>332</v>
      </c>
      <c r="N162">
        <f>VLOOKUP(表2[[#This Row],[SKU]],products!A:H,8,0)</f>
        <v>60</v>
      </c>
      <c r="O16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62">
        <f t="shared" si="7"/>
        <v>35</v>
      </c>
    </row>
    <row r="163" spans="1:16" x14ac:dyDescent="0.25">
      <c r="A163" t="s">
        <v>284</v>
      </c>
      <c r="B163" t="str">
        <f>VLOOKUP(A163,batches!A:B,2,0)</f>
        <v>SKU022</v>
      </c>
      <c r="C163" t="str">
        <f>VLOOKUP(批次库存!B163,products!A:B,2,0)</f>
        <v>700ml杯</v>
      </c>
      <c r="D163" t="str">
        <f>VLOOKUP(A163,batches!A:C,3,0)</f>
        <v>L022</v>
      </c>
      <c r="E163">
        <f>VLOOKUP(A163,batches!A:E,5,0)</f>
        <v>46603</v>
      </c>
      <c r="F163" t="str">
        <f>VLOOKUP(A163,batches!A:G,7,0)</f>
        <v>RELEASED</v>
      </c>
      <c r="G163">
        <f>SUMIFS(movements!H:H,movements!F:F,批次库存!A163,movements!D:D,"OPENING")</f>
        <v>0</v>
      </c>
      <c r="H163">
        <f>SUMIFS(movements!H:H,movements!F:F,批次库存!A163,movements!D:D,"RECEIPT")</f>
        <v>68</v>
      </c>
      <c r="I163">
        <f>SUMIFS(movements!H:H,movements!F:F,批次库存!A163,movements!D:D,"ISSUE")</f>
        <v>68</v>
      </c>
      <c r="J163">
        <f t="shared" si="8"/>
        <v>0</v>
      </c>
      <c r="K163">
        <f>VLOOKUP(表2[[#This Row],[SKU]],products!A:F,6,0)</f>
        <v>16.36</v>
      </c>
      <c r="L163">
        <f>J163*表2[[#This Row],[单价]]</f>
        <v>0</v>
      </c>
      <c r="M163">
        <f t="shared" si="6"/>
        <v>332</v>
      </c>
      <c r="N163">
        <f>VLOOKUP(表2[[#This Row],[SKU]],products!A:H,8,0)</f>
        <v>60</v>
      </c>
      <c r="O16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63">
        <f t="shared" si="7"/>
        <v>0</v>
      </c>
    </row>
    <row r="164" spans="1:16" x14ac:dyDescent="0.25">
      <c r="A164" t="s">
        <v>285</v>
      </c>
      <c r="B164" t="str">
        <f>VLOOKUP(A164,batches!A:B,2,0)</f>
        <v>SKU001</v>
      </c>
      <c r="C164" t="str">
        <f>VLOOKUP(批次库存!B164,products!A:B,2,0)</f>
        <v>茉莉绿茶</v>
      </c>
      <c r="D164" t="str">
        <f>VLOOKUP(A164,batches!A:C,3,0)</f>
        <v>L001</v>
      </c>
      <c r="E164">
        <f>VLOOKUP(A164,batches!A:E,5,0)</f>
        <v>46425</v>
      </c>
      <c r="F164" t="str">
        <f>VLOOKUP(A164,batches!A:G,7,0)</f>
        <v>RELEASED</v>
      </c>
      <c r="G164">
        <f>SUMIFS(movements!H:H,movements!F:F,批次库存!A164,movements!D:D,"OPENING")</f>
        <v>0</v>
      </c>
      <c r="H164">
        <f>SUMIFS(movements!H:H,movements!F:F,批次库存!A164,movements!D:D,"RECEIPT")</f>
        <v>87</v>
      </c>
      <c r="I164">
        <f>SUMIFS(movements!H:H,movements!F:F,批次库存!A164,movements!D:D,"ISSUE")</f>
        <v>87</v>
      </c>
      <c r="J164">
        <f t="shared" si="8"/>
        <v>0</v>
      </c>
      <c r="K164">
        <f>VLOOKUP(表2[[#This Row],[SKU]],products!A:F,6,0)</f>
        <v>79.760000000000005</v>
      </c>
      <c r="L164">
        <f>J164*表2[[#This Row],[单价]]</f>
        <v>0</v>
      </c>
      <c r="M164">
        <f t="shared" si="6"/>
        <v>154</v>
      </c>
      <c r="N164">
        <f>VLOOKUP(表2[[#This Row],[SKU]],products!A:H,8,0)</f>
        <v>30</v>
      </c>
      <c r="O16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64">
        <f t="shared" si="7"/>
        <v>0</v>
      </c>
    </row>
    <row r="165" spans="1:16" x14ac:dyDescent="0.25">
      <c r="A165" t="s">
        <v>286</v>
      </c>
      <c r="B165" t="str">
        <f>VLOOKUP(A165,batches!A:B,2,0)</f>
        <v>SKU002</v>
      </c>
      <c r="C165" t="str">
        <f>VLOOKUP(批次库存!B165,products!A:B,2,0)</f>
        <v>红茶</v>
      </c>
      <c r="D165" t="str">
        <f>VLOOKUP(A165,batches!A:C,3,0)</f>
        <v>L002</v>
      </c>
      <c r="E165">
        <f>VLOOKUP(A165,batches!A:E,5,0)</f>
        <v>46345</v>
      </c>
      <c r="F165" t="str">
        <f>VLOOKUP(A165,batches!A:G,7,0)</f>
        <v>RELEASED</v>
      </c>
      <c r="G165">
        <f>SUMIFS(movements!H:H,movements!F:F,批次库存!A165,movements!D:D,"OPENING")</f>
        <v>0</v>
      </c>
      <c r="H165">
        <f>SUMIFS(movements!H:H,movements!F:F,批次库存!A165,movements!D:D,"RECEIPT")</f>
        <v>71</v>
      </c>
      <c r="I165">
        <f>SUMIFS(movements!H:H,movements!F:F,批次库存!A165,movements!D:D,"ISSUE")</f>
        <v>59</v>
      </c>
      <c r="J165">
        <f t="shared" si="8"/>
        <v>12</v>
      </c>
      <c r="K165">
        <f>VLOOKUP(表2[[#This Row],[SKU]],products!A:F,6,0)</f>
        <v>78.48</v>
      </c>
      <c r="L165">
        <f>J165*表2[[#This Row],[单价]]</f>
        <v>941.76</v>
      </c>
      <c r="M165">
        <f t="shared" si="6"/>
        <v>74</v>
      </c>
      <c r="N165">
        <f>VLOOKUP(表2[[#This Row],[SKU]],products!A:H,8,0)</f>
        <v>30</v>
      </c>
      <c r="O16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65">
        <f t="shared" si="7"/>
        <v>12</v>
      </c>
    </row>
    <row r="166" spans="1:16" x14ac:dyDescent="0.25">
      <c r="A166" t="s">
        <v>287</v>
      </c>
      <c r="B166" t="str">
        <f>VLOOKUP(A166,batches!A:B,2,0)</f>
        <v>SKU003</v>
      </c>
      <c r="C166" t="str">
        <f>VLOOKUP(批次库存!B166,products!A:B,2,0)</f>
        <v>乌龙茶</v>
      </c>
      <c r="D166" t="str">
        <f>VLOOKUP(A166,batches!A:C,3,0)</f>
        <v>L003</v>
      </c>
      <c r="E166">
        <f>VLOOKUP(A166,batches!A:E,5,0)</f>
        <v>46315</v>
      </c>
      <c r="F166" t="str">
        <f>VLOOKUP(A166,batches!A:G,7,0)</f>
        <v>RELEASED</v>
      </c>
      <c r="G166">
        <f>SUMIFS(movements!H:H,movements!F:F,批次库存!A166,movements!D:D,"OPENING")</f>
        <v>0</v>
      </c>
      <c r="H166">
        <f>SUMIFS(movements!H:H,movements!F:F,批次库存!A166,movements!D:D,"RECEIPT")</f>
        <v>93</v>
      </c>
      <c r="I166">
        <f>SUMIFS(movements!H:H,movements!F:F,批次库存!A166,movements!D:D,"ISSUE")</f>
        <v>93</v>
      </c>
      <c r="J166">
        <f t="shared" si="8"/>
        <v>0</v>
      </c>
      <c r="K166">
        <f>VLOOKUP(表2[[#This Row],[SKU]],products!A:F,6,0)</f>
        <v>41.99</v>
      </c>
      <c r="L166">
        <f>J166*表2[[#This Row],[单价]]</f>
        <v>0</v>
      </c>
      <c r="M166">
        <f t="shared" si="6"/>
        <v>44</v>
      </c>
      <c r="N166">
        <f>VLOOKUP(表2[[#This Row],[SKU]],products!A:H,8,0)</f>
        <v>30</v>
      </c>
      <c r="O16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66">
        <f t="shared" si="7"/>
        <v>0</v>
      </c>
    </row>
    <row r="167" spans="1:16" x14ac:dyDescent="0.25">
      <c r="A167" t="s">
        <v>288</v>
      </c>
      <c r="B167" t="str">
        <f>VLOOKUP(A167,batches!A:B,2,0)</f>
        <v>SKU004</v>
      </c>
      <c r="C167" t="str">
        <f>VLOOKUP(批次库存!B167,products!A:B,2,0)</f>
        <v>四季春茶</v>
      </c>
      <c r="D167" t="str">
        <f>VLOOKUP(A167,batches!A:C,3,0)</f>
        <v>L004</v>
      </c>
      <c r="E167">
        <f>VLOOKUP(A167,batches!A:E,5,0)</f>
        <v>46290</v>
      </c>
      <c r="F167" t="str">
        <f>VLOOKUP(A167,batches!A:G,7,0)</f>
        <v>RELEASED</v>
      </c>
      <c r="G167">
        <f>SUMIFS(movements!H:H,movements!F:F,批次库存!A167,movements!D:D,"OPENING")</f>
        <v>0</v>
      </c>
      <c r="H167">
        <f>SUMIFS(movements!H:H,movements!F:F,批次库存!A167,movements!D:D,"RECEIPT")</f>
        <v>62</v>
      </c>
      <c r="I167">
        <f>SUMIFS(movements!H:H,movements!F:F,批次库存!A167,movements!D:D,"ISSUE")</f>
        <v>62</v>
      </c>
      <c r="J167">
        <f t="shared" si="8"/>
        <v>0</v>
      </c>
      <c r="K167">
        <f>VLOOKUP(表2[[#This Row],[SKU]],products!A:F,6,0)</f>
        <v>70.39</v>
      </c>
      <c r="L167">
        <f>J167*表2[[#This Row],[单价]]</f>
        <v>0</v>
      </c>
      <c r="M167">
        <f t="shared" si="6"/>
        <v>19</v>
      </c>
      <c r="N167">
        <f>VLOOKUP(表2[[#This Row],[SKU]],products!A:H,8,0)</f>
        <v>30</v>
      </c>
      <c r="O16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67">
        <f t="shared" si="7"/>
        <v>0</v>
      </c>
    </row>
    <row r="168" spans="1:16" x14ac:dyDescent="0.25">
      <c r="A168" t="s">
        <v>289</v>
      </c>
      <c r="B168" t="str">
        <f>VLOOKUP(A168,batches!A:B,2,0)</f>
        <v>SKU005</v>
      </c>
      <c r="C168" t="str">
        <f>VLOOKUP(批次库存!B168,products!A:B,2,0)</f>
        <v>桂花乌龙</v>
      </c>
      <c r="D168" t="str">
        <f>VLOOKUP(A168,batches!A:C,3,0)</f>
        <v>L005</v>
      </c>
      <c r="E168">
        <f>VLOOKUP(A168,batches!A:E,5,0)</f>
        <v>46425</v>
      </c>
      <c r="F168" t="str">
        <f>VLOOKUP(A168,batches!A:G,7,0)</f>
        <v>RELEASED</v>
      </c>
      <c r="G168">
        <f>SUMIFS(movements!H:H,movements!F:F,批次库存!A168,movements!D:D,"OPENING")</f>
        <v>0</v>
      </c>
      <c r="H168">
        <f>SUMIFS(movements!H:H,movements!F:F,批次库存!A168,movements!D:D,"RECEIPT")</f>
        <v>80</v>
      </c>
      <c r="I168">
        <f>SUMIFS(movements!H:H,movements!F:F,批次库存!A168,movements!D:D,"ISSUE")</f>
        <v>0</v>
      </c>
      <c r="J168">
        <f t="shared" si="8"/>
        <v>80</v>
      </c>
      <c r="K168">
        <f>VLOOKUP(表2[[#This Row],[SKU]],products!A:F,6,0)</f>
        <v>56.61</v>
      </c>
      <c r="L168">
        <f>J168*表2[[#This Row],[单价]]</f>
        <v>4528.8</v>
      </c>
      <c r="M168">
        <f t="shared" si="6"/>
        <v>154</v>
      </c>
      <c r="N168">
        <f>VLOOKUP(表2[[#This Row],[SKU]],products!A:H,8,0)</f>
        <v>30</v>
      </c>
      <c r="O16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68">
        <f t="shared" si="7"/>
        <v>80</v>
      </c>
    </row>
    <row r="169" spans="1:16" x14ac:dyDescent="0.25">
      <c r="A169" t="s">
        <v>290</v>
      </c>
      <c r="B169" t="str">
        <f>VLOOKUP(A169,batches!A:B,2,0)</f>
        <v>SKU006</v>
      </c>
      <c r="C169" t="str">
        <f>VLOOKUP(批次库存!B169,products!A:B,2,0)</f>
        <v>焙火乌龙</v>
      </c>
      <c r="D169" t="str">
        <f>VLOOKUP(A169,batches!A:C,3,0)</f>
        <v>L006</v>
      </c>
      <c r="E169">
        <f>VLOOKUP(A169,batches!A:E,5,0)</f>
        <v>46345</v>
      </c>
      <c r="F169" t="str">
        <f>VLOOKUP(A169,batches!A:G,7,0)</f>
        <v>RELEASED</v>
      </c>
      <c r="G169">
        <f>SUMIFS(movements!H:H,movements!F:F,批次库存!A169,movements!D:D,"OPENING")</f>
        <v>0</v>
      </c>
      <c r="H169">
        <f>SUMIFS(movements!H:H,movements!F:F,批次库存!A169,movements!D:D,"RECEIPT")</f>
        <v>96</v>
      </c>
      <c r="I169">
        <f>SUMIFS(movements!H:H,movements!F:F,批次库存!A169,movements!D:D,"ISSUE")</f>
        <v>70</v>
      </c>
      <c r="J169">
        <f t="shared" si="8"/>
        <v>26</v>
      </c>
      <c r="K169">
        <f>VLOOKUP(表2[[#This Row],[SKU]],products!A:F,6,0)</f>
        <v>30.07</v>
      </c>
      <c r="L169">
        <f>J169*表2[[#This Row],[单价]]</f>
        <v>781.82</v>
      </c>
      <c r="M169">
        <f t="shared" si="6"/>
        <v>74</v>
      </c>
      <c r="N169">
        <f>VLOOKUP(表2[[#This Row],[SKU]],products!A:H,8,0)</f>
        <v>30</v>
      </c>
      <c r="O16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69">
        <f t="shared" si="7"/>
        <v>26</v>
      </c>
    </row>
    <row r="170" spans="1:16" x14ac:dyDescent="0.25">
      <c r="A170" t="s">
        <v>291</v>
      </c>
      <c r="B170" t="str">
        <f>VLOOKUP(A170,batches!A:B,2,0)</f>
        <v>SKU008</v>
      </c>
      <c r="C170" t="str">
        <f>VLOOKUP(批次库存!B170,products!A:B,2,0)</f>
        <v>普洱茶</v>
      </c>
      <c r="D170" t="str">
        <f>VLOOKUP(A170,batches!A:C,3,0)</f>
        <v>L008</v>
      </c>
      <c r="E170">
        <f>VLOOKUP(A170,batches!A:E,5,0)</f>
        <v>46290</v>
      </c>
      <c r="F170" t="str">
        <f>VLOOKUP(A170,batches!A:G,7,0)</f>
        <v>RELEASED</v>
      </c>
      <c r="G170">
        <f>SUMIFS(movements!H:H,movements!F:F,批次库存!A170,movements!D:D,"OPENING")</f>
        <v>0</v>
      </c>
      <c r="H170">
        <f>SUMIFS(movements!H:H,movements!F:F,批次库存!A170,movements!D:D,"RECEIPT")</f>
        <v>77</v>
      </c>
      <c r="I170">
        <f>SUMIFS(movements!H:H,movements!F:F,批次库存!A170,movements!D:D,"ISSUE")</f>
        <v>51</v>
      </c>
      <c r="J170">
        <f t="shared" si="8"/>
        <v>26</v>
      </c>
      <c r="K170">
        <f>VLOOKUP(表2[[#This Row],[SKU]],products!A:F,6,0)</f>
        <v>72.540000000000006</v>
      </c>
      <c r="L170">
        <f>J170*表2[[#This Row],[单价]]</f>
        <v>1886.0400000000002</v>
      </c>
      <c r="M170">
        <f t="shared" si="6"/>
        <v>19</v>
      </c>
      <c r="N170">
        <f>VLOOKUP(表2[[#This Row],[SKU]],products!A:H,8,0)</f>
        <v>30</v>
      </c>
      <c r="O17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临期</v>
      </c>
      <c r="P170">
        <f t="shared" si="7"/>
        <v>26</v>
      </c>
    </row>
    <row r="171" spans="1:16" x14ac:dyDescent="0.25">
      <c r="A171" t="s">
        <v>292</v>
      </c>
      <c r="B171" t="str">
        <f>VLOOKUP(A171,batches!A:B,2,0)</f>
        <v>SKU010</v>
      </c>
      <c r="C171" t="str">
        <f>VLOOKUP(批次库存!B171,products!A:B,2,0)</f>
        <v>栀子绿茶</v>
      </c>
      <c r="D171" t="str">
        <f>VLOOKUP(A171,batches!A:C,3,0)</f>
        <v>L010</v>
      </c>
      <c r="E171">
        <f>VLOOKUP(A171,batches!A:E,5,0)</f>
        <v>46345</v>
      </c>
      <c r="F171" t="str">
        <f>VLOOKUP(A171,batches!A:G,7,0)</f>
        <v>RELEASED</v>
      </c>
      <c r="G171">
        <f>SUMIFS(movements!H:H,movements!F:F,批次库存!A171,movements!D:D,"OPENING")</f>
        <v>0</v>
      </c>
      <c r="H171">
        <f>SUMIFS(movements!H:H,movements!F:F,批次库存!A171,movements!D:D,"RECEIPT")</f>
        <v>71</v>
      </c>
      <c r="I171">
        <f>SUMIFS(movements!H:H,movements!F:F,批次库存!A171,movements!D:D,"ISSUE")</f>
        <v>0</v>
      </c>
      <c r="J171">
        <f t="shared" si="8"/>
        <v>71</v>
      </c>
      <c r="K171">
        <f>VLOOKUP(表2[[#This Row],[SKU]],products!A:F,6,0)</f>
        <v>29.05</v>
      </c>
      <c r="L171">
        <f>J171*表2[[#This Row],[单价]]</f>
        <v>2062.5500000000002</v>
      </c>
      <c r="M171">
        <f t="shared" si="6"/>
        <v>74</v>
      </c>
      <c r="N171">
        <f>VLOOKUP(表2[[#This Row],[SKU]],products!A:H,8,0)</f>
        <v>30</v>
      </c>
      <c r="O17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71">
        <f t="shared" si="7"/>
        <v>71</v>
      </c>
    </row>
    <row r="172" spans="1:16" x14ac:dyDescent="0.25">
      <c r="A172" t="s">
        <v>293</v>
      </c>
      <c r="B172" t="str">
        <f>VLOOKUP(A172,batches!A:B,2,0)</f>
        <v>SKU012</v>
      </c>
      <c r="C172" t="str">
        <f>VLOOKUP(批次库存!B172,products!A:B,2,0)</f>
        <v>黑糖糖浆</v>
      </c>
      <c r="D172" t="str">
        <f>VLOOKUP(A172,batches!A:C,3,0)</f>
        <v>L012</v>
      </c>
      <c r="E172">
        <f>VLOOKUP(A172,batches!A:E,5,0)</f>
        <v>46290</v>
      </c>
      <c r="F172" t="str">
        <f>VLOOKUP(A172,batches!A:G,7,0)</f>
        <v>RELEASED</v>
      </c>
      <c r="G172">
        <f>SUMIFS(movements!H:H,movements!F:F,批次库存!A172,movements!D:D,"OPENING")</f>
        <v>0</v>
      </c>
      <c r="H172">
        <f>SUMIFS(movements!H:H,movements!F:F,批次库存!A172,movements!D:D,"RECEIPT")</f>
        <v>84</v>
      </c>
      <c r="I172">
        <f>SUMIFS(movements!H:H,movements!F:F,批次库存!A172,movements!D:D,"ISSUE")</f>
        <v>84</v>
      </c>
      <c r="J172">
        <f t="shared" si="8"/>
        <v>0</v>
      </c>
      <c r="K172">
        <f>VLOOKUP(表2[[#This Row],[SKU]],products!A:F,6,0)</f>
        <v>77.959999999999994</v>
      </c>
      <c r="L172">
        <f>J172*表2[[#This Row],[单价]]</f>
        <v>0</v>
      </c>
      <c r="M172">
        <f t="shared" si="6"/>
        <v>19</v>
      </c>
      <c r="N172">
        <f>VLOOKUP(表2[[#This Row],[SKU]],products!A:H,8,0)</f>
        <v>30</v>
      </c>
      <c r="O17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72">
        <f t="shared" si="7"/>
        <v>0</v>
      </c>
    </row>
    <row r="173" spans="1:16" x14ac:dyDescent="0.25">
      <c r="A173" t="s">
        <v>294</v>
      </c>
      <c r="B173" t="str">
        <f>VLOOKUP(A173,batches!A:B,2,0)</f>
        <v>SKU013</v>
      </c>
      <c r="C173" t="str">
        <f>VLOOKUP(批次库存!B173,products!A:B,2,0)</f>
        <v>香草糖浆</v>
      </c>
      <c r="D173" t="str">
        <f>VLOOKUP(A173,batches!A:C,3,0)</f>
        <v>L013</v>
      </c>
      <c r="E173">
        <f>VLOOKUP(A173,batches!A:E,5,0)</f>
        <v>46345</v>
      </c>
      <c r="F173" t="str">
        <f>VLOOKUP(A173,batches!A:G,7,0)</f>
        <v>RELEASED</v>
      </c>
      <c r="G173">
        <f>SUMIFS(movements!H:H,movements!F:F,批次库存!A173,movements!D:D,"OPENING")</f>
        <v>0</v>
      </c>
      <c r="H173">
        <f>SUMIFS(movements!H:H,movements!F:F,批次库存!A173,movements!D:D,"RECEIPT")</f>
        <v>93</v>
      </c>
      <c r="I173">
        <f>SUMIFS(movements!H:H,movements!F:F,批次库存!A173,movements!D:D,"ISSUE")</f>
        <v>24</v>
      </c>
      <c r="J173">
        <f t="shared" si="8"/>
        <v>69</v>
      </c>
      <c r="K173">
        <f>VLOOKUP(表2[[#This Row],[SKU]],products!A:F,6,0)</f>
        <v>70.63</v>
      </c>
      <c r="L173">
        <f>J173*表2[[#This Row],[单价]]</f>
        <v>4873.4699999999993</v>
      </c>
      <c r="M173">
        <f t="shared" si="6"/>
        <v>74</v>
      </c>
      <c r="N173">
        <f>VLOOKUP(表2[[#This Row],[SKU]],products!A:H,8,0)</f>
        <v>30</v>
      </c>
      <c r="O17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73">
        <f t="shared" si="7"/>
        <v>69</v>
      </c>
    </row>
    <row r="174" spans="1:16" x14ac:dyDescent="0.25">
      <c r="A174" t="s">
        <v>295</v>
      </c>
      <c r="B174" t="str">
        <f>VLOOKUP(A174,batches!A:B,2,0)</f>
        <v>SKU016</v>
      </c>
      <c r="C174" t="str">
        <f>VLOOKUP(批次库存!B174,products!A:B,2,0)</f>
        <v>常温椰浆</v>
      </c>
      <c r="D174" t="str">
        <f>VLOOKUP(A174,batches!A:C,3,0)</f>
        <v>L016</v>
      </c>
      <c r="E174">
        <f>VLOOKUP(A174,batches!A:E,5,0)</f>
        <v>46290</v>
      </c>
      <c r="F174" t="str">
        <f>VLOOKUP(A174,batches!A:G,7,0)</f>
        <v>RELEASED</v>
      </c>
      <c r="G174">
        <f>SUMIFS(movements!H:H,movements!F:F,批次库存!A174,movements!D:D,"OPENING")</f>
        <v>0</v>
      </c>
      <c r="H174">
        <f>SUMIFS(movements!H:H,movements!F:F,批次库存!A174,movements!D:D,"RECEIPT")</f>
        <v>72</v>
      </c>
      <c r="I174">
        <f>SUMIFS(movements!H:H,movements!F:F,批次库存!A174,movements!D:D,"ISSUE")</f>
        <v>72</v>
      </c>
      <c r="J174">
        <f t="shared" si="8"/>
        <v>0</v>
      </c>
      <c r="K174">
        <f>VLOOKUP(表2[[#This Row],[SKU]],products!A:F,6,0)</f>
        <v>13.06</v>
      </c>
      <c r="L174">
        <f>J174*表2[[#This Row],[单价]]</f>
        <v>0</v>
      </c>
      <c r="M174">
        <f t="shared" si="6"/>
        <v>19</v>
      </c>
      <c r="N174">
        <f>VLOOKUP(表2[[#This Row],[SKU]],products!A:H,8,0)</f>
        <v>30</v>
      </c>
      <c r="O17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74">
        <f t="shared" si="7"/>
        <v>0</v>
      </c>
    </row>
    <row r="175" spans="1:16" x14ac:dyDescent="0.25">
      <c r="A175" t="s">
        <v>296</v>
      </c>
      <c r="B175" t="str">
        <f>VLOOKUP(A175,batches!A:B,2,0)</f>
        <v>SKU017</v>
      </c>
      <c r="C175" t="str">
        <f>VLOOKUP(批次库存!B175,products!A:B,2,0)</f>
        <v>常温椰乳</v>
      </c>
      <c r="D175" t="str">
        <f>VLOOKUP(A175,batches!A:C,3,0)</f>
        <v>L017</v>
      </c>
      <c r="E175">
        <f>VLOOKUP(A175,batches!A:E,5,0)</f>
        <v>46345</v>
      </c>
      <c r="F175" t="str">
        <f>VLOOKUP(A175,batches!A:G,7,0)</f>
        <v>RELEASED</v>
      </c>
      <c r="G175">
        <f>SUMIFS(movements!H:H,movements!F:F,批次库存!A175,movements!D:D,"OPENING")</f>
        <v>0</v>
      </c>
      <c r="H175">
        <f>SUMIFS(movements!H:H,movements!F:F,批次库存!A175,movements!D:D,"RECEIPT")</f>
        <v>68</v>
      </c>
      <c r="I175">
        <f>SUMIFS(movements!H:H,movements!F:F,批次库存!A175,movements!D:D,"ISSUE")</f>
        <v>0</v>
      </c>
      <c r="J175">
        <f t="shared" si="8"/>
        <v>68</v>
      </c>
      <c r="K175">
        <f>VLOOKUP(表2[[#This Row],[SKU]],products!A:F,6,0)</f>
        <v>39.159999999999997</v>
      </c>
      <c r="L175">
        <f>J175*表2[[#This Row],[单价]]</f>
        <v>2662.8799999999997</v>
      </c>
      <c r="M175">
        <f t="shared" si="6"/>
        <v>74</v>
      </c>
      <c r="N175">
        <f>VLOOKUP(表2[[#This Row],[SKU]],products!A:H,8,0)</f>
        <v>30</v>
      </c>
      <c r="O17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75">
        <f t="shared" si="7"/>
        <v>68</v>
      </c>
    </row>
    <row r="176" spans="1:16" x14ac:dyDescent="0.25">
      <c r="A176" t="s">
        <v>297</v>
      </c>
      <c r="B176" t="str">
        <f>VLOOKUP(A176,batches!A:B,2,0)</f>
        <v>SKU018</v>
      </c>
      <c r="C176" t="str">
        <f>VLOOKUP(批次库存!B176,products!A:B,2,0)</f>
        <v>常温燕麦饮</v>
      </c>
      <c r="D176" t="str">
        <f>VLOOKUP(A176,batches!A:C,3,0)</f>
        <v>L018</v>
      </c>
      <c r="E176">
        <f>VLOOKUP(A176,batches!A:E,5,0)</f>
        <v>46425</v>
      </c>
      <c r="F176" t="str">
        <f>VLOOKUP(A176,batches!A:G,7,0)</f>
        <v>RELEASED</v>
      </c>
      <c r="G176">
        <f>SUMIFS(movements!H:H,movements!F:F,批次库存!A176,movements!D:D,"OPENING")</f>
        <v>0</v>
      </c>
      <c r="H176">
        <f>SUMIFS(movements!H:H,movements!F:F,批次库存!A176,movements!D:D,"RECEIPT")</f>
        <v>64</v>
      </c>
      <c r="I176">
        <f>SUMIFS(movements!H:H,movements!F:F,批次库存!A176,movements!D:D,"ISSUE")</f>
        <v>0</v>
      </c>
      <c r="J176">
        <f t="shared" si="8"/>
        <v>64</v>
      </c>
      <c r="K176">
        <f>VLOOKUP(表2[[#This Row],[SKU]],products!A:F,6,0)</f>
        <v>63.65</v>
      </c>
      <c r="L176">
        <f>J176*表2[[#This Row],[单价]]</f>
        <v>4073.6</v>
      </c>
      <c r="M176">
        <f t="shared" si="6"/>
        <v>154</v>
      </c>
      <c r="N176">
        <f>VLOOKUP(表2[[#This Row],[SKU]],products!A:H,8,0)</f>
        <v>30</v>
      </c>
      <c r="O17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76">
        <f t="shared" si="7"/>
        <v>64</v>
      </c>
    </row>
    <row r="177" spans="1:16" x14ac:dyDescent="0.25">
      <c r="A177" t="s">
        <v>298</v>
      </c>
      <c r="B177" t="str">
        <f>VLOOKUP(A177,batches!A:B,2,0)</f>
        <v>SKU019</v>
      </c>
      <c r="C177" t="str">
        <f>VLOOKUP(批次库存!B177,products!A:B,2,0)</f>
        <v>常温全脂奶</v>
      </c>
      <c r="D177" t="str">
        <f>VLOOKUP(A177,batches!A:C,3,0)</f>
        <v>L019</v>
      </c>
      <c r="E177">
        <f>VLOOKUP(A177,batches!A:E,5,0)</f>
        <v>46290</v>
      </c>
      <c r="F177" t="str">
        <f>VLOOKUP(A177,batches!A:G,7,0)</f>
        <v>RELEASED</v>
      </c>
      <c r="G177">
        <f>SUMIFS(movements!H:H,movements!F:F,批次库存!A177,movements!D:D,"OPENING")</f>
        <v>0</v>
      </c>
      <c r="H177">
        <f>SUMIFS(movements!H:H,movements!F:F,批次库存!A177,movements!D:D,"RECEIPT")</f>
        <v>67</v>
      </c>
      <c r="I177">
        <f>SUMIFS(movements!H:H,movements!F:F,批次库存!A177,movements!D:D,"ISSUE")</f>
        <v>67</v>
      </c>
      <c r="J177">
        <f t="shared" si="8"/>
        <v>0</v>
      </c>
      <c r="K177">
        <f>VLOOKUP(表2[[#This Row],[SKU]],products!A:F,6,0)</f>
        <v>81.96</v>
      </c>
      <c r="L177">
        <f>J177*表2[[#This Row],[单价]]</f>
        <v>0</v>
      </c>
      <c r="M177">
        <f t="shared" si="6"/>
        <v>19</v>
      </c>
      <c r="N177">
        <f>VLOOKUP(表2[[#This Row],[SKU]],products!A:H,8,0)</f>
        <v>30</v>
      </c>
      <c r="O17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77">
        <f t="shared" si="7"/>
        <v>0</v>
      </c>
    </row>
    <row r="178" spans="1:16" x14ac:dyDescent="0.25">
      <c r="A178" t="s">
        <v>299</v>
      </c>
      <c r="B178" t="str">
        <f>VLOOKUP(A178,batches!A:B,2,0)</f>
        <v>SKU020</v>
      </c>
      <c r="C178" t="str">
        <f>VLOOKUP(批次库存!B178,products!A:B,2,0)</f>
        <v>常温厚乳</v>
      </c>
      <c r="D178" t="str">
        <f>VLOOKUP(A178,batches!A:C,3,0)</f>
        <v>L020</v>
      </c>
      <c r="E178">
        <f>VLOOKUP(A178,batches!A:E,5,0)</f>
        <v>46345</v>
      </c>
      <c r="F178" t="str">
        <f>VLOOKUP(A178,batches!A:G,7,0)</f>
        <v>RELEASED</v>
      </c>
      <c r="G178">
        <f>SUMIFS(movements!H:H,movements!F:F,批次库存!A178,movements!D:D,"OPENING")</f>
        <v>0</v>
      </c>
      <c r="H178">
        <f>SUMIFS(movements!H:H,movements!F:F,批次库存!A178,movements!D:D,"RECEIPT")</f>
        <v>99</v>
      </c>
      <c r="I178">
        <f>SUMIFS(movements!H:H,movements!F:F,批次库存!A178,movements!D:D,"ISSUE")</f>
        <v>99</v>
      </c>
      <c r="J178">
        <f t="shared" si="8"/>
        <v>0</v>
      </c>
      <c r="K178">
        <f>VLOOKUP(表2[[#This Row],[SKU]],products!A:F,6,0)</f>
        <v>65.56</v>
      </c>
      <c r="L178">
        <f>J178*表2[[#This Row],[单价]]</f>
        <v>0</v>
      </c>
      <c r="M178">
        <f t="shared" si="6"/>
        <v>74</v>
      </c>
      <c r="N178">
        <f>VLOOKUP(表2[[#This Row],[SKU]],products!A:H,8,0)</f>
        <v>30</v>
      </c>
      <c r="O17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78">
        <f t="shared" si="7"/>
        <v>0</v>
      </c>
    </row>
    <row r="179" spans="1:16" x14ac:dyDescent="0.25">
      <c r="A179" t="s">
        <v>300</v>
      </c>
      <c r="B179" t="str">
        <f>VLOOKUP(A179,batches!A:B,2,0)</f>
        <v>SKU023</v>
      </c>
      <c r="C179" t="str">
        <f>VLOOKUP(批次库存!B179,products!A:B,2,0)</f>
        <v>500ml杯盖</v>
      </c>
      <c r="D179" t="str">
        <f>VLOOKUP(A179,batches!A:C,3,0)</f>
        <v>L023</v>
      </c>
      <c r="E179">
        <f>VLOOKUP(A179,batches!A:E,5,0)</f>
        <v>46610</v>
      </c>
      <c r="F179" t="str">
        <f>VLOOKUP(A179,batches!A:G,7,0)</f>
        <v>RELEASED</v>
      </c>
      <c r="G179">
        <f>SUMIFS(movements!H:H,movements!F:F,批次库存!A179,movements!D:D,"OPENING")</f>
        <v>0</v>
      </c>
      <c r="H179">
        <f>SUMIFS(movements!H:H,movements!F:F,批次库存!A179,movements!D:D,"RECEIPT")</f>
        <v>79</v>
      </c>
      <c r="I179">
        <f>SUMIFS(movements!H:H,movements!F:F,批次库存!A179,movements!D:D,"ISSUE")</f>
        <v>40</v>
      </c>
      <c r="J179">
        <f t="shared" si="8"/>
        <v>39</v>
      </c>
      <c r="K179">
        <f>VLOOKUP(表2[[#This Row],[SKU]],products!A:F,6,0)</f>
        <v>12.46</v>
      </c>
      <c r="L179">
        <f>J179*表2[[#This Row],[单价]]</f>
        <v>485.94000000000005</v>
      </c>
      <c r="M179">
        <f t="shared" si="6"/>
        <v>339</v>
      </c>
      <c r="N179">
        <f>VLOOKUP(表2[[#This Row],[SKU]],products!A:H,8,0)</f>
        <v>60</v>
      </c>
      <c r="O17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79">
        <f t="shared" si="7"/>
        <v>39</v>
      </c>
    </row>
    <row r="180" spans="1:16" x14ac:dyDescent="0.25">
      <c r="A180" t="s">
        <v>301</v>
      </c>
      <c r="B180" t="str">
        <f>VLOOKUP(A180,batches!A:B,2,0)</f>
        <v>SKU024</v>
      </c>
      <c r="C180" t="str">
        <f>VLOOKUP(批次库存!B180,products!A:B,2,0)</f>
        <v>700ml杯盖</v>
      </c>
      <c r="D180" t="str">
        <f>VLOOKUP(A180,batches!A:C,3,0)</f>
        <v>L024</v>
      </c>
      <c r="E180">
        <f>VLOOKUP(A180,batches!A:E,5,0)</f>
        <v>46610</v>
      </c>
      <c r="F180" t="str">
        <f>VLOOKUP(A180,batches!A:G,7,0)</f>
        <v>RELEASED</v>
      </c>
      <c r="G180">
        <f>SUMIFS(movements!H:H,movements!F:F,批次库存!A180,movements!D:D,"OPENING")</f>
        <v>0</v>
      </c>
      <c r="H180">
        <f>SUMIFS(movements!H:H,movements!F:F,批次库存!A180,movements!D:D,"RECEIPT")</f>
        <v>81</v>
      </c>
      <c r="I180">
        <f>SUMIFS(movements!H:H,movements!F:F,批次库存!A180,movements!D:D,"ISSUE")</f>
        <v>0</v>
      </c>
      <c r="J180">
        <f t="shared" si="8"/>
        <v>81</v>
      </c>
      <c r="K180">
        <f>VLOOKUP(表2[[#This Row],[SKU]],products!A:F,6,0)</f>
        <v>19.8</v>
      </c>
      <c r="L180">
        <f>J180*表2[[#This Row],[单价]]</f>
        <v>1603.8</v>
      </c>
      <c r="M180">
        <f t="shared" si="6"/>
        <v>339</v>
      </c>
      <c r="N180">
        <f>VLOOKUP(表2[[#This Row],[SKU]],products!A:H,8,0)</f>
        <v>60</v>
      </c>
      <c r="O18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80">
        <f t="shared" si="7"/>
        <v>81</v>
      </c>
    </row>
    <row r="181" spans="1:16" x14ac:dyDescent="0.25">
      <c r="A181" t="s">
        <v>302</v>
      </c>
      <c r="B181" t="str">
        <f>VLOOKUP(A181,batches!A:B,2,0)</f>
        <v>SKU025</v>
      </c>
      <c r="C181" t="str">
        <f>VLOOKUP(批次库存!B181,products!A:B,2,0)</f>
        <v>粗吸管</v>
      </c>
      <c r="D181" t="str">
        <f>VLOOKUP(A181,batches!A:C,3,0)</f>
        <v>L025</v>
      </c>
      <c r="E181">
        <f>VLOOKUP(A181,batches!A:E,5,0)</f>
        <v>46610</v>
      </c>
      <c r="F181" t="str">
        <f>VLOOKUP(A181,batches!A:G,7,0)</f>
        <v>RELEASED</v>
      </c>
      <c r="G181">
        <f>SUMIFS(movements!H:H,movements!F:F,批次库存!A181,movements!D:D,"OPENING")</f>
        <v>0</v>
      </c>
      <c r="H181">
        <f>SUMIFS(movements!H:H,movements!F:F,批次库存!A181,movements!D:D,"RECEIPT")</f>
        <v>65</v>
      </c>
      <c r="I181">
        <f>SUMIFS(movements!H:H,movements!F:F,批次库存!A181,movements!D:D,"ISSUE")</f>
        <v>65</v>
      </c>
      <c r="J181">
        <f t="shared" si="8"/>
        <v>0</v>
      </c>
      <c r="K181">
        <f>VLOOKUP(表2[[#This Row],[SKU]],products!A:F,6,0)</f>
        <v>39.42</v>
      </c>
      <c r="L181">
        <f>J181*表2[[#This Row],[单价]]</f>
        <v>0</v>
      </c>
      <c r="M181">
        <f t="shared" si="6"/>
        <v>339</v>
      </c>
      <c r="N181">
        <f>VLOOKUP(表2[[#This Row],[SKU]],products!A:H,8,0)</f>
        <v>60</v>
      </c>
      <c r="O18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81">
        <f t="shared" si="7"/>
        <v>0</v>
      </c>
    </row>
    <row r="182" spans="1:16" x14ac:dyDescent="0.25">
      <c r="A182" t="s">
        <v>303</v>
      </c>
      <c r="B182" t="str">
        <f>VLOOKUP(A182,batches!A:B,2,0)</f>
        <v>SKU026</v>
      </c>
      <c r="C182" t="str">
        <f>VLOOKUP(批次库存!B182,products!A:B,2,0)</f>
        <v>细吸管</v>
      </c>
      <c r="D182" t="str">
        <f>VLOOKUP(A182,batches!A:C,3,0)</f>
        <v>L026</v>
      </c>
      <c r="E182">
        <f>VLOOKUP(A182,batches!A:E,5,0)</f>
        <v>46610</v>
      </c>
      <c r="F182" t="str">
        <f>VLOOKUP(A182,batches!A:G,7,0)</f>
        <v>RELEASED</v>
      </c>
      <c r="G182">
        <f>SUMIFS(movements!H:H,movements!F:F,批次库存!A182,movements!D:D,"OPENING")</f>
        <v>0</v>
      </c>
      <c r="H182">
        <f>SUMIFS(movements!H:H,movements!F:F,批次库存!A182,movements!D:D,"RECEIPT")</f>
        <v>86</v>
      </c>
      <c r="I182">
        <f>SUMIFS(movements!H:H,movements!F:F,批次库存!A182,movements!D:D,"ISSUE")</f>
        <v>48</v>
      </c>
      <c r="J182">
        <f t="shared" si="8"/>
        <v>38</v>
      </c>
      <c r="K182">
        <f>VLOOKUP(表2[[#This Row],[SKU]],products!A:F,6,0)</f>
        <v>14.19</v>
      </c>
      <c r="L182">
        <f>J182*表2[[#This Row],[单价]]</f>
        <v>539.22</v>
      </c>
      <c r="M182">
        <f t="shared" si="6"/>
        <v>339</v>
      </c>
      <c r="N182">
        <f>VLOOKUP(表2[[#This Row],[SKU]],products!A:H,8,0)</f>
        <v>60</v>
      </c>
      <c r="O18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82">
        <f t="shared" si="7"/>
        <v>38</v>
      </c>
    </row>
    <row r="183" spans="1:16" x14ac:dyDescent="0.25">
      <c r="A183" t="s">
        <v>304</v>
      </c>
      <c r="B183" t="str">
        <f>VLOOKUP(A183,batches!A:B,2,0)</f>
        <v>SKU001</v>
      </c>
      <c r="C183" t="str">
        <f>VLOOKUP(批次库存!B183,products!A:B,2,0)</f>
        <v>茉莉绿茶</v>
      </c>
      <c r="D183" t="str">
        <f>VLOOKUP(A183,batches!A:C,3,0)</f>
        <v>L001</v>
      </c>
      <c r="E183">
        <f>VLOOKUP(A183,batches!A:E,5,0)</f>
        <v>46432</v>
      </c>
      <c r="F183" t="str">
        <f>VLOOKUP(A183,batches!A:G,7,0)</f>
        <v>RELEASED</v>
      </c>
      <c r="G183">
        <f>SUMIFS(movements!H:H,movements!F:F,批次库存!A183,movements!D:D,"OPENING")</f>
        <v>0</v>
      </c>
      <c r="H183">
        <f>SUMIFS(movements!H:H,movements!F:F,批次库存!A183,movements!D:D,"RECEIPT")</f>
        <v>83</v>
      </c>
      <c r="I183">
        <f>SUMIFS(movements!H:H,movements!F:F,批次库存!A183,movements!D:D,"ISSUE")</f>
        <v>83</v>
      </c>
      <c r="J183">
        <f t="shared" si="8"/>
        <v>0</v>
      </c>
      <c r="K183">
        <f>VLOOKUP(表2[[#This Row],[SKU]],products!A:F,6,0)</f>
        <v>79.760000000000005</v>
      </c>
      <c r="L183">
        <f>J183*表2[[#This Row],[单价]]</f>
        <v>0</v>
      </c>
      <c r="M183">
        <f t="shared" si="6"/>
        <v>161</v>
      </c>
      <c r="N183">
        <f>VLOOKUP(表2[[#This Row],[SKU]],products!A:H,8,0)</f>
        <v>30</v>
      </c>
      <c r="O18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83">
        <f t="shared" si="7"/>
        <v>0</v>
      </c>
    </row>
    <row r="184" spans="1:16" x14ac:dyDescent="0.25">
      <c r="A184" t="s">
        <v>305</v>
      </c>
      <c r="B184" t="str">
        <f>VLOOKUP(A184,batches!A:B,2,0)</f>
        <v>SKU002</v>
      </c>
      <c r="C184" t="str">
        <f>VLOOKUP(批次库存!B184,products!A:B,2,0)</f>
        <v>红茶</v>
      </c>
      <c r="D184" t="str">
        <f>VLOOKUP(A184,batches!A:C,3,0)</f>
        <v>L002</v>
      </c>
      <c r="E184">
        <f>VLOOKUP(A184,batches!A:E,5,0)</f>
        <v>46322</v>
      </c>
      <c r="F184" t="str">
        <f>VLOOKUP(A184,batches!A:G,7,0)</f>
        <v>RELEASED</v>
      </c>
      <c r="G184">
        <f>SUMIFS(movements!H:H,movements!F:F,批次库存!A184,movements!D:D,"OPENING")</f>
        <v>0</v>
      </c>
      <c r="H184">
        <f>SUMIFS(movements!H:H,movements!F:F,批次库存!A184,movements!D:D,"RECEIPT")</f>
        <v>95</v>
      </c>
      <c r="I184">
        <f>SUMIFS(movements!H:H,movements!F:F,批次库存!A184,movements!D:D,"ISSUE")</f>
        <v>95</v>
      </c>
      <c r="J184">
        <f t="shared" si="8"/>
        <v>0</v>
      </c>
      <c r="K184">
        <f>VLOOKUP(表2[[#This Row],[SKU]],products!A:F,6,0)</f>
        <v>78.48</v>
      </c>
      <c r="L184">
        <f>J184*表2[[#This Row],[单价]]</f>
        <v>0</v>
      </c>
      <c r="M184">
        <f t="shared" si="6"/>
        <v>51</v>
      </c>
      <c r="N184">
        <f>VLOOKUP(表2[[#This Row],[SKU]],products!A:H,8,0)</f>
        <v>30</v>
      </c>
      <c r="O18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84">
        <f t="shared" si="7"/>
        <v>0</v>
      </c>
    </row>
    <row r="185" spans="1:16" x14ac:dyDescent="0.25">
      <c r="A185" t="s">
        <v>306</v>
      </c>
      <c r="B185" t="str">
        <f>VLOOKUP(A185,batches!A:B,2,0)</f>
        <v>SKU003</v>
      </c>
      <c r="C185" t="str">
        <f>VLOOKUP(批次库存!B185,products!A:B,2,0)</f>
        <v>乌龙茶</v>
      </c>
      <c r="D185" t="str">
        <f>VLOOKUP(A185,batches!A:C,3,0)</f>
        <v>L003</v>
      </c>
      <c r="E185">
        <f>VLOOKUP(A185,batches!A:E,5,0)</f>
        <v>46297</v>
      </c>
      <c r="F185" t="str">
        <f>VLOOKUP(A185,batches!A:G,7,0)</f>
        <v>RELEASED</v>
      </c>
      <c r="G185">
        <f>SUMIFS(movements!H:H,movements!F:F,批次库存!A185,movements!D:D,"OPENING")</f>
        <v>0</v>
      </c>
      <c r="H185">
        <f>SUMIFS(movements!H:H,movements!F:F,批次库存!A185,movements!D:D,"RECEIPT")</f>
        <v>83</v>
      </c>
      <c r="I185">
        <f>SUMIFS(movements!H:H,movements!F:F,批次库存!A185,movements!D:D,"ISSUE")</f>
        <v>83</v>
      </c>
      <c r="J185">
        <f t="shared" si="8"/>
        <v>0</v>
      </c>
      <c r="K185">
        <f>VLOOKUP(表2[[#This Row],[SKU]],products!A:F,6,0)</f>
        <v>41.99</v>
      </c>
      <c r="L185">
        <f>J185*表2[[#This Row],[单价]]</f>
        <v>0</v>
      </c>
      <c r="M185">
        <f t="shared" si="6"/>
        <v>26</v>
      </c>
      <c r="N185">
        <f>VLOOKUP(表2[[#This Row],[SKU]],products!A:H,8,0)</f>
        <v>30</v>
      </c>
      <c r="O18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85">
        <f t="shared" si="7"/>
        <v>0</v>
      </c>
    </row>
    <row r="186" spans="1:16" x14ac:dyDescent="0.25">
      <c r="A186" t="s">
        <v>307</v>
      </c>
      <c r="B186" t="str">
        <f>VLOOKUP(A186,batches!A:B,2,0)</f>
        <v>SKU004</v>
      </c>
      <c r="C186" t="str">
        <f>VLOOKUP(批次库存!B186,products!A:B,2,0)</f>
        <v>四季春茶</v>
      </c>
      <c r="D186" t="str">
        <f>VLOOKUP(A186,batches!A:C,3,0)</f>
        <v>L004</v>
      </c>
      <c r="E186">
        <f>VLOOKUP(A186,batches!A:E,5,0)</f>
        <v>46432</v>
      </c>
      <c r="F186" t="str">
        <f>VLOOKUP(A186,batches!A:G,7,0)</f>
        <v>RELEASED</v>
      </c>
      <c r="G186">
        <f>SUMIFS(movements!H:H,movements!F:F,批次库存!A186,movements!D:D,"OPENING")</f>
        <v>0</v>
      </c>
      <c r="H186">
        <f>SUMIFS(movements!H:H,movements!F:F,批次库存!A186,movements!D:D,"RECEIPT")</f>
        <v>60</v>
      </c>
      <c r="I186">
        <f>SUMIFS(movements!H:H,movements!F:F,批次库存!A186,movements!D:D,"ISSUE")</f>
        <v>60</v>
      </c>
      <c r="J186">
        <f t="shared" si="8"/>
        <v>0</v>
      </c>
      <c r="K186">
        <f>VLOOKUP(表2[[#This Row],[SKU]],products!A:F,6,0)</f>
        <v>70.39</v>
      </c>
      <c r="L186">
        <f>J186*表2[[#This Row],[单价]]</f>
        <v>0</v>
      </c>
      <c r="M186">
        <f t="shared" si="6"/>
        <v>161</v>
      </c>
      <c r="N186">
        <f>VLOOKUP(表2[[#This Row],[SKU]],products!A:H,8,0)</f>
        <v>30</v>
      </c>
      <c r="O18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86">
        <f t="shared" si="7"/>
        <v>0</v>
      </c>
    </row>
    <row r="187" spans="1:16" x14ac:dyDescent="0.25">
      <c r="A187" t="s">
        <v>308</v>
      </c>
      <c r="B187" t="str">
        <f>VLOOKUP(A187,batches!A:B,2,0)</f>
        <v>SKU005</v>
      </c>
      <c r="C187" t="str">
        <f>VLOOKUP(批次库存!B187,products!A:B,2,0)</f>
        <v>桂花乌龙</v>
      </c>
      <c r="D187" t="str">
        <f>VLOOKUP(A187,batches!A:C,3,0)</f>
        <v>L005</v>
      </c>
      <c r="E187">
        <f>VLOOKUP(A187,batches!A:E,5,0)</f>
        <v>46352</v>
      </c>
      <c r="F187" t="str">
        <f>VLOOKUP(A187,batches!A:G,7,0)</f>
        <v>RELEASED</v>
      </c>
      <c r="G187">
        <f>SUMIFS(movements!H:H,movements!F:F,批次库存!A187,movements!D:D,"OPENING")</f>
        <v>0</v>
      </c>
      <c r="H187">
        <f>SUMIFS(movements!H:H,movements!F:F,批次库存!A187,movements!D:D,"RECEIPT")</f>
        <v>81</v>
      </c>
      <c r="I187">
        <f>SUMIFS(movements!H:H,movements!F:F,批次库存!A187,movements!D:D,"ISSUE")</f>
        <v>81</v>
      </c>
      <c r="J187">
        <f t="shared" si="8"/>
        <v>0</v>
      </c>
      <c r="K187">
        <f>VLOOKUP(表2[[#This Row],[SKU]],products!A:F,6,0)</f>
        <v>56.61</v>
      </c>
      <c r="L187">
        <f>J187*表2[[#This Row],[单价]]</f>
        <v>0</v>
      </c>
      <c r="M187">
        <f t="shared" si="6"/>
        <v>81</v>
      </c>
      <c r="N187">
        <f>VLOOKUP(表2[[#This Row],[SKU]],products!A:H,8,0)</f>
        <v>30</v>
      </c>
      <c r="O18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87">
        <f t="shared" si="7"/>
        <v>0</v>
      </c>
    </row>
    <row r="188" spans="1:16" x14ac:dyDescent="0.25">
      <c r="A188" t="s">
        <v>309</v>
      </c>
      <c r="B188" t="str">
        <f>VLOOKUP(A188,batches!A:B,2,0)</f>
        <v>SKU006</v>
      </c>
      <c r="C188" t="str">
        <f>VLOOKUP(批次库存!B188,products!A:B,2,0)</f>
        <v>焙火乌龙</v>
      </c>
      <c r="D188" t="str">
        <f>VLOOKUP(A188,batches!A:C,3,0)</f>
        <v>L006</v>
      </c>
      <c r="E188">
        <f>VLOOKUP(A188,batches!A:E,5,0)</f>
        <v>46297</v>
      </c>
      <c r="F188" t="str">
        <f>VLOOKUP(A188,batches!A:G,7,0)</f>
        <v>RELEASED</v>
      </c>
      <c r="G188">
        <f>SUMIFS(movements!H:H,movements!F:F,批次库存!A188,movements!D:D,"OPENING")</f>
        <v>0</v>
      </c>
      <c r="H188">
        <f>SUMIFS(movements!H:H,movements!F:F,批次库存!A188,movements!D:D,"RECEIPT")</f>
        <v>66</v>
      </c>
      <c r="I188">
        <f>SUMIFS(movements!H:H,movements!F:F,批次库存!A188,movements!D:D,"ISSUE")</f>
        <v>66</v>
      </c>
      <c r="J188">
        <f t="shared" si="8"/>
        <v>0</v>
      </c>
      <c r="K188">
        <f>VLOOKUP(表2[[#This Row],[SKU]],products!A:F,6,0)</f>
        <v>30.07</v>
      </c>
      <c r="L188">
        <f>J188*表2[[#This Row],[单价]]</f>
        <v>0</v>
      </c>
      <c r="M188">
        <f t="shared" si="6"/>
        <v>26</v>
      </c>
      <c r="N188">
        <f>VLOOKUP(表2[[#This Row],[SKU]],products!A:H,8,0)</f>
        <v>30</v>
      </c>
      <c r="O18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88">
        <f t="shared" si="7"/>
        <v>0</v>
      </c>
    </row>
    <row r="189" spans="1:16" x14ac:dyDescent="0.25">
      <c r="A189" t="s">
        <v>310</v>
      </c>
      <c r="B189" t="str">
        <f>VLOOKUP(A189,batches!A:B,2,0)</f>
        <v>SKU007</v>
      </c>
      <c r="C189" t="str">
        <f>VLOOKUP(批次库存!B189,products!A:B,2,0)</f>
        <v>白桃乌龙</v>
      </c>
      <c r="D189" t="str">
        <f>VLOOKUP(A189,batches!A:C,3,0)</f>
        <v>L007</v>
      </c>
      <c r="E189">
        <f>VLOOKUP(A189,batches!A:E,5,0)</f>
        <v>46432</v>
      </c>
      <c r="F189" t="str">
        <f>VLOOKUP(A189,batches!A:G,7,0)</f>
        <v>RELEASED</v>
      </c>
      <c r="G189">
        <f>SUMIFS(movements!H:H,movements!F:F,批次库存!A189,movements!D:D,"OPENING")</f>
        <v>0</v>
      </c>
      <c r="H189">
        <f>SUMIFS(movements!H:H,movements!F:F,批次库存!A189,movements!D:D,"RECEIPT")</f>
        <v>71</v>
      </c>
      <c r="I189">
        <f>SUMIFS(movements!H:H,movements!F:F,批次库存!A189,movements!D:D,"ISSUE")</f>
        <v>0</v>
      </c>
      <c r="J189">
        <f t="shared" si="8"/>
        <v>71</v>
      </c>
      <c r="K189">
        <f>VLOOKUP(表2[[#This Row],[SKU]],products!A:F,6,0)</f>
        <v>30.79</v>
      </c>
      <c r="L189">
        <f>J189*表2[[#This Row],[单价]]</f>
        <v>2186.09</v>
      </c>
      <c r="M189">
        <f t="shared" si="6"/>
        <v>161</v>
      </c>
      <c r="N189">
        <f>VLOOKUP(表2[[#This Row],[SKU]],products!A:H,8,0)</f>
        <v>30</v>
      </c>
      <c r="O18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89">
        <f t="shared" si="7"/>
        <v>71</v>
      </c>
    </row>
    <row r="190" spans="1:16" x14ac:dyDescent="0.25">
      <c r="A190" t="s">
        <v>311</v>
      </c>
      <c r="B190" t="str">
        <f>VLOOKUP(A190,batches!A:B,2,0)</f>
        <v>SKU009</v>
      </c>
      <c r="C190" t="str">
        <f>VLOOKUP(批次库存!B190,products!A:B,2,0)</f>
        <v>龙井茶</v>
      </c>
      <c r="D190" t="str">
        <f>VLOOKUP(A190,batches!A:C,3,0)</f>
        <v>L009</v>
      </c>
      <c r="E190">
        <f>VLOOKUP(A190,batches!A:E,5,0)</f>
        <v>46322</v>
      </c>
      <c r="F190" t="str">
        <f>VLOOKUP(A190,batches!A:G,7,0)</f>
        <v>RELEASED</v>
      </c>
      <c r="G190">
        <f>SUMIFS(movements!H:H,movements!F:F,批次库存!A190,movements!D:D,"OPENING")</f>
        <v>0</v>
      </c>
      <c r="H190">
        <f>SUMIFS(movements!H:H,movements!F:F,批次库存!A190,movements!D:D,"RECEIPT")</f>
        <v>94</v>
      </c>
      <c r="I190">
        <f>SUMIFS(movements!H:H,movements!F:F,批次库存!A190,movements!D:D,"ISSUE")</f>
        <v>94</v>
      </c>
      <c r="J190">
        <f t="shared" si="8"/>
        <v>0</v>
      </c>
      <c r="K190">
        <f>VLOOKUP(表2[[#This Row],[SKU]],products!A:F,6,0)</f>
        <v>21.12</v>
      </c>
      <c r="L190">
        <f>J190*表2[[#This Row],[单价]]</f>
        <v>0</v>
      </c>
      <c r="M190">
        <f t="shared" si="6"/>
        <v>51</v>
      </c>
      <c r="N190">
        <f>VLOOKUP(表2[[#This Row],[SKU]],products!A:H,8,0)</f>
        <v>30</v>
      </c>
      <c r="O19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90">
        <f t="shared" si="7"/>
        <v>0</v>
      </c>
    </row>
    <row r="191" spans="1:16" x14ac:dyDescent="0.25">
      <c r="A191" t="s">
        <v>312</v>
      </c>
      <c r="B191" t="str">
        <f>VLOOKUP(A191,batches!A:B,2,0)</f>
        <v>SKU014</v>
      </c>
      <c r="C191" t="str">
        <f>VLOOKUP(批次库存!B191,products!A:B,2,0)</f>
        <v>焦糖糖浆</v>
      </c>
      <c r="D191" t="str">
        <f>VLOOKUP(A191,batches!A:C,3,0)</f>
        <v>L014</v>
      </c>
      <c r="E191">
        <f>VLOOKUP(A191,batches!A:E,5,0)</f>
        <v>46352</v>
      </c>
      <c r="F191" t="str">
        <f>VLOOKUP(A191,batches!A:G,7,0)</f>
        <v>RELEASED</v>
      </c>
      <c r="G191">
        <f>SUMIFS(movements!H:H,movements!F:F,批次库存!A191,movements!D:D,"OPENING")</f>
        <v>0</v>
      </c>
      <c r="H191">
        <f>SUMIFS(movements!H:H,movements!F:F,批次库存!A191,movements!D:D,"RECEIPT")</f>
        <v>79</v>
      </c>
      <c r="I191">
        <f>SUMIFS(movements!H:H,movements!F:F,批次库存!A191,movements!D:D,"ISSUE")</f>
        <v>79</v>
      </c>
      <c r="J191">
        <f t="shared" si="8"/>
        <v>0</v>
      </c>
      <c r="K191">
        <f>VLOOKUP(表2[[#This Row],[SKU]],products!A:F,6,0)</f>
        <v>70.989999999999995</v>
      </c>
      <c r="L191">
        <f>J191*表2[[#This Row],[单价]]</f>
        <v>0</v>
      </c>
      <c r="M191">
        <f t="shared" si="6"/>
        <v>81</v>
      </c>
      <c r="N191">
        <f>VLOOKUP(表2[[#This Row],[SKU]],products!A:H,8,0)</f>
        <v>30</v>
      </c>
      <c r="O19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91">
        <f t="shared" si="7"/>
        <v>0</v>
      </c>
    </row>
    <row r="192" spans="1:16" x14ac:dyDescent="0.25">
      <c r="A192" t="s">
        <v>313</v>
      </c>
      <c r="B192" t="str">
        <f>VLOOKUP(A192,batches!A:B,2,0)</f>
        <v>SKU022</v>
      </c>
      <c r="C192" t="str">
        <f>VLOOKUP(批次库存!B192,products!A:B,2,0)</f>
        <v>700ml杯</v>
      </c>
      <c r="D192" t="str">
        <f>VLOOKUP(A192,batches!A:C,3,0)</f>
        <v>L022</v>
      </c>
      <c r="E192">
        <f>VLOOKUP(A192,batches!A:E,5,0)</f>
        <v>46617</v>
      </c>
      <c r="F192" t="str">
        <f>VLOOKUP(A192,batches!A:G,7,0)</f>
        <v>RELEASED</v>
      </c>
      <c r="G192">
        <f>SUMIFS(movements!H:H,movements!F:F,批次库存!A192,movements!D:D,"OPENING")</f>
        <v>0</v>
      </c>
      <c r="H192">
        <f>SUMIFS(movements!H:H,movements!F:F,批次库存!A192,movements!D:D,"RECEIPT")</f>
        <v>80</v>
      </c>
      <c r="I192">
        <f>SUMIFS(movements!H:H,movements!F:F,批次库存!A192,movements!D:D,"ISSUE")</f>
        <v>21</v>
      </c>
      <c r="J192">
        <f t="shared" si="8"/>
        <v>59</v>
      </c>
      <c r="K192">
        <f>VLOOKUP(表2[[#This Row],[SKU]],products!A:F,6,0)</f>
        <v>16.36</v>
      </c>
      <c r="L192">
        <f>J192*表2[[#This Row],[单价]]</f>
        <v>965.24</v>
      </c>
      <c r="M192">
        <f t="shared" si="6"/>
        <v>346</v>
      </c>
      <c r="N192">
        <f>VLOOKUP(表2[[#This Row],[SKU]],products!A:H,8,0)</f>
        <v>60</v>
      </c>
      <c r="O19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92">
        <f t="shared" si="7"/>
        <v>59</v>
      </c>
    </row>
    <row r="193" spans="1:16" x14ac:dyDescent="0.25">
      <c r="A193" t="s">
        <v>314</v>
      </c>
      <c r="B193" t="str">
        <f>VLOOKUP(A193,batches!A:B,2,0)</f>
        <v>SKU027</v>
      </c>
      <c r="C193" t="str">
        <f>VLOOKUP(批次库存!B193,products!A:B,2,0)</f>
        <v>单杯袋</v>
      </c>
      <c r="D193" t="str">
        <f>VLOOKUP(A193,batches!A:C,3,0)</f>
        <v>L027</v>
      </c>
      <c r="E193">
        <f>VLOOKUP(A193,batches!A:E,5,0)</f>
        <v>46617</v>
      </c>
      <c r="F193" t="str">
        <f>VLOOKUP(A193,batches!A:G,7,0)</f>
        <v>RELEASED</v>
      </c>
      <c r="G193">
        <f>SUMIFS(movements!H:H,movements!F:F,批次库存!A193,movements!D:D,"OPENING")</f>
        <v>0</v>
      </c>
      <c r="H193">
        <f>SUMIFS(movements!H:H,movements!F:F,批次库存!A193,movements!D:D,"RECEIPT")</f>
        <v>87</v>
      </c>
      <c r="I193">
        <f>SUMIFS(movements!H:H,movements!F:F,批次库存!A193,movements!D:D,"ISSUE")</f>
        <v>10</v>
      </c>
      <c r="J193">
        <f t="shared" si="8"/>
        <v>77</v>
      </c>
      <c r="K193">
        <f>VLOOKUP(表2[[#This Row],[SKU]],products!A:F,6,0)</f>
        <v>30.89</v>
      </c>
      <c r="L193">
        <f>J193*表2[[#This Row],[单价]]</f>
        <v>2378.5300000000002</v>
      </c>
      <c r="M193">
        <f t="shared" si="6"/>
        <v>346</v>
      </c>
      <c r="N193">
        <f>VLOOKUP(表2[[#This Row],[SKU]],products!A:H,8,0)</f>
        <v>60</v>
      </c>
      <c r="O19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93">
        <f t="shared" si="7"/>
        <v>77</v>
      </c>
    </row>
    <row r="194" spans="1:16" x14ac:dyDescent="0.25">
      <c r="A194" t="s">
        <v>315</v>
      </c>
      <c r="B194" t="str">
        <f>VLOOKUP(A194,batches!A:B,2,0)</f>
        <v>SKU028</v>
      </c>
      <c r="C194" t="str">
        <f>VLOOKUP(批次库存!B194,products!A:B,2,0)</f>
        <v>双杯袋</v>
      </c>
      <c r="D194" t="str">
        <f>VLOOKUP(A194,batches!A:C,3,0)</f>
        <v>L028</v>
      </c>
      <c r="E194">
        <f>VLOOKUP(A194,batches!A:E,5,0)</f>
        <v>46617</v>
      </c>
      <c r="F194" t="str">
        <f>VLOOKUP(A194,batches!A:G,7,0)</f>
        <v>RELEASED</v>
      </c>
      <c r="G194">
        <f>SUMIFS(movements!H:H,movements!F:F,批次库存!A194,movements!D:D,"OPENING")</f>
        <v>0</v>
      </c>
      <c r="H194">
        <f>SUMIFS(movements!H:H,movements!F:F,批次库存!A194,movements!D:D,"RECEIPT")</f>
        <v>66</v>
      </c>
      <c r="I194">
        <f>SUMIFS(movements!H:H,movements!F:F,批次库存!A194,movements!D:D,"ISSUE")</f>
        <v>10</v>
      </c>
      <c r="J194">
        <f t="shared" si="8"/>
        <v>56</v>
      </c>
      <c r="K194">
        <f>VLOOKUP(表2[[#This Row],[SKU]],products!A:F,6,0)</f>
        <v>55.53</v>
      </c>
      <c r="L194">
        <f>J194*表2[[#This Row],[单价]]</f>
        <v>3109.6800000000003</v>
      </c>
      <c r="M194">
        <f t="shared" ref="M194:M225" si="9">E194-DATE(2026,9,6)</f>
        <v>346</v>
      </c>
      <c r="N194">
        <f>VLOOKUP(表2[[#This Row],[SKU]],products!A:H,8,0)</f>
        <v>60</v>
      </c>
      <c r="O19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94">
        <f t="shared" ref="P194:P225" si="10">IF(AND(F194="RELEASED",M194&gt;0),J194,0)</f>
        <v>56</v>
      </c>
    </row>
    <row r="195" spans="1:16" x14ac:dyDescent="0.25">
      <c r="A195" t="s">
        <v>316</v>
      </c>
      <c r="B195" t="str">
        <f>VLOOKUP(A195,batches!A:B,2,0)</f>
        <v>SKU001</v>
      </c>
      <c r="C195" t="str">
        <f>VLOOKUP(批次库存!B195,products!A:B,2,0)</f>
        <v>茉莉绿茶</v>
      </c>
      <c r="D195" t="str">
        <f>VLOOKUP(A195,batches!A:C,3,0)</f>
        <v>L001</v>
      </c>
      <c r="E195">
        <f>VLOOKUP(A195,batches!A:E,5,0)</f>
        <v>46439</v>
      </c>
      <c r="F195" t="str">
        <f>VLOOKUP(A195,batches!A:G,7,0)</f>
        <v>RELEASED</v>
      </c>
      <c r="G195">
        <f>SUMIFS(movements!H:H,movements!F:F,批次库存!A195,movements!D:D,"OPENING")</f>
        <v>0</v>
      </c>
      <c r="H195">
        <f>SUMIFS(movements!H:H,movements!F:F,批次库存!A195,movements!D:D,"RECEIPT")</f>
        <v>90</v>
      </c>
      <c r="I195">
        <f>SUMIFS(movements!H:H,movements!F:F,批次库存!A195,movements!D:D,"ISSUE")</f>
        <v>41</v>
      </c>
      <c r="J195">
        <f t="shared" ref="J195:J225" si="11">G195+H195-I195</f>
        <v>49</v>
      </c>
      <c r="K195">
        <f>VLOOKUP(表2[[#This Row],[SKU]],products!A:F,6,0)</f>
        <v>79.760000000000005</v>
      </c>
      <c r="L195">
        <f>J195*表2[[#This Row],[单价]]</f>
        <v>3908.2400000000002</v>
      </c>
      <c r="M195">
        <f t="shared" si="9"/>
        <v>168</v>
      </c>
      <c r="N195">
        <f>VLOOKUP(表2[[#This Row],[SKU]],products!A:H,8,0)</f>
        <v>30</v>
      </c>
      <c r="O19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95">
        <f t="shared" si="10"/>
        <v>49</v>
      </c>
    </row>
    <row r="196" spans="1:16" x14ac:dyDescent="0.25">
      <c r="A196" t="s">
        <v>317</v>
      </c>
      <c r="B196" t="str">
        <f>VLOOKUP(A196,batches!A:B,2,0)</f>
        <v>SKU003</v>
      </c>
      <c r="C196" t="str">
        <f>VLOOKUP(批次库存!B196,products!A:B,2,0)</f>
        <v>乌龙茶</v>
      </c>
      <c r="D196" t="str">
        <f>VLOOKUP(A196,batches!A:C,3,0)</f>
        <v>L003</v>
      </c>
      <c r="E196">
        <f>VLOOKUP(A196,batches!A:E,5,0)</f>
        <v>46439</v>
      </c>
      <c r="F196" t="str">
        <f>VLOOKUP(A196,batches!A:G,7,0)</f>
        <v>RELEASED</v>
      </c>
      <c r="G196">
        <f>SUMIFS(movements!H:H,movements!F:F,批次库存!A196,movements!D:D,"OPENING")</f>
        <v>0</v>
      </c>
      <c r="H196">
        <f>SUMIFS(movements!H:H,movements!F:F,批次库存!A196,movements!D:D,"RECEIPT")</f>
        <v>73</v>
      </c>
      <c r="I196">
        <f>SUMIFS(movements!H:H,movements!F:F,批次库存!A196,movements!D:D,"ISSUE")</f>
        <v>55</v>
      </c>
      <c r="J196">
        <f t="shared" si="11"/>
        <v>18</v>
      </c>
      <c r="K196">
        <f>VLOOKUP(表2[[#This Row],[SKU]],products!A:F,6,0)</f>
        <v>41.99</v>
      </c>
      <c r="L196">
        <f>J196*表2[[#This Row],[单价]]</f>
        <v>755.82</v>
      </c>
      <c r="M196">
        <f t="shared" si="9"/>
        <v>168</v>
      </c>
      <c r="N196">
        <f>VLOOKUP(表2[[#This Row],[SKU]],products!A:H,8,0)</f>
        <v>30</v>
      </c>
      <c r="O19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96">
        <f t="shared" si="10"/>
        <v>18</v>
      </c>
    </row>
    <row r="197" spans="1:16" x14ac:dyDescent="0.25">
      <c r="A197" t="s">
        <v>318</v>
      </c>
      <c r="B197" t="str">
        <f>VLOOKUP(A197,batches!A:B,2,0)</f>
        <v>SKU004</v>
      </c>
      <c r="C197" t="str">
        <f>VLOOKUP(批次库存!B197,products!A:B,2,0)</f>
        <v>四季春茶</v>
      </c>
      <c r="D197" t="str">
        <f>VLOOKUP(A197,batches!A:C,3,0)</f>
        <v>L004</v>
      </c>
      <c r="E197">
        <f>VLOOKUP(A197,batches!A:E,5,0)</f>
        <v>46439</v>
      </c>
      <c r="F197" t="str">
        <f>VLOOKUP(A197,batches!A:G,7,0)</f>
        <v>RELEASED</v>
      </c>
      <c r="G197">
        <f>SUMIFS(movements!H:H,movements!F:F,批次库存!A197,movements!D:D,"OPENING")</f>
        <v>0</v>
      </c>
      <c r="H197">
        <f>SUMIFS(movements!H:H,movements!F:F,批次库存!A197,movements!D:D,"RECEIPT")</f>
        <v>69</v>
      </c>
      <c r="I197">
        <f>SUMIFS(movements!H:H,movements!F:F,批次库存!A197,movements!D:D,"ISSUE")</f>
        <v>69</v>
      </c>
      <c r="J197">
        <f t="shared" si="11"/>
        <v>0</v>
      </c>
      <c r="K197">
        <f>VLOOKUP(表2[[#This Row],[SKU]],products!A:F,6,0)</f>
        <v>70.39</v>
      </c>
      <c r="L197">
        <f>J197*表2[[#This Row],[单价]]</f>
        <v>0</v>
      </c>
      <c r="M197">
        <f t="shared" si="9"/>
        <v>168</v>
      </c>
      <c r="N197">
        <f>VLOOKUP(表2[[#This Row],[SKU]],products!A:H,8,0)</f>
        <v>30</v>
      </c>
      <c r="O19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97">
        <f t="shared" si="10"/>
        <v>0</v>
      </c>
    </row>
    <row r="198" spans="1:16" x14ac:dyDescent="0.25">
      <c r="A198" t="s">
        <v>319</v>
      </c>
      <c r="B198" t="str">
        <f>VLOOKUP(A198,batches!A:B,2,0)</f>
        <v>SKU005</v>
      </c>
      <c r="C198" t="str">
        <f>VLOOKUP(批次库存!B198,products!A:B,2,0)</f>
        <v>桂花乌龙</v>
      </c>
      <c r="D198" t="str">
        <f>VLOOKUP(A198,batches!A:C,3,0)</f>
        <v>L005</v>
      </c>
      <c r="E198">
        <f>VLOOKUP(A198,batches!A:E,5,0)</f>
        <v>46359</v>
      </c>
      <c r="F198" t="str">
        <f>VLOOKUP(A198,batches!A:G,7,0)</f>
        <v>RELEASED</v>
      </c>
      <c r="G198">
        <f>SUMIFS(movements!H:H,movements!F:F,批次库存!A198,movements!D:D,"OPENING")</f>
        <v>0</v>
      </c>
      <c r="H198">
        <f>SUMIFS(movements!H:H,movements!F:F,批次库存!A198,movements!D:D,"RECEIPT")</f>
        <v>75</v>
      </c>
      <c r="I198">
        <f>SUMIFS(movements!H:H,movements!F:F,批次库存!A198,movements!D:D,"ISSUE")</f>
        <v>62</v>
      </c>
      <c r="J198">
        <f t="shared" si="11"/>
        <v>13</v>
      </c>
      <c r="K198">
        <f>VLOOKUP(表2[[#This Row],[SKU]],products!A:F,6,0)</f>
        <v>56.61</v>
      </c>
      <c r="L198">
        <f>J198*表2[[#This Row],[单价]]</f>
        <v>735.93</v>
      </c>
      <c r="M198">
        <f t="shared" si="9"/>
        <v>88</v>
      </c>
      <c r="N198">
        <f>VLOOKUP(表2[[#This Row],[SKU]],products!A:H,8,0)</f>
        <v>30</v>
      </c>
      <c r="O19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198">
        <f t="shared" si="10"/>
        <v>13</v>
      </c>
    </row>
    <row r="199" spans="1:16" x14ac:dyDescent="0.25">
      <c r="A199" t="s">
        <v>320</v>
      </c>
      <c r="B199" t="str">
        <f>VLOOKUP(A199,batches!A:B,2,0)</f>
        <v>SKU006</v>
      </c>
      <c r="C199" t="str">
        <f>VLOOKUP(批次库存!B199,products!A:B,2,0)</f>
        <v>焙火乌龙</v>
      </c>
      <c r="D199" t="str">
        <f>VLOOKUP(A199,batches!A:C,3,0)</f>
        <v>L006</v>
      </c>
      <c r="E199">
        <f>VLOOKUP(A199,batches!A:E,5,0)</f>
        <v>46304</v>
      </c>
      <c r="F199" t="str">
        <f>VLOOKUP(A199,batches!A:G,7,0)</f>
        <v>RELEASED</v>
      </c>
      <c r="G199">
        <f>SUMIFS(movements!H:H,movements!F:F,批次库存!A199,movements!D:D,"OPENING")</f>
        <v>0</v>
      </c>
      <c r="H199">
        <f>SUMIFS(movements!H:H,movements!F:F,批次库存!A199,movements!D:D,"RECEIPT")</f>
        <v>96</v>
      </c>
      <c r="I199">
        <f>SUMIFS(movements!H:H,movements!F:F,批次库存!A199,movements!D:D,"ISSUE")</f>
        <v>96</v>
      </c>
      <c r="J199">
        <f t="shared" si="11"/>
        <v>0</v>
      </c>
      <c r="K199">
        <f>VLOOKUP(表2[[#This Row],[SKU]],products!A:F,6,0)</f>
        <v>30.07</v>
      </c>
      <c r="L199">
        <f>J199*表2[[#This Row],[单价]]</f>
        <v>0</v>
      </c>
      <c r="M199">
        <f t="shared" si="9"/>
        <v>33</v>
      </c>
      <c r="N199">
        <f>VLOOKUP(表2[[#This Row],[SKU]],products!A:H,8,0)</f>
        <v>30</v>
      </c>
      <c r="O19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199">
        <f t="shared" si="10"/>
        <v>0</v>
      </c>
    </row>
    <row r="200" spans="1:16" x14ac:dyDescent="0.25">
      <c r="A200" t="s">
        <v>321</v>
      </c>
      <c r="B200" t="str">
        <f>VLOOKUP(A200,batches!A:B,2,0)</f>
        <v>SKU011</v>
      </c>
      <c r="C200" t="str">
        <f>VLOOKUP(批次库存!B200,products!A:B,2,0)</f>
        <v>原味糖浆</v>
      </c>
      <c r="D200" t="str">
        <f>VLOOKUP(A200,batches!A:C,3,0)</f>
        <v>L011</v>
      </c>
      <c r="E200">
        <f>VLOOKUP(A200,batches!A:E,5,0)</f>
        <v>46439</v>
      </c>
      <c r="F200" t="str">
        <f>VLOOKUP(A200,batches!A:G,7,0)</f>
        <v>RELEASED</v>
      </c>
      <c r="G200">
        <f>SUMIFS(movements!H:H,movements!F:F,批次库存!A200,movements!D:D,"OPENING")</f>
        <v>0</v>
      </c>
      <c r="H200">
        <f>SUMIFS(movements!H:H,movements!F:F,批次库存!A200,movements!D:D,"RECEIPT")</f>
        <v>88</v>
      </c>
      <c r="I200">
        <f>SUMIFS(movements!H:H,movements!F:F,批次库存!A200,movements!D:D,"ISSUE")</f>
        <v>0</v>
      </c>
      <c r="J200">
        <f t="shared" si="11"/>
        <v>88</v>
      </c>
      <c r="K200">
        <f>VLOOKUP(表2[[#This Row],[SKU]],products!A:F,6,0)</f>
        <v>24.06</v>
      </c>
      <c r="L200">
        <f>J200*表2[[#This Row],[单价]]</f>
        <v>2117.2799999999997</v>
      </c>
      <c r="M200">
        <f t="shared" si="9"/>
        <v>168</v>
      </c>
      <c r="N200">
        <f>VLOOKUP(表2[[#This Row],[SKU]],products!A:H,8,0)</f>
        <v>30</v>
      </c>
      <c r="O20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00">
        <f t="shared" si="10"/>
        <v>88</v>
      </c>
    </row>
    <row r="201" spans="1:16" x14ac:dyDescent="0.25">
      <c r="A201" t="s">
        <v>322</v>
      </c>
      <c r="B201" t="str">
        <f>VLOOKUP(A201,batches!A:B,2,0)</f>
        <v>SKU015</v>
      </c>
      <c r="C201" t="str">
        <f>VLOOKUP(批次库存!B201,products!A:B,2,0)</f>
        <v>果糖浆</v>
      </c>
      <c r="D201" t="str">
        <f>VLOOKUP(A201,batches!A:C,3,0)</f>
        <v>L015</v>
      </c>
      <c r="E201">
        <f>VLOOKUP(A201,batches!A:E,5,0)</f>
        <v>46304</v>
      </c>
      <c r="F201" t="str">
        <f>VLOOKUP(A201,batches!A:G,7,0)</f>
        <v>RELEASED</v>
      </c>
      <c r="G201">
        <f>SUMIFS(movements!H:H,movements!F:F,批次库存!A201,movements!D:D,"OPENING")</f>
        <v>0</v>
      </c>
      <c r="H201">
        <f>SUMIFS(movements!H:H,movements!F:F,批次库存!A201,movements!D:D,"RECEIPT")</f>
        <v>63</v>
      </c>
      <c r="I201">
        <f>SUMIFS(movements!H:H,movements!F:F,批次库存!A201,movements!D:D,"ISSUE")</f>
        <v>63</v>
      </c>
      <c r="J201">
        <f t="shared" si="11"/>
        <v>0</v>
      </c>
      <c r="K201">
        <f>VLOOKUP(表2[[#This Row],[SKU]],products!A:F,6,0)</f>
        <v>53.46</v>
      </c>
      <c r="L201">
        <f>J201*表2[[#This Row],[单价]]</f>
        <v>0</v>
      </c>
      <c r="M201">
        <f t="shared" si="9"/>
        <v>33</v>
      </c>
      <c r="N201">
        <f>VLOOKUP(表2[[#This Row],[SKU]],products!A:H,8,0)</f>
        <v>30</v>
      </c>
      <c r="O20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201">
        <f t="shared" si="10"/>
        <v>0</v>
      </c>
    </row>
    <row r="202" spans="1:16" x14ac:dyDescent="0.25">
      <c r="A202" t="s">
        <v>323</v>
      </c>
      <c r="B202" t="str">
        <f>VLOOKUP(A202,batches!A:B,2,0)</f>
        <v>SKU017</v>
      </c>
      <c r="C202" t="str">
        <f>VLOOKUP(批次库存!B202,products!A:B,2,0)</f>
        <v>常温椰乳</v>
      </c>
      <c r="D202" t="str">
        <f>VLOOKUP(A202,batches!A:C,3,0)</f>
        <v>L017</v>
      </c>
      <c r="E202">
        <f>VLOOKUP(A202,batches!A:E,5,0)</f>
        <v>46329</v>
      </c>
      <c r="F202" t="str">
        <f>VLOOKUP(A202,batches!A:G,7,0)</f>
        <v>RELEASED</v>
      </c>
      <c r="G202">
        <f>SUMIFS(movements!H:H,movements!F:F,批次库存!A202,movements!D:D,"OPENING")</f>
        <v>0</v>
      </c>
      <c r="H202">
        <f>SUMIFS(movements!H:H,movements!F:F,批次库存!A202,movements!D:D,"RECEIPT")</f>
        <v>65</v>
      </c>
      <c r="I202">
        <f>SUMIFS(movements!H:H,movements!F:F,批次库存!A202,movements!D:D,"ISSUE")</f>
        <v>48</v>
      </c>
      <c r="J202">
        <f t="shared" si="11"/>
        <v>17</v>
      </c>
      <c r="K202">
        <f>VLOOKUP(表2[[#This Row],[SKU]],products!A:F,6,0)</f>
        <v>39.159999999999997</v>
      </c>
      <c r="L202">
        <f>J202*表2[[#This Row],[单价]]</f>
        <v>665.71999999999991</v>
      </c>
      <c r="M202">
        <f t="shared" si="9"/>
        <v>58</v>
      </c>
      <c r="N202">
        <f>VLOOKUP(表2[[#This Row],[SKU]],products!A:H,8,0)</f>
        <v>30</v>
      </c>
      <c r="O20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02">
        <f t="shared" si="10"/>
        <v>17</v>
      </c>
    </row>
    <row r="203" spans="1:16" x14ac:dyDescent="0.25">
      <c r="A203" t="s">
        <v>324</v>
      </c>
      <c r="B203" t="str">
        <f>VLOOKUP(A203,batches!A:B,2,0)</f>
        <v>SKU018</v>
      </c>
      <c r="C203" t="str">
        <f>VLOOKUP(批次库存!B203,products!A:B,2,0)</f>
        <v>常温燕麦饮</v>
      </c>
      <c r="D203" t="str">
        <f>VLOOKUP(A203,batches!A:C,3,0)</f>
        <v>L018</v>
      </c>
      <c r="E203">
        <f>VLOOKUP(A203,batches!A:E,5,0)</f>
        <v>46359</v>
      </c>
      <c r="F203" t="str">
        <f>VLOOKUP(A203,batches!A:G,7,0)</f>
        <v>RELEASED</v>
      </c>
      <c r="G203">
        <f>SUMIFS(movements!H:H,movements!F:F,批次库存!A203,movements!D:D,"OPENING")</f>
        <v>0</v>
      </c>
      <c r="H203">
        <f>SUMIFS(movements!H:H,movements!F:F,批次库存!A203,movements!D:D,"RECEIPT")</f>
        <v>87</v>
      </c>
      <c r="I203">
        <f>SUMIFS(movements!H:H,movements!F:F,批次库存!A203,movements!D:D,"ISSUE")</f>
        <v>44</v>
      </c>
      <c r="J203">
        <f t="shared" si="11"/>
        <v>43</v>
      </c>
      <c r="K203">
        <f>VLOOKUP(表2[[#This Row],[SKU]],products!A:F,6,0)</f>
        <v>63.65</v>
      </c>
      <c r="L203">
        <f>J203*表2[[#This Row],[单价]]</f>
        <v>2736.95</v>
      </c>
      <c r="M203">
        <f t="shared" si="9"/>
        <v>88</v>
      </c>
      <c r="N203">
        <f>VLOOKUP(表2[[#This Row],[SKU]],products!A:H,8,0)</f>
        <v>30</v>
      </c>
      <c r="O20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03">
        <f t="shared" si="10"/>
        <v>43</v>
      </c>
    </row>
    <row r="204" spans="1:16" x14ac:dyDescent="0.25">
      <c r="A204" t="s">
        <v>325</v>
      </c>
      <c r="B204" t="str">
        <f>VLOOKUP(A204,batches!A:B,2,0)</f>
        <v>SKU019</v>
      </c>
      <c r="C204" t="str">
        <f>VLOOKUP(批次库存!B204,products!A:B,2,0)</f>
        <v>常温全脂奶</v>
      </c>
      <c r="D204" t="str">
        <f>VLOOKUP(A204,batches!A:C,3,0)</f>
        <v>L019</v>
      </c>
      <c r="E204">
        <f>VLOOKUP(A204,batches!A:E,5,0)</f>
        <v>46439</v>
      </c>
      <c r="F204" t="str">
        <f>VLOOKUP(A204,batches!A:G,7,0)</f>
        <v>RELEASED</v>
      </c>
      <c r="G204">
        <f>SUMIFS(movements!H:H,movements!F:F,批次库存!A204,movements!D:D,"OPENING")</f>
        <v>0</v>
      </c>
      <c r="H204">
        <f>SUMIFS(movements!H:H,movements!F:F,批次库存!A204,movements!D:D,"RECEIPT")</f>
        <v>68</v>
      </c>
      <c r="I204">
        <f>SUMIFS(movements!H:H,movements!F:F,批次库存!A204,movements!D:D,"ISSUE")</f>
        <v>0</v>
      </c>
      <c r="J204">
        <f t="shared" si="11"/>
        <v>68</v>
      </c>
      <c r="K204">
        <f>VLOOKUP(表2[[#This Row],[SKU]],products!A:F,6,0)</f>
        <v>81.96</v>
      </c>
      <c r="L204">
        <f>J204*表2[[#This Row],[单价]]</f>
        <v>5573.28</v>
      </c>
      <c r="M204">
        <f t="shared" si="9"/>
        <v>168</v>
      </c>
      <c r="N204">
        <f>VLOOKUP(表2[[#This Row],[SKU]],products!A:H,8,0)</f>
        <v>30</v>
      </c>
      <c r="O20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04">
        <f t="shared" si="10"/>
        <v>68</v>
      </c>
    </row>
    <row r="205" spans="1:16" x14ac:dyDescent="0.25">
      <c r="A205" t="s">
        <v>326</v>
      </c>
      <c r="B205" t="str">
        <f>VLOOKUP(A205,batches!A:B,2,0)</f>
        <v>SKU021</v>
      </c>
      <c r="C205" t="str">
        <f>VLOOKUP(批次库存!B205,products!A:B,2,0)</f>
        <v>500ml杯</v>
      </c>
      <c r="D205" t="str">
        <f>VLOOKUP(A205,batches!A:C,3,0)</f>
        <v>L021</v>
      </c>
      <c r="E205">
        <f>VLOOKUP(A205,batches!A:E,5,0)</f>
        <v>46624</v>
      </c>
      <c r="F205" t="str">
        <f>VLOOKUP(A205,batches!A:G,7,0)</f>
        <v>RELEASED</v>
      </c>
      <c r="G205">
        <f>SUMIFS(movements!H:H,movements!F:F,批次库存!A205,movements!D:D,"OPENING")</f>
        <v>0</v>
      </c>
      <c r="H205">
        <f>SUMIFS(movements!H:H,movements!F:F,批次库存!A205,movements!D:D,"RECEIPT")</f>
        <v>69</v>
      </c>
      <c r="I205">
        <f>SUMIFS(movements!H:H,movements!F:F,批次库存!A205,movements!D:D,"ISSUE")</f>
        <v>0</v>
      </c>
      <c r="J205">
        <f t="shared" si="11"/>
        <v>69</v>
      </c>
      <c r="K205">
        <f>VLOOKUP(表2[[#This Row],[SKU]],products!A:F,6,0)</f>
        <v>20.77</v>
      </c>
      <c r="L205">
        <f>J205*表2[[#This Row],[单价]]</f>
        <v>1433.1299999999999</v>
      </c>
      <c r="M205">
        <f t="shared" si="9"/>
        <v>353</v>
      </c>
      <c r="N205">
        <f>VLOOKUP(表2[[#This Row],[SKU]],products!A:H,8,0)</f>
        <v>60</v>
      </c>
      <c r="O20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05">
        <f t="shared" si="10"/>
        <v>69</v>
      </c>
    </row>
    <row r="206" spans="1:16" x14ac:dyDescent="0.25">
      <c r="A206" t="s">
        <v>327</v>
      </c>
      <c r="B206" t="str">
        <f>VLOOKUP(A206,batches!A:B,2,0)</f>
        <v>SKU022</v>
      </c>
      <c r="C206" t="str">
        <f>VLOOKUP(批次库存!B206,products!A:B,2,0)</f>
        <v>700ml杯</v>
      </c>
      <c r="D206" t="str">
        <f>VLOOKUP(A206,batches!A:C,3,0)</f>
        <v>L022</v>
      </c>
      <c r="E206">
        <f>VLOOKUP(A206,batches!A:E,5,0)</f>
        <v>46624</v>
      </c>
      <c r="F206" t="str">
        <f>VLOOKUP(A206,batches!A:G,7,0)</f>
        <v>RELEASED</v>
      </c>
      <c r="G206">
        <f>SUMIFS(movements!H:H,movements!F:F,批次库存!A206,movements!D:D,"OPENING")</f>
        <v>0</v>
      </c>
      <c r="H206">
        <f>SUMIFS(movements!H:H,movements!F:F,批次库存!A206,movements!D:D,"RECEIPT")</f>
        <v>94</v>
      </c>
      <c r="I206">
        <f>SUMIFS(movements!H:H,movements!F:F,批次库存!A206,movements!D:D,"ISSUE")</f>
        <v>0</v>
      </c>
      <c r="J206">
        <f t="shared" si="11"/>
        <v>94</v>
      </c>
      <c r="K206">
        <f>VLOOKUP(表2[[#This Row],[SKU]],products!A:F,6,0)</f>
        <v>16.36</v>
      </c>
      <c r="L206">
        <f>J206*表2[[#This Row],[单价]]</f>
        <v>1537.84</v>
      </c>
      <c r="M206">
        <f t="shared" si="9"/>
        <v>353</v>
      </c>
      <c r="N206">
        <f>VLOOKUP(表2[[#This Row],[SKU]],products!A:H,8,0)</f>
        <v>60</v>
      </c>
      <c r="O20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06">
        <f t="shared" si="10"/>
        <v>94</v>
      </c>
    </row>
    <row r="207" spans="1:16" x14ac:dyDescent="0.25">
      <c r="A207" t="s">
        <v>328</v>
      </c>
      <c r="B207" t="str">
        <f>VLOOKUP(A207,batches!A:B,2,0)</f>
        <v>SKU023</v>
      </c>
      <c r="C207" t="str">
        <f>VLOOKUP(批次库存!B207,products!A:B,2,0)</f>
        <v>500ml杯盖</v>
      </c>
      <c r="D207" t="str">
        <f>VLOOKUP(A207,batches!A:C,3,0)</f>
        <v>L023</v>
      </c>
      <c r="E207">
        <f>VLOOKUP(A207,batches!A:E,5,0)</f>
        <v>46624</v>
      </c>
      <c r="F207" t="str">
        <f>VLOOKUP(A207,batches!A:G,7,0)</f>
        <v>RELEASED</v>
      </c>
      <c r="G207">
        <f>SUMIFS(movements!H:H,movements!F:F,批次库存!A207,movements!D:D,"OPENING")</f>
        <v>0</v>
      </c>
      <c r="H207">
        <f>SUMIFS(movements!H:H,movements!F:F,批次库存!A207,movements!D:D,"RECEIPT")</f>
        <v>87</v>
      </c>
      <c r="I207">
        <f>SUMIFS(movements!H:H,movements!F:F,批次库存!A207,movements!D:D,"ISSUE")</f>
        <v>0</v>
      </c>
      <c r="J207">
        <f t="shared" si="11"/>
        <v>87</v>
      </c>
      <c r="K207">
        <f>VLOOKUP(表2[[#This Row],[SKU]],products!A:F,6,0)</f>
        <v>12.46</v>
      </c>
      <c r="L207">
        <f>J207*表2[[#This Row],[单价]]</f>
        <v>1084.02</v>
      </c>
      <c r="M207">
        <f t="shared" si="9"/>
        <v>353</v>
      </c>
      <c r="N207">
        <f>VLOOKUP(表2[[#This Row],[SKU]],products!A:H,8,0)</f>
        <v>60</v>
      </c>
      <c r="O20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07">
        <f t="shared" si="10"/>
        <v>87</v>
      </c>
    </row>
    <row r="208" spans="1:16" x14ac:dyDescent="0.25">
      <c r="A208" t="s">
        <v>13898</v>
      </c>
      <c r="B208" t="str">
        <f>VLOOKUP(A208,batches!A:B,2,0)</f>
        <v>SKU025</v>
      </c>
      <c r="C208" t="str">
        <f>VLOOKUP(批次库存!B208,products!A:B,2,0)</f>
        <v>粗吸管</v>
      </c>
      <c r="D208" t="str">
        <f>VLOOKUP(A208,batches!A:C,3,0)</f>
        <v>L025</v>
      </c>
      <c r="E208">
        <f>VLOOKUP(A208,batches!A:E,5,0)</f>
        <v>46624</v>
      </c>
      <c r="F208" t="str">
        <f>VLOOKUP(A208,batches!A:G,7,0)</f>
        <v>RELEASED</v>
      </c>
      <c r="G208">
        <f>SUMIFS(movements!H:H,movements!F:F,批次库存!A208,movements!D:D,"OPENING")</f>
        <v>0</v>
      </c>
      <c r="H208">
        <f>SUMIFS(movements!H:H,movements!F:F,批次库存!A208,movements!D:D,"RECEIPT")</f>
        <v>61</v>
      </c>
      <c r="I208">
        <f>SUMIFS(movements!H:H,movements!F:F,批次库存!A208,movements!D:D,"ISSUE")</f>
        <v>1</v>
      </c>
      <c r="J208">
        <f t="shared" si="11"/>
        <v>60</v>
      </c>
      <c r="K208">
        <f>VLOOKUP(表2[[#This Row],[SKU]],products!A:F,6,0)</f>
        <v>39.42</v>
      </c>
      <c r="L208">
        <f>J208*表2[[#This Row],[单价]]</f>
        <v>2365.2000000000003</v>
      </c>
      <c r="M208">
        <f t="shared" si="9"/>
        <v>353</v>
      </c>
      <c r="N208">
        <f>VLOOKUP(表2[[#This Row],[SKU]],products!A:H,8,0)</f>
        <v>60</v>
      </c>
      <c r="O20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08">
        <f t="shared" si="10"/>
        <v>60</v>
      </c>
    </row>
    <row r="209" spans="1:16" x14ac:dyDescent="0.25">
      <c r="A209" t="s">
        <v>330</v>
      </c>
      <c r="B209" t="str">
        <f>VLOOKUP(A209,batches!A:B,2,0)</f>
        <v>SKU001</v>
      </c>
      <c r="C209" t="str">
        <f>VLOOKUP(批次库存!B209,products!A:B,2,0)</f>
        <v>茉莉绿茶</v>
      </c>
      <c r="D209" t="str">
        <f>VLOOKUP(A209,batches!A:C,3,0)</f>
        <v>L001</v>
      </c>
      <c r="E209">
        <f>VLOOKUP(A209,batches!A:E,5,0)</f>
        <v>46311</v>
      </c>
      <c r="F209" t="str">
        <f>VLOOKUP(A209,batches!A:G,7,0)</f>
        <v>RELEASED</v>
      </c>
      <c r="G209">
        <f>SUMIFS(movements!H:H,movements!F:F,批次库存!A209,movements!D:D,"OPENING")</f>
        <v>0</v>
      </c>
      <c r="H209">
        <f>SUMIFS(movements!H:H,movements!F:F,批次库存!A209,movements!D:D,"RECEIPT")</f>
        <v>72</v>
      </c>
      <c r="I209">
        <f>SUMIFS(movements!H:H,movements!F:F,批次库存!A209,movements!D:D,"ISSUE")</f>
        <v>70</v>
      </c>
      <c r="J209">
        <f t="shared" si="11"/>
        <v>2</v>
      </c>
      <c r="K209">
        <f>VLOOKUP(表2[[#This Row],[SKU]],products!A:F,6,0)</f>
        <v>79.760000000000005</v>
      </c>
      <c r="L209">
        <f>J209*表2[[#This Row],[单价]]</f>
        <v>159.52000000000001</v>
      </c>
      <c r="M209">
        <f t="shared" si="9"/>
        <v>40</v>
      </c>
      <c r="N209">
        <f>VLOOKUP(表2[[#This Row],[SKU]],products!A:H,8,0)</f>
        <v>30</v>
      </c>
      <c r="O20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09">
        <f t="shared" si="10"/>
        <v>2</v>
      </c>
    </row>
    <row r="210" spans="1:16" x14ac:dyDescent="0.25">
      <c r="A210" t="s">
        <v>331</v>
      </c>
      <c r="B210" t="str">
        <f>VLOOKUP(A210,batches!A:B,2,0)</f>
        <v>SKU002</v>
      </c>
      <c r="C210" t="str">
        <f>VLOOKUP(批次库存!B210,products!A:B,2,0)</f>
        <v>红茶</v>
      </c>
      <c r="D210" t="str">
        <f>VLOOKUP(A210,batches!A:C,3,0)</f>
        <v>L002</v>
      </c>
      <c r="E210">
        <f>VLOOKUP(A210,batches!A:E,5,0)</f>
        <v>46336</v>
      </c>
      <c r="F210" t="str">
        <f>VLOOKUP(A210,batches!A:G,7,0)</f>
        <v>RELEASED</v>
      </c>
      <c r="G210">
        <f>SUMIFS(movements!H:H,movements!F:F,批次库存!A210,movements!D:D,"OPENING")</f>
        <v>0</v>
      </c>
      <c r="H210">
        <f>SUMIFS(movements!H:H,movements!F:F,批次库存!A210,movements!D:D,"RECEIPT")</f>
        <v>86</v>
      </c>
      <c r="I210">
        <f>SUMIFS(movements!H:H,movements!F:F,批次库存!A210,movements!D:D,"ISSUE")</f>
        <v>86</v>
      </c>
      <c r="J210">
        <f t="shared" si="11"/>
        <v>0</v>
      </c>
      <c r="K210">
        <f>VLOOKUP(表2[[#This Row],[SKU]],products!A:F,6,0)</f>
        <v>78.48</v>
      </c>
      <c r="L210">
        <f>J210*表2[[#This Row],[单价]]</f>
        <v>0</v>
      </c>
      <c r="M210">
        <f t="shared" si="9"/>
        <v>65</v>
      </c>
      <c r="N210">
        <f>VLOOKUP(表2[[#This Row],[SKU]],products!A:H,8,0)</f>
        <v>30</v>
      </c>
      <c r="O21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无库存</v>
      </c>
      <c r="P210">
        <f t="shared" si="10"/>
        <v>0</v>
      </c>
    </row>
    <row r="211" spans="1:16" x14ac:dyDescent="0.25">
      <c r="A211" t="s">
        <v>332</v>
      </c>
      <c r="B211" t="str">
        <f>VLOOKUP(A211,batches!A:B,2,0)</f>
        <v>SKU003</v>
      </c>
      <c r="C211" t="str">
        <f>VLOOKUP(批次库存!B211,products!A:B,2,0)</f>
        <v>乌龙茶</v>
      </c>
      <c r="D211" t="str">
        <f>VLOOKUP(A211,batches!A:C,3,0)</f>
        <v>L003</v>
      </c>
      <c r="E211">
        <f>VLOOKUP(A211,batches!A:E,5,0)</f>
        <v>46336</v>
      </c>
      <c r="F211" t="str">
        <f>VLOOKUP(A211,batches!A:G,7,0)</f>
        <v>RELEASED</v>
      </c>
      <c r="G211">
        <f>SUMIFS(movements!H:H,movements!F:F,批次库存!A211,movements!D:D,"OPENING")</f>
        <v>0</v>
      </c>
      <c r="H211">
        <f>SUMIFS(movements!H:H,movements!F:F,批次库存!A211,movements!D:D,"RECEIPT")</f>
        <v>70</v>
      </c>
      <c r="I211">
        <f>SUMIFS(movements!H:H,movements!F:F,批次库存!A211,movements!D:D,"ISSUE")</f>
        <v>67</v>
      </c>
      <c r="J211">
        <f t="shared" si="11"/>
        <v>3</v>
      </c>
      <c r="K211">
        <f>VLOOKUP(表2[[#This Row],[SKU]],products!A:F,6,0)</f>
        <v>41.99</v>
      </c>
      <c r="L211">
        <f>J211*表2[[#This Row],[单价]]</f>
        <v>125.97</v>
      </c>
      <c r="M211">
        <f t="shared" si="9"/>
        <v>65</v>
      </c>
      <c r="N211">
        <f>VLOOKUP(表2[[#This Row],[SKU]],products!A:H,8,0)</f>
        <v>30</v>
      </c>
      <c r="O21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11">
        <f t="shared" si="10"/>
        <v>3</v>
      </c>
    </row>
    <row r="212" spans="1:16" x14ac:dyDescent="0.25">
      <c r="A212" t="s">
        <v>333</v>
      </c>
      <c r="B212" t="str">
        <f>VLOOKUP(A212,batches!A:B,2,0)</f>
        <v>SKU004</v>
      </c>
      <c r="C212" t="str">
        <f>VLOOKUP(批次库存!B212,products!A:B,2,0)</f>
        <v>四季春茶</v>
      </c>
      <c r="D212" t="str">
        <f>VLOOKUP(A212,batches!A:C,3,0)</f>
        <v>L004</v>
      </c>
      <c r="E212">
        <f>VLOOKUP(A212,batches!A:E,5,0)</f>
        <v>46336</v>
      </c>
      <c r="F212" t="str">
        <f>VLOOKUP(A212,batches!A:G,7,0)</f>
        <v>RELEASED</v>
      </c>
      <c r="G212">
        <f>SUMIFS(movements!H:H,movements!F:F,批次库存!A212,movements!D:D,"OPENING")</f>
        <v>0</v>
      </c>
      <c r="H212">
        <f>SUMIFS(movements!H:H,movements!F:F,批次库存!A212,movements!D:D,"RECEIPT")</f>
        <v>74</v>
      </c>
      <c r="I212">
        <f>SUMIFS(movements!H:H,movements!F:F,批次库存!A212,movements!D:D,"ISSUE")</f>
        <v>57</v>
      </c>
      <c r="J212">
        <f t="shared" si="11"/>
        <v>17</v>
      </c>
      <c r="K212">
        <f>VLOOKUP(表2[[#This Row],[SKU]],products!A:F,6,0)</f>
        <v>70.39</v>
      </c>
      <c r="L212">
        <f>J212*表2[[#This Row],[单价]]</f>
        <v>1196.6300000000001</v>
      </c>
      <c r="M212">
        <f t="shared" si="9"/>
        <v>65</v>
      </c>
      <c r="N212">
        <f>VLOOKUP(表2[[#This Row],[SKU]],products!A:H,8,0)</f>
        <v>30</v>
      </c>
      <c r="O21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12">
        <f t="shared" si="10"/>
        <v>17</v>
      </c>
    </row>
    <row r="213" spans="1:16" x14ac:dyDescent="0.25">
      <c r="A213" t="s">
        <v>334</v>
      </c>
      <c r="B213" t="str">
        <f>VLOOKUP(A213,batches!A:B,2,0)</f>
        <v>SKU005</v>
      </c>
      <c r="C213" t="str">
        <f>VLOOKUP(批次库存!B213,products!A:B,2,0)</f>
        <v>桂花乌龙</v>
      </c>
      <c r="D213" t="str">
        <f>VLOOKUP(A213,batches!A:C,3,0)</f>
        <v>L005</v>
      </c>
      <c r="E213">
        <f>VLOOKUP(A213,batches!A:E,5,0)</f>
        <v>46311</v>
      </c>
      <c r="F213" t="str">
        <f>VLOOKUP(A213,batches!A:G,7,0)</f>
        <v>RELEASED</v>
      </c>
      <c r="G213">
        <f>SUMIFS(movements!H:H,movements!F:F,批次库存!A213,movements!D:D,"OPENING")</f>
        <v>0</v>
      </c>
      <c r="H213">
        <f>SUMIFS(movements!H:H,movements!F:F,批次库存!A213,movements!D:D,"RECEIPT")</f>
        <v>63</v>
      </c>
      <c r="I213">
        <f>SUMIFS(movements!H:H,movements!F:F,批次库存!A213,movements!D:D,"ISSUE")</f>
        <v>42</v>
      </c>
      <c r="J213">
        <f t="shared" si="11"/>
        <v>21</v>
      </c>
      <c r="K213">
        <f>VLOOKUP(表2[[#This Row],[SKU]],products!A:F,6,0)</f>
        <v>56.61</v>
      </c>
      <c r="L213">
        <f>J213*表2[[#This Row],[单价]]</f>
        <v>1188.81</v>
      </c>
      <c r="M213">
        <f t="shared" si="9"/>
        <v>40</v>
      </c>
      <c r="N213">
        <f>VLOOKUP(表2[[#This Row],[SKU]],products!A:H,8,0)</f>
        <v>30</v>
      </c>
      <c r="O21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13">
        <f t="shared" si="10"/>
        <v>21</v>
      </c>
    </row>
    <row r="214" spans="1:16" x14ac:dyDescent="0.25">
      <c r="A214" t="s">
        <v>335</v>
      </c>
      <c r="B214" t="str">
        <f>VLOOKUP(A214,batches!A:B,2,0)</f>
        <v>SKU006</v>
      </c>
      <c r="C214" t="str">
        <f>VLOOKUP(批次库存!B214,products!A:B,2,0)</f>
        <v>焙火乌龙</v>
      </c>
      <c r="D214" t="str">
        <f>VLOOKUP(A214,batches!A:C,3,0)</f>
        <v>L006</v>
      </c>
      <c r="E214">
        <f>VLOOKUP(A214,batches!A:E,5,0)</f>
        <v>46311</v>
      </c>
      <c r="F214" t="str">
        <f>VLOOKUP(A214,batches!A:G,7,0)</f>
        <v>RELEASED</v>
      </c>
      <c r="G214">
        <f>SUMIFS(movements!H:H,movements!F:F,批次库存!A214,movements!D:D,"OPENING")</f>
        <v>0</v>
      </c>
      <c r="H214">
        <f>SUMIFS(movements!H:H,movements!F:F,批次库存!A214,movements!D:D,"RECEIPT")</f>
        <v>93</v>
      </c>
      <c r="I214">
        <f>SUMIFS(movements!H:H,movements!F:F,批次库存!A214,movements!D:D,"ISSUE")</f>
        <v>54</v>
      </c>
      <c r="J214">
        <f t="shared" si="11"/>
        <v>39</v>
      </c>
      <c r="K214">
        <f>VLOOKUP(表2[[#This Row],[SKU]],products!A:F,6,0)</f>
        <v>30.07</v>
      </c>
      <c r="L214">
        <f>J214*表2[[#This Row],[单价]]</f>
        <v>1172.73</v>
      </c>
      <c r="M214">
        <f t="shared" si="9"/>
        <v>40</v>
      </c>
      <c r="N214">
        <f>VLOOKUP(表2[[#This Row],[SKU]],products!A:H,8,0)</f>
        <v>30</v>
      </c>
      <c r="O21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14">
        <f t="shared" si="10"/>
        <v>39</v>
      </c>
    </row>
    <row r="215" spans="1:16" x14ac:dyDescent="0.25">
      <c r="A215" t="s">
        <v>336</v>
      </c>
      <c r="B215" t="str">
        <f>VLOOKUP(A215,batches!A:B,2,0)</f>
        <v>SKU007</v>
      </c>
      <c r="C215" t="str">
        <f>VLOOKUP(批次库存!B215,products!A:B,2,0)</f>
        <v>白桃乌龙</v>
      </c>
      <c r="D215" t="str">
        <f>VLOOKUP(A215,batches!A:C,3,0)</f>
        <v>L007</v>
      </c>
      <c r="E215">
        <f>VLOOKUP(A215,batches!A:E,5,0)</f>
        <v>46311</v>
      </c>
      <c r="F215" t="str">
        <f>VLOOKUP(A215,batches!A:G,7,0)</f>
        <v>RELEASED</v>
      </c>
      <c r="G215">
        <f>SUMIFS(movements!H:H,movements!F:F,批次库存!A215,movements!D:D,"OPENING")</f>
        <v>0</v>
      </c>
      <c r="H215">
        <f>SUMIFS(movements!H:H,movements!F:F,批次库存!A215,movements!D:D,"RECEIPT")</f>
        <v>71</v>
      </c>
      <c r="I215">
        <f>SUMIFS(movements!H:H,movements!F:F,批次库存!A215,movements!D:D,"ISSUE")</f>
        <v>27</v>
      </c>
      <c r="J215">
        <f t="shared" si="11"/>
        <v>44</v>
      </c>
      <c r="K215">
        <f>VLOOKUP(表2[[#This Row],[SKU]],products!A:F,6,0)</f>
        <v>30.79</v>
      </c>
      <c r="L215">
        <f>J215*表2[[#This Row],[单价]]</f>
        <v>1354.76</v>
      </c>
      <c r="M215">
        <f t="shared" si="9"/>
        <v>40</v>
      </c>
      <c r="N215">
        <f>VLOOKUP(表2[[#This Row],[SKU]],products!A:H,8,0)</f>
        <v>30</v>
      </c>
      <c r="O21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15">
        <f t="shared" si="10"/>
        <v>44</v>
      </c>
    </row>
    <row r="216" spans="1:16" x14ac:dyDescent="0.25">
      <c r="A216" t="s">
        <v>337</v>
      </c>
      <c r="B216" t="str">
        <f>VLOOKUP(A216,batches!A:B,2,0)</f>
        <v>SKU008</v>
      </c>
      <c r="C216" t="str">
        <f>VLOOKUP(批次库存!B216,products!A:B,2,0)</f>
        <v>普洱茶</v>
      </c>
      <c r="D216" t="str">
        <f>VLOOKUP(A216,batches!A:C,3,0)</f>
        <v>L008</v>
      </c>
      <c r="E216">
        <f>VLOOKUP(A216,batches!A:E,5,0)</f>
        <v>46311</v>
      </c>
      <c r="F216" t="str">
        <f>VLOOKUP(A216,batches!A:G,7,0)</f>
        <v>RELEASED</v>
      </c>
      <c r="G216">
        <f>SUMIFS(movements!H:H,movements!F:F,批次库存!A216,movements!D:D,"OPENING")</f>
        <v>0</v>
      </c>
      <c r="H216">
        <f>SUMIFS(movements!H:H,movements!F:F,批次库存!A216,movements!D:D,"RECEIPT")</f>
        <v>68</v>
      </c>
      <c r="I216">
        <f>SUMIFS(movements!H:H,movements!F:F,批次库存!A216,movements!D:D,"ISSUE")</f>
        <v>0</v>
      </c>
      <c r="J216">
        <f t="shared" si="11"/>
        <v>68</v>
      </c>
      <c r="K216">
        <f>VLOOKUP(表2[[#This Row],[SKU]],products!A:F,6,0)</f>
        <v>72.540000000000006</v>
      </c>
      <c r="L216">
        <f>J216*表2[[#This Row],[单价]]</f>
        <v>4932.72</v>
      </c>
      <c r="M216">
        <f t="shared" si="9"/>
        <v>40</v>
      </c>
      <c r="N216">
        <f>VLOOKUP(表2[[#This Row],[SKU]],products!A:H,8,0)</f>
        <v>30</v>
      </c>
      <c r="O216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16">
        <f t="shared" si="10"/>
        <v>68</v>
      </c>
    </row>
    <row r="217" spans="1:16" x14ac:dyDescent="0.25">
      <c r="A217" t="s">
        <v>338</v>
      </c>
      <c r="B217" t="str">
        <f>VLOOKUP(A217,batches!A:B,2,0)</f>
        <v>SKU009</v>
      </c>
      <c r="C217" t="str">
        <f>VLOOKUP(批次库存!B217,products!A:B,2,0)</f>
        <v>龙井茶</v>
      </c>
      <c r="D217" t="str">
        <f>VLOOKUP(A217,batches!A:C,3,0)</f>
        <v>L009</v>
      </c>
      <c r="E217">
        <f>VLOOKUP(A217,batches!A:E,5,0)</f>
        <v>46446</v>
      </c>
      <c r="F217" t="str">
        <f>VLOOKUP(A217,batches!A:G,7,0)</f>
        <v>RELEASED</v>
      </c>
      <c r="G217">
        <f>SUMIFS(movements!H:H,movements!F:F,批次库存!A217,movements!D:D,"OPENING")</f>
        <v>0</v>
      </c>
      <c r="H217">
        <f>SUMIFS(movements!H:H,movements!F:F,批次库存!A217,movements!D:D,"RECEIPT")</f>
        <v>67</v>
      </c>
      <c r="I217">
        <f>SUMIFS(movements!H:H,movements!F:F,批次库存!A217,movements!D:D,"ISSUE")</f>
        <v>0</v>
      </c>
      <c r="J217">
        <f t="shared" si="11"/>
        <v>67</v>
      </c>
      <c r="K217">
        <f>VLOOKUP(表2[[#This Row],[SKU]],products!A:F,6,0)</f>
        <v>21.12</v>
      </c>
      <c r="L217">
        <f>J217*表2[[#This Row],[单价]]</f>
        <v>1415.04</v>
      </c>
      <c r="M217">
        <f t="shared" si="9"/>
        <v>175</v>
      </c>
      <c r="N217">
        <f>VLOOKUP(表2[[#This Row],[SKU]],products!A:H,8,0)</f>
        <v>30</v>
      </c>
      <c r="O217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17">
        <f t="shared" si="10"/>
        <v>67</v>
      </c>
    </row>
    <row r="218" spans="1:16" x14ac:dyDescent="0.25">
      <c r="A218" t="s">
        <v>339</v>
      </c>
      <c r="B218" t="str">
        <f>VLOOKUP(A218,batches!A:B,2,0)</f>
        <v>SKU012</v>
      </c>
      <c r="C218" t="str">
        <f>VLOOKUP(批次库存!B218,products!A:B,2,0)</f>
        <v>黑糖糖浆</v>
      </c>
      <c r="D218" t="str">
        <f>VLOOKUP(A218,batches!A:C,3,0)</f>
        <v>L012</v>
      </c>
      <c r="E218">
        <f>VLOOKUP(A218,batches!A:E,5,0)</f>
        <v>46446</v>
      </c>
      <c r="F218" t="str">
        <f>VLOOKUP(A218,batches!A:G,7,0)</f>
        <v>RELEASED</v>
      </c>
      <c r="G218">
        <f>SUMIFS(movements!H:H,movements!F:F,批次库存!A218,movements!D:D,"OPENING")</f>
        <v>0</v>
      </c>
      <c r="H218">
        <f>SUMIFS(movements!H:H,movements!F:F,批次库存!A218,movements!D:D,"RECEIPT")</f>
        <v>89</v>
      </c>
      <c r="I218">
        <f>SUMIFS(movements!H:H,movements!F:F,批次库存!A218,movements!D:D,"ISSUE")</f>
        <v>0</v>
      </c>
      <c r="J218">
        <f t="shared" si="11"/>
        <v>89</v>
      </c>
      <c r="K218">
        <f>VLOOKUP(表2[[#This Row],[SKU]],products!A:F,6,0)</f>
        <v>77.959999999999994</v>
      </c>
      <c r="L218">
        <f>J218*表2[[#This Row],[单价]]</f>
        <v>6938.44</v>
      </c>
      <c r="M218">
        <f t="shared" si="9"/>
        <v>175</v>
      </c>
      <c r="N218">
        <f>VLOOKUP(表2[[#This Row],[SKU]],products!A:H,8,0)</f>
        <v>30</v>
      </c>
      <c r="O218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18">
        <f t="shared" si="10"/>
        <v>89</v>
      </c>
    </row>
    <row r="219" spans="1:16" x14ac:dyDescent="0.25">
      <c r="A219" t="s">
        <v>340</v>
      </c>
      <c r="B219" t="str">
        <f>VLOOKUP(A219,batches!A:B,2,0)</f>
        <v>SKU013</v>
      </c>
      <c r="C219" t="str">
        <f>VLOOKUP(批次库存!B219,products!A:B,2,0)</f>
        <v>香草糖浆</v>
      </c>
      <c r="D219" t="str">
        <f>VLOOKUP(A219,batches!A:C,3,0)</f>
        <v>L013</v>
      </c>
      <c r="E219">
        <f>VLOOKUP(A219,batches!A:E,5,0)</f>
        <v>46336</v>
      </c>
      <c r="F219" t="str">
        <f>VLOOKUP(A219,batches!A:G,7,0)</f>
        <v>RELEASED</v>
      </c>
      <c r="G219">
        <f>SUMIFS(movements!H:H,movements!F:F,批次库存!A219,movements!D:D,"OPENING")</f>
        <v>0</v>
      </c>
      <c r="H219">
        <f>SUMIFS(movements!H:H,movements!F:F,批次库存!A219,movements!D:D,"RECEIPT")</f>
        <v>65</v>
      </c>
      <c r="I219">
        <f>SUMIFS(movements!H:H,movements!F:F,批次库存!A219,movements!D:D,"ISSUE")</f>
        <v>27</v>
      </c>
      <c r="J219">
        <f t="shared" si="11"/>
        <v>38</v>
      </c>
      <c r="K219">
        <f>VLOOKUP(表2[[#This Row],[SKU]],products!A:F,6,0)</f>
        <v>70.63</v>
      </c>
      <c r="L219">
        <f>J219*表2[[#This Row],[单价]]</f>
        <v>2683.9399999999996</v>
      </c>
      <c r="M219">
        <f t="shared" si="9"/>
        <v>65</v>
      </c>
      <c r="N219">
        <f>VLOOKUP(表2[[#This Row],[SKU]],products!A:H,8,0)</f>
        <v>30</v>
      </c>
      <c r="O219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19">
        <f t="shared" si="10"/>
        <v>38</v>
      </c>
    </row>
    <row r="220" spans="1:16" x14ac:dyDescent="0.25">
      <c r="A220" t="s">
        <v>341</v>
      </c>
      <c r="B220" t="str">
        <f>VLOOKUP(A220,batches!A:B,2,0)</f>
        <v>SKU014</v>
      </c>
      <c r="C220" t="str">
        <f>VLOOKUP(批次库存!B220,products!A:B,2,0)</f>
        <v>焦糖糖浆</v>
      </c>
      <c r="D220" t="str">
        <f>VLOOKUP(A220,batches!A:C,3,0)</f>
        <v>L014</v>
      </c>
      <c r="E220">
        <f>VLOOKUP(A220,batches!A:E,5,0)</f>
        <v>46366</v>
      </c>
      <c r="F220" t="str">
        <f>VLOOKUP(A220,batches!A:G,7,0)</f>
        <v>RELEASED</v>
      </c>
      <c r="G220">
        <f>SUMIFS(movements!H:H,movements!F:F,批次库存!A220,movements!D:D,"OPENING")</f>
        <v>0</v>
      </c>
      <c r="H220">
        <f>SUMIFS(movements!H:H,movements!F:F,批次库存!A220,movements!D:D,"RECEIPT")</f>
        <v>75</v>
      </c>
      <c r="I220">
        <f>SUMIFS(movements!H:H,movements!F:F,批次库存!A220,movements!D:D,"ISSUE")</f>
        <v>13</v>
      </c>
      <c r="J220">
        <f t="shared" si="11"/>
        <v>62</v>
      </c>
      <c r="K220">
        <f>VLOOKUP(表2[[#This Row],[SKU]],products!A:F,6,0)</f>
        <v>70.989999999999995</v>
      </c>
      <c r="L220">
        <f>J220*表2[[#This Row],[单价]]</f>
        <v>4401.38</v>
      </c>
      <c r="M220">
        <f t="shared" si="9"/>
        <v>95</v>
      </c>
      <c r="N220">
        <f>VLOOKUP(表2[[#This Row],[SKU]],products!A:H,8,0)</f>
        <v>30</v>
      </c>
      <c r="O220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20">
        <f t="shared" si="10"/>
        <v>62</v>
      </c>
    </row>
    <row r="221" spans="1:16" x14ac:dyDescent="0.25">
      <c r="A221" t="s">
        <v>342</v>
      </c>
      <c r="B221" t="str">
        <f>VLOOKUP(A221,batches!A:B,2,0)</f>
        <v>SKU016</v>
      </c>
      <c r="C221" t="str">
        <f>VLOOKUP(批次库存!B221,products!A:B,2,0)</f>
        <v>常温椰浆</v>
      </c>
      <c r="D221" t="str">
        <f>VLOOKUP(A221,batches!A:C,3,0)</f>
        <v>L016</v>
      </c>
      <c r="E221">
        <f>VLOOKUP(A221,batches!A:E,5,0)</f>
        <v>46311</v>
      </c>
      <c r="F221" t="str">
        <f>VLOOKUP(A221,batches!A:G,7,0)</f>
        <v>RELEASED</v>
      </c>
      <c r="G221">
        <f>SUMIFS(movements!H:H,movements!F:F,批次库存!A221,movements!D:D,"OPENING")</f>
        <v>0</v>
      </c>
      <c r="H221">
        <f>SUMIFS(movements!H:H,movements!F:F,批次库存!A221,movements!D:D,"RECEIPT")</f>
        <v>68</v>
      </c>
      <c r="I221">
        <f>SUMIFS(movements!H:H,movements!F:F,批次库存!A221,movements!D:D,"ISSUE")</f>
        <v>31</v>
      </c>
      <c r="J221">
        <f t="shared" si="11"/>
        <v>37</v>
      </c>
      <c r="K221">
        <f>VLOOKUP(表2[[#This Row],[SKU]],products!A:F,6,0)</f>
        <v>13.06</v>
      </c>
      <c r="L221">
        <f>J221*表2[[#This Row],[单价]]</f>
        <v>483.22</v>
      </c>
      <c r="M221">
        <f t="shared" si="9"/>
        <v>40</v>
      </c>
      <c r="N221">
        <f>VLOOKUP(表2[[#This Row],[SKU]],products!A:H,8,0)</f>
        <v>30</v>
      </c>
      <c r="O221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21">
        <f t="shared" si="10"/>
        <v>37</v>
      </c>
    </row>
    <row r="222" spans="1:16" x14ac:dyDescent="0.25">
      <c r="A222" t="s">
        <v>343</v>
      </c>
      <c r="B222" t="str">
        <f>VLOOKUP(A222,batches!A:B,2,0)</f>
        <v>SKU025</v>
      </c>
      <c r="C222" t="str">
        <f>VLOOKUP(批次库存!B222,products!A:B,2,0)</f>
        <v>粗吸管</v>
      </c>
      <c r="D222" t="str">
        <f>VLOOKUP(A222,batches!A:C,3,0)</f>
        <v>L025</v>
      </c>
      <c r="E222">
        <f>VLOOKUP(A222,batches!A:E,5,0)</f>
        <v>46631</v>
      </c>
      <c r="F222" t="str">
        <f>VLOOKUP(A222,batches!A:G,7,0)</f>
        <v>RELEASED</v>
      </c>
      <c r="G222">
        <f>SUMIFS(movements!H:H,movements!F:F,批次库存!A222,movements!D:D,"OPENING")</f>
        <v>0</v>
      </c>
      <c r="H222">
        <f>SUMIFS(movements!H:H,movements!F:F,批次库存!A222,movements!D:D,"RECEIPT")</f>
        <v>100</v>
      </c>
      <c r="I222">
        <f>SUMIFS(movements!H:H,movements!F:F,批次库存!A222,movements!D:D,"ISSUE")</f>
        <v>0</v>
      </c>
      <c r="J222">
        <f t="shared" si="11"/>
        <v>100</v>
      </c>
      <c r="K222">
        <f>VLOOKUP(表2[[#This Row],[SKU]],products!A:F,6,0)</f>
        <v>39.42</v>
      </c>
      <c r="L222">
        <f>J222*表2[[#This Row],[单价]]</f>
        <v>3942</v>
      </c>
      <c r="M222">
        <f t="shared" si="9"/>
        <v>360</v>
      </c>
      <c r="N222">
        <f>VLOOKUP(表2[[#This Row],[SKU]],products!A:H,8,0)</f>
        <v>60</v>
      </c>
      <c r="O222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22">
        <f t="shared" si="10"/>
        <v>100</v>
      </c>
    </row>
    <row r="223" spans="1:16" x14ac:dyDescent="0.25">
      <c r="A223" t="s">
        <v>344</v>
      </c>
      <c r="B223" t="str">
        <f>VLOOKUP(A223,batches!A:B,2,0)</f>
        <v>SKU026</v>
      </c>
      <c r="C223" t="str">
        <f>VLOOKUP(批次库存!B223,products!A:B,2,0)</f>
        <v>细吸管</v>
      </c>
      <c r="D223" t="str">
        <f>VLOOKUP(A223,batches!A:C,3,0)</f>
        <v>L026</v>
      </c>
      <c r="E223">
        <f>VLOOKUP(A223,batches!A:E,5,0)</f>
        <v>46631</v>
      </c>
      <c r="F223" t="str">
        <f>VLOOKUP(A223,batches!A:G,7,0)</f>
        <v>RELEASED</v>
      </c>
      <c r="G223">
        <f>SUMIFS(movements!H:H,movements!F:F,批次库存!A223,movements!D:D,"OPENING")</f>
        <v>0</v>
      </c>
      <c r="H223">
        <f>SUMIFS(movements!H:H,movements!F:F,批次库存!A223,movements!D:D,"RECEIPT")</f>
        <v>61</v>
      </c>
      <c r="I223">
        <f>SUMIFS(movements!H:H,movements!F:F,批次库存!A223,movements!D:D,"ISSUE")</f>
        <v>0</v>
      </c>
      <c r="J223">
        <f t="shared" si="11"/>
        <v>61</v>
      </c>
      <c r="K223">
        <f>VLOOKUP(表2[[#This Row],[SKU]],products!A:F,6,0)</f>
        <v>14.19</v>
      </c>
      <c r="L223">
        <f>J223*表2[[#This Row],[单价]]</f>
        <v>865.58999999999992</v>
      </c>
      <c r="M223">
        <f t="shared" si="9"/>
        <v>360</v>
      </c>
      <c r="N223">
        <f>VLOOKUP(表2[[#This Row],[SKU]],products!A:H,8,0)</f>
        <v>60</v>
      </c>
      <c r="O223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23">
        <f t="shared" si="10"/>
        <v>61</v>
      </c>
    </row>
    <row r="224" spans="1:16" x14ac:dyDescent="0.25">
      <c r="A224" t="s">
        <v>345</v>
      </c>
      <c r="B224" t="str">
        <f>VLOOKUP(A224,batches!A:B,2,0)</f>
        <v>SKU027</v>
      </c>
      <c r="C224" t="str">
        <f>VLOOKUP(批次库存!B224,products!A:B,2,0)</f>
        <v>单杯袋</v>
      </c>
      <c r="D224" t="str">
        <f>VLOOKUP(A224,batches!A:C,3,0)</f>
        <v>L027</v>
      </c>
      <c r="E224">
        <f>VLOOKUP(A224,batches!A:E,5,0)</f>
        <v>46631</v>
      </c>
      <c r="F224" t="str">
        <f>VLOOKUP(A224,batches!A:G,7,0)</f>
        <v>RELEASED</v>
      </c>
      <c r="G224">
        <f>SUMIFS(movements!H:H,movements!F:F,批次库存!A224,movements!D:D,"OPENING")</f>
        <v>0</v>
      </c>
      <c r="H224">
        <f>SUMIFS(movements!H:H,movements!F:F,批次库存!A224,movements!D:D,"RECEIPT")</f>
        <v>69</v>
      </c>
      <c r="I224">
        <f>SUMIFS(movements!H:H,movements!F:F,批次库存!A224,movements!D:D,"ISSUE")</f>
        <v>0</v>
      </c>
      <c r="J224">
        <f t="shared" si="11"/>
        <v>69</v>
      </c>
      <c r="K224">
        <f>VLOOKUP(表2[[#This Row],[SKU]],products!A:F,6,0)</f>
        <v>30.89</v>
      </c>
      <c r="L224">
        <f>J224*表2[[#This Row],[单价]]</f>
        <v>2131.41</v>
      </c>
      <c r="M224">
        <f t="shared" si="9"/>
        <v>360</v>
      </c>
      <c r="N224">
        <f>VLOOKUP(表2[[#This Row],[SKU]],products!A:H,8,0)</f>
        <v>60</v>
      </c>
      <c r="O224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24">
        <f t="shared" si="10"/>
        <v>69</v>
      </c>
    </row>
    <row r="225" spans="1:16" x14ac:dyDescent="0.25">
      <c r="A225" t="s">
        <v>346</v>
      </c>
      <c r="B225" t="str">
        <f>VLOOKUP(A225,batches!A:B,2,0)</f>
        <v>SKU028</v>
      </c>
      <c r="C225" t="str">
        <f>VLOOKUP(批次库存!B225,products!A:B,2,0)</f>
        <v>双杯袋</v>
      </c>
      <c r="D225" t="str">
        <f>VLOOKUP(A225,batches!A:C,3,0)</f>
        <v>L028</v>
      </c>
      <c r="E225">
        <f>VLOOKUP(A225,batches!A:E,5,0)</f>
        <v>46631</v>
      </c>
      <c r="F225" t="str">
        <f>VLOOKUP(A225,batches!A:G,7,0)</f>
        <v>RELEASED</v>
      </c>
      <c r="G225">
        <f>SUMIFS(movements!H:H,movements!F:F,批次库存!A225,movements!D:D,"OPENING")</f>
        <v>0</v>
      </c>
      <c r="H225">
        <f>SUMIFS(movements!H:H,movements!F:F,批次库存!A225,movements!D:D,"RECEIPT")</f>
        <v>66</v>
      </c>
      <c r="I225">
        <f>SUMIFS(movements!H:H,movements!F:F,批次库存!A225,movements!D:D,"ISSUE")</f>
        <v>0</v>
      </c>
      <c r="J225">
        <f t="shared" si="11"/>
        <v>66</v>
      </c>
      <c r="K225">
        <f>VLOOKUP(表2[[#This Row],[SKU]],products!A:F,6,0)</f>
        <v>55.53</v>
      </c>
      <c r="L225">
        <f>J225*表2[[#This Row],[单价]]</f>
        <v>3664.98</v>
      </c>
      <c r="M225">
        <f t="shared" si="9"/>
        <v>360</v>
      </c>
      <c r="N225">
        <f>VLOOKUP(表2[[#This Row],[SKU]],products!A:H,8,0)</f>
        <v>60</v>
      </c>
      <c r="O225" t="str">
        <f>IF(表2[[#This Row],[期末库存]]=0,"无库存",IF(表2[[#This Row],[剩余有效天数]]&lt;=0,"已到期/过期",IF(表2[[#This Row],[质量状态]]="HOLD","冻结待检",IF(表2[[#This Row],[剩余有效天数]]&lt;=表2[[#This Row],[临期预警天数]],"临期","正常"))))</f>
        <v>正常</v>
      </c>
      <c r="P225">
        <f t="shared" si="10"/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59954C-13FE-4AAB-8DF3-9928819BA9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products</vt:lpstr>
      <vt:lpstr>batches</vt:lpstr>
      <vt:lpstr>movements</vt:lpstr>
      <vt:lpstr>stores</vt:lpstr>
      <vt:lpstr>order_lines</vt:lpstr>
      <vt:lpstr>stock_counts</vt:lpstr>
      <vt:lpstr>每日库存表</vt:lpstr>
      <vt:lpstr>库存汇总</vt:lpstr>
      <vt:lpstr>批次库存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ZI. A.</cp:lastModifiedBy>
  <dcterms:created xsi:type="dcterms:W3CDTF">2015-06-05T18:19:34Z</dcterms:created>
  <dcterms:modified xsi:type="dcterms:W3CDTF">2026-09-08T03:22:14Z</dcterms:modified>
</cp:coreProperties>
</file>